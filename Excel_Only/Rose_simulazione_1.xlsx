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lva\Projects\FantaWarRoom\Excel_Only\"/>
    </mc:Choice>
  </mc:AlternateContent>
  <xr:revisionPtr revIDLastSave="0" documentId="13_ncr:1_{0B342FA4-8E4B-40D3-8C9F-CDD3C7D7D0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trategia A" sheetId="1" r:id="rId1"/>
    <sheet name="Strategia F" sheetId="2" r:id="rId2"/>
  </sheets>
  <definedNames>
    <definedName name="_xlnm._FilterDatabase" localSheetId="0" hidden="1">'Strategia A'!$A$17:$E$217</definedName>
    <definedName name="_xlnm._FilterDatabase" localSheetId="1" hidden="1">'Strategia F'!$A$17:$E$217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/>
  <c r="D13" i="2" s="1"/>
  <c r="B13" i="2"/>
  <c r="C12" i="2"/>
  <c r="D12" i="2" s="1"/>
  <c r="B12" i="2"/>
  <c r="C11" i="2"/>
  <c r="D11" i="2" s="1"/>
  <c r="B11" i="2"/>
  <c r="C10" i="2"/>
  <c r="D10" i="2" s="1"/>
  <c r="B10" i="2"/>
  <c r="C9" i="2"/>
  <c r="D9" i="2" s="1"/>
  <c r="B9" i="2"/>
  <c r="C8" i="2"/>
  <c r="D8" i="2" s="1"/>
  <c r="B8" i="2"/>
  <c r="C7" i="2"/>
  <c r="D7" i="2" s="1"/>
  <c r="B7" i="2"/>
  <c r="C6" i="2"/>
  <c r="D6" i="2" s="1"/>
  <c r="B6" i="2"/>
  <c r="C13" i="1"/>
  <c r="D13" i="1" s="1"/>
  <c r="B13" i="1"/>
  <c r="C12" i="1"/>
  <c r="D12" i="1" s="1"/>
  <c r="B12" i="1"/>
  <c r="C11" i="1"/>
  <c r="D11" i="1" s="1"/>
  <c r="B11" i="1"/>
  <c r="C10" i="1"/>
  <c r="D10" i="1" s="1"/>
  <c r="B10" i="1"/>
  <c r="C9" i="1"/>
  <c r="D9" i="1" s="1"/>
  <c r="B9" i="1"/>
  <c r="C8" i="1"/>
  <c r="D8" i="1" s="1"/>
  <c r="B8" i="1"/>
  <c r="C7" i="1"/>
  <c r="D7" i="1" s="1"/>
  <c r="B7" i="1"/>
  <c r="C6" i="1"/>
  <c r="D6" i="1" s="1"/>
  <c r="B6" i="1"/>
</calcChain>
</file>

<file path=xl/sharedStrings.xml><?xml version="1.0" encoding="utf-8"?>
<sst xmlns="http://schemas.openxmlformats.org/spreadsheetml/2006/main" count="1242" uniqueCount="238">
  <si>
    <t>Strategia A — 1 asta simulata, 8 squadre, listone reale 2026/27 (seed=42)</t>
  </si>
  <si>
    <t>RIEPILOGO PER SQUADRA</t>
  </si>
  <si>
    <t>Squadra</t>
  </si>
  <si>
    <t>FVM Totale</t>
  </si>
  <si>
    <t>Budget Speso</t>
  </si>
  <si>
    <t>Budget Residuo</t>
  </si>
  <si>
    <t>Team1</t>
  </si>
  <si>
    <t>Team2</t>
  </si>
  <si>
    <t>Team3</t>
  </si>
  <si>
    <t>Team4</t>
  </si>
  <si>
    <t>Team5</t>
  </si>
  <si>
    <t>Team6</t>
  </si>
  <si>
    <t>Team7</t>
  </si>
  <si>
    <t>Team8</t>
  </si>
  <si>
    <t>ROSA COMPLETA (tutte le 8 squadre)</t>
  </si>
  <si>
    <t>Ruolo</t>
  </si>
  <si>
    <t>Nome Giocatore</t>
  </si>
  <si>
    <t>Prezzo Acquisto</t>
  </si>
  <si>
    <t>FVM</t>
  </si>
  <si>
    <t>P</t>
  </si>
  <si>
    <t>Okoye</t>
  </si>
  <si>
    <t>Padelli</t>
  </si>
  <si>
    <t>Terracciano</t>
  </si>
  <si>
    <t>D</t>
  </si>
  <si>
    <t>Dimarco</t>
  </si>
  <si>
    <t>Valeri</t>
  </si>
  <si>
    <t>Celik</t>
  </si>
  <si>
    <t>Gomes</t>
  </si>
  <si>
    <t>Bakoune</t>
  </si>
  <si>
    <t>Comuzzo</t>
  </si>
  <si>
    <t>Martin</t>
  </si>
  <si>
    <t>Carboni A.</t>
  </si>
  <si>
    <t>C</t>
  </si>
  <si>
    <t>McKennie</t>
  </si>
  <si>
    <t>Ndour</t>
  </si>
  <si>
    <t>Zalewski</t>
  </si>
  <si>
    <t>Boloca</t>
  </si>
  <si>
    <t>Lipani</t>
  </si>
  <si>
    <t>Sorensen O.</t>
  </si>
  <si>
    <t>Perez K.</t>
  </si>
  <si>
    <t>Gandelman</t>
  </si>
  <si>
    <t>A</t>
  </si>
  <si>
    <t>Thuram</t>
  </si>
  <si>
    <t>Raimondo</t>
  </si>
  <si>
    <t>Ghedjemis</t>
  </si>
  <si>
    <t>Boga</t>
  </si>
  <si>
    <t>N'Dri</t>
  </si>
  <si>
    <t>Scamacca</t>
  </si>
  <si>
    <t>Carnesecchi</t>
  </si>
  <si>
    <t>Palmisani</t>
  </si>
  <si>
    <t>Daffara</t>
  </si>
  <si>
    <t>Bisseck</t>
  </si>
  <si>
    <t>Kristensen T.</t>
  </si>
  <si>
    <t>Vojvoda</t>
  </si>
  <si>
    <t>Dodò</t>
  </si>
  <si>
    <t>Provstgaard</t>
  </si>
  <si>
    <t>Cuenca A.</t>
  </si>
  <si>
    <t>Ghilardi</t>
  </si>
  <si>
    <t>Estupinan</t>
  </si>
  <si>
    <t>Pulisic</t>
  </si>
  <si>
    <t>Ederson D.S.</t>
  </si>
  <si>
    <t>Cristante</t>
  </si>
  <si>
    <t>Lobotka</t>
  </si>
  <si>
    <t>Cacciamani</t>
  </si>
  <si>
    <t>Rovella</t>
  </si>
  <si>
    <t>Akinsanmiro</t>
  </si>
  <si>
    <t>Ilic</t>
  </si>
  <si>
    <t>Simeone</t>
  </si>
  <si>
    <t>Colombo</t>
  </si>
  <si>
    <t>Nkunku</t>
  </si>
  <si>
    <t>David</t>
  </si>
  <si>
    <t>Morata</t>
  </si>
  <si>
    <t>Vaz</t>
  </si>
  <si>
    <t>Russo A.</t>
  </si>
  <si>
    <t>Pessina Mas.</t>
  </si>
  <si>
    <t>Di Lorenzo</t>
  </si>
  <si>
    <t>Rrahmani</t>
  </si>
  <si>
    <t>Ramon</t>
  </si>
  <si>
    <t>Holm</t>
  </si>
  <si>
    <t>Cittadini</t>
  </si>
  <si>
    <t>Floriani Mussolini</t>
  </si>
  <si>
    <t>Idzes</t>
  </si>
  <si>
    <t>Vogliacco</t>
  </si>
  <si>
    <t>Baturina</t>
  </si>
  <si>
    <t>De Bruyne</t>
  </si>
  <si>
    <t>Saelemaekers</t>
  </si>
  <si>
    <t>Rowe</t>
  </si>
  <si>
    <t>Bakola</t>
  </si>
  <si>
    <t>Ferguson</t>
  </si>
  <si>
    <t>Ciurria</t>
  </si>
  <si>
    <t>Amondarain</t>
  </si>
  <si>
    <t>Pellegrino M.</t>
  </si>
  <si>
    <t>Dia</t>
  </si>
  <si>
    <t>Lukaku</t>
  </si>
  <si>
    <t>Havel</t>
  </si>
  <si>
    <t>Mota</t>
  </si>
  <si>
    <t>Elphege</t>
  </si>
  <si>
    <t>Milinkovic-Savic V.</t>
  </si>
  <si>
    <t>Thiam</t>
  </si>
  <si>
    <t>Pinsoglio</t>
  </si>
  <si>
    <t>Veiga D.</t>
  </si>
  <si>
    <t>Delli Carri</t>
  </si>
  <si>
    <t>Birindelli</t>
  </si>
  <si>
    <t>Comert</t>
  </si>
  <si>
    <t>Ziolkowski</t>
  </si>
  <si>
    <t>Goldaniga</t>
  </si>
  <si>
    <t>Candè</t>
  </si>
  <si>
    <t>Marin R.</t>
  </si>
  <si>
    <t>Orsolini</t>
  </si>
  <si>
    <t>Zaniolo</t>
  </si>
  <si>
    <t>Ekkelenkamp</t>
  </si>
  <si>
    <t>Casadei</t>
  </si>
  <si>
    <t>Konè M.</t>
  </si>
  <si>
    <t>Unai Gomez</t>
  </si>
  <si>
    <t>Almqvist</t>
  </si>
  <si>
    <t>El Azzouzi A.</t>
  </si>
  <si>
    <t>De Ketelaere</t>
  </si>
  <si>
    <t>Leao</t>
  </si>
  <si>
    <t>Esposito Se.</t>
  </si>
  <si>
    <t>Diao</t>
  </si>
  <si>
    <t>Santos A.</t>
  </si>
  <si>
    <t>Trepy</t>
  </si>
  <si>
    <t>Perin</t>
  </si>
  <si>
    <t>Samooja</t>
  </si>
  <si>
    <t>Happonen</t>
  </si>
  <si>
    <t>Solet</t>
  </si>
  <si>
    <t>Koulierakis</t>
  </si>
  <si>
    <t>Gelli J.</t>
  </si>
  <si>
    <t>Kossounou</t>
  </si>
  <si>
    <t>Rugani</t>
  </si>
  <si>
    <t>Schingtienne</t>
  </si>
  <si>
    <t>Olivera</t>
  </si>
  <si>
    <t>Ndiaye</t>
  </si>
  <si>
    <t>Zaccagni</t>
  </si>
  <si>
    <t>Helgason</t>
  </si>
  <si>
    <t>Koopmeiners</t>
  </si>
  <si>
    <t>Maleh</t>
  </si>
  <si>
    <t>Liteta</t>
  </si>
  <si>
    <t>Deiola</t>
  </si>
  <si>
    <t>Koutsoupias</t>
  </si>
  <si>
    <t>Zerbin</t>
  </si>
  <si>
    <t>Malen</t>
  </si>
  <si>
    <t>Ramos G.</t>
  </si>
  <si>
    <t>Adams A.</t>
  </si>
  <si>
    <t>Neres</t>
  </si>
  <si>
    <t>Zapata D.</t>
  </si>
  <si>
    <t>Borrelli</t>
  </si>
  <si>
    <t>Maignan</t>
  </si>
  <si>
    <t>Strajnar</t>
  </si>
  <si>
    <t>Di Gennaro</t>
  </si>
  <si>
    <t>Norton-Cuffy</t>
  </si>
  <si>
    <t>Doekhi</t>
  </si>
  <si>
    <t>Pavard</t>
  </si>
  <si>
    <t>Mina</t>
  </si>
  <si>
    <t>Doig</t>
  </si>
  <si>
    <t>Raterink</t>
  </si>
  <si>
    <t>Pongracic</t>
  </si>
  <si>
    <t>Pieragnolo</t>
  </si>
  <si>
    <t>Sucic P.</t>
  </si>
  <si>
    <t>Fagioli</t>
  </si>
  <si>
    <t>Oulai</t>
  </si>
  <si>
    <t>Brescianini</t>
  </si>
  <si>
    <t>Winks</t>
  </si>
  <si>
    <t>Meichtry</t>
  </si>
  <si>
    <t>Dagasso</t>
  </si>
  <si>
    <t>Volpato</t>
  </si>
  <si>
    <t>Davis K.</t>
  </si>
  <si>
    <t>Krstovic</t>
  </si>
  <si>
    <t>Castro S.</t>
  </si>
  <si>
    <t>Geubbels</t>
  </si>
  <si>
    <t>Bonny</t>
  </si>
  <si>
    <t xml:space="preserve">Buksa </t>
  </si>
  <si>
    <t>Skorupski</t>
  </si>
  <si>
    <t>Meret</t>
  </si>
  <si>
    <t>Stankovic F.</t>
  </si>
  <si>
    <t>Delprato</t>
  </si>
  <si>
    <t>Bella-Kotchap</t>
  </si>
  <si>
    <t>Gatti</t>
  </si>
  <si>
    <t>Carboni F.</t>
  </si>
  <si>
    <t>Palma</t>
  </si>
  <si>
    <t>Rensch</t>
  </si>
  <si>
    <t>Alajbegovic</t>
  </si>
  <si>
    <t>Pasalic</t>
  </si>
  <si>
    <t>Thorstvedt</t>
  </si>
  <si>
    <t>Pessina</t>
  </si>
  <si>
    <t>Milla</t>
  </si>
  <si>
    <t>Iannoni</t>
  </si>
  <si>
    <t>Ellertsson</t>
  </si>
  <si>
    <t>Dele-Bashiru</t>
  </si>
  <si>
    <t>Kolo Muani</t>
  </si>
  <si>
    <t>Cutrone</t>
  </si>
  <si>
    <t>Lucca</t>
  </si>
  <si>
    <t>Gimenez</t>
  </si>
  <si>
    <t>Rrahmani Al.</t>
  </si>
  <si>
    <t>Bayo V.</t>
  </si>
  <si>
    <t>Caprile</t>
  </si>
  <si>
    <t>Paleari</t>
  </si>
  <si>
    <t>Vigorito</t>
  </si>
  <si>
    <t>N'Dicka</t>
  </si>
  <si>
    <t>Djimsiti</t>
  </si>
  <si>
    <t>Hainaut</t>
  </si>
  <si>
    <t>Pedraza</t>
  </si>
  <si>
    <t>Jean</t>
  </si>
  <si>
    <t>De Winter</t>
  </si>
  <si>
    <t>Kofler</t>
  </si>
  <si>
    <t>Siebert</t>
  </si>
  <si>
    <t>Gudmundsson A.</t>
  </si>
  <si>
    <t>Venturino</t>
  </si>
  <si>
    <t>Addai</t>
  </si>
  <si>
    <t>Keita M.</t>
  </si>
  <si>
    <t>Moro N.</t>
  </si>
  <si>
    <t>Cremaschi</t>
  </si>
  <si>
    <t>Dominguez B.</t>
  </si>
  <si>
    <t>Ricci S.</t>
  </si>
  <si>
    <t>Bowie</t>
  </si>
  <si>
    <t>Vitinha O.</t>
  </si>
  <si>
    <t>Mendy P.</t>
  </si>
  <si>
    <t>Lang</t>
  </si>
  <si>
    <t>Kulenovic</t>
  </si>
  <si>
    <t>Ekhator</t>
  </si>
  <si>
    <t>Strategia F — 1 asta simulata, 8 squadre, listone reale 2026/27 (seed=42)</t>
  </si>
  <si>
    <t>Rodriguez Je.</t>
  </si>
  <si>
    <t>Thuram K.</t>
  </si>
  <si>
    <t>Dragusin</t>
  </si>
  <si>
    <t>Kalulu</t>
  </si>
  <si>
    <t>Scalvini</t>
  </si>
  <si>
    <t>Carlos Augusto</t>
  </si>
  <si>
    <t>Heggem</t>
  </si>
  <si>
    <t>Mitaj</t>
  </si>
  <si>
    <t>Cabal</t>
  </si>
  <si>
    <t>Romano</t>
  </si>
  <si>
    <t>Strategia A = FVM puro (allocazione proporzionale al FVM per ruolo, nessuna suddivisione titolari/riserve, nessuna scarsita' dinamica). Include il meccanismo 'brucia budget' di fine asta (i crediti non spesi sono persi, quindi la spinta a spendere cresce col progredire dell'asta). Stessa asta (seed 42), 8 squadre, budget 1000, rosa 3P-8D-8C-6A.</t>
  </si>
  <si>
    <t>Camarda</t>
  </si>
  <si>
    <t>Motta</t>
  </si>
  <si>
    <t>Strategia F = motore completo usato in Strategia_Asta_FINAL_Cowork.xlsx: titolari/riserve pianificati per ruolo + scarsita' dinamica + meccanismo 'brucia budget' di fine asta. Stessa asta (seed 42), 8 squadre, budget 1000, rosa 3P-8D-8C-6A.</t>
  </si>
  <si>
    <t>Barella</t>
  </si>
  <si>
    <t>Bernabè</t>
  </si>
  <si>
    <t>Da Cunha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</si>
</sst>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9"/>
      <color rgb="FF666666"/>
      <name val="Arial"/>
      <family val="2"/>
    </font>
    <font>
      <b/>
      <sz val="12"/>
      <color rgb="FF203864"/>
      <name val="Arial"/>
      <family val="2"/>
    </font>
    <font>
      <b/>
      <sz val="11"/>
      <color rgb="FF20386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4" fillId="3" borderId="0" xfId="0" applyFont="1" applyFill="1"/>
    <xf numFmtId="0" fontId="2" fillId="0" borderId="0" xfId="0" applyFont="1" applyAlignment="1">
      <alignment wrapText="1"/>
    </xf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17"/>
  <sheetViews>
    <sheetView showGridLines="0" tabSelected="1" workbookViewId="0">
      <pane ySplit="17" topLeftCell="A23" activePane="bottomLeft" state="frozen"/>
      <selection pane="bottomLeft" activeCell="C39" sqref="C39"/>
    </sheetView>
  </sheetViews>
  <sheetFormatPr defaultRowHeight="15" x14ac:dyDescent="0.25"/>
  <cols>
    <col min="1" max="1" width="12" customWidth="1"/>
    <col min="2" max="2" width="8" customWidth="1"/>
    <col min="3" max="3" width="26" customWidth="1"/>
    <col min="4" max="4" width="12" customWidth="1"/>
    <col min="5" max="5" width="10" customWidth="1"/>
  </cols>
  <sheetData>
    <row r="1" spans="1:5" ht="18" x14ac:dyDescent="0.25">
      <c r="A1" s="5" t="s">
        <v>0</v>
      </c>
      <c r="B1" s="4"/>
      <c r="C1" s="4"/>
      <c r="D1" s="4"/>
      <c r="E1" s="4"/>
    </row>
    <row r="2" spans="1:5" x14ac:dyDescent="0.25">
      <c r="A2" s="3" t="s">
        <v>231</v>
      </c>
      <c r="B2" s="4"/>
      <c r="C2" s="4"/>
      <c r="D2" s="4"/>
      <c r="E2" s="4"/>
    </row>
    <row r="4" spans="1:5" ht="15.75" x14ac:dyDescent="0.25">
      <c r="A4" s="1" t="s">
        <v>1</v>
      </c>
    </row>
    <row r="5" spans="1:5" x14ac:dyDescent="0.25">
      <c r="A5" s="2" t="s">
        <v>2</v>
      </c>
      <c r="B5" s="2" t="s">
        <v>3</v>
      </c>
      <c r="C5" s="2" t="s">
        <v>4</v>
      </c>
      <c r="D5" s="2" t="s">
        <v>5</v>
      </c>
    </row>
    <row r="6" spans="1:5" x14ac:dyDescent="0.25">
      <c r="A6" t="s">
        <v>6</v>
      </c>
      <c r="B6">
        <f t="shared" ref="B6:B13" si="0">SUMIFS($E$18:$E$217,$A$18:$A$217,$A6)</f>
        <v>473</v>
      </c>
      <c r="C6">
        <f t="shared" ref="C6:C13" si="1">SUMIFS($D$18:$D$217,$A$18:$A$217,$A6)</f>
        <v>996</v>
      </c>
      <c r="D6">
        <f t="shared" ref="D6:D13" si="2">1000-$C6</f>
        <v>4</v>
      </c>
    </row>
    <row r="7" spans="1:5" x14ac:dyDescent="0.25">
      <c r="A7" t="s">
        <v>7</v>
      </c>
      <c r="B7">
        <f t="shared" si="0"/>
        <v>706</v>
      </c>
      <c r="C7">
        <f t="shared" si="1"/>
        <v>999</v>
      </c>
      <c r="D7">
        <f t="shared" si="2"/>
        <v>1</v>
      </c>
    </row>
    <row r="8" spans="1:5" x14ac:dyDescent="0.25">
      <c r="A8" t="s">
        <v>8</v>
      </c>
      <c r="B8">
        <f t="shared" si="0"/>
        <v>583</v>
      </c>
      <c r="C8">
        <f t="shared" si="1"/>
        <v>995</v>
      </c>
      <c r="D8">
        <f t="shared" si="2"/>
        <v>5</v>
      </c>
    </row>
    <row r="9" spans="1:5" x14ac:dyDescent="0.25">
      <c r="A9" t="s">
        <v>9</v>
      </c>
      <c r="B9">
        <f t="shared" si="0"/>
        <v>1160</v>
      </c>
      <c r="C9">
        <f t="shared" si="1"/>
        <v>996</v>
      </c>
      <c r="D9">
        <f t="shared" si="2"/>
        <v>4</v>
      </c>
    </row>
    <row r="10" spans="1:5" x14ac:dyDescent="0.25">
      <c r="A10" t="s">
        <v>10</v>
      </c>
      <c r="B10">
        <f t="shared" si="0"/>
        <v>1030</v>
      </c>
      <c r="C10">
        <f t="shared" si="1"/>
        <v>998</v>
      </c>
      <c r="D10">
        <f t="shared" si="2"/>
        <v>2</v>
      </c>
    </row>
    <row r="11" spans="1:5" x14ac:dyDescent="0.25">
      <c r="A11" t="s">
        <v>11</v>
      </c>
      <c r="B11">
        <f t="shared" si="0"/>
        <v>811</v>
      </c>
      <c r="C11">
        <f t="shared" si="1"/>
        <v>999</v>
      </c>
      <c r="D11">
        <f t="shared" si="2"/>
        <v>1</v>
      </c>
    </row>
    <row r="12" spans="1:5" x14ac:dyDescent="0.25">
      <c r="A12" t="s">
        <v>12</v>
      </c>
      <c r="B12">
        <f t="shared" si="0"/>
        <v>892</v>
      </c>
      <c r="C12">
        <f t="shared" si="1"/>
        <v>997</v>
      </c>
      <c r="D12">
        <f t="shared" si="2"/>
        <v>3</v>
      </c>
    </row>
    <row r="13" spans="1:5" x14ac:dyDescent="0.25">
      <c r="A13" t="s">
        <v>13</v>
      </c>
      <c r="B13">
        <f t="shared" si="0"/>
        <v>314</v>
      </c>
      <c r="C13">
        <f t="shared" si="1"/>
        <v>926</v>
      </c>
      <c r="D13">
        <f t="shared" si="2"/>
        <v>74</v>
      </c>
    </row>
    <row r="16" spans="1:5" ht="15.75" x14ac:dyDescent="0.25">
      <c r="A16" s="1" t="s">
        <v>14</v>
      </c>
    </row>
    <row r="17" spans="1:5" x14ac:dyDescent="0.25">
      <c r="A17" s="2" t="s">
        <v>2</v>
      </c>
      <c r="B17" s="2" t="s">
        <v>15</v>
      </c>
      <c r="C17" s="2" t="s">
        <v>16</v>
      </c>
      <c r="D17" s="2" t="s">
        <v>17</v>
      </c>
      <c r="E17" s="2" t="s">
        <v>18</v>
      </c>
    </row>
    <row r="18" spans="1:5" x14ac:dyDescent="0.25">
      <c r="A18" t="s">
        <v>6</v>
      </c>
      <c r="B18" t="s">
        <v>19</v>
      </c>
      <c r="C18" t="s">
        <v>20</v>
      </c>
      <c r="D18">
        <v>71</v>
      </c>
      <c r="E18">
        <v>29</v>
      </c>
    </row>
    <row r="19" spans="1:5" x14ac:dyDescent="0.25">
      <c r="A19" t="s">
        <v>6</v>
      </c>
      <c r="B19" t="s">
        <v>19</v>
      </c>
      <c r="C19" t="s">
        <v>73</v>
      </c>
      <c r="D19">
        <v>32</v>
      </c>
      <c r="E19">
        <v>1</v>
      </c>
    </row>
    <row r="20" spans="1:5" x14ac:dyDescent="0.25">
      <c r="A20" t="s">
        <v>6</v>
      </c>
      <c r="B20" t="s">
        <v>19</v>
      </c>
      <c r="C20" t="s">
        <v>49</v>
      </c>
      <c r="D20">
        <v>26</v>
      </c>
      <c r="E20">
        <v>8</v>
      </c>
    </row>
    <row r="21" spans="1:5" x14ac:dyDescent="0.25">
      <c r="A21" t="s">
        <v>6</v>
      </c>
      <c r="B21" t="s">
        <v>23</v>
      </c>
      <c r="C21" t="s">
        <v>104</v>
      </c>
      <c r="D21">
        <v>26</v>
      </c>
      <c r="E21">
        <v>2</v>
      </c>
    </row>
    <row r="22" spans="1:5" x14ac:dyDescent="0.25">
      <c r="A22" t="s">
        <v>6</v>
      </c>
      <c r="B22" t="s">
        <v>23</v>
      </c>
      <c r="C22" t="s">
        <v>105</v>
      </c>
      <c r="D22">
        <v>25</v>
      </c>
      <c r="E22">
        <v>1</v>
      </c>
    </row>
    <row r="23" spans="1:5" x14ac:dyDescent="0.25">
      <c r="A23" t="s">
        <v>6</v>
      </c>
      <c r="B23" t="s">
        <v>23</v>
      </c>
      <c r="C23" t="s">
        <v>26</v>
      </c>
      <c r="D23">
        <v>24</v>
      </c>
      <c r="E23">
        <v>21</v>
      </c>
    </row>
    <row r="24" spans="1:5" x14ac:dyDescent="0.25">
      <c r="A24" t="s">
        <v>6</v>
      </c>
      <c r="B24" t="s">
        <v>23</v>
      </c>
      <c r="C24" t="s">
        <v>103</v>
      </c>
      <c r="D24">
        <v>23</v>
      </c>
      <c r="E24">
        <v>10</v>
      </c>
    </row>
    <row r="25" spans="1:5" x14ac:dyDescent="0.25">
      <c r="A25" t="s">
        <v>6</v>
      </c>
      <c r="B25" t="s">
        <v>23</v>
      </c>
      <c r="C25" t="s">
        <v>28</v>
      </c>
      <c r="D25">
        <v>22</v>
      </c>
      <c r="E25">
        <v>4</v>
      </c>
    </row>
    <row r="26" spans="1:5" x14ac:dyDescent="0.25">
      <c r="A26" t="s">
        <v>6</v>
      </c>
      <c r="B26" t="s">
        <v>23</v>
      </c>
      <c r="C26" t="s">
        <v>29</v>
      </c>
      <c r="D26">
        <v>21</v>
      </c>
      <c r="E26">
        <v>11</v>
      </c>
    </row>
    <row r="27" spans="1:5" x14ac:dyDescent="0.25">
      <c r="A27" t="s">
        <v>6</v>
      </c>
      <c r="B27" t="s">
        <v>23</v>
      </c>
      <c r="C27" t="s">
        <v>102</v>
      </c>
      <c r="D27">
        <v>20</v>
      </c>
      <c r="E27">
        <v>12</v>
      </c>
    </row>
    <row r="28" spans="1:5" x14ac:dyDescent="0.25">
      <c r="A28" t="s">
        <v>6</v>
      </c>
      <c r="B28" t="s">
        <v>23</v>
      </c>
      <c r="C28" t="s">
        <v>27</v>
      </c>
      <c r="D28">
        <v>17</v>
      </c>
      <c r="E28">
        <v>1</v>
      </c>
    </row>
    <row r="29" spans="1:5" x14ac:dyDescent="0.25">
      <c r="A29" t="s">
        <v>6</v>
      </c>
      <c r="B29" t="s">
        <v>32</v>
      </c>
      <c r="C29" t="s">
        <v>109</v>
      </c>
      <c r="D29">
        <v>127</v>
      </c>
      <c r="E29">
        <v>90</v>
      </c>
    </row>
    <row r="30" spans="1:5" x14ac:dyDescent="0.25">
      <c r="A30" t="s">
        <v>6</v>
      </c>
      <c r="B30" t="s">
        <v>32</v>
      </c>
      <c r="C30" t="s">
        <v>181</v>
      </c>
      <c r="D30">
        <v>81</v>
      </c>
      <c r="E30">
        <v>57</v>
      </c>
    </row>
    <row r="31" spans="1:5" x14ac:dyDescent="0.25">
      <c r="A31" t="s">
        <v>6</v>
      </c>
      <c r="B31" t="s">
        <v>32</v>
      </c>
      <c r="C31" t="s">
        <v>63</v>
      </c>
      <c r="D31">
        <v>29</v>
      </c>
      <c r="E31">
        <v>18</v>
      </c>
    </row>
    <row r="32" spans="1:5" x14ac:dyDescent="0.25">
      <c r="A32" t="s">
        <v>6</v>
      </c>
      <c r="B32" t="s">
        <v>32</v>
      </c>
      <c r="C32" t="s">
        <v>187</v>
      </c>
      <c r="D32">
        <v>27</v>
      </c>
      <c r="E32">
        <v>18</v>
      </c>
    </row>
    <row r="33" spans="1:5" x14ac:dyDescent="0.25">
      <c r="A33" t="s">
        <v>6</v>
      </c>
      <c r="B33" t="s">
        <v>32</v>
      </c>
      <c r="C33" t="s">
        <v>39</v>
      </c>
      <c r="D33">
        <v>26</v>
      </c>
      <c r="E33">
        <v>14</v>
      </c>
    </row>
    <row r="34" spans="1:5" x14ac:dyDescent="0.25">
      <c r="A34" t="s">
        <v>6</v>
      </c>
      <c r="B34" t="s">
        <v>32</v>
      </c>
      <c r="C34" t="s">
        <v>40</v>
      </c>
      <c r="D34">
        <v>26</v>
      </c>
      <c r="E34">
        <v>14</v>
      </c>
    </row>
    <row r="35" spans="1:5" x14ac:dyDescent="0.25">
      <c r="A35" t="s">
        <v>6</v>
      </c>
      <c r="B35" t="s">
        <v>32</v>
      </c>
      <c r="C35" t="s">
        <v>38</v>
      </c>
      <c r="D35">
        <v>19</v>
      </c>
      <c r="E35">
        <v>12</v>
      </c>
    </row>
    <row r="36" spans="1:5" x14ac:dyDescent="0.25">
      <c r="A36" t="s">
        <v>6</v>
      </c>
      <c r="B36" t="s">
        <v>32</v>
      </c>
      <c r="C36" t="s">
        <v>37</v>
      </c>
      <c r="D36">
        <v>15</v>
      </c>
      <c r="E36">
        <v>5</v>
      </c>
    </row>
    <row r="37" spans="1:5" x14ac:dyDescent="0.25">
      <c r="A37" t="s">
        <v>6</v>
      </c>
      <c r="B37" t="s">
        <v>41</v>
      </c>
      <c r="C37" t="s">
        <v>68</v>
      </c>
      <c r="D37">
        <v>123</v>
      </c>
      <c r="E37">
        <v>63</v>
      </c>
    </row>
    <row r="38" spans="1:5" x14ac:dyDescent="0.25">
      <c r="A38" t="s">
        <v>6</v>
      </c>
      <c r="B38" t="s">
        <v>41</v>
      </c>
      <c r="C38" t="s">
        <v>119</v>
      </c>
      <c r="D38">
        <v>70</v>
      </c>
      <c r="E38">
        <v>50</v>
      </c>
    </row>
    <row r="39" spans="1:5" x14ac:dyDescent="0.25">
      <c r="A39" t="s">
        <v>6</v>
      </c>
      <c r="B39" t="s">
        <v>41</v>
      </c>
      <c r="C39" t="s">
        <v>94</v>
      </c>
      <c r="D39">
        <v>46</v>
      </c>
      <c r="E39">
        <v>9</v>
      </c>
    </row>
    <row r="40" spans="1:5" x14ac:dyDescent="0.25">
      <c r="A40" t="s">
        <v>6</v>
      </c>
      <c r="B40" t="s">
        <v>41</v>
      </c>
      <c r="C40" t="s">
        <v>71</v>
      </c>
      <c r="D40">
        <v>40</v>
      </c>
      <c r="E40">
        <v>10</v>
      </c>
    </row>
    <row r="41" spans="1:5" x14ac:dyDescent="0.25">
      <c r="A41" t="s">
        <v>6</v>
      </c>
      <c r="B41" t="s">
        <v>41</v>
      </c>
      <c r="C41" t="s">
        <v>194</v>
      </c>
      <c r="D41">
        <v>31</v>
      </c>
      <c r="E41">
        <v>3</v>
      </c>
    </row>
    <row r="42" spans="1:5" x14ac:dyDescent="0.25">
      <c r="A42" t="s">
        <v>6</v>
      </c>
      <c r="B42" t="s">
        <v>41</v>
      </c>
      <c r="C42" t="s">
        <v>217</v>
      </c>
      <c r="D42">
        <v>29</v>
      </c>
      <c r="E42">
        <v>10</v>
      </c>
    </row>
    <row r="43" spans="1:5" hidden="1" x14ac:dyDescent="0.25">
      <c r="A43" t="s">
        <v>7</v>
      </c>
      <c r="B43" t="s">
        <v>19</v>
      </c>
      <c r="C43" t="s">
        <v>197</v>
      </c>
      <c r="D43">
        <v>40</v>
      </c>
      <c r="E43">
        <v>1</v>
      </c>
    </row>
    <row r="44" spans="1:5" hidden="1" x14ac:dyDescent="0.25">
      <c r="A44" t="s">
        <v>7</v>
      </c>
      <c r="B44" t="s">
        <v>19</v>
      </c>
      <c r="C44" t="s">
        <v>174</v>
      </c>
      <c r="D44">
        <v>39</v>
      </c>
      <c r="E44">
        <v>14</v>
      </c>
    </row>
    <row r="45" spans="1:5" hidden="1" x14ac:dyDescent="0.25">
      <c r="A45" t="s">
        <v>7</v>
      </c>
      <c r="B45" t="s">
        <v>19</v>
      </c>
      <c r="C45" t="s">
        <v>149</v>
      </c>
      <c r="D45">
        <v>31</v>
      </c>
      <c r="E45">
        <v>1</v>
      </c>
    </row>
    <row r="46" spans="1:5" hidden="1" x14ac:dyDescent="0.25">
      <c r="A46" t="s">
        <v>7</v>
      </c>
      <c r="B46" t="s">
        <v>23</v>
      </c>
      <c r="C46" t="s">
        <v>150</v>
      </c>
      <c r="D46">
        <v>34</v>
      </c>
      <c r="E46">
        <v>22</v>
      </c>
    </row>
    <row r="47" spans="1:5" hidden="1" x14ac:dyDescent="0.25">
      <c r="A47" t="s">
        <v>7</v>
      </c>
      <c r="B47" t="s">
        <v>23</v>
      </c>
      <c r="C47" t="s">
        <v>80</v>
      </c>
      <c r="D47">
        <v>34</v>
      </c>
      <c r="E47">
        <v>12</v>
      </c>
    </row>
    <row r="48" spans="1:5" hidden="1" x14ac:dyDescent="0.25">
      <c r="A48" t="s">
        <v>7</v>
      </c>
      <c r="B48" t="s">
        <v>23</v>
      </c>
      <c r="C48" t="s">
        <v>126</v>
      </c>
      <c r="D48">
        <v>33</v>
      </c>
      <c r="E48">
        <v>20</v>
      </c>
    </row>
    <row r="49" spans="1:5" hidden="1" x14ac:dyDescent="0.25">
      <c r="A49" t="s">
        <v>7</v>
      </c>
      <c r="B49" t="s">
        <v>23</v>
      </c>
      <c r="C49" t="s">
        <v>51</v>
      </c>
      <c r="D49">
        <v>32</v>
      </c>
      <c r="E49">
        <v>33</v>
      </c>
    </row>
    <row r="50" spans="1:5" hidden="1" x14ac:dyDescent="0.25">
      <c r="A50" t="s">
        <v>7</v>
      </c>
      <c r="B50" t="s">
        <v>23</v>
      </c>
      <c r="C50" t="s">
        <v>128</v>
      </c>
      <c r="D50">
        <v>30</v>
      </c>
      <c r="E50">
        <v>7</v>
      </c>
    </row>
    <row r="51" spans="1:5" hidden="1" x14ac:dyDescent="0.25">
      <c r="A51" t="s">
        <v>7</v>
      </c>
      <c r="B51" t="s">
        <v>23</v>
      </c>
      <c r="C51" t="s">
        <v>56</v>
      </c>
      <c r="D51">
        <v>29</v>
      </c>
      <c r="E51">
        <v>8</v>
      </c>
    </row>
    <row r="52" spans="1:5" hidden="1" x14ac:dyDescent="0.25">
      <c r="A52" t="s">
        <v>7</v>
      </c>
      <c r="B52" t="s">
        <v>23</v>
      </c>
      <c r="C52" t="s">
        <v>52</v>
      </c>
      <c r="D52">
        <v>27</v>
      </c>
      <c r="E52">
        <v>15</v>
      </c>
    </row>
    <row r="53" spans="1:5" hidden="1" x14ac:dyDescent="0.25">
      <c r="A53" t="s">
        <v>7</v>
      </c>
      <c r="B53" t="s">
        <v>23</v>
      </c>
      <c r="C53" t="s">
        <v>152</v>
      </c>
      <c r="D53">
        <v>24</v>
      </c>
      <c r="E53">
        <v>18</v>
      </c>
    </row>
    <row r="54" spans="1:5" hidden="1" x14ac:dyDescent="0.25">
      <c r="A54" t="s">
        <v>7</v>
      </c>
      <c r="B54" t="s">
        <v>32</v>
      </c>
      <c r="C54" t="s">
        <v>59</v>
      </c>
      <c r="D54">
        <v>165</v>
      </c>
      <c r="E54">
        <v>180</v>
      </c>
    </row>
    <row r="55" spans="1:5" hidden="1" x14ac:dyDescent="0.25">
      <c r="A55" t="s">
        <v>7</v>
      </c>
      <c r="B55" t="s">
        <v>32</v>
      </c>
      <c r="C55" t="s">
        <v>182</v>
      </c>
      <c r="D55">
        <v>43</v>
      </c>
      <c r="E55">
        <v>32</v>
      </c>
    </row>
    <row r="56" spans="1:5" hidden="1" x14ac:dyDescent="0.25">
      <c r="A56" t="s">
        <v>7</v>
      </c>
      <c r="B56" t="s">
        <v>32</v>
      </c>
      <c r="C56" t="s">
        <v>158</v>
      </c>
      <c r="D56">
        <v>34</v>
      </c>
      <c r="E56">
        <v>26</v>
      </c>
    </row>
    <row r="57" spans="1:5" hidden="1" x14ac:dyDescent="0.25">
      <c r="A57" t="s">
        <v>7</v>
      </c>
      <c r="B57" t="s">
        <v>32</v>
      </c>
      <c r="C57" t="s">
        <v>209</v>
      </c>
      <c r="D57">
        <v>29</v>
      </c>
      <c r="E57">
        <v>15</v>
      </c>
    </row>
    <row r="58" spans="1:5" hidden="1" x14ac:dyDescent="0.25">
      <c r="A58" t="s">
        <v>7</v>
      </c>
      <c r="B58" t="s">
        <v>32</v>
      </c>
      <c r="C58" t="s">
        <v>135</v>
      </c>
      <c r="D58">
        <v>28</v>
      </c>
      <c r="E58">
        <v>14</v>
      </c>
    </row>
    <row r="59" spans="1:5" hidden="1" x14ac:dyDescent="0.25">
      <c r="A59" t="s">
        <v>7</v>
      </c>
      <c r="B59" t="s">
        <v>32</v>
      </c>
      <c r="C59" t="s">
        <v>88</v>
      </c>
      <c r="D59">
        <v>28</v>
      </c>
      <c r="E59">
        <v>18</v>
      </c>
    </row>
    <row r="60" spans="1:5" hidden="1" x14ac:dyDescent="0.25">
      <c r="A60" t="s">
        <v>7</v>
      </c>
      <c r="B60" t="s">
        <v>32</v>
      </c>
      <c r="C60" t="s">
        <v>89</v>
      </c>
      <c r="D60">
        <v>28</v>
      </c>
      <c r="E60">
        <v>6</v>
      </c>
    </row>
    <row r="61" spans="1:5" hidden="1" x14ac:dyDescent="0.25">
      <c r="A61" t="s">
        <v>7</v>
      </c>
      <c r="B61" t="s">
        <v>32</v>
      </c>
      <c r="C61" t="s">
        <v>64</v>
      </c>
      <c r="D61">
        <v>27</v>
      </c>
      <c r="E61">
        <v>16</v>
      </c>
    </row>
    <row r="62" spans="1:5" hidden="1" x14ac:dyDescent="0.25">
      <c r="A62" t="s">
        <v>7</v>
      </c>
      <c r="B62" t="s">
        <v>41</v>
      </c>
      <c r="C62" t="s">
        <v>91</v>
      </c>
      <c r="D62">
        <v>101</v>
      </c>
      <c r="E62">
        <v>81</v>
      </c>
    </row>
    <row r="63" spans="1:5" hidden="1" x14ac:dyDescent="0.25">
      <c r="A63" t="s">
        <v>7</v>
      </c>
      <c r="B63" t="s">
        <v>41</v>
      </c>
      <c r="C63" t="s">
        <v>93</v>
      </c>
      <c r="D63">
        <v>68</v>
      </c>
      <c r="E63">
        <v>45</v>
      </c>
    </row>
    <row r="64" spans="1:5" hidden="1" x14ac:dyDescent="0.25">
      <c r="A64" t="s">
        <v>7</v>
      </c>
      <c r="B64" t="s">
        <v>41</v>
      </c>
      <c r="C64" t="s">
        <v>70</v>
      </c>
      <c r="D64">
        <v>63</v>
      </c>
      <c r="E64">
        <v>40</v>
      </c>
    </row>
    <row r="65" spans="1:5" hidden="1" x14ac:dyDescent="0.25">
      <c r="A65" t="s">
        <v>7</v>
      </c>
      <c r="B65" t="s">
        <v>41</v>
      </c>
      <c r="C65" t="s">
        <v>120</v>
      </c>
      <c r="D65">
        <v>27</v>
      </c>
      <c r="E65">
        <v>60</v>
      </c>
    </row>
    <row r="66" spans="1:5" hidden="1" x14ac:dyDescent="0.25">
      <c r="A66" t="s">
        <v>7</v>
      </c>
      <c r="B66" t="s">
        <v>41</v>
      </c>
      <c r="C66" t="s">
        <v>171</v>
      </c>
      <c r="D66">
        <v>4</v>
      </c>
      <c r="E66">
        <v>4</v>
      </c>
    </row>
    <row r="67" spans="1:5" hidden="1" x14ac:dyDescent="0.25">
      <c r="A67" t="s">
        <v>7</v>
      </c>
      <c r="B67" t="s">
        <v>41</v>
      </c>
      <c r="C67" t="s">
        <v>232</v>
      </c>
      <c r="D67">
        <v>1</v>
      </c>
      <c r="E67">
        <v>18</v>
      </c>
    </row>
    <row r="68" spans="1:5" hidden="1" x14ac:dyDescent="0.25">
      <c r="A68" t="s">
        <v>8</v>
      </c>
      <c r="B68" t="s">
        <v>19</v>
      </c>
      <c r="C68" t="s">
        <v>48</v>
      </c>
      <c r="D68">
        <v>97</v>
      </c>
      <c r="E68">
        <v>52</v>
      </c>
    </row>
    <row r="69" spans="1:5" hidden="1" x14ac:dyDescent="0.25">
      <c r="A69" t="s">
        <v>8</v>
      </c>
      <c r="B69" t="s">
        <v>19</v>
      </c>
      <c r="C69" t="s">
        <v>233</v>
      </c>
      <c r="D69">
        <v>6</v>
      </c>
      <c r="E69">
        <v>1</v>
      </c>
    </row>
    <row r="70" spans="1:5" hidden="1" x14ac:dyDescent="0.25">
      <c r="A70" t="s">
        <v>8</v>
      </c>
      <c r="B70" t="s">
        <v>19</v>
      </c>
      <c r="C70" t="s">
        <v>21</v>
      </c>
      <c r="D70">
        <v>5</v>
      </c>
      <c r="E70">
        <v>1</v>
      </c>
    </row>
    <row r="71" spans="1:5" hidden="1" x14ac:dyDescent="0.25">
      <c r="A71" t="s">
        <v>8</v>
      </c>
      <c r="B71" t="s">
        <v>23</v>
      </c>
      <c r="C71" t="s">
        <v>75</v>
      </c>
      <c r="D71">
        <v>47</v>
      </c>
      <c r="E71">
        <v>40</v>
      </c>
    </row>
    <row r="72" spans="1:5" hidden="1" x14ac:dyDescent="0.25">
      <c r="A72" t="s">
        <v>8</v>
      </c>
      <c r="B72" t="s">
        <v>23</v>
      </c>
      <c r="C72" t="s">
        <v>155</v>
      </c>
      <c r="D72">
        <v>34</v>
      </c>
      <c r="E72">
        <v>1</v>
      </c>
    </row>
    <row r="73" spans="1:5" hidden="1" x14ac:dyDescent="0.25">
      <c r="A73" t="s">
        <v>8</v>
      </c>
      <c r="B73" t="s">
        <v>23</v>
      </c>
      <c r="C73" t="s">
        <v>25</v>
      </c>
      <c r="D73">
        <v>33</v>
      </c>
      <c r="E73">
        <v>24</v>
      </c>
    </row>
    <row r="74" spans="1:5" hidden="1" x14ac:dyDescent="0.25">
      <c r="A74" t="s">
        <v>8</v>
      </c>
      <c r="B74" t="s">
        <v>23</v>
      </c>
      <c r="C74" t="s">
        <v>31</v>
      </c>
      <c r="D74">
        <v>32</v>
      </c>
      <c r="E74">
        <v>9</v>
      </c>
    </row>
    <row r="75" spans="1:5" hidden="1" x14ac:dyDescent="0.25">
      <c r="A75" t="s">
        <v>8</v>
      </c>
      <c r="B75" t="s">
        <v>23</v>
      </c>
      <c r="C75" t="s">
        <v>176</v>
      </c>
      <c r="D75">
        <v>31</v>
      </c>
      <c r="E75">
        <v>13</v>
      </c>
    </row>
    <row r="76" spans="1:5" hidden="1" x14ac:dyDescent="0.25">
      <c r="A76" t="s">
        <v>8</v>
      </c>
      <c r="B76" t="s">
        <v>23</v>
      </c>
      <c r="C76" t="s">
        <v>30</v>
      </c>
      <c r="D76">
        <v>30</v>
      </c>
      <c r="E76">
        <v>15</v>
      </c>
    </row>
    <row r="77" spans="1:5" hidden="1" x14ac:dyDescent="0.25">
      <c r="A77" t="s">
        <v>8</v>
      </c>
      <c r="B77" t="s">
        <v>23</v>
      </c>
      <c r="C77" t="s">
        <v>107</v>
      </c>
      <c r="D77">
        <v>26</v>
      </c>
      <c r="E77">
        <v>6</v>
      </c>
    </row>
    <row r="78" spans="1:5" hidden="1" x14ac:dyDescent="0.25">
      <c r="A78" t="s">
        <v>8</v>
      </c>
      <c r="B78" t="s">
        <v>23</v>
      </c>
      <c r="C78" t="s">
        <v>79</v>
      </c>
      <c r="D78">
        <v>20</v>
      </c>
      <c r="E78">
        <v>8</v>
      </c>
    </row>
    <row r="79" spans="1:5" hidden="1" x14ac:dyDescent="0.25">
      <c r="A79" t="s">
        <v>8</v>
      </c>
      <c r="B79" t="s">
        <v>32</v>
      </c>
      <c r="C79" t="s">
        <v>83</v>
      </c>
      <c r="D79">
        <v>126</v>
      </c>
      <c r="E79">
        <v>102</v>
      </c>
    </row>
    <row r="80" spans="1:5" hidden="1" x14ac:dyDescent="0.25">
      <c r="A80" t="s">
        <v>8</v>
      </c>
      <c r="B80" t="s">
        <v>32</v>
      </c>
      <c r="C80" t="s">
        <v>111</v>
      </c>
      <c r="D80">
        <v>54</v>
      </c>
      <c r="E80">
        <v>37</v>
      </c>
    </row>
    <row r="81" spans="1:5" hidden="1" x14ac:dyDescent="0.25">
      <c r="A81" t="s">
        <v>8</v>
      </c>
      <c r="B81" t="s">
        <v>32</v>
      </c>
      <c r="C81" t="s">
        <v>34</v>
      </c>
      <c r="D81">
        <v>37</v>
      </c>
      <c r="E81">
        <v>25</v>
      </c>
    </row>
    <row r="82" spans="1:5" hidden="1" x14ac:dyDescent="0.25">
      <c r="A82" t="s">
        <v>8</v>
      </c>
      <c r="B82" t="s">
        <v>32</v>
      </c>
      <c r="C82" t="s">
        <v>136</v>
      </c>
      <c r="D82">
        <v>31</v>
      </c>
      <c r="E82">
        <v>5</v>
      </c>
    </row>
    <row r="83" spans="1:5" hidden="1" x14ac:dyDescent="0.25">
      <c r="A83" t="s">
        <v>8</v>
      </c>
      <c r="B83" t="s">
        <v>32</v>
      </c>
      <c r="C83" t="s">
        <v>185</v>
      </c>
      <c r="D83">
        <v>31</v>
      </c>
      <c r="E83">
        <v>14</v>
      </c>
    </row>
    <row r="84" spans="1:5" hidden="1" x14ac:dyDescent="0.25">
      <c r="A84" t="s">
        <v>8</v>
      </c>
      <c r="B84" t="s">
        <v>32</v>
      </c>
      <c r="C84" t="s">
        <v>161</v>
      </c>
      <c r="D84">
        <v>30</v>
      </c>
      <c r="E84">
        <v>7</v>
      </c>
    </row>
    <row r="85" spans="1:5" hidden="1" x14ac:dyDescent="0.25">
      <c r="A85" t="s">
        <v>8</v>
      </c>
      <c r="B85" t="s">
        <v>32</v>
      </c>
      <c r="C85" t="s">
        <v>163</v>
      </c>
      <c r="D85">
        <v>27</v>
      </c>
      <c r="E85">
        <v>14</v>
      </c>
    </row>
    <row r="86" spans="1:5" hidden="1" x14ac:dyDescent="0.25">
      <c r="A86" t="s">
        <v>8</v>
      </c>
      <c r="B86" t="s">
        <v>32</v>
      </c>
      <c r="C86" t="s">
        <v>87</v>
      </c>
      <c r="D86">
        <v>26</v>
      </c>
      <c r="E86">
        <v>16</v>
      </c>
    </row>
    <row r="87" spans="1:5" hidden="1" x14ac:dyDescent="0.25">
      <c r="A87" t="s">
        <v>8</v>
      </c>
      <c r="B87" t="s">
        <v>41</v>
      </c>
      <c r="C87" t="s">
        <v>67</v>
      </c>
      <c r="D87">
        <v>101</v>
      </c>
      <c r="E87">
        <v>82</v>
      </c>
    </row>
    <row r="88" spans="1:5" hidden="1" x14ac:dyDescent="0.25">
      <c r="A88" t="s">
        <v>8</v>
      </c>
      <c r="B88" t="s">
        <v>41</v>
      </c>
      <c r="C88" t="s">
        <v>118</v>
      </c>
      <c r="D88">
        <v>82</v>
      </c>
      <c r="E88">
        <v>50</v>
      </c>
    </row>
    <row r="89" spans="1:5" hidden="1" x14ac:dyDescent="0.25">
      <c r="A89" t="s">
        <v>8</v>
      </c>
      <c r="B89" t="s">
        <v>41</v>
      </c>
      <c r="C89" t="s">
        <v>145</v>
      </c>
      <c r="D89">
        <v>35</v>
      </c>
      <c r="E89">
        <v>18</v>
      </c>
    </row>
    <row r="90" spans="1:5" hidden="1" x14ac:dyDescent="0.25">
      <c r="A90" t="s">
        <v>8</v>
      </c>
      <c r="B90" t="s">
        <v>41</v>
      </c>
      <c r="C90" t="s">
        <v>45</v>
      </c>
      <c r="D90">
        <v>31</v>
      </c>
      <c r="E90">
        <v>25</v>
      </c>
    </row>
    <row r="91" spans="1:5" hidden="1" x14ac:dyDescent="0.25">
      <c r="A91" t="s">
        <v>8</v>
      </c>
      <c r="B91" t="s">
        <v>41</v>
      </c>
      <c r="C91" t="s">
        <v>218</v>
      </c>
      <c r="D91">
        <v>15</v>
      </c>
      <c r="E91">
        <v>9</v>
      </c>
    </row>
    <row r="92" spans="1:5" hidden="1" x14ac:dyDescent="0.25">
      <c r="A92" t="s">
        <v>8</v>
      </c>
      <c r="B92" t="s">
        <v>41</v>
      </c>
      <c r="C92" t="s">
        <v>146</v>
      </c>
      <c r="D92">
        <v>8</v>
      </c>
      <c r="E92">
        <v>9</v>
      </c>
    </row>
    <row r="93" spans="1:5" hidden="1" x14ac:dyDescent="0.25">
      <c r="A93" t="s">
        <v>9</v>
      </c>
      <c r="B93" t="s">
        <v>19</v>
      </c>
      <c r="C93" t="s">
        <v>173</v>
      </c>
      <c r="D93">
        <v>133</v>
      </c>
      <c r="E93">
        <v>45</v>
      </c>
    </row>
    <row r="94" spans="1:5" hidden="1" x14ac:dyDescent="0.25">
      <c r="A94" t="s">
        <v>9</v>
      </c>
      <c r="B94" t="s">
        <v>19</v>
      </c>
      <c r="C94" t="s">
        <v>98</v>
      </c>
      <c r="D94">
        <v>1</v>
      </c>
      <c r="E94">
        <v>12</v>
      </c>
    </row>
    <row r="95" spans="1:5" hidden="1" x14ac:dyDescent="0.25">
      <c r="A95" t="s">
        <v>9</v>
      </c>
      <c r="B95" t="s">
        <v>19</v>
      </c>
      <c r="C95" t="s">
        <v>74</v>
      </c>
      <c r="D95">
        <v>1</v>
      </c>
      <c r="E95">
        <v>1</v>
      </c>
    </row>
    <row r="96" spans="1:5" hidden="1" x14ac:dyDescent="0.25">
      <c r="A96" t="s">
        <v>9</v>
      </c>
      <c r="B96" t="s">
        <v>23</v>
      </c>
      <c r="C96" t="s">
        <v>131</v>
      </c>
      <c r="D96">
        <v>30</v>
      </c>
      <c r="E96">
        <v>13</v>
      </c>
    </row>
    <row r="97" spans="1:5" hidden="1" x14ac:dyDescent="0.25">
      <c r="A97" t="s">
        <v>9</v>
      </c>
      <c r="B97" t="s">
        <v>23</v>
      </c>
      <c r="C97" t="s">
        <v>178</v>
      </c>
      <c r="D97">
        <v>29</v>
      </c>
      <c r="E97">
        <v>3</v>
      </c>
    </row>
    <row r="98" spans="1:5" hidden="1" x14ac:dyDescent="0.25">
      <c r="A98" t="s">
        <v>9</v>
      </c>
      <c r="B98" t="s">
        <v>23</v>
      </c>
      <c r="C98" t="s">
        <v>100</v>
      </c>
      <c r="D98">
        <v>28</v>
      </c>
      <c r="E98">
        <v>11</v>
      </c>
    </row>
    <row r="99" spans="1:5" hidden="1" x14ac:dyDescent="0.25">
      <c r="A99" t="s">
        <v>9</v>
      </c>
      <c r="B99" t="s">
        <v>23</v>
      </c>
      <c r="C99" t="s">
        <v>151</v>
      </c>
      <c r="D99">
        <v>24</v>
      </c>
      <c r="E99">
        <v>22</v>
      </c>
    </row>
    <row r="100" spans="1:5" hidden="1" x14ac:dyDescent="0.25">
      <c r="A100" t="s">
        <v>9</v>
      </c>
      <c r="B100" t="s">
        <v>23</v>
      </c>
      <c r="C100" t="s">
        <v>78</v>
      </c>
      <c r="D100">
        <v>19</v>
      </c>
      <c r="E100">
        <v>13</v>
      </c>
    </row>
    <row r="101" spans="1:5" hidden="1" x14ac:dyDescent="0.25">
      <c r="A101" t="s">
        <v>9</v>
      </c>
      <c r="B101" t="s">
        <v>23</v>
      </c>
      <c r="C101" t="s">
        <v>127</v>
      </c>
      <c r="D101">
        <v>17</v>
      </c>
      <c r="E101">
        <v>1</v>
      </c>
    </row>
    <row r="102" spans="1:5" hidden="1" x14ac:dyDescent="0.25">
      <c r="A102" t="s">
        <v>9</v>
      </c>
      <c r="B102" t="s">
        <v>23</v>
      </c>
      <c r="C102" t="s">
        <v>101</v>
      </c>
      <c r="D102">
        <v>16</v>
      </c>
      <c r="E102">
        <v>11</v>
      </c>
    </row>
    <row r="103" spans="1:5" hidden="1" x14ac:dyDescent="0.25">
      <c r="A103" t="s">
        <v>9</v>
      </c>
      <c r="B103" t="s">
        <v>23</v>
      </c>
      <c r="C103" t="s">
        <v>202</v>
      </c>
      <c r="D103">
        <v>16</v>
      </c>
      <c r="E103">
        <v>4</v>
      </c>
    </row>
    <row r="104" spans="1:5" hidden="1" x14ac:dyDescent="0.25">
      <c r="A104" t="s">
        <v>9</v>
      </c>
      <c r="B104" t="s">
        <v>32</v>
      </c>
      <c r="C104" t="s">
        <v>84</v>
      </c>
      <c r="D104">
        <v>103</v>
      </c>
      <c r="E104">
        <v>100</v>
      </c>
    </row>
    <row r="105" spans="1:5" hidden="1" x14ac:dyDescent="0.25">
      <c r="A105" t="s">
        <v>9</v>
      </c>
      <c r="B105" t="s">
        <v>32</v>
      </c>
      <c r="C105" t="s">
        <v>110</v>
      </c>
      <c r="D105">
        <v>61</v>
      </c>
      <c r="E105">
        <v>41</v>
      </c>
    </row>
    <row r="106" spans="1:5" hidden="1" x14ac:dyDescent="0.25">
      <c r="A106" t="s">
        <v>9</v>
      </c>
      <c r="B106" t="s">
        <v>32</v>
      </c>
      <c r="C106" t="s">
        <v>212</v>
      </c>
      <c r="D106">
        <v>27</v>
      </c>
      <c r="E106">
        <v>8</v>
      </c>
    </row>
    <row r="107" spans="1:5" hidden="1" x14ac:dyDescent="0.25">
      <c r="A107" t="s">
        <v>9</v>
      </c>
      <c r="B107" t="s">
        <v>32</v>
      </c>
      <c r="C107" t="s">
        <v>140</v>
      </c>
      <c r="D107">
        <v>26</v>
      </c>
      <c r="E107">
        <v>13</v>
      </c>
    </row>
    <row r="108" spans="1:5" hidden="1" x14ac:dyDescent="0.25">
      <c r="A108" t="s">
        <v>9</v>
      </c>
      <c r="B108" t="s">
        <v>32</v>
      </c>
      <c r="C108" t="s">
        <v>65</v>
      </c>
      <c r="D108">
        <v>23</v>
      </c>
      <c r="E108">
        <v>16</v>
      </c>
    </row>
    <row r="109" spans="1:5" hidden="1" x14ac:dyDescent="0.25">
      <c r="A109" t="s">
        <v>9</v>
      </c>
      <c r="B109" t="s">
        <v>32</v>
      </c>
      <c r="C109" t="s">
        <v>113</v>
      </c>
      <c r="D109">
        <v>23</v>
      </c>
      <c r="E109">
        <v>23</v>
      </c>
    </row>
    <row r="110" spans="1:5" hidden="1" x14ac:dyDescent="0.25">
      <c r="A110" t="s">
        <v>9</v>
      </c>
      <c r="B110" t="s">
        <v>32</v>
      </c>
      <c r="C110" t="s">
        <v>211</v>
      </c>
      <c r="D110">
        <v>22</v>
      </c>
      <c r="E110">
        <v>3</v>
      </c>
    </row>
    <row r="111" spans="1:5" hidden="1" x14ac:dyDescent="0.25">
      <c r="A111" t="s">
        <v>9</v>
      </c>
      <c r="B111" t="s">
        <v>32</v>
      </c>
      <c r="C111" t="s">
        <v>230</v>
      </c>
      <c r="D111">
        <v>5</v>
      </c>
      <c r="E111">
        <v>12</v>
      </c>
    </row>
    <row r="112" spans="1:5" hidden="1" x14ac:dyDescent="0.25">
      <c r="A112" t="s">
        <v>9</v>
      </c>
      <c r="B112" t="s">
        <v>41</v>
      </c>
      <c r="C112" t="s">
        <v>117</v>
      </c>
      <c r="D112">
        <v>207</v>
      </c>
      <c r="E112">
        <v>120</v>
      </c>
    </row>
    <row r="113" spans="1:5" hidden="1" x14ac:dyDescent="0.25">
      <c r="A113" t="s">
        <v>9</v>
      </c>
      <c r="B113" t="s">
        <v>41</v>
      </c>
      <c r="C113" t="s">
        <v>142</v>
      </c>
      <c r="D113">
        <v>165</v>
      </c>
      <c r="E113">
        <v>240</v>
      </c>
    </row>
    <row r="114" spans="1:5" hidden="1" x14ac:dyDescent="0.25">
      <c r="A114" t="s">
        <v>9</v>
      </c>
      <c r="B114" t="s">
        <v>41</v>
      </c>
      <c r="C114" t="s">
        <v>42</v>
      </c>
      <c r="D114">
        <v>5</v>
      </c>
      <c r="E114">
        <v>280</v>
      </c>
    </row>
    <row r="115" spans="1:5" hidden="1" x14ac:dyDescent="0.25">
      <c r="A115" t="s">
        <v>9</v>
      </c>
      <c r="B115" t="s">
        <v>41</v>
      </c>
      <c r="C115" t="s">
        <v>144</v>
      </c>
      <c r="D115">
        <v>5</v>
      </c>
      <c r="E115">
        <v>22</v>
      </c>
    </row>
    <row r="116" spans="1:5" hidden="1" x14ac:dyDescent="0.25">
      <c r="A116" t="s">
        <v>9</v>
      </c>
      <c r="B116" t="s">
        <v>41</v>
      </c>
      <c r="C116" t="s">
        <v>169</v>
      </c>
      <c r="D116">
        <v>5</v>
      </c>
      <c r="E116">
        <v>25</v>
      </c>
    </row>
    <row r="117" spans="1:5" hidden="1" x14ac:dyDescent="0.25">
      <c r="A117" t="s">
        <v>9</v>
      </c>
      <c r="B117" t="s">
        <v>41</v>
      </c>
      <c r="C117" t="s">
        <v>166</v>
      </c>
      <c r="D117">
        <v>5</v>
      </c>
      <c r="E117">
        <v>121</v>
      </c>
    </row>
    <row r="118" spans="1:5" hidden="1" x14ac:dyDescent="0.25">
      <c r="A118" t="s">
        <v>10</v>
      </c>
      <c r="B118" t="s">
        <v>19</v>
      </c>
      <c r="C118" t="s">
        <v>195</v>
      </c>
      <c r="D118">
        <v>60</v>
      </c>
      <c r="E118">
        <v>27</v>
      </c>
    </row>
    <row r="119" spans="1:5" hidden="1" x14ac:dyDescent="0.25">
      <c r="A119" t="s">
        <v>10</v>
      </c>
      <c r="B119" t="s">
        <v>19</v>
      </c>
      <c r="C119" t="s">
        <v>97</v>
      </c>
      <c r="D119">
        <v>29</v>
      </c>
      <c r="E119">
        <v>10</v>
      </c>
    </row>
    <row r="120" spans="1:5" hidden="1" x14ac:dyDescent="0.25">
      <c r="A120" t="s">
        <v>10</v>
      </c>
      <c r="B120" t="s">
        <v>19</v>
      </c>
      <c r="C120" t="s">
        <v>50</v>
      </c>
      <c r="D120">
        <v>22</v>
      </c>
      <c r="E120">
        <v>5</v>
      </c>
    </row>
    <row r="121" spans="1:5" hidden="1" x14ac:dyDescent="0.25">
      <c r="A121" t="s">
        <v>10</v>
      </c>
      <c r="B121" t="s">
        <v>23</v>
      </c>
      <c r="C121" t="s">
        <v>24</v>
      </c>
      <c r="D121">
        <v>56</v>
      </c>
      <c r="E121">
        <v>265</v>
      </c>
    </row>
    <row r="122" spans="1:5" hidden="1" x14ac:dyDescent="0.25">
      <c r="A122" t="s">
        <v>10</v>
      </c>
      <c r="B122" t="s">
        <v>23</v>
      </c>
      <c r="C122" t="s">
        <v>201</v>
      </c>
      <c r="D122">
        <v>12</v>
      </c>
      <c r="E122">
        <v>15</v>
      </c>
    </row>
    <row r="123" spans="1:5" hidden="1" x14ac:dyDescent="0.25">
      <c r="A123" t="s">
        <v>10</v>
      </c>
      <c r="B123" t="s">
        <v>23</v>
      </c>
      <c r="C123" t="s">
        <v>203</v>
      </c>
      <c r="D123">
        <v>11</v>
      </c>
      <c r="E123">
        <v>12</v>
      </c>
    </row>
    <row r="124" spans="1:5" hidden="1" x14ac:dyDescent="0.25">
      <c r="A124" t="s">
        <v>10</v>
      </c>
      <c r="B124" t="s">
        <v>23</v>
      </c>
      <c r="C124" t="s">
        <v>132</v>
      </c>
      <c r="D124">
        <v>9</v>
      </c>
      <c r="E124">
        <v>4</v>
      </c>
    </row>
    <row r="125" spans="1:5" hidden="1" x14ac:dyDescent="0.25">
      <c r="A125" t="s">
        <v>10</v>
      </c>
      <c r="B125" t="s">
        <v>23</v>
      </c>
      <c r="C125" t="s">
        <v>76</v>
      </c>
      <c r="D125">
        <v>8</v>
      </c>
      <c r="E125">
        <v>47</v>
      </c>
    </row>
    <row r="126" spans="1:5" hidden="1" x14ac:dyDescent="0.25">
      <c r="A126" t="s">
        <v>10</v>
      </c>
      <c r="B126" t="s">
        <v>23</v>
      </c>
      <c r="C126" t="s">
        <v>205</v>
      </c>
      <c r="D126">
        <v>8</v>
      </c>
      <c r="E126">
        <v>12</v>
      </c>
    </row>
    <row r="127" spans="1:5" hidden="1" x14ac:dyDescent="0.25">
      <c r="A127" t="s">
        <v>10</v>
      </c>
      <c r="B127" t="s">
        <v>23</v>
      </c>
      <c r="C127" t="s">
        <v>204</v>
      </c>
      <c r="D127">
        <v>7</v>
      </c>
      <c r="E127">
        <v>11</v>
      </c>
    </row>
    <row r="128" spans="1:5" hidden="1" x14ac:dyDescent="0.25">
      <c r="A128" t="s">
        <v>10</v>
      </c>
      <c r="B128" t="s">
        <v>23</v>
      </c>
      <c r="C128" t="s">
        <v>179</v>
      </c>
      <c r="D128">
        <v>7</v>
      </c>
      <c r="E128">
        <v>5</v>
      </c>
    </row>
    <row r="129" spans="1:5" hidden="1" x14ac:dyDescent="0.25">
      <c r="A129" t="s">
        <v>10</v>
      </c>
      <c r="B129" t="s">
        <v>32</v>
      </c>
      <c r="C129" t="s">
        <v>33</v>
      </c>
      <c r="D129">
        <v>95</v>
      </c>
      <c r="E129">
        <v>68</v>
      </c>
    </row>
    <row r="130" spans="1:5" hidden="1" x14ac:dyDescent="0.25">
      <c r="A130" t="s">
        <v>10</v>
      </c>
      <c r="B130" t="s">
        <v>32</v>
      </c>
      <c r="C130" t="s">
        <v>112</v>
      </c>
      <c r="D130">
        <v>34</v>
      </c>
      <c r="E130">
        <v>42</v>
      </c>
    </row>
    <row r="131" spans="1:5" hidden="1" x14ac:dyDescent="0.25">
      <c r="A131" t="s">
        <v>10</v>
      </c>
      <c r="B131" t="s">
        <v>32</v>
      </c>
      <c r="C131" t="s">
        <v>61</v>
      </c>
      <c r="D131">
        <v>31</v>
      </c>
      <c r="E131">
        <v>29</v>
      </c>
    </row>
    <row r="132" spans="1:5" hidden="1" x14ac:dyDescent="0.25">
      <c r="A132" t="s">
        <v>10</v>
      </c>
      <c r="B132" t="s">
        <v>32</v>
      </c>
      <c r="C132" t="s">
        <v>139</v>
      </c>
      <c r="D132">
        <v>31</v>
      </c>
      <c r="E132">
        <v>12</v>
      </c>
    </row>
    <row r="133" spans="1:5" hidden="1" x14ac:dyDescent="0.25">
      <c r="A133" t="s">
        <v>10</v>
      </c>
      <c r="B133" t="s">
        <v>32</v>
      </c>
      <c r="C133" t="s">
        <v>115</v>
      </c>
      <c r="D133">
        <v>30</v>
      </c>
      <c r="E133">
        <v>3</v>
      </c>
    </row>
    <row r="134" spans="1:5" hidden="1" x14ac:dyDescent="0.25">
      <c r="A134" t="s">
        <v>10</v>
      </c>
      <c r="B134" t="s">
        <v>32</v>
      </c>
      <c r="C134" t="s">
        <v>62</v>
      </c>
      <c r="D134">
        <v>27</v>
      </c>
      <c r="E134">
        <v>20</v>
      </c>
    </row>
    <row r="135" spans="1:5" hidden="1" x14ac:dyDescent="0.25">
      <c r="A135" t="s">
        <v>10</v>
      </c>
      <c r="B135" t="s">
        <v>32</v>
      </c>
      <c r="C135" t="s">
        <v>134</v>
      </c>
      <c r="D135">
        <v>15</v>
      </c>
      <c r="E135">
        <v>7</v>
      </c>
    </row>
    <row r="136" spans="1:5" hidden="1" x14ac:dyDescent="0.25">
      <c r="A136" t="s">
        <v>10</v>
      </c>
      <c r="B136" t="s">
        <v>32</v>
      </c>
      <c r="C136" t="s">
        <v>66</v>
      </c>
      <c r="D136">
        <v>4</v>
      </c>
      <c r="E136">
        <v>4</v>
      </c>
    </row>
    <row r="137" spans="1:5" hidden="1" x14ac:dyDescent="0.25">
      <c r="A137" t="s">
        <v>10</v>
      </c>
      <c r="B137" t="s">
        <v>41</v>
      </c>
      <c r="C137" t="s">
        <v>141</v>
      </c>
      <c r="D137">
        <v>377</v>
      </c>
      <c r="E137">
        <v>365</v>
      </c>
    </row>
    <row r="138" spans="1:5" hidden="1" x14ac:dyDescent="0.25">
      <c r="A138" t="s">
        <v>10</v>
      </c>
      <c r="B138" t="s">
        <v>41</v>
      </c>
      <c r="C138" t="s">
        <v>193</v>
      </c>
      <c r="D138">
        <v>41</v>
      </c>
      <c r="E138">
        <v>20</v>
      </c>
    </row>
    <row r="139" spans="1:5" hidden="1" x14ac:dyDescent="0.25">
      <c r="A139" t="s">
        <v>10</v>
      </c>
      <c r="B139" t="s">
        <v>41</v>
      </c>
      <c r="C139" t="s">
        <v>92</v>
      </c>
      <c r="D139">
        <v>31</v>
      </c>
      <c r="E139">
        <v>31</v>
      </c>
    </row>
    <row r="140" spans="1:5" hidden="1" x14ac:dyDescent="0.25">
      <c r="A140" t="s">
        <v>10</v>
      </c>
      <c r="B140" t="s">
        <v>41</v>
      </c>
      <c r="C140" t="s">
        <v>121</v>
      </c>
      <c r="D140">
        <v>21</v>
      </c>
      <c r="E140">
        <v>2</v>
      </c>
    </row>
    <row r="141" spans="1:5" hidden="1" x14ac:dyDescent="0.25">
      <c r="A141" t="s">
        <v>10</v>
      </c>
      <c r="B141" t="s">
        <v>41</v>
      </c>
      <c r="C141" t="s">
        <v>72</v>
      </c>
      <c r="D141">
        <v>19</v>
      </c>
      <c r="E141">
        <v>4</v>
      </c>
    </row>
    <row r="142" spans="1:5" hidden="1" x14ac:dyDescent="0.25">
      <c r="A142" t="s">
        <v>10</v>
      </c>
      <c r="B142" t="s">
        <v>41</v>
      </c>
      <c r="C142" t="s">
        <v>219</v>
      </c>
      <c r="D142">
        <v>13</v>
      </c>
      <c r="E142">
        <v>10</v>
      </c>
    </row>
    <row r="143" spans="1:5" hidden="1" x14ac:dyDescent="0.25">
      <c r="A143" t="s">
        <v>11</v>
      </c>
      <c r="B143" t="s">
        <v>19</v>
      </c>
      <c r="C143" t="s">
        <v>172</v>
      </c>
      <c r="D143">
        <v>110</v>
      </c>
      <c r="E143">
        <v>37</v>
      </c>
    </row>
    <row r="144" spans="1:5" hidden="1" x14ac:dyDescent="0.25">
      <c r="A144" t="s">
        <v>11</v>
      </c>
      <c r="B144" t="s">
        <v>19</v>
      </c>
      <c r="C144" t="s">
        <v>122</v>
      </c>
      <c r="D144">
        <v>28</v>
      </c>
      <c r="E144">
        <v>10</v>
      </c>
    </row>
    <row r="145" spans="1:5" hidden="1" x14ac:dyDescent="0.25">
      <c r="A145" t="s">
        <v>11</v>
      </c>
      <c r="B145" t="s">
        <v>19</v>
      </c>
      <c r="C145" t="s">
        <v>148</v>
      </c>
      <c r="D145">
        <v>22</v>
      </c>
      <c r="E145">
        <v>1</v>
      </c>
    </row>
    <row r="146" spans="1:5" hidden="1" x14ac:dyDescent="0.25">
      <c r="A146" t="s">
        <v>11</v>
      </c>
      <c r="B146" t="s">
        <v>23</v>
      </c>
      <c r="C146" t="s">
        <v>54</v>
      </c>
      <c r="D146">
        <v>34</v>
      </c>
      <c r="E146">
        <v>30</v>
      </c>
    </row>
    <row r="147" spans="1:5" hidden="1" x14ac:dyDescent="0.25">
      <c r="A147" t="s">
        <v>11</v>
      </c>
      <c r="B147" t="s">
        <v>23</v>
      </c>
      <c r="C147" t="s">
        <v>177</v>
      </c>
      <c r="D147">
        <v>31</v>
      </c>
      <c r="E147">
        <v>10</v>
      </c>
    </row>
    <row r="148" spans="1:5" hidden="1" x14ac:dyDescent="0.25">
      <c r="A148" t="s">
        <v>11</v>
      </c>
      <c r="B148" t="s">
        <v>23</v>
      </c>
      <c r="C148" t="s">
        <v>81</v>
      </c>
      <c r="D148">
        <v>29</v>
      </c>
      <c r="E148">
        <v>1</v>
      </c>
    </row>
    <row r="149" spans="1:5" hidden="1" x14ac:dyDescent="0.25">
      <c r="A149" t="s">
        <v>11</v>
      </c>
      <c r="B149" t="s">
        <v>23</v>
      </c>
      <c r="C149" t="s">
        <v>198</v>
      </c>
      <c r="D149">
        <v>27</v>
      </c>
      <c r="E149">
        <v>44</v>
      </c>
    </row>
    <row r="150" spans="1:5" hidden="1" x14ac:dyDescent="0.25">
      <c r="A150" t="s">
        <v>11</v>
      </c>
      <c r="B150" t="s">
        <v>23</v>
      </c>
      <c r="C150" t="s">
        <v>154</v>
      </c>
      <c r="D150">
        <v>26</v>
      </c>
      <c r="E150">
        <v>13</v>
      </c>
    </row>
    <row r="151" spans="1:5" hidden="1" x14ac:dyDescent="0.25">
      <c r="A151" t="s">
        <v>11</v>
      </c>
      <c r="B151" t="s">
        <v>23</v>
      </c>
      <c r="C151" t="s">
        <v>157</v>
      </c>
      <c r="D151">
        <v>26</v>
      </c>
      <c r="E151">
        <v>1</v>
      </c>
    </row>
    <row r="152" spans="1:5" hidden="1" x14ac:dyDescent="0.25">
      <c r="A152" t="s">
        <v>11</v>
      </c>
      <c r="B152" t="s">
        <v>23</v>
      </c>
      <c r="C152" t="s">
        <v>156</v>
      </c>
      <c r="D152">
        <v>23</v>
      </c>
      <c r="E152">
        <v>8</v>
      </c>
    </row>
    <row r="153" spans="1:5" hidden="1" x14ac:dyDescent="0.25">
      <c r="A153" t="s">
        <v>11</v>
      </c>
      <c r="B153" t="s">
        <v>23</v>
      </c>
      <c r="C153" t="s">
        <v>153</v>
      </c>
      <c r="D153">
        <v>22</v>
      </c>
      <c r="E153">
        <v>20</v>
      </c>
    </row>
    <row r="154" spans="1:5" hidden="1" x14ac:dyDescent="0.25">
      <c r="A154" t="s">
        <v>11</v>
      </c>
      <c r="B154" t="s">
        <v>32</v>
      </c>
      <c r="C154" t="s">
        <v>85</v>
      </c>
      <c r="D154">
        <v>49</v>
      </c>
      <c r="E154">
        <v>43</v>
      </c>
    </row>
    <row r="155" spans="1:5" hidden="1" x14ac:dyDescent="0.25">
      <c r="A155" t="s">
        <v>11</v>
      </c>
      <c r="B155" t="s">
        <v>32</v>
      </c>
      <c r="C155" t="s">
        <v>86</v>
      </c>
      <c r="D155">
        <v>42</v>
      </c>
      <c r="E155">
        <v>37</v>
      </c>
    </row>
    <row r="156" spans="1:5" hidden="1" x14ac:dyDescent="0.25">
      <c r="A156" t="s">
        <v>11</v>
      </c>
      <c r="B156" t="s">
        <v>32</v>
      </c>
      <c r="C156" t="s">
        <v>36</v>
      </c>
      <c r="D156">
        <v>36</v>
      </c>
      <c r="E156">
        <v>5</v>
      </c>
    </row>
    <row r="157" spans="1:5" hidden="1" x14ac:dyDescent="0.25">
      <c r="A157" t="s">
        <v>11</v>
      </c>
      <c r="B157" t="s">
        <v>32</v>
      </c>
      <c r="C157" t="s">
        <v>162</v>
      </c>
      <c r="D157">
        <v>36</v>
      </c>
      <c r="E157">
        <v>14</v>
      </c>
    </row>
    <row r="158" spans="1:5" hidden="1" x14ac:dyDescent="0.25">
      <c r="A158" t="s">
        <v>11</v>
      </c>
      <c r="B158" t="s">
        <v>32</v>
      </c>
      <c r="C158" t="s">
        <v>114</v>
      </c>
      <c r="D158">
        <v>34</v>
      </c>
      <c r="E158">
        <v>14</v>
      </c>
    </row>
    <row r="159" spans="1:5" hidden="1" x14ac:dyDescent="0.25">
      <c r="A159" t="s">
        <v>11</v>
      </c>
      <c r="B159" t="s">
        <v>32</v>
      </c>
      <c r="C159" t="s">
        <v>35</v>
      </c>
      <c r="D159">
        <v>32</v>
      </c>
      <c r="E159">
        <v>21</v>
      </c>
    </row>
    <row r="160" spans="1:5" hidden="1" x14ac:dyDescent="0.25">
      <c r="A160" t="s">
        <v>11</v>
      </c>
      <c r="B160" t="s">
        <v>32</v>
      </c>
      <c r="C160" t="s">
        <v>210</v>
      </c>
      <c r="D160">
        <v>31</v>
      </c>
      <c r="E160">
        <v>10</v>
      </c>
    </row>
    <row r="161" spans="1:5" hidden="1" x14ac:dyDescent="0.25">
      <c r="A161" t="s">
        <v>11</v>
      </c>
      <c r="B161" t="s">
        <v>32</v>
      </c>
      <c r="C161" t="s">
        <v>188</v>
      </c>
      <c r="D161">
        <v>28</v>
      </c>
      <c r="E161">
        <v>13</v>
      </c>
    </row>
    <row r="162" spans="1:5" hidden="1" x14ac:dyDescent="0.25">
      <c r="A162" t="s">
        <v>11</v>
      </c>
      <c r="B162" t="s">
        <v>41</v>
      </c>
      <c r="C162" t="s">
        <v>167</v>
      </c>
      <c r="D162">
        <v>165</v>
      </c>
      <c r="E162">
        <v>100</v>
      </c>
    </row>
    <row r="163" spans="1:5" hidden="1" x14ac:dyDescent="0.25">
      <c r="A163" t="s">
        <v>11</v>
      </c>
      <c r="B163" t="s">
        <v>41</v>
      </c>
      <c r="C163" t="s">
        <v>189</v>
      </c>
      <c r="D163">
        <v>112</v>
      </c>
      <c r="E163">
        <v>225</v>
      </c>
    </row>
    <row r="164" spans="1:5" hidden="1" x14ac:dyDescent="0.25">
      <c r="A164" t="s">
        <v>11</v>
      </c>
      <c r="B164" t="s">
        <v>41</v>
      </c>
      <c r="C164" t="s">
        <v>168</v>
      </c>
      <c r="D164">
        <v>35</v>
      </c>
      <c r="E164">
        <v>83</v>
      </c>
    </row>
    <row r="165" spans="1:5" hidden="1" x14ac:dyDescent="0.25">
      <c r="A165" t="s">
        <v>11</v>
      </c>
      <c r="B165" t="s">
        <v>41</v>
      </c>
      <c r="C165" t="s">
        <v>44</v>
      </c>
      <c r="D165">
        <v>17</v>
      </c>
      <c r="E165">
        <v>30</v>
      </c>
    </row>
    <row r="166" spans="1:5" hidden="1" x14ac:dyDescent="0.25">
      <c r="A166" t="s">
        <v>11</v>
      </c>
      <c r="B166" t="s">
        <v>41</v>
      </c>
      <c r="C166" t="s">
        <v>215</v>
      </c>
      <c r="D166">
        <v>2</v>
      </c>
      <c r="E166">
        <v>20</v>
      </c>
    </row>
    <row r="167" spans="1:5" hidden="1" x14ac:dyDescent="0.25">
      <c r="A167" t="s">
        <v>11</v>
      </c>
      <c r="B167" t="s">
        <v>41</v>
      </c>
      <c r="C167" t="s">
        <v>170</v>
      </c>
      <c r="D167">
        <v>2</v>
      </c>
      <c r="E167">
        <v>21</v>
      </c>
    </row>
    <row r="168" spans="1:5" hidden="1" x14ac:dyDescent="0.25">
      <c r="A168" t="s">
        <v>12</v>
      </c>
      <c r="B168" t="s">
        <v>19</v>
      </c>
      <c r="C168" t="s">
        <v>147</v>
      </c>
      <c r="D168">
        <v>122</v>
      </c>
      <c r="E168">
        <v>50</v>
      </c>
    </row>
    <row r="169" spans="1:5" hidden="1" x14ac:dyDescent="0.25">
      <c r="A169" t="s">
        <v>12</v>
      </c>
      <c r="B169" t="s">
        <v>19</v>
      </c>
      <c r="C169" t="s">
        <v>123</v>
      </c>
      <c r="D169">
        <v>23</v>
      </c>
      <c r="E169">
        <v>1</v>
      </c>
    </row>
    <row r="170" spans="1:5" hidden="1" x14ac:dyDescent="0.25">
      <c r="A170" t="s">
        <v>12</v>
      </c>
      <c r="B170" t="s">
        <v>19</v>
      </c>
      <c r="C170" t="s">
        <v>22</v>
      </c>
      <c r="D170">
        <v>5</v>
      </c>
      <c r="E170">
        <v>1</v>
      </c>
    </row>
    <row r="171" spans="1:5" hidden="1" x14ac:dyDescent="0.25">
      <c r="A171" t="s">
        <v>12</v>
      </c>
      <c r="B171" t="s">
        <v>23</v>
      </c>
      <c r="C171" t="s">
        <v>125</v>
      </c>
      <c r="D171">
        <v>33</v>
      </c>
      <c r="E171">
        <v>46</v>
      </c>
    </row>
    <row r="172" spans="1:5" hidden="1" x14ac:dyDescent="0.25">
      <c r="A172" t="s">
        <v>12</v>
      </c>
      <c r="B172" t="s">
        <v>23</v>
      </c>
      <c r="C172" t="s">
        <v>82</v>
      </c>
      <c r="D172">
        <v>30</v>
      </c>
      <c r="E172">
        <v>2</v>
      </c>
    </row>
    <row r="173" spans="1:5" hidden="1" x14ac:dyDescent="0.25">
      <c r="A173" t="s">
        <v>12</v>
      </c>
      <c r="B173" t="s">
        <v>23</v>
      </c>
      <c r="C173" t="s">
        <v>57</v>
      </c>
      <c r="D173">
        <v>26</v>
      </c>
      <c r="E173">
        <v>10</v>
      </c>
    </row>
    <row r="174" spans="1:5" hidden="1" x14ac:dyDescent="0.25">
      <c r="A174" t="s">
        <v>12</v>
      </c>
      <c r="B174" t="s">
        <v>23</v>
      </c>
      <c r="C174" t="s">
        <v>175</v>
      </c>
      <c r="D174">
        <v>24</v>
      </c>
      <c r="E174">
        <v>21</v>
      </c>
    </row>
    <row r="175" spans="1:5" hidden="1" x14ac:dyDescent="0.25">
      <c r="A175" t="s">
        <v>12</v>
      </c>
      <c r="B175" t="s">
        <v>23</v>
      </c>
      <c r="C175" t="s">
        <v>77</v>
      </c>
      <c r="D175">
        <v>15</v>
      </c>
      <c r="E175">
        <v>32</v>
      </c>
    </row>
    <row r="176" spans="1:5" hidden="1" x14ac:dyDescent="0.25">
      <c r="A176" t="s">
        <v>12</v>
      </c>
      <c r="B176" t="s">
        <v>23</v>
      </c>
      <c r="C176" t="s">
        <v>180</v>
      </c>
      <c r="D176">
        <v>1</v>
      </c>
      <c r="E176">
        <v>16</v>
      </c>
    </row>
    <row r="177" spans="1:5" hidden="1" x14ac:dyDescent="0.25">
      <c r="A177" t="s">
        <v>12</v>
      </c>
      <c r="B177" t="s">
        <v>23</v>
      </c>
      <c r="C177" t="s">
        <v>229</v>
      </c>
      <c r="D177">
        <v>1</v>
      </c>
      <c r="E177">
        <v>4</v>
      </c>
    </row>
    <row r="178" spans="1:5" hidden="1" x14ac:dyDescent="0.25">
      <c r="A178" t="s">
        <v>12</v>
      </c>
      <c r="B178" t="s">
        <v>23</v>
      </c>
      <c r="C178" t="s">
        <v>228</v>
      </c>
      <c r="D178">
        <v>1</v>
      </c>
      <c r="E178">
        <v>9</v>
      </c>
    </row>
    <row r="179" spans="1:5" hidden="1" x14ac:dyDescent="0.25">
      <c r="A179" t="s">
        <v>12</v>
      </c>
      <c r="B179" t="s">
        <v>32</v>
      </c>
      <c r="C179" t="s">
        <v>108</v>
      </c>
      <c r="D179">
        <v>151</v>
      </c>
      <c r="E179">
        <v>200</v>
      </c>
    </row>
    <row r="180" spans="1:5" hidden="1" x14ac:dyDescent="0.25">
      <c r="A180" t="s">
        <v>12</v>
      </c>
      <c r="B180" t="s">
        <v>32</v>
      </c>
      <c r="C180" t="s">
        <v>133</v>
      </c>
      <c r="D180">
        <v>48</v>
      </c>
      <c r="E180">
        <v>91</v>
      </c>
    </row>
    <row r="181" spans="1:5" hidden="1" x14ac:dyDescent="0.25">
      <c r="A181" t="s">
        <v>12</v>
      </c>
      <c r="B181" t="s">
        <v>32</v>
      </c>
      <c r="C181" t="s">
        <v>186</v>
      </c>
      <c r="D181">
        <v>18</v>
      </c>
      <c r="E181">
        <v>1</v>
      </c>
    </row>
    <row r="182" spans="1:5" hidden="1" x14ac:dyDescent="0.25">
      <c r="A182" t="s">
        <v>12</v>
      </c>
      <c r="B182" t="s">
        <v>32</v>
      </c>
      <c r="C182" t="s">
        <v>164</v>
      </c>
      <c r="D182">
        <v>1</v>
      </c>
      <c r="E182">
        <v>1</v>
      </c>
    </row>
    <row r="183" spans="1:5" hidden="1" x14ac:dyDescent="0.25">
      <c r="A183" t="s">
        <v>12</v>
      </c>
      <c r="B183" t="s">
        <v>32</v>
      </c>
      <c r="C183" t="s">
        <v>160</v>
      </c>
      <c r="D183">
        <v>1</v>
      </c>
      <c r="E183">
        <v>20</v>
      </c>
    </row>
    <row r="184" spans="1:5" hidden="1" x14ac:dyDescent="0.25">
      <c r="A184" t="s">
        <v>12</v>
      </c>
      <c r="B184" t="s">
        <v>32</v>
      </c>
      <c r="C184" t="s">
        <v>213</v>
      </c>
      <c r="D184">
        <v>1</v>
      </c>
      <c r="E184">
        <v>11</v>
      </c>
    </row>
    <row r="185" spans="1:5" hidden="1" x14ac:dyDescent="0.25">
      <c r="A185" t="s">
        <v>12</v>
      </c>
      <c r="B185" t="s">
        <v>32</v>
      </c>
      <c r="C185" t="s">
        <v>159</v>
      </c>
      <c r="D185">
        <v>1</v>
      </c>
      <c r="E185">
        <v>23</v>
      </c>
    </row>
    <row r="186" spans="1:5" hidden="1" x14ac:dyDescent="0.25">
      <c r="A186" t="s">
        <v>12</v>
      </c>
      <c r="B186" t="s">
        <v>32</v>
      </c>
      <c r="C186" t="s">
        <v>206</v>
      </c>
      <c r="D186">
        <v>1</v>
      </c>
      <c r="E186">
        <v>61</v>
      </c>
    </row>
    <row r="187" spans="1:5" hidden="1" x14ac:dyDescent="0.25">
      <c r="A187" t="s">
        <v>12</v>
      </c>
      <c r="B187" t="s">
        <v>41</v>
      </c>
      <c r="C187" t="s">
        <v>116</v>
      </c>
      <c r="D187">
        <v>163</v>
      </c>
      <c r="E187">
        <v>106</v>
      </c>
    </row>
    <row r="188" spans="1:5" hidden="1" x14ac:dyDescent="0.25">
      <c r="A188" t="s">
        <v>12</v>
      </c>
      <c r="B188" t="s">
        <v>41</v>
      </c>
      <c r="C188" t="s">
        <v>143</v>
      </c>
      <c r="D188">
        <v>100</v>
      </c>
      <c r="E188">
        <v>52</v>
      </c>
    </row>
    <row r="189" spans="1:5" hidden="1" x14ac:dyDescent="0.25">
      <c r="A189" t="s">
        <v>12</v>
      </c>
      <c r="B189" t="s">
        <v>41</v>
      </c>
      <c r="C189" t="s">
        <v>69</v>
      </c>
      <c r="D189">
        <v>95</v>
      </c>
      <c r="E189">
        <v>52</v>
      </c>
    </row>
    <row r="190" spans="1:5" hidden="1" x14ac:dyDescent="0.25">
      <c r="A190" t="s">
        <v>12</v>
      </c>
      <c r="B190" t="s">
        <v>41</v>
      </c>
      <c r="C190" t="s">
        <v>214</v>
      </c>
      <c r="D190">
        <v>63</v>
      </c>
      <c r="E190">
        <v>39</v>
      </c>
    </row>
    <row r="191" spans="1:5" hidden="1" x14ac:dyDescent="0.25">
      <c r="A191" t="s">
        <v>12</v>
      </c>
      <c r="B191" t="s">
        <v>41</v>
      </c>
      <c r="C191" t="s">
        <v>190</v>
      </c>
      <c r="D191">
        <v>55</v>
      </c>
      <c r="E191">
        <v>33</v>
      </c>
    </row>
    <row r="192" spans="1:5" hidden="1" x14ac:dyDescent="0.25">
      <c r="A192" t="s">
        <v>12</v>
      </c>
      <c r="B192" t="s">
        <v>41</v>
      </c>
      <c r="C192" t="s">
        <v>191</v>
      </c>
      <c r="D192">
        <v>18</v>
      </c>
      <c r="E192">
        <v>10</v>
      </c>
    </row>
    <row r="193" spans="1:5" hidden="1" x14ac:dyDescent="0.25">
      <c r="A193" t="s">
        <v>13</v>
      </c>
      <c r="B193" t="s">
        <v>19</v>
      </c>
      <c r="C193" t="s">
        <v>99</v>
      </c>
      <c r="D193">
        <v>40</v>
      </c>
      <c r="E193">
        <v>1</v>
      </c>
    </row>
    <row r="194" spans="1:5" hidden="1" x14ac:dyDescent="0.25">
      <c r="A194" t="s">
        <v>13</v>
      </c>
      <c r="B194" t="s">
        <v>19</v>
      </c>
      <c r="C194" t="s">
        <v>196</v>
      </c>
      <c r="D194">
        <v>35</v>
      </c>
      <c r="E194">
        <v>1</v>
      </c>
    </row>
    <row r="195" spans="1:5" hidden="1" x14ac:dyDescent="0.25">
      <c r="A195" t="s">
        <v>13</v>
      </c>
      <c r="B195" t="s">
        <v>19</v>
      </c>
      <c r="C195" t="s">
        <v>124</v>
      </c>
      <c r="D195">
        <v>34</v>
      </c>
      <c r="E195">
        <v>1</v>
      </c>
    </row>
    <row r="196" spans="1:5" hidden="1" x14ac:dyDescent="0.25">
      <c r="A196" t="s">
        <v>13</v>
      </c>
      <c r="B196" t="s">
        <v>23</v>
      </c>
      <c r="C196" t="s">
        <v>200</v>
      </c>
      <c r="D196">
        <v>43</v>
      </c>
      <c r="E196">
        <v>7</v>
      </c>
    </row>
    <row r="197" spans="1:5" hidden="1" x14ac:dyDescent="0.25">
      <c r="A197" t="s">
        <v>13</v>
      </c>
      <c r="B197" t="s">
        <v>23</v>
      </c>
      <c r="C197" t="s">
        <v>129</v>
      </c>
      <c r="D197">
        <v>42</v>
      </c>
      <c r="E197">
        <v>3</v>
      </c>
    </row>
    <row r="198" spans="1:5" hidden="1" x14ac:dyDescent="0.25">
      <c r="A198" t="s">
        <v>13</v>
      </c>
      <c r="B198" t="s">
        <v>23</v>
      </c>
      <c r="C198" t="s">
        <v>55</v>
      </c>
      <c r="D198">
        <v>33</v>
      </c>
      <c r="E198">
        <v>10</v>
      </c>
    </row>
    <row r="199" spans="1:5" hidden="1" x14ac:dyDescent="0.25">
      <c r="A199" t="s">
        <v>13</v>
      </c>
      <c r="B199" t="s">
        <v>23</v>
      </c>
      <c r="C199" t="s">
        <v>58</v>
      </c>
      <c r="D199">
        <v>29</v>
      </c>
      <c r="E199">
        <v>9</v>
      </c>
    </row>
    <row r="200" spans="1:5" hidden="1" x14ac:dyDescent="0.25">
      <c r="A200" t="s">
        <v>13</v>
      </c>
      <c r="B200" t="s">
        <v>23</v>
      </c>
      <c r="C200" t="s">
        <v>106</v>
      </c>
      <c r="D200">
        <v>29</v>
      </c>
      <c r="E200">
        <v>12</v>
      </c>
    </row>
    <row r="201" spans="1:5" hidden="1" x14ac:dyDescent="0.25">
      <c r="A201" t="s">
        <v>13</v>
      </c>
      <c r="B201" t="s">
        <v>23</v>
      </c>
      <c r="C201" t="s">
        <v>130</v>
      </c>
      <c r="D201">
        <v>27</v>
      </c>
      <c r="E201">
        <v>7</v>
      </c>
    </row>
    <row r="202" spans="1:5" hidden="1" x14ac:dyDescent="0.25">
      <c r="A202" t="s">
        <v>13</v>
      </c>
      <c r="B202" t="s">
        <v>23</v>
      </c>
      <c r="C202" t="s">
        <v>53</v>
      </c>
      <c r="D202">
        <v>27</v>
      </c>
      <c r="E202">
        <v>19</v>
      </c>
    </row>
    <row r="203" spans="1:5" hidden="1" x14ac:dyDescent="0.25">
      <c r="A203" t="s">
        <v>13</v>
      </c>
      <c r="B203" t="s">
        <v>23</v>
      </c>
      <c r="C203" t="s">
        <v>199</v>
      </c>
      <c r="D203">
        <v>22</v>
      </c>
      <c r="E203">
        <v>16</v>
      </c>
    </row>
    <row r="204" spans="1:5" hidden="1" x14ac:dyDescent="0.25">
      <c r="A204" t="s">
        <v>13</v>
      </c>
      <c r="B204" t="s">
        <v>32</v>
      </c>
      <c r="C204" t="s">
        <v>60</v>
      </c>
      <c r="D204">
        <v>66</v>
      </c>
      <c r="E204">
        <v>45</v>
      </c>
    </row>
    <row r="205" spans="1:5" hidden="1" x14ac:dyDescent="0.25">
      <c r="A205" t="s">
        <v>13</v>
      </c>
      <c r="B205" t="s">
        <v>32</v>
      </c>
      <c r="C205" t="s">
        <v>183</v>
      </c>
      <c r="D205">
        <v>57</v>
      </c>
      <c r="E205">
        <v>41</v>
      </c>
    </row>
    <row r="206" spans="1:5" hidden="1" x14ac:dyDescent="0.25">
      <c r="A206" t="s">
        <v>13</v>
      </c>
      <c r="B206" t="s">
        <v>32</v>
      </c>
      <c r="C206" t="s">
        <v>138</v>
      </c>
      <c r="D206">
        <v>38</v>
      </c>
      <c r="E206">
        <v>8</v>
      </c>
    </row>
    <row r="207" spans="1:5" hidden="1" x14ac:dyDescent="0.25">
      <c r="A207" t="s">
        <v>13</v>
      </c>
      <c r="B207" t="s">
        <v>32</v>
      </c>
      <c r="C207" t="s">
        <v>137</v>
      </c>
      <c r="D207">
        <v>37</v>
      </c>
      <c r="E207">
        <v>1</v>
      </c>
    </row>
    <row r="208" spans="1:5" hidden="1" x14ac:dyDescent="0.25">
      <c r="A208" t="s">
        <v>13</v>
      </c>
      <c r="B208" t="s">
        <v>32</v>
      </c>
      <c r="C208" t="s">
        <v>184</v>
      </c>
      <c r="D208">
        <v>33</v>
      </c>
      <c r="E208">
        <v>20</v>
      </c>
    </row>
    <row r="209" spans="1:5" hidden="1" x14ac:dyDescent="0.25">
      <c r="A209" t="s">
        <v>13</v>
      </c>
      <c r="B209" t="s">
        <v>32</v>
      </c>
      <c r="C209" t="s">
        <v>90</v>
      </c>
      <c r="D209">
        <v>29</v>
      </c>
      <c r="E209">
        <v>12</v>
      </c>
    </row>
    <row r="210" spans="1:5" hidden="1" x14ac:dyDescent="0.25">
      <c r="A210" t="s">
        <v>13</v>
      </c>
      <c r="B210" t="s">
        <v>32</v>
      </c>
      <c r="C210" t="s">
        <v>207</v>
      </c>
      <c r="D210">
        <v>21</v>
      </c>
      <c r="E210">
        <v>6</v>
      </c>
    </row>
    <row r="211" spans="1:5" hidden="1" x14ac:dyDescent="0.25">
      <c r="A211" t="s">
        <v>13</v>
      </c>
      <c r="B211" t="s">
        <v>32</v>
      </c>
      <c r="C211" t="s">
        <v>208</v>
      </c>
      <c r="D211">
        <v>16</v>
      </c>
      <c r="E211">
        <v>10</v>
      </c>
    </row>
    <row r="212" spans="1:5" hidden="1" x14ac:dyDescent="0.25">
      <c r="A212" t="s">
        <v>13</v>
      </c>
      <c r="B212" t="s">
        <v>41</v>
      </c>
      <c r="C212" t="s">
        <v>192</v>
      </c>
      <c r="D212">
        <v>52</v>
      </c>
      <c r="E212">
        <v>14</v>
      </c>
    </row>
    <row r="213" spans="1:5" hidden="1" x14ac:dyDescent="0.25">
      <c r="A213" t="s">
        <v>13</v>
      </c>
      <c r="B213" t="s">
        <v>41</v>
      </c>
      <c r="C213" t="s">
        <v>43</v>
      </c>
      <c r="D213">
        <v>47</v>
      </c>
      <c r="E213">
        <v>24</v>
      </c>
    </row>
    <row r="214" spans="1:5" hidden="1" x14ac:dyDescent="0.25">
      <c r="A214" t="s">
        <v>13</v>
      </c>
      <c r="B214" t="s">
        <v>41</v>
      </c>
      <c r="C214" t="s">
        <v>95</v>
      </c>
      <c r="D214">
        <v>43</v>
      </c>
      <c r="E214">
        <v>18</v>
      </c>
    </row>
    <row r="215" spans="1:5" hidden="1" x14ac:dyDescent="0.25">
      <c r="A215" t="s">
        <v>13</v>
      </c>
      <c r="B215" t="s">
        <v>41</v>
      </c>
      <c r="C215" t="s">
        <v>96</v>
      </c>
      <c r="D215">
        <v>42</v>
      </c>
      <c r="E215">
        <v>11</v>
      </c>
    </row>
    <row r="216" spans="1:5" hidden="1" x14ac:dyDescent="0.25">
      <c r="A216" t="s">
        <v>13</v>
      </c>
      <c r="B216" t="s">
        <v>41</v>
      </c>
      <c r="C216" t="s">
        <v>216</v>
      </c>
      <c r="D216">
        <v>42</v>
      </c>
      <c r="E216">
        <v>9</v>
      </c>
    </row>
    <row r="217" spans="1:5" hidden="1" x14ac:dyDescent="0.25">
      <c r="A217" t="s">
        <v>13</v>
      </c>
      <c r="B217" t="s">
        <v>41</v>
      </c>
      <c r="C217" t="s">
        <v>46</v>
      </c>
      <c r="D217">
        <v>42</v>
      </c>
      <c r="E217">
        <v>9</v>
      </c>
    </row>
  </sheetData>
  <autoFilter ref="A17:E217" xr:uid="{00000000-0009-0000-0000-000000000000}">
    <filterColumn colId="0">
      <filters>
        <filter val="Team1"/>
      </filters>
    </filterColumn>
  </autoFilter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7"/>
  <sheetViews>
    <sheetView showGridLines="0" workbookViewId="0">
      <pane ySplit="17" topLeftCell="A18" activePane="bottomLeft" state="frozen"/>
      <selection pane="bottomLeft"/>
    </sheetView>
  </sheetViews>
  <sheetFormatPr defaultRowHeight="15" x14ac:dyDescent="0.25"/>
  <cols>
    <col min="1" max="1" width="12" customWidth="1"/>
    <col min="2" max="2" width="8" customWidth="1"/>
    <col min="3" max="3" width="26" customWidth="1"/>
    <col min="4" max="4" width="12" customWidth="1"/>
    <col min="5" max="5" width="10" customWidth="1"/>
  </cols>
  <sheetData>
    <row r="1" spans="1:5" ht="18" x14ac:dyDescent="0.25">
      <c r="A1" s="5" t="s">
        <v>220</v>
      </c>
      <c r="B1" s="4"/>
      <c r="C1" s="4"/>
      <c r="D1" s="4"/>
      <c r="E1" s="4"/>
    </row>
    <row r="2" spans="1:5" x14ac:dyDescent="0.25">
      <c r="A2" s="3" t="s">
        <v>234</v>
      </c>
      <c r="B2" s="4"/>
      <c r="C2" s="4"/>
      <c r="D2" s="4"/>
      <c r="E2" s="4"/>
    </row>
    <row r="4" spans="1:5" ht="15.75" x14ac:dyDescent="0.25">
      <c r="A4" s="1" t="s">
        <v>1</v>
      </c>
    </row>
    <row r="5" spans="1:5" x14ac:dyDescent="0.25">
      <c r="A5" s="2" t="s">
        <v>2</v>
      </c>
      <c r="B5" s="2" t="s">
        <v>3</v>
      </c>
      <c r="C5" s="2" t="s">
        <v>4</v>
      </c>
      <c r="D5" s="2" t="s">
        <v>5</v>
      </c>
    </row>
    <row r="6" spans="1:5" x14ac:dyDescent="0.25">
      <c r="A6" t="s">
        <v>6</v>
      </c>
      <c r="B6">
        <f t="shared" ref="B6:B13" si="0">SUMIFS($E$18:$E$217,$A$18:$A$217,$A6)</f>
        <v>563</v>
      </c>
      <c r="C6">
        <f t="shared" ref="C6:C13" si="1">SUMIFS($D$18:$D$217,$A$18:$A$217,$A6)</f>
        <v>831</v>
      </c>
      <c r="D6">
        <f t="shared" ref="D6:D13" si="2">1000-$C6</f>
        <v>169</v>
      </c>
    </row>
    <row r="7" spans="1:5" x14ac:dyDescent="0.25">
      <c r="A7" t="s">
        <v>7</v>
      </c>
      <c r="B7">
        <f t="shared" si="0"/>
        <v>1078</v>
      </c>
      <c r="C7">
        <f t="shared" si="1"/>
        <v>995</v>
      </c>
      <c r="D7">
        <f t="shared" si="2"/>
        <v>5</v>
      </c>
    </row>
    <row r="8" spans="1:5" x14ac:dyDescent="0.25">
      <c r="A8" t="s">
        <v>8</v>
      </c>
      <c r="B8">
        <f t="shared" si="0"/>
        <v>814</v>
      </c>
      <c r="C8">
        <f t="shared" si="1"/>
        <v>999</v>
      </c>
      <c r="D8">
        <f t="shared" si="2"/>
        <v>1</v>
      </c>
    </row>
    <row r="9" spans="1:5" x14ac:dyDescent="0.25">
      <c r="A9" t="s">
        <v>9</v>
      </c>
      <c r="B9">
        <f t="shared" si="0"/>
        <v>1250</v>
      </c>
      <c r="C9">
        <f t="shared" si="1"/>
        <v>1000</v>
      </c>
      <c r="D9">
        <f t="shared" si="2"/>
        <v>0</v>
      </c>
    </row>
    <row r="10" spans="1:5" x14ac:dyDescent="0.25">
      <c r="A10" t="s">
        <v>10</v>
      </c>
      <c r="B10">
        <f t="shared" si="0"/>
        <v>826</v>
      </c>
      <c r="C10">
        <f t="shared" si="1"/>
        <v>991</v>
      </c>
      <c r="D10">
        <f t="shared" si="2"/>
        <v>9</v>
      </c>
    </row>
    <row r="11" spans="1:5" x14ac:dyDescent="0.25">
      <c r="A11" t="s">
        <v>11</v>
      </c>
      <c r="B11">
        <f t="shared" si="0"/>
        <v>652</v>
      </c>
      <c r="C11">
        <f t="shared" si="1"/>
        <v>996</v>
      </c>
      <c r="D11">
        <f t="shared" si="2"/>
        <v>4</v>
      </c>
    </row>
    <row r="12" spans="1:5" x14ac:dyDescent="0.25">
      <c r="A12" t="s">
        <v>12</v>
      </c>
      <c r="B12">
        <f t="shared" si="0"/>
        <v>609</v>
      </c>
      <c r="C12">
        <f t="shared" si="1"/>
        <v>982</v>
      </c>
      <c r="D12">
        <f t="shared" si="2"/>
        <v>18</v>
      </c>
    </row>
    <row r="13" spans="1:5" x14ac:dyDescent="0.25">
      <c r="A13" t="s">
        <v>13</v>
      </c>
      <c r="B13">
        <f t="shared" si="0"/>
        <v>644</v>
      </c>
      <c r="C13">
        <f t="shared" si="1"/>
        <v>991</v>
      </c>
      <c r="D13">
        <f t="shared" si="2"/>
        <v>9</v>
      </c>
    </row>
    <row r="16" spans="1:5" ht="15.75" x14ac:dyDescent="0.25">
      <c r="A16" s="1" t="s">
        <v>14</v>
      </c>
    </row>
    <row r="17" spans="1:5" x14ac:dyDescent="0.25">
      <c r="A17" s="2" t="s">
        <v>2</v>
      </c>
      <c r="B17" s="2" t="s">
        <v>15</v>
      </c>
      <c r="C17" s="2" t="s">
        <v>16</v>
      </c>
      <c r="D17" s="2" t="s">
        <v>17</v>
      </c>
      <c r="E17" s="2" t="s">
        <v>18</v>
      </c>
    </row>
    <row r="18" spans="1:5" x14ac:dyDescent="0.25">
      <c r="A18" t="s">
        <v>6</v>
      </c>
      <c r="B18" t="s">
        <v>19</v>
      </c>
      <c r="C18" t="s">
        <v>73</v>
      </c>
      <c r="D18">
        <v>32</v>
      </c>
      <c r="E18">
        <v>1</v>
      </c>
    </row>
    <row r="19" spans="1:5" x14ac:dyDescent="0.25">
      <c r="A19" t="s">
        <v>6</v>
      </c>
      <c r="B19" t="s">
        <v>19</v>
      </c>
      <c r="C19" t="s">
        <v>149</v>
      </c>
      <c r="D19">
        <v>32</v>
      </c>
      <c r="E19">
        <v>1</v>
      </c>
    </row>
    <row r="20" spans="1:5" x14ac:dyDescent="0.25">
      <c r="A20" t="s">
        <v>6</v>
      </c>
      <c r="B20" t="s">
        <v>19</v>
      </c>
      <c r="C20" t="s">
        <v>49</v>
      </c>
      <c r="D20">
        <v>27</v>
      </c>
      <c r="E20">
        <v>8</v>
      </c>
    </row>
    <row r="21" spans="1:5" x14ac:dyDescent="0.25">
      <c r="A21" t="s">
        <v>6</v>
      </c>
      <c r="B21" t="s">
        <v>23</v>
      </c>
      <c r="C21" t="s">
        <v>150</v>
      </c>
      <c r="D21">
        <v>44</v>
      </c>
      <c r="E21">
        <v>22</v>
      </c>
    </row>
    <row r="22" spans="1:5" x14ac:dyDescent="0.25">
      <c r="A22" t="s">
        <v>6</v>
      </c>
      <c r="B22" t="s">
        <v>23</v>
      </c>
      <c r="C22" t="s">
        <v>126</v>
      </c>
      <c r="D22">
        <v>40</v>
      </c>
      <c r="E22">
        <v>20</v>
      </c>
    </row>
    <row r="23" spans="1:5" x14ac:dyDescent="0.25">
      <c r="A23" t="s">
        <v>6</v>
      </c>
      <c r="B23" t="s">
        <v>23</v>
      </c>
      <c r="C23" t="s">
        <v>30</v>
      </c>
      <c r="D23">
        <v>31</v>
      </c>
      <c r="E23">
        <v>15</v>
      </c>
    </row>
    <row r="24" spans="1:5" x14ac:dyDescent="0.25">
      <c r="A24" t="s">
        <v>6</v>
      </c>
      <c r="B24" t="s">
        <v>23</v>
      </c>
      <c r="C24" t="s">
        <v>105</v>
      </c>
      <c r="D24">
        <v>26</v>
      </c>
      <c r="E24">
        <v>1</v>
      </c>
    </row>
    <row r="25" spans="1:5" x14ac:dyDescent="0.25">
      <c r="A25" t="s">
        <v>6</v>
      </c>
      <c r="B25" t="s">
        <v>23</v>
      </c>
      <c r="C25" t="s">
        <v>26</v>
      </c>
      <c r="D25">
        <v>24</v>
      </c>
      <c r="E25">
        <v>21</v>
      </c>
    </row>
    <row r="26" spans="1:5" x14ac:dyDescent="0.25">
      <c r="A26" t="s">
        <v>6</v>
      </c>
      <c r="B26" t="s">
        <v>23</v>
      </c>
      <c r="C26" t="s">
        <v>29</v>
      </c>
      <c r="D26">
        <v>22</v>
      </c>
      <c r="E26">
        <v>11</v>
      </c>
    </row>
    <row r="27" spans="1:5" x14ac:dyDescent="0.25">
      <c r="A27" t="s">
        <v>6</v>
      </c>
      <c r="B27" t="s">
        <v>23</v>
      </c>
      <c r="C27" t="s">
        <v>28</v>
      </c>
      <c r="D27">
        <v>21</v>
      </c>
      <c r="E27">
        <v>4</v>
      </c>
    </row>
    <row r="28" spans="1:5" x14ac:dyDescent="0.25">
      <c r="A28" t="s">
        <v>6</v>
      </c>
      <c r="B28" t="s">
        <v>23</v>
      </c>
      <c r="C28" t="s">
        <v>27</v>
      </c>
      <c r="D28">
        <v>17</v>
      </c>
      <c r="E28">
        <v>1</v>
      </c>
    </row>
    <row r="29" spans="1:5" x14ac:dyDescent="0.25">
      <c r="A29" t="s">
        <v>6</v>
      </c>
      <c r="B29" t="s">
        <v>32</v>
      </c>
      <c r="C29" t="s">
        <v>109</v>
      </c>
      <c r="D29">
        <v>45</v>
      </c>
      <c r="E29">
        <v>90</v>
      </c>
    </row>
    <row r="30" spans="1:5" x14ac:dyDescent="0.25">
      <c r="A30" t="s">
        <v>6</v>
      </c>
      <c r="B30" t="s">
        <v>32</v>
      </c>
      <c r="C30" t="s">
        <v>33</v>
      </c>
      <c r="D30">
        <v>36</v>
      </c>
      <c r="E30">
        <v>68</v>
      </c>
    </row>
    <row r="31" spans="1:5" x14ac:dyDescent="0.25">
      <c r="A31" t="s">
        <v>6</v>
      </c>
      <c r="B31" t="s">
        <v>32</v>
      </c>
      <c r="C31" t="s">
        <v>34</v>
      </c>
      <c r="D31">
        <v>31</v>
      </c>
      <c r="E31">
        <v>25</v>
      </c>
    </row>
    <row r="32" spans="1:5" x14ac:dyDescent="0.25">
      <c r="A32" t="s">
        <v>6</v>
      </c>
      <c r="B32" t="s">
        <v>32</v>
      </c>
      <c r="C32" t="s">
        <v>187</v>
      </c>
      <c r="D32">
        <v>30</v>
      </c>
      <c r="E32">
        <v>18</v>
      </c>
    </row>
    <row r="33" spans="1:5" x14ac:dyDescent="0.25">
      <c r="A33" t="s">
        <v>6</v>
      </c>
      <c r="B33" t="s">
        <v>32</v>
      </c>
      <c r="C33" t="s">
        <v>39</v>
      </c>
      <c r="D33">
        <v>26</v>
      </c>
      <c r="E33">
        <v>14</v>
      </c>
    </row>
    <row r="34" spans="1:5" x14ac:dyDescent="0.25">
      <c r="A34" t="s">
        <v>6</v>
      </c>
      <c r="B34" t="s">
        <v>32</v>
      </c>
      <c r="C34" t="s">
        <v>183</v>
      </c>
      <c r="D34">
        <v>26</v>
      </c>
      <c r="E34">
        <v>41</v>
      </c>
    </row>
    <row r="35" spans="1:5" x14ac:dyDescent="0.25">
      <c r="A35" t="s">
        <v>6</v>
      </c>
      <c r="B35" t="s">
        <v>32</v>
      </c>
      <c r="C35" t="s">
        <v>38</v>
      </c>
      <c r="D35">
        <v>19</v>
      </c>
      <c r="E35">
        <v>12</v>
      </c>
    </row>
    <row r="36" spans="1:5" x14ac:dyDescent="0.25">
      <c r="A36" t="s">
        <v>6</v>
      </c>
      <c r="B36" t="s">
        <v>32</v>
      </c>
      <c r="C36" t="s">
        <v>37</v>
      </c>
      <c r="D36">
        <v>15</v>
      </c>
      <c r="E36">
        <v>5</v>
      </c>
    </row>
    <row r="37" spans="1:5" x14ac:dyDescent="0.25">
      <c r="A37" t="s">
        <v>6</v>
      </c>
      <c r="B37" t="s">
        <v>41</v>
      </c>
      <c r="C37" t="s">
        <v>68</v>
      </c>
      <c r="D37">
        <v>67</v>
      </c>
      <c r="E37">
        <v>63</v>
      </c>
    </row>
    <row r="38" spans="1:5" x14ac:dyDescent="0.25">
      <c r="A38" t="s">
        <v>6</v>
      </c>
      <c r="B38" t="s">
        <v>41</v>
      </c>
      <c r="C38" t="s">
        <v>71</v>
      </c>
      <c r="D38">
        <v>50</v>
      </c>
      <c r="E38">
        <v>10</v>
      </c>
    </row>
    <row r="39" spans="1:5" x14ac:dyDescent="0.25">
      <c r="A39" t="s">
        <v>6</v>
      </c>
      <c r="B39" t="s">
        <v>41</v>
      </c>
      <c r="C39" t="s">
        <v>95</v>
      </c>
      <c r="D39">
        <v>48</v>
      </c>
      <c r="E39">
        <v>18</v>
      </c>
    </row>
    <row r="40" spans="1:5" x14ac:dyDescent="0.25">
      <c r="A40" t="s">
        <v>6</v>
      </c>
      <c r="B40" t="s">
        <v>41</v>
      </c>
      <c r="C40" t="s">
        <v>94</v>
      </c>
      <c r="D40">
        <v>46</v>
      </c>
      <c r="E40">
        <v>9</v>
      </c>
    </row>
    <row r="41" spans="1:5" x14ac:dyDescent="0.25">
      <c r="A41" t="s">
        <v>6</v>
      </c>
      <c r="B41" t="s">
        <v>41</v>
      </c>
      <c r="C41" t="s">
        <v>69</v>
      </c>
      <c r="D41">
        <v>45</v>
      </c>
      <c r="E41">
        <v>52</v>
      </c>
    </row>
    <row r="42" spans="1:5" x14ac:dyDescent="0.25">
      <c r="A42" t="s">
        <v>6</v>
      </c>
      <c r="B42" t="s">
        <v>41</v>
      </c>
      <c r="C42" t="s">
        <v>190</v>
      </c>
      <c r="D42">
        <v>31</v>
      </c>
      <c r="E42">
        <v>33</v>
      </c>
    </row>
    <row r="43" spans="1:5" x14ac:dyDescent="0.25">
      <c r="A43" t="s">
        <v>7</v>
      </c>
      <c r="B43" t="s">
        <v>19</v>
      </c>
      <c r="C43" t="s">
        <v>50</v>
      </c>
      <c r="D43">
        <v>49</v>
      </c>
      <c r="E43">
        <v>5</v>
      </c>
    </row>
    <row r="44" spans="1:5" x14ac:dyDescent="0.25">
      <c r="A44" t="s">
        <v>7</v>
      </c>
      <c r="B44" t="s">
        <v>19</v>
      </c>
      <c r="C44" t="s">
        <v>174</v>
      </c>
      <c r="D44">
        <v>46</v>
      </c>
      <c r="E44">
        <v>14</v>
      </c>
    </row>
    <row r="45" spans="1:5" x14ac:dyDescent="0.25">
      <c r="A45" t="s">
        <v>7</v>
      </c>
      <c r="B45" t="s">
        <v>19</v>
      </c>
      <c r="C45" t="s">
        <v>48</v>
      </c>
      <c r="D45">
        <v>44</v>
      </c>
      <c r="E45">
        <v>52</v>
      </c>
    </row>
    <row r="46" spans="1:5" x14ac:dyDescent="0.25">
      <c r="A46" t="s">
        <v>7</v>
      </c>
      <c r="B46" t="s">
        <v>23</v>
      </c>
      <c r="C46" t="s">
        <v>198</v>
      </c>
      <c r="D46">
        <v>49</v>
      </c>
      <c r="E46">
        <v>44</v>
      </c>
    </row>
    <row r="47" spans="1:5" x14ac:dyDescent="0.25">
      <c r="A47" t="s">
        <v>7</v>
      </c>
      <c r="B47" t="s">
        <v>23</v>
      </c>
      <c r="C47" t="s">
        <v>100</v>
      </c>
      <c r="D47">
        <v>37</v>
      </c>
      <c r="E47">
        <v>11</v>
      </c>
    </row>
    <row r="48" spans="1:5" x14ac:dyDescent="0.25">
      <c r="A48" t="s">
        <v>7</v>
      </c>
      <c r="B48" t="s">
        <v>23</v>
      </c>
      <c r="C48" t="s">
        <v>131</v>
      </c>
      <c r="D48">
        <v>37</v>
      </c>
      <c r="E48">
        <v>13</v>
      </c>
    </row>
    <row r="49" spans="1:5" x14ac:dyDescent="0.25">
      <c r="A49" t="s">
        <v>7</v>
      </c>
      <c r="B49" t="s">
        <v>23</v>
      </c>
      <c r="C49" t="s">
        <v>178</v>
      </c>
      <c r="D49">
        <v>36</v>
      </c>
      <c r="E49">
        <v>3</v>
      </c>
    </row>
    <row r="50" spans="1:5" x14ac:dyDescent="0.25">
      <c r="A50" t="s">
        <v>7</v>
      </c>
      <c r="B50" t="s">
        <v>23</v>
      </c>
      <c r="C50" t="s">
        <v>82</v>
      </c>
      <c r="D50">
        <v>34</v>
      </c>
      <c r="E50">
        <v>2</v>
      </c>
    </row>
    <row r="51" spans="1:5" x14ac:dyDescent="0.25">
      <c r="A51" t="s">
        <v>7</v>
      </c>
      <c r="B51" t="s">
        <v>23</v>
      </c>
      <c r="C51" t="s">
        <v>52</v>
      </c>
      <c r="D51">
        <v>28</v>
      </c>
      <c r="E51">
        <v>15</v>
      </c>
    </row>
    <row r="52" spans="1:5" x14ac:dyDescent="0.25">
      <c r="A52" t="s">
        <v>7</v>
      </c>
      <c r="B52" t="s">
        <v>23</v>
      </c>
      <c r="C52" t="s">
        <v>152</v>
      </c>
      <c r="D52">
        <v>24</v>
      </c>
      <c r="E52">
        <v>18</v>
      </c>
    </row>
    <row r="53" spans="1:5" x14ac:dyDescent="0.25">
      <c r="A53" t="s">
        <v>7</v>
      </c>
      <c r="B53" t="s">
        <v>23</v>
      </c>
      <c r="C53" t="s">
        <v>51</v>
      </c>
      <c r="D53">
        <v>19</v>
      </c>
      <c r="E53">
        <v>33</v>
      </c>
    </row>
    <row r="54" spans="1:5" x14ac:dyDescent="0.25">
      <c r="A54" t="s">
        <v>7</v>
      </c>
      <c r="B54" t="s">
        <v>32</v>
      </c>
      <c r="C54" t="s">
        <v>59</v>
      </c>
      <c r="D54">
        <v>109</v>
      </c>
      <c r="E54">
        <v>180</v>
      </c>
    </row>
    <row r="55" spans="1:5" x14ac:dyDescent="0.25">
      <c r="A55" t="s">
        <v>7</v>
      </c>
      <c r="B55" t="s">
        <v>32</v>
      </c>
      <c r="C55" t="s">
        <v>84</v>
      </c>
      <c r="D55">
        <v>58</v>
      </c>
      <c r="E55">
        <v>100</v>
      </c>
    </row>
    <row r="56" spans="1:5" x14ac:dyDescent="0.25">
      <c r="A56" t="s">
        <v>7</v>
      </c>
      <c r="B56" t="s">
        <v>32</v>
      </c>
      <c r="C56" t="s">
        <v>163</v>
      </c>
      <c r="D56">
        <v>43</v>
      </c>
      <c r="E56">
        <v>14</v>
      </c>
    </row>
    <row r="57" spans="1:5" x14ac:dyDescent="0.25">
      <c r="A57" t="s">
        <v>7</v>
      </c>
      <c r="B57" t="s">
        <v>32</v>
      </c>
      <c r="C57" t="s">
        <v>184</v>
      </c>
      <c r="D57">
        <v>38</v>
      </c>
      <c r="E57">
        <v>20</v>
      </c>
    </row>
    <row r="58" spans="1:5" x14ac:dyDescent="0.25">
      <c r="A58" t="s">
        <v>7</v>
      </c>
      <c r="B58" t="s">
        <v>32</v>
      </c>
      <c r="C58" t="s">
        <v>185</v>
      </c>
      <c r="D58">
        <v>37</v>
      </c>
      <c r="E58">
        <v>14</v>
      </c>
    </row>
    <row r="59" spans="1:5" x14ac:dyDescent="0.25">
      <c r="A59" t="s">
        <v>7</v>
      </c>
      <c r="B59" t="s">
        <v>32</v>
      </c>
      <c r="C59" t="s">
        <v>65</v>
      </c>
      <c r="D59">
        <v>37</v>
      </c>
      <c r="E59">
        <v>16</v>
      </c>
    </row>
    <row r="60" spans="1:5" x14ac:dyDescent="0.25">
      <c r="A60" t="s">
        <v>7</v>
      </c>
      <c r="B60" t="s">
        <v>32</v>
      </c>
      <c r="C60" t="s">
        <v>114</v>
      </c>
      <c r="D60">
        <v>36</v>
      </c>
      <c r="E60">
        <v>14</v>
      </c>
    </row>
    <row r="61" spans="1:5" x14ac:dyDescent="0.25">
      <c r="A61" t="s">
        <v>7</v>
      </c>
      <c r="B61" t="s">
        <v>32</v>
      </c>
      <c r="C61" t="s">
        <v>60</v>
      </c>
      <c r="D61">
        <v>25</v>
      </c>
      <c r="E61">
        <v>45</v>
      </c>
    </row>
    <row r="62" spans="1:5" x14ac:dyDescent="0.25">
      <c r="A62" t="s">
        <v>7</v>
      </c>
      <c r="B62" t="s">
        <v>41</v>
      </c>
      <c r="C62" t="s">
        <v>192</v>
      </c>
      <c r="D62">
        <v>46</v>
      </c>
      <c r="E62">
        <v>14</v>
      </c>
    </row>
    <row r="63" spans="1:5" x14ac:dyDescent="0.25">
      <c r="A63" t="s">
        <v>7</v>
      </c>
      <c r="B63" t="s">
        <v>41</v>
      </c>
      <c r="C63" t="s">
        <v>72</v>
      </c>
      <c r="D63">
        <v>46</v>
      </c>
      <c r="E63">
        <v>4</v>
      </c>
    </row>
    <row r="64" spans="1:5" x14ac:dyDescent="0.25">
      <c r="A64" t="s">
        <v>7</v>
      </c>
      <c r="B64" t="s">
        <v>41</v>
      </c>
      <c r="C64" t="s">
        <v>42</v>
      </c>
      <c r="D64">
        <v>44</v>
      </c>
      <c r="E64">
        <v>280</v>
      </c>
    </row>
    <row r="65" spans="1:5" x14ac:dyDescent="0.25">
      <c r="A65" t="s">
        <v>7</v>
      </c>
      <c r="B65" t="s">
        <v>41</v>
      </c>
      <c r="C65" t="s">
        <v>44</v>
      </c>
      <c r="D65">
        <v>39</v>
      </c>
      <c r="E65">
        <v>30</v>
      </c>
    </row>
    <row r="66" spans="1:5" x14ac:dyDescent="0.25">
      <c r="A66" t="s">
        <v>7</v>
      </c>
      <c r="B66" t="s">
        <v>41</v>
      </c>
      <c r="C66" t="s">
        <v>218</v>
      </c>
      <c r="D66">
        <v>33</v>
      </c>
      <c r="E66">
        <v>9</v>
      </c>
    </row>
    <row r="67" spans="1:5" x14ac:dyDescent="0.25">
      <c r="A67" t="s">
        <v>7</v>
      </c>
      <c r="B67" t="s">
        <v>41</v>
      </c>
      <c r="C67" t="s">
        <v>47</v>
      </c>
      <c r="D67">
        <v>1</v>
      </c>
      <c r="E67">
        <v>128</v>
      </c>
    </row>
    <row r="68" spans="1:5" x14ac:dyDescent="0.25">
      <c r="A68" t="s">
        <v>8</v>
      </c>
      <c r="B68" t="s">
        <v>19</v>
      </c>
      <c r="C68" t="s">
        <v>97</v>
      </c>
      <c r="D68">
        <v>50</v>
      </c>
      <c r="E68">
        <v>10</v>
      </c>
    </row>
    <row r="69" spans="1:5" x14ac:dyDescent="0.25">
      <c r="A69" t="s">
        <v>8</v>
      </c>
      <c r="B69" t="s">
        <v>19</v>
      </c>
      <c r="C69" t="s">
        <v>233</v>
      </c>
      <c r="D69">
        <v>42</v>
      </c>
      <c r="E69">
        <v>1</v>
      </c>
    </row>
    <row r="70" spans="1:5" x14ac:dyDescent="0.25">
      <c r="A70" t="s">
        <v>8</v>
      </c>
      <c r="B70" t="s">
        <v>19</v>
      </c>
      <c r="C70" t="s">
        <v>98</v>
      </c>
      <c r="D70">
        <v>19</v>
      </c>
      <c r="E70">
        <v>12</v>
      </c>
    </row>
    <row r="71" spans="1:5" x14ac:dyDescent="0.25">
      <c r="A71" t="s">
        <v>8</v>
      </c>
      <c r="B71" t="s">
        <v>23</v>
      </c>
      <c r="C71" t="s">
        <v>24</v>
      </c>
      <c r="D71">
        <v>127</v>
      </c>
      <c r="E71">
        <v>265</v>
      </c>
    </row>
    <row r="72" spans="1:5" x14ac:dyDescent="0.25">
      <c r="A72" t="s">
        <v>8</v>
      </c>
      <c r="B72" t="s">
        <v>23</v>
      </c>
      <c r="C72" t="s">
        <v>107</v>
      </c>
      <c r="D72">
        <v>39</v>
      </c>
      <c r="E72">
        <v>6</v>
      </c>
    </row>
    <row r="73" spans="1:5" x14ac:dyDescent="0.25">
      <c r="A73" t="s">
        <v>8</v>
      </c>
      <c r="B73" t="s">
        <v>23</v>
      </c>
      <c r="C73" t="s">
        <v>31</v>
      </c>
      <c r="D73">
        <v>38</v>
      </c>
      <c r="E73">
        <v>9</v>
      </c>
    </row>
    <row r="74" spans="1:5" x14ac:dyDescent="0.25">
      <c r="A74" t="s">
        <v>8</v>
      </c>
      <c r="B74" t="s">
        <v>23</v>
      </c>
      <c r="C74" t="s">
        <v>154</v>
      </c>
      <c r="D74">
        <v>38</v>
      </c>
      <c r="E74">
        <v>13</v>
      </c>
    </row>
    <row r="75" spans="1:5" x14ac:dyDescent="0.25">
      <c r="A75" t="s">
        <v>8</v>
      </c>
      <c r="B75" t="s">
        <v>23</v>
      </c>
      <c r="C75" t="s">
        <v>106</v>
      </c>
      <c r="D75">
        <v>34</v>
      </c>
      <c r="E75">
        <v>12</v>
      </c>
    </row>
    <row r="76" spans="1:5" x14ac:dyDescent="0.25">
      <c r="A76" t="s">
        <v>8</v>
      </c>
      <c r="B76" t="s">
        <v>23</v>
      </c>
      <c r="C76" t="s">
        <v>75</v>
      </c>
      <c r="D76">
        <v>21</v>
      </c>
      <c r="E76">
        <v>40</v>
      </c>
    </row>
    <row r="77" spans="1:5" x14ac:dyDescent="0.25">
      <c r="A77" t="s">
        <v>8</v>
      </c>
      <c r="B77" t="s">
        <v>23</v>
      </c>
      <c r="C77" t="s">
        <v>79</v>
      </c>
      <c r="D77">
        <v>19</v>
      </c>
      <c r="E77">
        <v>8</v>
      </c>
    </row>
    <row r="78" spans="1:5" x14ac:dyDescent="0.25">
      <c r="A78" t="s">
        <v>8</v>
      </c>
      <c r="B78" t="s">
        <v>23</v>
      </c>
      <c r="C78" t="s">
        <v>224</v>
      </c>
      <c r="D78">
        <v>19</v>
      </c>
      <c r="E78">
        <v>46</v>
      </c>
    </row>
    <row r="79" spans="1:5" x14ac:dyDescent="0.25">
      <c r="A79" t="s">
        <v>8</v>
      </c>
      <c r="B79" t="s">
        <v>32</v>
      </c>
      <c r="C79" t="s">
        <v>62</v>
      </c>
      <c r="D79">
        <v>59</v>
      </c>
      <c r="E79">
        <v>20</v>
      </c>
    </row>
    <row r="80" spans="1:5" x14ac:dyDescent="0.25">
      <c r="A80" t="s">
        <v>8</v>
      </c>
      <c r="B80" t="s">
        <v>32</v>
      </c>
      <c r="C80" t="s">
        <v>86</v>
      </c>
      <c r="D80">
        <v>57</v>
      </c>
      <c r="E80">
        <v>37</v>
      </c>
    </row>
    <row r="81" spans="1:5" x14ac:dyDescent="0.25">
      <c r="A81" t="s">
        <v>8</v>
      </c>
      <c r="B81" t="s">
        <v>32</v>
      </c>
      <c r="C81" t="s">
        <v>165</v>
      </c>
      <c r="D81">
        <v>53</v>
      </c>
      <c r="E81">
        <v>23</v>
      </c>
    </row>
    <row r="82" spans="1:5" x14ac:dyDescent="0.25">
      <c r="A82" t="s">
        <v>8</v>
      </c>
      <c r="B82" t="s">
        <v>32</v>
      </c>
      <c r="C82" t="s">
        <v>221</v>
      </c>
      <c r="D82">
        <v>41</v>
      </c>
      <c r="E82">
        <v>32</v>
      </c>
    </row>
    <row r="83" spans="1:5" x14ac:dyDescent="0.25">
      <c r="A83" t="s">
        <v>8</v>
      </c>
      <c r="B83" t="s">
        <v>32</v>
      </c>
      <c r="C83" t="s">
        <v>209</v>
      </c>
      <c r="D83">
        <v>35</v>
      </c>
      <c r="E83">
        <v>15</v>
      </c>
    </row>
    <row r="84" spans="1:5" x14ac:dyDescent="0.25">
      <c r="A84" t="s">
        <v>8</v>
      </c>
      <c r="B84" t="s">
        <v>32</v>
      </c>
      <c r="C84" t="s">
        <v>63</v>
      </c>
      <c r="D84">
        <v>30</v>
      </c>
      <c r="E84">
        <v>18</v>
      </c>
    </row>
    <row r="85" spans="1:5" x14ac:dyDescent="0.25">
      <c r="A85" t="s">
        <v>8</v>
      </c>
      <c r="B85" t="s">
        <v>32</v>
      </c>
      <c r="C85" t="s">
        <v>87</v>
      </c>
      <c r="D85">
        <v>27</v>
      </c>
      <c r="E85">
        <v>16</v>
      </c>
    </row>
    <row r="86" spans="1:5" x14ac:dyDescent="0.25">
      <c r="A86" t="s">
        <v>8</v>
      </c>
      <c r="B86" t="s">
        <v>32</v>
      </c>
      <c r="C86" t="s">
        <v>40</v>
      </c>
      <c r="D86">
        <v>27</v>
      </c>
      <c r="E86">
        <v>14</v>
      </c>
    </row>
    <row r="87" spans="1:5" x14ac:dyDescent="0.25">
      <c r="A87" t="s">
        <v>8</v>
      </c>
      <c r="B87" t="s">
        <v>41</v>
      </c>
      <c r="C87" t="s">
        <v>168</v>
      </c>
      <c r="D87">
        <v>53</v>
      </c>
      <c r="E87">
        <v>83</v>
      </c>
    </row>
    <row r="88" spans="1:5" x14ac:dyDescent="0.25">
      <c r="A88" t="s">
        <v>8</v>
      </c>
      <c r="B88" t="s">
        <v>41</v>
      </c>
      <c r="C88" t="s">
        <v>145</v>
      </c>
      <c r="D88">
        <v>52</v>
      </c>
      <c r="E88">
        <v>18</v>
      </c>
    </row>
    <row r="89" spans="1:5" x14ac:dyDescent="0.25">
      <c r="A89" t="s">
        <v>8</v>
      </c>
      <c r="B89" t="s">
        <v>41</v>
      </c>
      <c r="C89" t="s">
        <v>46</v>
      </c>
      <c r="D89">
        <v>45</v>
      </c>
      <c r="E89">
        <v>9</v>
      </c>
    </row>
    <row r="90" spans="1:5" x14ac:dyDescent="0.25">
      <c r="A90" t="s">
        <v>8</v>
      </c>
      <c r="B90" t="s">
        <v>41</v>
      </c>
      <c r="C90" t="s">
        <v>120</v>
      </c>
      <c r="D90">
        <v>30</v>
      </c>
      <c r="E90">
        <v>60</v>
      </c>
    </row>
    <row r="91" spans="1:5" x14ac:dyDescent="0.25">
      <c r="A91" t="s">
        <v>8</v>
      </c>
      <c r="B91" t="s">
        <v>41</v>
      </c>
      <c r="C91" t="s">
        <v>144</v>
      </c>
      <c r="D91">
        <v>23</v>
      </c>
      <c r="E91">
        <v>22</v>
      </c>
    </row>
    <row r="92" spans="1:5" x14ac:dyDescent="0.25">
      <c r="A92" t="s">
        <v>8</v>
      </c>
      <c r="B92" t="s">
        <v>41</v>
      </c>
      <c r="C92" t="s">
        <v>169</v>
      </c>
      <c r="D92">
        <v>21</v>
      </c>
      <c r="E92">
        <v>25</v>
      </c>
    </row>
    <row r="93" spans="1:5" x14ac:dyDescent="0.25">
      <c r="A93" t="s">
        <v>9</v>
      </c>
      <c r="B93" t="s">
        <v>19</v>
      </c>
      <c r="C93" t="s">
        <v>195</v>
      </c>
      <c r="D93">
        <v>47</v>
      </c>
      <c r="E93">
        <v>27</v>
      </c>
    </row>
    <row r="94" spans="1:5" x14ac:dyDescent="0.25">
      <c r="A94" t="s">
        <v>9</v>
      </c>
      <c r="B94" t="s">
        <v>19</v>
      </c>
      <c r="C94" t="s">
        <v>123</v>
      </c>
      <c r="D94">
        <v>24</v>
      </c>
      <c r="E94">
        <v>1</v>
      </c>
    </row>
    <row r="95" spans="1:5" x14ac:dyDescent="0.25">
      <c r="A95" t="s">
        <v>9</v>
      </c>
      <c r="B95" t="s">
        <v>19</v>
      </c>
      <c r="C95" t="s">
        <v>74</v>
      </c>
      <c r="D95">
        <v>1</v>
      </c>
      <c r="E95">
        <v>1</v>
      </c>
    </row>
    <row r="96" spans="1:5" x14ac:dyDescent="0.25">
      <c r="A96" t="s">
        <v>9</v>
      </c>
      <c r="B96" t="s">
        <v>23</v>
      </c>
      <c r="C96" t="s">
        <v>104</v>
      </c>
      <c r="D96">
        <v>26</v>
      </c>
      <c r="E96">
        <v>2</v>
      </c>
    </row>
    <row r="97" spans="1:5" x14ac:dyDescent="0.25">
      <c r="A97" t="s">
        <v>9</v>
      </c>
      <c r="B97" t="s">
        <v>23</v>
      </c>
      <c r="C97" t="s">
        <v>103</v>
      </c>
      <c r="D97">
        <v>24</v>
      </c>
      <c r="E97">
        <v>10</v>
      </c>
    </row>
    <row r="98" spans="1:5" x14ac:dyDescent="0.25">
      <c r="A98" t="s">
        <v>9</v>
      </c>
      <c r="B98" t="s">
        <v>23</v>
      </c>
      <c r="C98" t="s">
        <v>102</v>
      </c>
      <c r="D98">
        <v>21</v>
      </c>
      <c r="E98">
        <v>12</v>
      </c>
    </row>
    <row r="99" spans="1:5" x14ac:dyDescent="0.25">
      <c r="A99" t="s">
        <v>9</v>
      </c>
      <c r="B99" t="s">
        <v>23</v>
      </c>
      <c r="C99" t="s">
        <v>127</v>
      </c>
      <c r="D99">
        <v>17</v>
      </c>
      <c r="E99">
        <v>1</v>
      </c>
    </row>
    <row r="100" spans="1:5" x14ac:dyDescent="0.25">
      <c r="A100" t="s">
        <v>9</v>
      </c>
      <c r="B100" t="s">
        <v>23</v>
      </c>
      <c r="C100" t="s">
        <v>101</v>
      </c>
      <c r="D100">
        <v>16</v>
      </c>
      <c r="E100">
        <v>11</v>
      </c>
    </row>
    <row r="101" spans="1:5" x14ac:dyDescent="0.25">
      <c r="A101" t="s">
        <v>9</v>
      </c>
      <c r="B101" t="s">
        <v>23</v>
      </c>
      <c r="C101" t="s">
        <v>226</v>
      </c>
      <c r="D101">
        <v>1</v>
      </c>
      <c r="E101">
        <v>27</v>
      </c>
    </row>
    <row r="102" spans="1:5" x14ac:dyDescent="0.25">
      <c r="A102" t="s">
        <v>9</v>
      </c>
      <c r="B102" t="s">
        <v>23</v>
      </c>
      <c r="C102" t="s">
        <v>227</v>
      </c>
      <c r="D102">
        <v>1</v>
      </c>
      <c r="E102">
        <v>15</v>
      </c>
    </row>
    <row r="103" spans="1:5" x14ac:dyDescent="0.25">
      <c r="A103" t="s">
        <v>9</v>
      </c>
      <c r="B103" t="s">
        <v>23</v>
      </c>
      <c r="C103" t="s">
        <v>223</v>
      </c>
      <c r="D103">
        <v>1</v>
      </c>
      <c r="E103">
        <v>27</v>
      </c>
    </row>
    <row r="104" spans="1:5" x14ac:dyDescent="0.25">
      <c r="A104" t="s">
        <v>9</v>
      </c>
      <c r="B104" t="s">
        <v>32</v>
      </c>
      <c r="C104" t="s">
        <v>108</v>
      </c>
      <c r="D104">
        <v>106</v>
      </c>
      <c r="E104">
        <v>200</v>
      </c>
    </row>
    <row r="105" spans="1:5" x14ac:dyDescent="0.25">
      <c r="A105" t="s">
        <v>9</v>
      </c>
      <c r="B105" t="s">
        <v>32</v>
      </c>
      <c r="C105" t="s">
        <v>161</v>
      </c>
      <c r="D105">
        <v>51</v>
      </c>
      <c r="E105">
        <v>7</v>
      </c>
    </row>
    <row r="106" spans="1:5" x14ac:dyDescent="0.25">
      <c r="A106" t="s">
        <v>9</v>
      </c>
      <c r="B106" t="s">
        <v>32</v>
      </c>
      <c r="C106" t="s">
        <v>211</v>
      </c>
      <c r="D106">
        <v>50</v>
      </c>
      <c r="E106">
        <v>3</v>
      </c>
    </row>
    <row r="107" spans="1:5" x14ac:dyDescent="0.25">
      <c r="A107" t="s">
        <v>9</v>
      </c>
      <c r="B107" t="s">
        <v>32</v>
      </c>
      <c r="C107" t="s">
        <v>35</v>
      </c>
      <c r="D107">
        <v>47</v>
      </c>
      <c r="E107">
        <v>21</v>
      </c>
    </row>
    <row r="108" spans="1:5" x14ac:dyDescent="0.25">
      <c r="A108" t="s">
        <v>9</v>
      </c>
      <c r="B108" t="s">
        <v>32</v>
      </c>
      <c r="C108" t="s">
        <v>235</v>
      </c>
      <c r="D108">
        <v>38</v>
      </c>
      <c r="E108">
        <v>82</v>
      </c>
    </row>
    <row r="109" spans="1:5" x14ac:dyDescent="0.25">
      <c r="A109" t="s">
        <v>9</v>
      </c>
      <c r="B109" t="s">
        <v>32</v>
      </c>
      <c r="C109" t="s">
        <v>162</v>
      </c>
      <c r="D109">
        <v>34</v>
      </c>
      <c r="E109">
        <v>14</v>
      </c>
    </row>
    <row r="110" spans="1:5" x14ac:dyDescent="0.25">
      <c r="A110" t="s">
        <v>9</v>
      </c>
      <c r="B110" t="s">
        <v>32</v>
      </c>
      <c r="C110" t="s">
        <v>88</v>
      </c>
      <c r="D110">
        <v>31</v>
      </c>
      <c r="E110">
        <v>18</v>
      </c>
    </row>
    <row r="111" spans="1:5" x14ac:dyDescent="0.25">
      <c r="A111" t="s">
        <v>9</v>
      </c>
      <c r="B111" t="s">
        <v>32</v>
      </c>
      <c r="C111" t="s">
        <v>110</v>
      </c>
      <c r="D111">
        <v>24</v>
      </c>
      <c r="E111">
        <v>41</v>
      </c>
    </row>
    <row r="112" spans="1:5" x14ac:dyDescent="0.25">
      <c r="A112" t="s">
        <v>9</v>
      </c>
      <c r="B112" t="s">
        <v>41</v>
      </c>
      <c r="C112" t="s">
        <v>189</v>
      </c>
      <c r="D112">
        <v>158</v>
      </c>
      <c r="E112">
        <v>225</v>
      </c>
    </row>
    <row r="113" spans="1:5" x14ac:dyDescent="0.25">
      <c r="A113" t="s">
        <v>9</v>
      </c>
      <c r="B113" t="s">
        <v>41</v>
      </c>
      <c r="C113" t="s">
        <v>142</v>
      </c>
      <c r="D113">
        <v>147</v>
      </c>
      <c r="E113">
        <v>240</v>
      </c>
    </row>
    <row r="114" spans="1:5" x14ac:dyDescent="0.25">
      <c r="A114" t="s">
        <v>9</v>
      </c>
      <c r="B114" t="s">
        <v>41</v>
      </c>
      <c r="C114" t="s">
        <v>117</v>
      </c>
      <c r="D114">
        <v>90</v>
      </c>
      <c r="E114">
        <v>120</v>
      </c>
    </row>
    <row r="115" spans="1:5" x14ac:dyDescent="0.25">
      <c r="A115" t="s">
        <v>9</v>
      </c>
      <c r="B115" t="s">
        <v>41</v>
      </c>
      <c r="C115" t="s">
        <v>166</v>
      </c>
      <c r="D115">
        <v>15</v>
      </c>
      <c r="E115">
        <v>121</v>
      </c>
    </row>
    <row r="116" spans="1:5" x14ac:dyDescent="0.25">
      <c r="A116" t="s">
        <v>9</v>
      </c>
      <c r="B116" t="s">
        <v>41</v>
      </c>
      <c r="C116" t="s">
        <v>171</v>
      </c>
      <c r="D116">
        <v>15</v>
      </c>
      <c r="E116">
        <v>4</v>
      </c>
    </row>
    <row r="117" spans="1:5" x14ac:dyDescent="0.25">
      <c r="A117" t="s">
        <v>9</v>
      </c>
      <c r="B117" t="s">
        <v>41</v>
      </c>
      <c r="C117" t="s">
        <v>215</v>
      </c>
      <c r="D117">
        <v>15</v>
      </c>
      <c r="E117">
        <v>20</v>
      </c>
    </row>
    <row r="118" spans="1:5" x14ac:dyDescent="0.25">
      <c r="A118" t="s">
        <v>10</v>
      </c>
      <c r="B118" t="s">
        <v>19</v>
      </c>
      <c r="C118" t="s">
        <v>21</v>
      </c>
      <c r="D118">
        <v>48</v>
      </c>
      <c r="E118">
        <v>1</v>
      </c>
    </row>
    <row r="119" spans="1:5" x14ac:dyDescent="0.25">
      <c r="A119" t="s">
        <v>10</v>
      </c>
      <c r="B119" t="s">
        <v>19</v>
      </c>
      <c r="C119" t="s">
        <v>122</v>
      </c>
      <c r="D119">
        <v>44</v>
      </c>
      <c r="E119">
        <v>10</v>
      </c>
    </row>
    <row r="120" spans="1:5" x14ac:dyDescent="0.25">
      <c r="A120" t="s">
        <v>10</v>
      </c>
      <c r="B120" t="s">
        <v>19</v>
      </c>
      <c r="C120" t="s">
        <v>22</v>
      </c>
      <c r="D120">
        <v>42</v>
      </c>
      <c r="E120">
        <v>1</v>
      </c>
    </row>
    <row r="121" spans="1:5" x14ac:dyDescent="0.25">
      <c r="A121" t="s">
        <v>10</v>
      </c>
      <c r="B121" t="s">
        <v>23</v>
      </c>
      <c r="C121" t="s">
        <v>77</v>
      </c>
      <c r="D121">
        <v>46</v>
      </c>
      <c r="E121">
        <v>32</v>
      </c>
    </row>
    <row r="122" spans="1:5" x14ac:dyDescent="0.25">
      <c r="A122" t="s">
        <v>10</v>
      </c>
      <c r="B122" t="s">
        <v>23</v>
      </c>
      <c r="C122" t="s">
        <v>225</v>
      </c>
      <c r="D122">
        <v>46</v>
      </c>
      <c r="E122">
        <v>28</v>
      </c>
    </row>
    <row r="123" spans="1:5" x14ac:dyDescent="0.25">
      <c r="A123" t="s">
        <v>10</v>
      </c>
      <c r="B123" t="s">
        <v>23</v>
      </c>
      <c r="C123" t="s">
        <v>180</v>
      </c>
      <c r="D123">
        <v>43</v>
      </c>
      <c r="E123">
        <v>16</v>
      </c>
    </row>
    <row r="124" spans="1:5" x14ac:dyDescent="0.25">
      <c r="A124" t="s">
        <v>10</v>
      </c>
      <c r="B124" t="s">
        <v>23</v>
      </c>
      <c r="C124" t="s">
        <v>202</v>
      </c>
      <c r="D124">
        <v>1</v>
      </c>
      <c r="E124">
        <v>4</v>
      </c>
    </row>
    <row r="125" spans="1:5" x14ac:dyDescent="0.25">
      <c r="A125" t="s">
        <v>10</v>
      </c>
      <c r="B125" t="s">
        <v>23</v>
      </c>
      <c r="C125" t="s">
        <v>78</v>
      </c>
      <c r="D125">
        <v>1</v>
      </c>
      <c r="E125">
        <v>13</v>
      </c>
    </row>
    <row r="126" spans="1:5" x14ac:dyDescent="0.25">
      <c r="A126" t="s">
        <v>10</v>
      </c>
      <c r="B126" t="s">
        <v>23</v>
      </c>
      <c r="C126" t="s">
        <v>203</v>
      </c>
      <c r="D126">
        <v>1</v>
      </c>
      <c r="E126">
        <v>12</v>
      </c>
    </row>
    <row r="127" spans="1:5" x14ac:dyDescent="0.25">
      <c r="A127" t="s">
        <v>10</v>
      </c>
      <c r="B127" t="s">
        <v>23</v>
      </c>
      <c r="C127" t="s">
        <v>201</v>
      </c>
      <c r="D127">
        <v>1</v>
      </c>
      <c r="E127">
        <v>15</v>
      </c>
    </row>
    <row r="128" spans="1:5" x14ac:dyDescent="0.25">
      <c r="A128" t="s">
        <v>10</v>
      </c>
      <c r="B128" t="s">
        <v>23</v>
      </c>
      <c r="C128" t="s">
        <v>132</v>
      </c>
      <c r="D128">
        <v>1</v>
      </c>
      <c r="E128">
        <v>4</v>
      </c>
    </row>
    <row r="129" spans="1:5" x14ac:dyDescent="0.25">
      <c r="A129" t="s">
        <v>10</v>
      </c>
      <c r="B129" t="s">
        <v>32</v>
      </c>
      <c r="C129" t="s">
        <v>133</v>
      </c>
      <c r="D129">
        <v>54</v>
      </c>
      <c r="E129">
        <v>91</v>
      </c>
    </row>
    <row r="130" spans="1:5" x14ac:dyDescent="0.25">
      <c r="A130" t="s">
        <v>10</v>
      </c>
      <c r="B130" t="s">
        <v>32</v>
      </c>
      <c r="C130" t="s">
        <v>112</v>
      </c>
      <c r="D130">
        <v>51</v>
      </c>
      <c r="E130">
        <v>42</v>
      </c>
    </row>
    <row r="131" spans="1:5" x14ac:dyDescent="0.25">
      <c r="A131" t="s">
        <v>10</v>
      </c>
      <c r="B131" t="s">
        <v>32</v>
      </c>
      <c r="C131" t="s">
        <v>113</v>
      </c>
      <c r="D131">
        <v>50</v>
      </c>
      <c r="E131">
        <v>23</v>
      </c>
    </row>
    <row r="132" spans="1:5" x14ac:dyDescent="0.25">
      <c r="A132" t="s">
        <v>10</v>
      </c>
      <c r="B132" t="s">
        <v>32</v>
      </c>
      <c r="C132" t="s">
        <v>159</v>
      </c>
      <c r="D132">
        <v>47</v>
      </c>
      <c r="E132">
        <v>23</v>
      </c>
    </row>
    <row r="133" spans="1:5" x14ac:dyDescent="0.25">
      <c r="A133" t="s">
        <v>10</v>
      </c>
      <c r="B133" t="s">
        <v>32</v>
      </c>
      <c r="C133" t="s">
        <v>36</v>
      </c>
      <c r="D133">
        <v>31</v>
      </c>
      <c r="E133">
        <v>5</v>
      </c>
    </row>
    <row r="134" spans="1:5" x14ac:dyDescent="0.25">
      <c r="A134" t="s">
        <v>10</v>
      </c>
      <c r="B134" t="s">
        <v>32</v>
      </c>
      <c r="C134" t="s">
        <v>134</v>
      </c>
      <c r="D134">
        <v>15</v>
      </c>
      <c r="E134">
        <v>7</v>
      </c>
    </row>
    <row r="135" spans="1:5" x14ac:dyDescent="0.25">
      <c r="A135" t="s">
        <v>10</v>
      </c>
      <c r="B135" t="s">
        <v>32</v>
      </c>
      <c r="C135" t="s">
        <v>139</v>
      </c>
      <c r="D135">
        <v>1</v>
      </c>
      <c r="E135">
        <v>12</v>
      </c>
    </row>
    <row r="136" spans="1:5" x14ac:dyDescent="0.25">
      <c r="A136" t="s">
        <v>10</v>
      </c>
      <c r="B136" t="s">
        <v>32</v>
      </c>
      <c r="C136" t="s">
        <v>115</v>
      </c>
      <c r="D136">
        <v>1</v>
      </c>
      <c r="E136">
        <v>3</v>
      </c>
    </row>
    <row r="137" spans="1:5" x14ac:dyDescent="0.25">
      <c r="A137" t="s">
        <v>10</v>
      </c>
      <c r="B137" t="s">
        <v>41</v>
      </c>
      <c r="C137" t="s">
        <v>141</v>
      </c>
      <c r="D137">
        <v>255</v>
      </c>
      <c r="E137">
        <v>365</v>
      </c>
    </row>
    <row r="138" spans="1:5" x14ac:dyDescent="0.25">
      <c r="A138" t="s">
        <v>10</v>
      </c>
      <c r="B138" t="s">
        <v>41</v>
      </c>
      <c r="C138" t="s">
        <v>93</v>
      </c>
      <c r="D138">
        <v>63</v>
      </c>
      <c r="E138">
        <v>45</v>
      </c>
    </row>
    <row r="139" spans="1:5" x14ac:dyDescent="0.25">
      <c r="A139" t="s">
        <v>10</v>
      </c>
      <c r="B139" t="s">
        <v>41</v>
      </c>
      <c r="C139" t="s">
        <v>217</v>
      </c>
      <c r="D139">
        <v>50</v>
      </c>
      <c r="E139">
        <v>10</v>
      </c>
    </row>
    <row r="140" spans="1:5" x14ac:dyDescent="0.25">
      <c r="A140" t="s">
        <v>10</v>
      </c>
      <c r="B140" t="s">
        <v>41</v>
      </c>
      <c r="C140" t="s">
        <v>194</v>
      </c>
      <c r="D140">
        <v>48</v>
      </c>
      <c r="E140">
        <v>3</v>
      </c>
    </row>
    <row r="141" spans="1:5" x14ac:dyDescent="0.25">
      <c r="A141" t="s">
        <v>10</v>
      </c>
      <c r="B141" t="s">
        <v>41</v>
      </c>
      <c r="C141" t="s">
        <v>70</v>
      </c>
      <c r="D141">
        <v>45</v>
      </c>
      <c r="E141">
        <v>40</v>
      </c>
    </row>
    <row r="142" spans="1:5" x14ac:dyDescent="0.25">
      <c r="A142" t="s">
        <v>10</v>
      </c>
      <c r="B142" t="s">
        <v>41</v>
      </c>
      <c r="C142" t="s">
        <v>170</v>
      </c>
      <c r="D142">
        <v>6</v>
      </c>
      <c r="E142">
        <v>21</v>
      </c>
    </row>
    <row r="143" spans="1:5" x14ac:dyDescent="0.25">
      <c r="A143" t="s">
        <v>11</v>
      </c>
      <c r="B143" t="s">
        <v>19</v>
      </c>
      <c r="C143" t="s">
        <v>173</v>
      </c>
      <c r="D143">
        <v>56</v>
      </c>
      <c r="E143">
        <v>45</v>
      </c>
    </row>
    <row r="144" spans="1:5" x14ac:dyDescent="0.25">
      <c r="A144" t="s">
        <v>11</v>
      </c>
      <c r="B144" t="s">
        <v>19</v>
      </c>
      <c r="C144" t="s">
        <v>196</v>
      </c>
      <c r="D144">
        <v>29</v>
      </c>
      <c r="E144">
        <v>1</v>
      </c>
    </row>
    <row r="145" spans="1:5" x14ac:dyDescent="0.25">
      <c r="A145" t="s">
        <v>11</v>
      </c>
      <c r="B145" t="s">
        <v>19</v>
      </c>
      <c r="C145" t="s">
        <v>148</v>
      </c>
      <c r="D145">
        <v>23</v>
      </c>
      <c r="E145">
        <v>1</v>
      </c>
    </row>
    <row r="146" spans="1:5" x14ac:dyDescent="0.25">
      <c r="A146" t="s">
        <v>11</v>
      </c>
      <c r="B146" t="s">
        <v>23</v>
      </c>
      <c r="C146" t="s">
        <v>76</v>
      </c>
      <c r="D146">
        <v>49</v>
      </c>
      <c r="E146">
        <v>47</v>
      </c>
    </row>
    <row r="147" spans="1:5" x14ac:dyDescent="0.25">
      <c r="A147" t="s">
        <v>11</v>
      </c>
      <c r="B147" t="s">
        <v>23</v>
      </c>
      <c r="C147" t="s">
        <v>153</v>
      </c>
      <c r="D147">
        <v>42</v>
      </c>
      <c r="E147">
        <v>20</v>
      </c>
    </row>
    <row r="148" spans="1:5" x14ac:dyDescent="0.25">
      <c r="A148" t="s">
        <v>11</v>
      </c>
      <c r="B148" t="s">
        <v>23</v>
      </c>
      <c r="C148" t="s">
        <v>177</v>
      </c>
      <c r="D148">
        <v>42</v>
      </c>
      <c r="E148">
        <v>10</v>
      </c>
    </row>
    <row r="149" spans="1:5" x14ac:dyDescent="0.25">
      <c r="A149" t="s">
        <v>11</v>
      </c>
      <c r="B149" t="s">
        <v>23</v>
      </c>
      <c r="C149" t="s">
        <v>125</v>
      </c>
      <c r="D149">
        <v>38</v>
      </c>
      <c r="E149">
        <v>46</v>
      </c>
    </row>
    <row r="150" spans="1:5" x14ac:dyDescent="0.25">
      <c r="A150" t="s">
        <v>11</v>
      </c>
      <c r="B150" t="s">
        <v>23</v>
      </c>
      <c r="C150" t="s">
        <v>157</v>
      </c>
      <c r="D150">
        <v>37</v>
      </c>
      <c r="E150">
        <v>1</v>
      </c>
    </row>
    <row r="151" spans="1:5" x14ac:dyDescent="0.25">
      <c r="A151" t="s">
        <v>11</v>
      </c>
      <c r="B151" t="s">
        <v>23</v>
      </c>
      <c r="C151" t="s">
        <v>81</v>
      </c>
      <c r="D151">
        <v>37</v>
      </c>
      <c r="E151">
        <v>1</v>
      </c>
    </row>
    <row r="152" spans="1:5" x14ac:dyDescent="0.25">
      <c r="A152" t="s">
        <v>11</v>
      </c>
      <c r="B152" t="s">
        <v>23</v>
      </c>
      <c r="C152" t="s">
        <v>56</v>
      </c>
      <c r="D152">
        <v>30</v>
      </c>
      <c r="E152">
        <v>8</v>
      </c>
    </row>
    <row r="153" spans="1:5" x14ac:dyDescent="0.25">
      <c r="A153" t="s">
        <v>11</v>
      </c>
      <c r="B153" t="s">
        <v>23</v>
      </c>
      <c r="C153" t="s">
        <v>128</v>
      </c>
      <c r="D153">
        <v>26</v>
      </c>
      <c r="E153">
        <v>7</v>
      </c>
    </row>
    <row r="154" spans="1:5" x14ac:dyDescent="0.25">
      <c r="A154" t="s">
        <v>11</v>
      </c>
      <c r="B154" t="s">
        <v>32</v>
      </c>
      <c r="C154" t="s">
        <v>85</v>
      </c>
      <c r="D154">
        <v>52</v>
      </c>
      <c r="E154">
        <v>43</v>
      </c>
    </row>
    <row r="155" spans="1:5" x14ac:dyDescent="0.25">
      <c r="A155" t="s">
        <v>11</v>
      </c>
      <c r="B155" t="s">
        <v>32</v>
      </c>
      <c r="C155" t="s">
        <v>61</v>
      </c>
      <c r="D155">
        <v>46</v>
      </c>
      <c r="E155">
        <v>29</v>
      </c>
    </row>
    <row r="156" spans="1:5" x14ac:dyDescent="0.25">
      <c r="A156" t="s">
        <v>11</v>
      </c>
      <c r="B156" t="s">
        <v>32</v>
      </c>
      <c r="C156" t="s">
        <v>138</v>
      </c>
      <c r="D156">
        <v>44</v>
      </c>
      <c r="E156">
        <v>8</v>
      </c>
    </row>
    <row r="157" spans="1:5" x14ac:dyDescent="0.25">
      <c r="A157" t="s">
        <v>11</v>
      </c>
      <c r="B157" t="s">
        <v>32</v>
      </c>
      <c r="C157" t="s">
        <v>222</v>
      </c>
      <c r="D157">
        <v>41</v>
      </c>
      <c r="E157">
        <v>41</v>
      </c>
    </row>
    <row r="158" spans="1:5" x14ac:dyDescent="0.25">
      <c r="A158" t="s">
        <v>11</v>
      </c>
      <c r="B158" t="s">
        <v>32</v>
      </c>
      <c r="C158" t="s">
        <v>188</v>
      </c>
      <c r="D158">
        <v>40</v>
      </c>
      <c r="E158">
        <v>13</v>
      </c>
    </row>
    <row r="159" spans="1:5" x14ac:dyDescent="0.25">
      <c r="A159" t="s">
        <v>11</v>
      </c>
      <c r="B159" t="s">
        <v>32</v>
      </c>
      <c r="C159" t="s">
        <v>210</v>
      </c>
      <c r="D159">
        <v>37</v>
      </c>
      <c r="E159">
        <v>10</v>
      </c>
    </row>
    <row r="160" spans="1:5" x14ac:dyDescent="0.25">
      <c r="A160" t="s">
        <v>11</v>
      </c>
      <c r="B160" t="s">
        <v>32</v>
      </c>
      <c r="C160" t="s">
        <v>206</v>
      </c>
      <c r="D160">
        <v>34</v>
      </c>
      <c r="E160">
        <v>61</v>
      </c>
    </row>
    <row r="161" spans="1:5" x14ac:dyDescent="0.25">
      <c r="A161" t="s">
        <v>11</v>
      </c>
      <c r="B161" t="s">
        <v>32</v>
      </c>
      <c r="C161" t="s">
        <v>64</v>
      </c>
      <c r="D161">
        <v>28</v>
      </c>
      <c r="E161">
        <v>16</v>
      </c>
    </row>
    <row r="162" spans="1:5" x14ac:dyDescent="0.25">
      <c r="A162" t="s">
        <v>11</v>
      </c>
      <c r="B162" t="s">
        <v>41</v>
      </c>
      <c r="C162" t="s">
        <v>167</v>
      </c>
      <c r="D162">
        <v>69</v>
      </c>
      <c r="E162">
        <v>100</v>
      </c>
    </row>
    <row r="163" spans="1:5" x14ac:dyDescent="0.25">
      <c r="A163" t="s">
        <v>11</v>
      </c>
      <c r="B163" t="s">
        <v>41</v>
      </c>
      <c r="C163" t="s">
        <v>121</v>
      </c>
      <c r="D163">
        <v>49</v>
      </c>
      <c r="E163">
        <v>2</v>
      </c>
    </row>
    <row r="164" spans="1:5" x14ac:dyDescent="0.25">
      <c r="A164" t="s">
        <v>11</v>
      </c>
      <c r="B164" t="s">
        <v>41</v>
      </c>
      <c r="C164" t="s">
        <v>143</v>
      </c>
      <c r="D164">
        <v>43</v>
      </c>
      <c r="E164">
        <v>52</v>
      </c>
    </row>
    <row r="165" spans="1:5" x14ac:dyDescent="0.25">
      <c r="A165" t="s">
        <v>11</v>
      </c>
      <c r="B165" t="s">
        <v>41</v>
      </c>
      <c r="C165" t="s">
        <v>118</v>
      </c>
      <c r="D165">
        <v>41</v>
      </c>
      <c r="E165">
        <v>50</v>
      </c>
    </row>
    <row r="166" spans="1:5" x14ac:dyDescent="0.25">
      <c r="A166" t="s">
        <v>11</v>
      </c>
      <c r="B166" t="s">
        <v>41</v>
      </c>
      <c r="C166" t="s">
        <v>92</v>
      </c>
      <c r="D166">
        <v>38</v>
      </c>
      <c r="E166">
        <v>31</v>
      </c>
    </row>
    <row r="167" spans="1:5" x14ac:dyDescent="0.25">
      <c r="A167" t="s">
        <v>11</v>
      </c>
      <c r="B167" t="s">
        <v>41</v>
      </c>
      <c r="C167" t="s">
        <v>146</v>
      </c>
      <c r="D167">
        <v>25</v>
      </c>
      <c r="E167">
        <v>9</v>
      </c>
    </row>
    <row r="168" spans="1:5" x14ac:dyDescent="0.25">
      <c r="A168" t="s">
        <v>12</v>
      </c>
      <c r="B168" t="s">
        <v>19</v>
      </c>
      <c r="C168" t="s">
        <v>172</v>
      </c>
      <c r="D168">
        <v>69</v>
      </c>
      <c r="E168">
        <v>37</v>
      </c>
    </row>
    <row r="169" spans="1:5" x14ac:dyDescent="0.25">
      <c r="A169" t="s">
        <v>12</v>
      </c>
      <c r="B169" t="s">
        <v>19</v>
      </c>
      <c r="C169" t="s">
        <v>20</v>
      </c>
      <c r="D169">
        <v>39</v>
      </c>
      <c r="E169">
        <v>29</v>
      </c>
    </row>
    <row r="170" spans="1:5" x14ac:dyDescent="0.25">
      <c r="A170" t="s">
        <v>12</v>
      </c>
      <c r="B170" t="s">
        <v>19</v>
      </c>
      <c r="C170" t="s">
        <v>124</v>
      </c>
      <c r="D170">
        <v>36</v>
      </c>
      <c r="E170">
        <v>1</v>
      </c>
    </row>
    <row r="171" spans="1:5" x14ac:dyDescent="0.25">
      <c r="A171" t="s">
        <v>12</v>
      </c>
      <c r="B171" t="s">
        <v>23</v>
      </c>
      <c r="C171" t="s">
        <v>58</v>
      </c>
      <c r="D171">
        <v>37</v>
      </c>
      <c r="E171">
        <v>9</v>
      </c>
    </row>
    <row r="172" spans="1:5" x14ac:dyDescent="0.25">
      <c r="A172" t="s">
        <v>12</v>
      </c>
      <c r="B172" t="s">
        <v>23</v>
      </c>
      <c r="C172" t="s">
        <v>53</v>
      </c>
      <c r="D172">
        <v>37</v>
      </c>
      <c r="E172">
        <v>19</v>
      </c>
    </row>
    <row r="173" spans="1:5" x14ac:dyDescent="0.25">
      <c r="A173" t="s">
        <v>12</v>
      </c>
      <c r="B173" t="s">
        <v>23</v>
      </c>
      <c r="C173" t="s">
        <v>80</v>
      </c>
      <c r="D173">
        <v>35</v>
      </c>
      <c r="E173">
        <v>12</v>
      </c>
    </row>
    <row r="174" spans="1:5" x14ac:dyDescent="0.25">
      <c r="A174" t="s">
        <v>12</v>
      </c>
      <c r="B174" t="s">
        <v>23</v>
      </c>
      <c r="C174" t="s">
        <v>129</v>
      </c>
      <c r="D174">
        <v>34</v>
      </c>
      <c r="E174">
        <v>3</v>
      </c>
    </row>
    <row r="175" spans="1:5" x14ac:dyDescent="0.25">
      <c r="A175" t="s">
        <v>12</v>
      </c>
      <c r="B175" t="s">
        <v>23</v>
      </c>
      <c r="C175" t="s">
        <v>55</v>
      </c>
      <c r="D175">
        <v>31</v>
      </c>
      <c r="E175">
        <v>10</v>
      </c>
    </row>
    <row r="176" spans="1:5" x14ac:dyDescent="0.25">
      <c r="A176" t="s">
        <v>12</v>
      </c>
      <c r="B176" t="s">
        <v>23</v>
      </c>
      <c r="C176" t="s">
        <v>57</v>
      </c>
      <c r="D176">
        <v>29</v>
      </c>
      <c r="E176">
        <v>10</v>
      </c>
    </row>
    <row r="177" spans="1:5" x14ac:dyDescent="0.25">
      <c r="A177" t="s">
        <v>12</v>
      </c>
      <c r="B177" t="s">
        <v>23</v>
      </c>
      <c r="C177" t="s">
        <v>199</v>
      </c>
      <c r="D177">
        <v>22</v>
      </c>
      <c r="E177">
        <v>16</v>
      </c>
    </row>
    <row r="178" spans="1:5" x14ac:dyDescent="0.25">
      <c r="A178" t="s">
        <v>12</v>
      </c>
      <c r="B178" t="s">
        <v>23</v>
      </c>
      <c r="C178" t="s">
        <v>175</v>
      </c>
      <c r="D178">
        <v>20</v>
      </c>
      <c r="E178">
        <v>21</v>
      </c>
    </row>
    <row r="179" spans="1:5" x14ac:dyDescent="0.25">
      <c r="A179" t="s">
        <v>12</v>
      </c>
      <c r="B179" t="s">
        <v>32</v>
      </c>
      <c r="C179" t="s">
        <v>83</v>
      </c>
      <c r="D179">
        <v>65</v>
      </c>
      <c r="E179">
        <v>102</v>
      </c>
    </row>
    <row r="180" spans="1:5" x14ac:dyDescent="0.25">
      <c r="A180" t="s">
        <v>12</v>
      </c>
      <c r="B180" t="s">
        <v>32</v>
      </c>
      <c r="C180" t="s">
        <v>137</v>
      </c>
      <c r="D180">
        <v>37</v>
      </c>
      <c r="E180">
        <v>1</v>
      </c>
    </row>
    <row r="181" spans="1:5" x14ac:dyDescent="0.25">
      <c r="A181" t="s">
        <v>12</v>
      </c>
      <c r="B181" t="s">
        <v>32</v>
      </c>
      <c r="C181" t="s">
        <v>136</v>
      </c>
      <c r="D181">
        <v>34</v>
      </c>
      <c r="E181">
        <v>5</v>
      </c>
    </row>
    <row r="182" spans="1:5" x14ac:dyDescent="0.25">
      <c r="A182" t="s">
        <v>12</v>
      </c>
      <c r="B182" t="s">
        <v>32</v>
      </c>
      <c r="C182" t="s">
        <v>111</v>
      </c>
      <c r="D182">
        <v>32</v>
      </c>
      <c r="E182">
        <v>37</v>
      </c>
    </row>
    <row r="183" spans="1:5" x14ac:dyDescent="0.25">
      <c r="A183" t="s">
        <v>12</v>
      </c>
      <c r="B183" t="s">
        <v>32</v>
      </c>
      <c r="C183" t="s">
        <v>181</v>
      </c>
      <c r="D183">
        <v>29</v>
      </c>
      <c r="E183">
        <v>57</v>
      </c>
    </row>
    <row r="184" spans="1:5" x14ac:dyDescent="0.25">
      <c r="A184" t="s">
        <v>12</v>
      </c>
      <c r="B184" t="s">
        <v>32</v>
      </c>
      <c r="C184" t="s">
        <v>90</v>
      </c>
      <c r="D184">
        <v>28</v>
      </c>
      <c r="E184">
        <v>12</v>
      </c>
    </row>
    <row r="185" spans="1:5" x14ac:dyDescent="0.25">
      <c r="A185" t="s">
        <v>12</v>
      </c>
      <c r="B185" t="s">
        <v>32</v>
      </c>
      <c r="C185" t="s">
        <v>158</v>
      </c>
      <c r="D185">
        <v>26</v>
      </c>
      <c r="E185">
        <v>26</v>
      </c>
    </row>
    <row r="186" spans="1:5" x14ac:dyDescent="0.25">
      <c r="A186" t="s">
        <v>12</v>
      </c>
      <c r="B186" t="s">
        <v>32</v>
      </c>
      <c r="C186" t="s">
        <v>186</v>
      </c>
      <c r="D186">
        <v>19</v>
      </c>
      <c r="E186">
        <v>1</v>
      </c>
    </row>
    <row r="187" spans="1:5" x14ac:dyDescent="0.25">
      <c r="A187" t="s">
        <v>12</v>
      </c>
      <c r="B187" t="s">
        <v>41</v>
      </c>
      <c r="C187" t="s">
        <v>67</v>
      </c>
      <c r="D187">
        <v>105</v>
      </c>
      <c r="E187">
        <v>82</v>
      </c>
    </row>
    <row r="188" spans="1:5" x14ac:dyDescent="0.25">
      <c r="A188" t="s">
        <v>12</v>
      </c>
      <c r="B188" t="s">
        <v>41</v>
      </c>
      <c r="C188" t="s">
        <v>119</v>
      </c>
      <c r="D188">
        <v>57</v>
      </c>
      <c r="E188">
        <v>50</v>
      </c>
    </row>
    <row r="189" spans="1:5" x14ac:dyDescent="0.25">
      <c r="A189" t="s">
        <v>12</v>
      </c>
      <c r="B189" t="s">
        <v>41</v>
      </c>
      <c r="C189" t="s">
        <v>214</v>
      </c>
      <c r="D189">
        <v>55</v>
      </c>
      <c r="E189">
        <v>39</v>
      </c>
    </row>
    <row r="190" spans="1:5" x14ac:dyDescent="0.25">
      <c r="A190" t="s">
        <v>12</v>
      </c>
      <c r="B190" t="s">
        <v>41</v>
      </c>
      <c r="C190" t="s">
        <v>96</v>
      </c>
      <c r="D190">
        <v>44</v>
      </c>
      <c r="E190">
        <v>11</v>
      </c>
    </row>
    <row r="191" spans="1:5" x14ac:dyDescent="0.25">
      <c r="A191" t="s">
        <v>12</v>
      </c>
      <c r="B191" t="s">
        <v>41</v>
      </c>
      <c r="C191" t="s">
        <v>216</v>
      </c>
      <c r="D191">
        <v>44</v>
      </c>
      <c r="E191">
        <v>9</v>
      </c>
    </row>
    <row r="192" spans="1:5" x14ac:dyDescent="0.25">
      <c r="A192" t="s">
        <v>12</v>
      </c>
      <c r="B192" t="s">
        <v>41</v>
      </c>
      <c r="C192" t="s">
        <v>191</v>
      </c>
      <c r="D192">
        <v>18</v>
      </c>
      <c r="E192">
        <v>10</v>
      </c>
    </row>
    <row r="193" spans="1:5" x14ac:dyDescent="0.25">
      <c r="A193" t="s">
        <v>13</v>
      </c>
      <c r="B193" t="s">
        <v>19</v>
      </c>
      <c r="C193" t="s">
        <v>147</v>
      </c>
      <c r="D193">
        <v>72</v>
      </c>
      <c r="E193">
        <v>50</v>
      </c>
    </row>
    <row r="194" spans="1:5" x14ac:dyDescent="0.25">
      <c r="A194" t="s">
        <v>13</v>
      </c>
      <c r="B194" t="s">
        <v>19</v>
      </c>
      <c r="C194" t="s">
        <v>197</v>
      </c>
      <c r="D194">
        <v>45</v>
      </c>
      <c r="E194">
        <v>1</v>
      </c>
    </row>
    <row r="195" spans="1:5" x14ac:dyDescent="0.25">
      <c r="A195" t="s">
        <v>13</v>
      </c>
      <c r="B195" t="s">
        <v>19</v>
      </c>
      <c r="C195" t="s">
        <v>99</v>
      </c>
      <c r="D195">
        <v>41</v>
      </c>
      <c r="E195">
        <v>1</v>
      </c>
    </row>
    <row r="196" spans="1:5" x14ac:dyDescent="0.25">
      <c r="A196" t="s">
        <v>13</v>
      </c>
      <c r="B196" t="s">
        <v>23</v>
      </c>
      <c r="C196" t="s">
        <v>151</v>
      </c>
      <c r="D196">
        <v>38</v>
      </c>
      <c r="E196">
        <v>22</v>
      </c>
    </row>
    <row r="197" spans="1:5" x14ac:dyDescent="0.25">
      <c r="A197" t="s">
        <v>13</v>
      </c>
      <c r="B197" t="s">
        <v>23</v>
      </c>
      <c r="C197" t="s">
        <v>200</v>
      </c>
      <c r="D197">
        <v>37</v>
      </c>
      <c r="E197">
        <v>7</v>
      </c>
    </row>
    <row r="198" spans="1:5" x14ac:dyDescent="0.25">
      <c r="A198" t="s">
        <v>13</v>
      </c>
      <c r="B198" t="s">
        <v>23</v>
      </c>
      <c r="C198" t="s">
        <v>130</v>
      </c>
      <c r="D198">
        <v>37</v>
      </c>
      <c r="E198">
        <v>7</v>
      </c>
    </row>
    <row r="199" spans="1:5" x14ac:dyDescent="0.25">
      <c r="A199" t="s">
        <v>13</v>
      </c>
      <c r="B199" t="s">
        <v>23</v>
      </c>
      <c r="C199" t="s">
        <v>54</v>
      </c>
      <c r="D199">
        <v>37</v>
      </c>
      <c r="E199">
        <v>30</v>
      </c>
    </row>
    <row r="200" spans="1:5" x14ac:dyDescent="0.25">
      <c r="A200" t="s">
        <v>13</v>
      </c>
      <c r="B200" t="s">
        <v>23</v>
      </c>
      <c r="C200" t="s">
        <v>25</v>
      </c>
      <c r="D200">
        <v>35</v>
      </c>
      <c r="E200">
        <v>24</v>
      </c>
    </row>
    <row r="201" spans="1:5" x14ac:dyDescent="0.25">
      <c r="A201" t="s">
        <v>13</v>
      </c>
      <c r="B201" t="s">
        <v>23</v>
      </c>
      <c r="C201" t="s">
        <v>155</v>
      </c>
      <c r="D201">
        <v>34</v>
      </c>
      <c r="E201">
        <v>1</v>
      </c>
    </row>
    <row r="202" spans="1:5" x14ac:dyDescent="0.25">
      <c r="A202" t="s">
        <v>13</v>
      </c>
      <c r="B202" t="s">
        <v>23</v>
      </c>
      <c r="C202" t="s">
        <v>156</v>
      </c>
      <c r="D202">
        <v>34</v>
      </c>
      <c r="E202">
        <v>8</v>
      </c>
    </row>
    <row r="203" spans="1:5" x14ac:dyDescent="0.25">
      <c r="A203" t="s">
        <v>13</v>
      </c>
      <c r="B203" t="s">
        <v>23</v>
      </c>
      <c r="C203" t="s">
        <v>176</v>
      </c>
      <c r="D203">
        <v>32</v>
      </c>
      <c r="E203">
        <v>13</v>
      </c>
    </row>
    <row r="204" spans="1:5" x14ac:dyDescent="0.25">
      <c r="A204" t="s">
        <v>13</v>
      </c>
      <c r="B204" t="s">
        <v>32</v>
      </c>
      <c r="C204" t="s">
        <v>160</v>
      </c>
      <c r="D204">
        <v>49</v>
      </c>
      <c r="E204">
        <v>20</v>
      </c>
    </row>
    <row r="205" spans="1:5" x14ac:dyDescent="0.25">
      <c r="A205" t="s">
        <v>13</v>
      </c>
      <c r="B205" t="s">
        <v>32</v>
      </c>
      <c r="C205" t="s">
        <v>182</v>
      </c>
      <c r="D205">
        <v>36</v>
      </c>
      <c r="E205">
        <v>32</v>
      </c>
    </row>
    <row r="206" spans="1:5" x14ac:dyDescent="0.25">
      <c r="A206" t="s">
        <v>13</v>
      </c>
      <c r="B206" t="s">
        <v>32</v>
      </c>
      <c r="C206" t="s">
        <v>89</v>
      </c>
      <c r="D206">
        <v>32</v>
      </c>
      <c r="E206">
        <v>6</v>
      </c>
    </row>
    <row r="207" spans="1:5" x14ac:dyDescent="0.25">
      <c r="A207" t="s">
        <v>13</v>
      </c>
      <c r="B207" t="s">
        <v>32</v>
      </c>
      <c r="C207" t="s">
        <v>135</v>
      </c>
      <c r="D207">
        <v>31</v>
      </c>
      <c r="E207">
        <v>14</v>
      </c>
    </row>
    <row r="208" spans="1:5" x14ac:dyDescent="0.25">
      <c r="A208" t="s">
        <v>13</v>
      </c>
      <c r="B208" t="s">
        <v>32</v>
      </c>
      <c r="C208" t="s">
        <v>207</v>
      </c>
      <c r="D208">
        <v>24</v>
      </c>
      <c r="E208">
        <v>6</v>
      </c>
    </row>
    <row r="209" spans="1:5" x14ac:dyDescent="0.25">
      <c r="A209" t="s">
        <v>13</v>
      </c>
      <c r="B209" t="s">
        <v>32</v>
      </c>
      <c r="C209" t="s">
        <v>236</v>
      </c>
      <c r="D209">
        <v>23</v>
      </c>
      <c r="E209">
        <v>36</v>
      </c>
    </row>
    <row r="210" spans="1:5" x14ac:dyDescent="0.25">
      <c r="A210" t="s">
        <v>13</v>
      </c>
      <c r="B210" t="s">
        <v>32</v>
      </c>
      <c r="C210" t="s">
        <v>208</v>
      </c>
      <c r="D210">
        <v>17</v>
      </c>
      <c r="E210">
        <v>10</v>
      </c>
    </row>
    <row r="211" spans="1:5" x14ac:dyDescent="0.25">
      <c r="A211" t="s">
        <v>13</v>
      </c>
      <c r="B211" t="s">
        <v>32</v>
      </c>
      <c r="C211" t="s">
        <v>237</v>
      </c>
      <c r="D211">
        <v>1</v>
      </c>
      <c r="E211">
        <v>90</v>
      </c>
    </row>
    <row r="212" spans="1:5" x14ac:dyDescent="0.25">
      <c r="A212" t="s">
        <v>13</v>
      </c>
      <c r="B212" t="s">
        <v>41</v>
      </c>
      <c r="C212" t="s">
        <v>116</v>
      </c>
      <c r="D212">
        <v>93</v>
      </c>
      <c r="E212">
        <v>106</v>
      </c>
    </row>
    <row r="213" spans="1:5" x14ac:dyDescent="0.25">
      <c r="A213" t="s">
        <v>13</v>
      </c>
      <c r="B213" t="s">
        <v>41</v>
      </c>
      <c r="C213" t="s">
        <v>91</v>
      </c>
      <c r="D213">
        <v>59</v>
      </c>
      <c r="E213">
        <v>81</v>
      </c>
    </row>
    <row r="214" spans="1:5" x14ac:dyDescent="0.25">
      <c r="A214" t="s">
        <v>13</v>
      </c>
      <c r="B214" t="s">
        <v>41</v>
      </c>
      <c r="C214" t="s">
        <v>45</v>
      </c>
      <c r="D214">
        <v>58</v>
      </c>
      <c r="E214">
        <v>25</v>
      </c>
    </row>
    <row r="215" spans="1:5" x14ac:dyDescent="0.25">
      <c r="A215" t="s">
        <v>13</v>
      </c>
      <c r="B215" t="s">
        <v>41</v>
      </c>
      <c r="C215" t="s">
        <v>193</v>
      </c>
      <c r="D215">
        <v>50</v>
      </c>
      <c r="E215">
        <v>20</v>
      </c>
    </row>
    <row r="216" spans="1:5" x14ac:dyDescent="0.25">
      <c r="A216" t="s">
        <v>13</v>
      </c>
      <c r="B216" t="s">
        <v>41</v>
      </c>
      <c r="C216" t="s">
        <v>43</v>
      </c>
      <c r="D216">
        <v>47</v>
      </c>
      <c r="E216">
        <v>24</v>
      </c>
    </row>
    <row r="217" spans="1:5" x14ac:dyDescent="0.25">
      <c r="A217" t="s">
        <v>13</v>
      </c>
      <c r="B217" t="s">
        <v>41</v>
      </c>
      <c r="C217" t="s">
        <v>219</v>
      </c>
      <c r="D217">
        <v>29</v>
      </c>
      <c r="E217">
        <v>10</v>
      </c>
    </row>
  </sheetData>
  <autoFilter ref="A17:E217" xr:uid="{00000000-0009-0000-0000-000001000000}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Strategia A</vt:lpstr>
      <vt:lpstr>Strategia 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14239</cp:lastModifiedBy>
  <dcterms:created xsi:type="dcterms:W3CDTF">2026-08-12T08:09:09Z</dcterms:created>
  <dcterms:modified xsi:type="dcterms:W3CDTF">2026-08-12T08:57:37Z</dcterms:modified>
</cp:coreProperties>
</file>