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lva\Projects\FantaWarRoom\Excel_Only\"/>
    </mc:Choice>
  </mc:AlternateContent>
  <xr:revisionPtr revIDLastSave="0" documentId="13_ncr:1_{83E647D6-DFF7-4C29-AE31-3AC6AB151C37}" xr6:coauthVersionLast="47" xr6:coauthVersionMax="47" xr10:uidLastSave="{00000000-0000-0000-0000-000000000000}"/>
  <bookViews>
    <workbookView xWindow="-120" yWindow="-120" windowWidth="29040" windowHeight="15840" tabRatio="500" firstSheet="13" activeTab="13" xr2:uid="{00000000-000D-0000-FFFF-FFFF00000000}"/>
  </bookViews>
  <sheets>
    <sheet name="Guida" sheetId="1" r:id="rId1"/>
    <sheet name="Dashboard Asta" sheetId="2" r:id="rId2"/>
    <sheet name="Decisione Live" sheetId="3" r:id="rId3"/>
    <sheet name="Output Utente" sheetId="4" r:id="rId4"/>
    <sheet name="Stato Asta" sheetId="5" r:id="rId5"/>
    <sheet name="Info Lega" sheetId="6" r:id="rId6"/>
    <sheet name="Info Strategia" sheetId="7" r:id="rId7"/>
    <sheet name="Parametri Modello" sheetId="8" r:id="rId8"/>
    <sheet name="Pressione Competitiva" sheetId="9" r:id="rId9"/>
    <sheet name="TeamDetail" sheetId="10" r:id="rId10"/>
    <sheet name="Giocatori Da Chiamare" sheetId="11" r:id="rId11"/>
    <sheet name="Giocatori Liberi" sheetId="12" r:id="rId12"/>
    <sheet name="La Mia Rosa" sheetId="13" r:id="rId13"/>
    <sheet name="Input Giocatori 2026_27" sheetId="14" r:id="rId14"/>
    <sheet name="Input Statistiche 2025_26" sheetId="15" r:id="rId15"/>
    <sheet name="Validazione Dati" sheetId="16" r:id="rId16"/>
    <sheet name="Analisi Asta Reale 2025" sheetId="17" r:id="rId17"/>
    <sheet name="Simulazioni" sheetId="18" r:id="rId18"/>
  </sheets>
  <definedNames>
    <definedName name="_xlnm._FilterDatabase" localSheetId="11" hidden="1">'Giocatori Liberi'!$A$3:$N$494</definedName>
    <definedName name="_xlnm._FilterDatabase" localSheetId="12" hidden="1">'La Mia Rosa'!$A$3:$L$494</definedName>
    <definedName name="_xlnm._FilterDatabase" localSheetId="3" hidden="1">'Output Utente'!$A$1:$R$492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3" l="1"/>
  <c r="R16" i="13"/>
  <c r="T15" i="13"/>
  <c r="R15" i="13"/>
  <c r="T14" i="13"/>
  <c r="R14" i="13"/>
  <c r="T13" i="13"/>
  <c r="R13" i="13"/>
  <c r="O11" i="13"/>
  <c r="O10" i="13"/>
  <c r="O9" i="13"/>
  <c r="O8" i="13"/>
  <c r="R7" i="13"/>
  <c r="O7" i="13"/>
  <c r="R6" i="13"/>
  <c r="O5" i="13"/>
  <c r="O4" i="13"/>
  <c r="O6" i="13" s="1"/>
  <c r="S3" i="13"/>
  <c r="O3" i="13"/>
  <c r="S2" i="13"/>
  <c r="F17" i="10"/>
  <c r="E17" i="10"/>
  <c r="C17" i="10"/>
  <c r="B17" i="10"/>
  <c r="F16" i="10"/>
  <c r="E16" i="10"/>
  <c r="C16" i="10"/>
  <c r="B16" i="10"/>
  <c r="F15" i="10"/>
  <c r="E15" i="10"/>
  <c r="C15" i="10"/>
  <c r="B15" i="10"/>
  <c r="F14" i="10"/>
  <c r="E14" i="10"/>
  <c r="C14" i="10"/>
  <c r="B14" i="10"/>
  <c r="F13" i="10"/>
  <c r="E13" i="10"/>
  <c r="C13" i="10"/>
  <c r="B13" i="10"/>
  <c r="F12" i="10"/>
  <c r="E12" i="10"/>
  <c r="C12" i="10"/>
  <c r="B12" i="10"/>
  <c r="F11" i="10"/>
  <c r="E11" i="10"/>
  <c r="C11" i="10"/>
  <c r="B11" i="10"/>
  <c r="F10" i="10"/>
  <c r="E10" i="10"/>
  <c r="C10" i="10"/>
  <c r="B10" i="10"/>
  <c r="F9" i="10"/>
  <c r="E9" i="10"/>
  <c r="C9" i="10"/>
  <c r="B9" i="10"/>
  <c r="F8" i="10"/>
  <c r="E8" i="10"/>
  <c r="C8" i="10"/>
  <c r="B8" i="10"/>
  <c r="F7" i="10"/>
  <c r="E7" i="10"/>
  <c r="C7" i="10"/>
  <c r="B7" i="10"/>
  <c r="F6" i="10"/>
  <c r="E6" i="10"/>
  <c r="C6" i="10"/>
  <c r="B6" i="10"/>
  <c r="F5" i="10"/>
  <c r="E5" i="10"/>
  <c r="C5" i="10"/>
  <c r="B5" i="10"/>
  <c r="F4" i="10"/>
  <c r="E4" i="10"/>
  <c r="C4" i="10"/>
  <c r="B4" i="10"/>
  <c r="F3" i="10"/>
  <c r="E3" i="10"/>
  <c r="C3" i="10"/>
  <c r="B3" i="10"/>
  <c r="F2" i="10"/>
  <c r="E2" i="10"/>
  <c r="C2" i="10"/>
  <c r="B2" i="10"/>
  <c r="B76" i="8"/>
  <c r="I17" i="10" s="1"/>
  <c r="B57" i="8"/>
  <c r="S13" i="13" s="1"/>
  <c r="B44" i="8"/>
  <c r="D35" i="8"/>
  <c r="E12" i="5" s="1"/>
  <c r="C35" i="8"/>
  <c r="B35" i="8"/>
  <c r="B42" i="8" s="1"/>
  <c r="C34" i="8"/>
  <c r="B34" i="8"/>
  <c r="B41" i="8" s="1"/>
  <c r="C33" i="8"/>
  <c r="B33" i="8"/>
  <c r="C32" i="8"/>
  <c r="B32" i="8"/>
  <c r="B4" i="7"/>
  <c r="B60" i="8" s="1"/>
  <c r="B3" i="7"/>
  <c r="B75" i="8" s="1"/>
  <c r="B2" i="7"/>
  <c r="B74" i="8" s="1"/>
  <c r="D24" i="6"/>
  <c r="D17" i="10" s="1"/>
  <c r="D23" i="6"/>
  <c r="D16" i="10" s="1"/>
  <c r="D22" i="6"/>
  <c r="D15" i="10" s="1"/>
  <c r="D21" i="6"/>
  <c r="D14" i="10" s="1"/>
  <c r="D20" i="6"/>
  <c r="D13" i="10" s="1"/>
  <c r="D19" i="6"/>
  <c r="D12" i="10" s="1"/>
  <c r="D18" i="6"/>
  <c r="D11" i="10" s="1"/>
  <c r="D17" i="6"/>
  <c r="D10" i="10" s="1"/>
  <c r="D16" i="6"/>
  <c r="D9" i="10" s="1"/>
  <c r="D15" i="6"/>
  <c r="D8" i="10" s="1"/>
  <c r="D14" i="6"/>
  <c r="D7" i="10" s="1"/>
  <c r="D13" i="6"/>
  <c r="D6" i="10" s="1"/>
  <c r="D12" i="6"/>
  <c r="D5" i="10" s="1"/>
  <c r="D11" i="6"/>
  <c r="D4" i="10" s="1"/>
  <c r="D10" i="6"/>
  <c r="D3" i="10" s="1"/>
  <c r="D9" i="6"/>
  <c r="D2" i="10" s="1"/>
  <c r="H12" i="5"/>
  <c r="H11" i="5"/>
  <c r="H10" i="5"/>
  <c r="H9" i="5"/>
  <c r="C6" i="5"/>
  <c r="C4" i="5"/>
  <c r="C3" i="5"/>
  <c r="AJ492" i="4"/>
  <c r="AI492" i="4"/>
  <c r="AH492" i="4"/>
  <c r="AC492" i="4"/>
  <c r="Y492" i="4"/>
  <c r="X492" i="4"/>
  <c r="W492" i="4"/>
  <c r="T492" i="4"/>
  <c r="S492" i="4"/>
  <c r="R492" i="4"/>
  <c r="O492" i="4"/>
  <c r="N492" i="4"/>
  <c r="AK492" i="4" s="1"/>
  <c r="AL492" i="4" s="1"/>
  <c r="L492" i="4"/>
  <c r="K492" i="4"/>
  <c r="I492" i="4"/>
  <c r="AD492" i="4" s="1"/>
  <c r="E492" i="4"/>
  <c r="AJ491" i="4"/>
  <c r="AH491" i="4"/>
  <c r="AI491" i="4" s="1"/>
  <c r="AC491" i="4"/>
  <c r="Y491" i="4"/>
  <c r="X491" i="4"/>
  <c r="W491" i="4"/>
  <c r="Z491" i="4" s="1"/>
  <c r="T491" i="4"/>
  <c r="S491" i="4"/>
  <c r="R491" i="4"/>
  <c r="O491" i="4"/>
  <c r="N491" i="4"/>
  <c r="AK491" i="4" s="1"/>
  <c r="AL491" i="4" s="1"/>
  <c r="L491" i="4"/>
  <c r="K491" i="4"/>
  <c r="J491" i="4"/>
  <c r="I491" i="4"/>
  <c r="AD491" i="4" s="1"/>
  <c r="E491" i="4"/>
  <c r="AJ490" i="4"/>
  <c r="AI490" i="4"/>
  <c r="AH490" i="4"/>
  <c r="AC490" i="4"/>
  <c r="X490" i="4"/>
  <c r="Y490" i="4" s="1"/>
  <c r="W490" i="4"/>
  <c r="T490" i="4"/>
  <c r="S490" i="4"/>
  <c r="R490" i="4"/>
  <c r="O490" i="4"/>
  <c r="N490" i="4"/>
  <c r="AK490" i="4" s="1"/>
  <c r="AL490" i="4" s="1"/>
  <c r="L490" i="4"/>
  <c r="K490" i="4"/>
  <c r="J490" i="4"/>
  <c r="I490" i="4"/>
  <c r="AD490" i="4" s="1"/>
  <c r="E490" i="4"/>
  <c r="AJ489" i="4"/>
  <c r="AI489" i="4"/>
  <c r="AH489" i="4"/>
  <c r="AC489" i="4"/>
  <c r="X489" i="4"/>
  <c r="Y489" i="4" s="1"/>
  <c r="W489" i="4"/>
  <c r="T489" i="4"/>
  <c r="S489" i="4"/>
  <c r="R489" i="4"/>
  <c r="O489" i="4"/>
  <c r="N489" i="4"/>
  <c r="AK489" i="4" s="1"/>
  <c r="AL489" i="4" s="1"/>
  <c r="L489" i="4"/>
  <c r="K489" i="4"/>
  <c r="J489" i="4"/>
  <c r="I489" i="4"/>
  <c r="AD489" i="4" s="1"/>
  <c r="E489" i="4"/>
  <c r="AJ488" i="4"/>
  <c r="AI488" i="4"/>
  <c r="AH488" i="4"/>
  <c r="AC488" i="4"/>
  <c r="X488" i="4"/>
  <c r="Y488" i="4" s="1"/>
  <c r="W488" i="4"/>
  <c r="T488" i="4"/>
  <c r="S488" i="4"/>
  <c r="R488" i="4"/>
  <c r="O488" i="4"/>
  <c r="N488" i="4"/>
  <c r="AK488" i="4" s="1"/>
  <c r="AL488" i="4" s="1"/>
  <c r="L488" i="4"/>
  <c r="K488" i="4"/>
  <c r="J488" i="4"/>
  <c r="I488" i="4"/>
  <c r="AD488" i="4" s="1"/>
  <c r="E488" i="4"/>
  <c r="AK487" i="4"/>
  <c r="AL487" i="4" s="1"/>
  <c r="AJ487" i="4"/>
  <c r="AI487" i="4"/>
  <c r="AH487" i="4"/>
  <c r="AC487" i="4"/>
  <c r="X487" i="4"/>
  <c r="Y487" i="4" s="1"/>
  <c r="W487" i="4"/>
  <c r="T487" i="4"/>
  <c r="S487" i="4"/>
  <c r="R487" i="4"/>
  <c r="O487" i="4"/>
  <c r="N487" i="4"/>
  <c r="Q487" i="4" s="1"/>
  <c r="L487" i="4"/>
  <c r="K487" i="4"/>
  <c r="J487" i="4"/>
  <c r="I487" i="4"/>
  <c r="AD487" i="4" s="1"/>
  <c r="E487" i="4"/>
  <c r="AJ486" i="4"/>
  <c r="AH486" i="4"/>
  <c r="AI486" i="4" s="1"/>
  <c r="AC486" i="4"/>
  <c r="X486" i="4"/>
  <c r="Y486" i="4" s="1"/>
  <c r="W486" i="4"/>
  <c r="T486" i="4"/>
  <c r="S486" i="4"/>
  <c r="R486" i="4"/>
  <c r="O486" i="4"/>
  <c r="N486" i="4"/>
  <c r="Q486" i="4" s="1"/>
  <c r="L486" i="4"/>
  <c r="K486" i="4"/>
  <c r="I486" i="4"/>
  <c r="AD486" i="4" s="1"/>
  <c r="E486" i="4"/>
  <c r="AJ485" i="4"/>
  <c r="AI485" i="4"/>
  <c r="AH485" i="4"/>
  <c r="AC485" i="4"/>
  <c r="X485" i="4"/>
  <c r="Y485" i="4" s="1"/>
  <c r="W485" i="4"/>
  <c r="T485" i="4"/>
  <c r="S485" i="4"/>
  <c r="R485" i="4"/>
  <c r="O485" i="4"/>
  <c r="N485" i="4"/>
  <c r="Q485" i="4" s="1"/>
  <c r="L485" i="4"/>
  <c r="K485" i="4"/>
  <c r="J485" i="4"/>
  <c r="I485" i="4"/>
  <c r="AD485" i="4" s="1"/>
  <c r="E485" i="4"/>
  <c r="AJ484" i="4"/>
  <c r="AI484" i="4"/>
  <c r="AH484" i="4"/>
  <c r="AC484" i="4"/>
  <c r="X484" i="4"/>
  <c r="Y484" i="4" s="1"/>
  <c r="W484" i="4"/>
  <c r="T484" i="4"/>
  <c r="S484" i="4"/>
  <c r="R484" i="4"/>
  <c r="O484" i="4"/>
  <c r="N484" i="4"/>
  <c r="Q484" i="4" s="1"/>
  <c r="L484" i="4"/>
  <c r="K484" i="4"/>
  <c r="J484" i="4"/>
  <c r="I484" i="4"/>
  <c r="AD484" i="4" s="1"/>
  <c r="E484" i="4"/>
  <c r="AK483" i="4"/>
  <c r="AL483" i="4" s="1"/>
  <c r="AJ483" i="4"/>
  <c r="AI483" i="4"/>
  <c r="AH483" i="4"/>
  <c r="AC483" i="4"/>
  <c r="X483" i="4"/>
  <c r="Y483" i="4" s="1"/>
  <c r="W483" i="4"/>
  <c r="T483" i="4"/>
  <c r="S483" i="4"/>
  <c r="R483" i="4"/>
  <c r="O483" i="4"/>
  <c r="N483" i="4"/>
  <c r="Q483" i="4" s="1"/>
  <c r="L483" i="4"/>
  <c r="K483" i="4"/>
  <c r="J483" i="4"/>
  <c r="I483" i="4"/>
  <c r="AD483" i="4" s="1"/>
  <c r="E483" i="4"/>
  <c r="AJ482" i="4"/>
  <c r="AH482" i="4"/>
  <c r="AI482" i="4" s="1"/>
  <c r="AC482" i="4"/>
  <c r="X482" i="4"/>
  <c r="Y482" i="4" s="1"/>
  <c r="W482" i="4"/>
  <c r="T482" i="4"/>
  <c r="S482" i="4"/>
  <c r="R482" i="4"/>
  <c r="O482" i="4"/>
  <c r="N482" i="4"/>
  <c r="Q482" i="4" s="1"/>
  <c r="L482" i="4"/>
  <c r="K482" i="4"/>
  <c r="I482" i="4"/>
  <c r="AD482" i="4" s="1"/>
  <c r="E482" i="4"/>
  <c r="AJ481" i="4"/>
  <c r="AI481" i="4"/>
  <c r="AH481" i="4"/>
  <c r="AC481" i="4"/>
  <c r="X481" i="4"/>
  <c r="Y481" i="4" s="1"/>
  <c r="W481" i="4"/>
  <c r="T481" i="4"/>
  <c r="S481" i="4"/>
  <c r="R481" i="4"/>
  <c r="O481" i="4"/>
  <c r="N481" i="4"/>
  <c r="Q481" i="4" s="1"/>
  <c r="L481" i="4"/>
  <c r="K481" i="4"/>
  <c r="J481" i="4"/>
  <c r="I481" i="4"/>
  <c r="AD481" i="4" s="1"/>
  <c r="E481" i="4"/>
  <c r="AJ480" i="4"/>
  <c r="AH480" i="4"/>
  <c r="AI480" i="4" s="1"/>
  <c r="AC480" i="4"/>
  <c r="X480" i="4"/>
  <c r="Y480" i="4" s="1"/>
  <c r="W480" i="4"/>
  <c r="T480" i="4"/>
  <c r="S480" i="4"/>
  <c r="R480" i="4"/>
  <c r="O480" i="4"/>
  <c r="N480" i="4"/>
  <c r="Q480" i="4" s="1"/>
  <c r="L480" i="4"/>
  <c r="K480" i="4"/>
  <c r="I480" i="4"/>
  <c r="AD480" i="4" s="1"/>
  <c r="E480" i="4"/>
  <c r="AK479" i="4"/>
  <c r="AL479" i="4" s="1"/>
  <c r="AJ479" i="4"/>
  <c r="AI479" i="4"/>
  <c r="AH479" i="4"/>
  <c r="AC479" i="4"/>
  <c r="X479" i="4"/>
  <c r="Y479" i="4" s="1"/>
  <c r="W479" i="4"/>
  <c r="T479" i="4"/>
  <c r="S479" i="4"/>
  <c r="R479" i="4"/>
  <c r="O479" i="4"/>
  <c r="N479" i="4"/>
  <c r="Q479" i="4" s="1"/>
  <c r="L479" i="4"/>
  <c r="K479" i="4"/>
  <c r="J479" i="4"/>
  <c r="I479" i="4"/>
  <c r="AD479" i="4" s="1"/>
  <c r="E479" i="4"/>
  <c r="AJ478" i="4"/>
  <c r="AH478" i="4"/>
  <c r="AI478" i="4" s="1"/>
  <c r="AC478" i="4"/>
  <c r="X478" i="4"/>
  <c r="Y478" i="4" s="1"/>
  <c r="W478" i="4"/>
  <c r="T478" i="4"/>
  <c r="S478" i="4"/>
  <c r="R478" i="4"/>
  <c r="O478" i="4"/>
  <c r="N478" i="4"/>
  <c r="Q478" i="4" s="1"/>
  <c r="L478" i="4"/>
  <c r="K478" i="4"/>
  <c r="I478" i="4"/>
  <c r="AD478" i="4" s="1"/>
  <c r="E478" i="4"/>
  <c r="AJ477" i="4"/>
  <c r="AI477" i="4"/>
  <c r="AH477" i="4"/>
  <c r="AC477" i="4"/>
  <c r="X477" i="4"/>
  <c r="Y477" i="4" s="1"/>
  <c r="W477" i="4"/>
  <c r="T477" i="4"/>
  <c r="S477" i="4"/>
  <c r="R477" i="4"/>
  <c r="O477" i="4"/>
  <c r="N477" i="4"/>
  <c r="Q477" i="4" s="1"/>
  <c r="L477" i="4"/>
  <c r="K477" i="4"/>
  <c r="J477" i="4"/>
  <c r="I477" i="4"/>
  <c r="AD477" i="4" s="1"/>
  <c r="E477" i="4"/>
  <c r="AJ476" i="4"/>
  <c r="AI476" i="4"/>
  <c r="AH476" i="4"/>
  <c r="AC476" i="4"/>
  <c r="X476" i="4"/>
  <c r="Y476" i="4" s="1"/>
  <c r="W476" i="4"/>
  <c r="T476" i="4"/>
  <c r="S476" i="4"/>
  <c r="R476" i="4"/>
  <c r="O476" i="4"/>
  <c r="N476" i="4"/>
  <c r="Q476" i="4" s="1"/>
  <c r="L476" i="4"/>
  <c r="K476" i="4"/>
  <c r="J476" i="4"/>
  <c r="I476" i="4"/>
  <c r="AD476" i="4" s="1"/>
  <c r="E476" i="4"/>
  <c r="AJ475" i="4"/>
  <c r="AI475" i="4"/>
  <c r="AH475" i="4"/>
  <c r="AC475" i="4"/>
  <c r="X475" i="4"/>
  <c r="Y475" i="4" s="1"/>
  <c r="W475" i="4"/>
  <c r="T475" i="4"/>
  <c r="S475" i="4"/>
  <c r="R475" i="4"/>
  <c r="O475" i="4"/>
  <c r="N475" i="4"/>
  <c r="L475" i="4"/>
  <c r="K475" i="4"/>
  <c r="J475" i="4"/>
  <c r="I475" i="4"/>
  <c r="AD475" i="4" s="1"/>
  <c r="E475" i="4"/>
  <c r="AK474" i="4"/>
  <c r="AL474" i="4" s="1"/>
  <c r="AJ474" i="4"/>
  <c r="AI474" i="4"/>
  <c r="AH474" i="4"/>
  <c r="AC474" i="4"/>
  <c r="X474" i="4"/>
  <c r="Y474" i="4" s="1"/>
  <c r="W474" i="4"/>
  <c r="T474" i="4"/>
  <c r="S474" i="4"/>
  <c r="R474" i="4"/>
  <c r="O474" i="4"/>
  <c r="N474" i="4"/>
  <c r="Q474" i="4" s="1"/>
  <c r="L474" i="4"/>
  <c r="K474" i="4"/>
  <c r="J474" i="4"/>
  <c r="I474" i="4"/>
  <c r="AD474" i="4" s="1"/>
  <c r="E474" i="4"/>
  <c r="AJ473" i="4"/>
  <c r="AH473" i="4"/>
  <c r="AI473" i="4" s="1"/>
  <c r="AC473" i="4"/>
  <c r="X473" i="4"/>
  <c r="Y473" i="4" s="1"/>
  <c r="W473" i="4"/>
  <c r="T473" i="4"/>
  <c r="S473" i="4"/>
  <c r="R473" i="4"/>
  <c r="O473" i="4"/>
  <c r="N473" i="4"/>
  <c r="Q473" i="4" s="1"/>
  <c r="L473" i="4"/>
  <c r="K473" i="4"/>
  <c r="I473" i="4"/>
  <c r="AD473" i="4" s="1"/>
  <c r="E473" i="4"/>
  <c r="AJ472" i="4"/>
  <c r="AI472" i="4"/>
  <c r="AH472" i="4"/>
  <c r="AC472" i="4"/>
  <c r="X472" i="4"/>
  <c r="Y472" i="4" s="1"/>
  <c r="W472" i="4"/>
  <c r="Z472" i="4" s="1"/>
  <c r="T472" i="4"/>
  <c r="S472" i="4"/>
  <c r="R472" i="4"/>
  <c r="O472" i="4"/>
  <c r="N472" i="4"/>
  <c r="Q472" i="4" s="1"/>
  <c r="L472" i="4"/>
  <c r="K472" i="4"/>
  <c r="J472" i="4"/>
  <c r="I472" i="4"/>
  <c r="AD472" i="4" s="1"/>
  <c r="E472" i="4"/>
  <c r="AJ471" i="4"/>
  <c r="AI471" i="4"/>
  <c r="AH471" i="4"/>
  <c r="AC471" i="4"/>
  <c r="X471" i="4"/>
  <c r="Y471" i="4" s="1"/>
  <c r="W471" i="4"/>
  <c r="T471" i="4"/>
  <c r="S471" i="4"/>
  <c r="R471" i="4"/>
  <c r="O471" i="4"/>
  <c r="N471" i="4"/>
  <c r="Q471" i="4" s="1"/>
  <c r="L471" i="4"/>
  <c r="K471" i="4"/>
  <c r="J471" i="4"/>
  <c r="I471" i="4"/>
  <c r="AD471" i="4" s="1"/>
  <c r="E471" i="4"/>
  <c r="AK470" i="4"/>
  <c r="AL470" i="4" s="1"/>
  <c r="AJ470" i="4"/>
  <c r="AI470" i="4"/>
  <c r="AH470" i="4"/>
  <c r="AC470" i="4"/>
  <c r="X470" i="4"/>
  <c r="Y470" i="4" s="1"/>
  <c r="W470" i="4"/>
  <c r="T470" i="4"/>
  <c r="S470" i="4"/>
  <c r="R470" i="4"/>
  <c r="O470" i="4"/>
  <c r="N470" i="4"/>
  <c r="Q470" i="4" s="1"/>
  <c r="L470" i="4"/>
  <c r="K470" i="4"/>
  <c r="J470" i="4"/>
  <c r="I470" i="4"/>
  <c r="AD470" i="4" s="1"/>
  <c r="E470" i="4"/>
  <c r="AJ469" i="4"/>
  <c r="AH469" i="4"/>
  <c r="AI469" i="4" s="1"/>
  <c r="AC469" i="4"/>
  <c r="X469" i="4"/>
  <c r="Y469" i="4" s="1"/>
  <c r="W469" i="4"/>
  <c r="T469" i="4"/>
  <c r="S469" i="4"/>
  <c r="R469" i="4"/>
  <c r="O469" i="4"/>
  <c r="N469" i="4"/>
  <c r="Q469" i="4" s="1"/>
  <c r="L469" i="4"/>
  <c r="K469" i="4"/>
  <c r="I469" i="4"/>
  <c r="AD469" i="4" s="1"/>
  <c r="E469" i="4"/>
  <c r="AJ468" i="4"/>
  <c r="AI468" i="4"/>
  <c r="AH468" i="4"/>
  <c r="AC468" i="4"/>
  <c r="X468" i="4"/>
  <c r="Y468" i="4" s="1"/>
  <c r="W468" i="4"/>
  <c r="Z468" i="4" s="1"/>
  <c r="T468" i="4"/>
  <c r="S468" i="4"/>
  <c r="R468" i="4"/>
  <c r="O468" i="4"/>
  <c r="N468" i="4"/>
  <c r="Q468" i="4" s="1"/>
  <c r="L468" i="4"/>
  <c r="K468" i="4"/>
  <c r="J468" i="4"/>
  <c r="I468" i="4"/>
  <c r="AD468" i="4" s="1"/>
  <c r="E468" i="4"/>
  <c r="AJ467" i="4"/>
  <c r="AI467" i="4"/>
  <c r="AH467" i="4"/>
  <c r="AC467" i="4"/>
  <c r="X467" i="4"/>
  <c r="Y467" i="4" s="1"/>
  <c r="W467" i="4"/>
  <c r="T467" i="4"/>
  <c r="S467" i="4"/>
  <c r="R467" i="4"/>
  <c r="O467" i="4"/>
  <c r="N467" i="4"/>
  <c r="Q467" i="4" s="1"/>
  <c r="L467" i="4"/>
  <c r="K467" i="4"/>
  <c r="J467" i="4"/>
  <c r="I467" i="4"/>
  <c r="AD467" i="4" s="1"/>
  <c r="E467" i="4"/>
  <c r="AK466" i="4"/>
  <c r="AL466" i="4" s="1"/>
  <c r="AJ466" i="4"/>
  <c r="AI466" i="4"/>
  <c r="AH466" i="4"/>
  <c r="AC466" i="4"/>
  <c r="X466" i="4"/>
  <c r="Y466" i="4" s="1"/>
  <c r="W466" i="4"/>
  <c r="T466" i="4"/>
  <c r="S466" i="4"/>
  <c r="R466" i="4"/>
  <c r="O466" i="4"/>
  <c r="N466" i="4"/>
  <c r="Q466" i="4" s="1"/>
  <c r="L466" i="4"/>
  <c r="K466" i="4"/>
  <c r="J466" i="4"/>
  <c r="I466" i="4"/>
  <c r="AD466" i="4" s="1"/>
  <c r="E466" i="4"/>
  <c r="AJ465" i="4"/>
  <c r="AH465" i="4"/>
  <c r="AI465" i="4" s="1"/>
  <c r="AC465" i="4"/>
  <c r="X465" i="4"/>
  <c r="Y465" i="4" s="1"/>
  <c r="W465" i="4"/>
  <c r="T465" i="4"/>
  <c r="S465" i="4"/>
  <c r="R465" i="4"/>
  <c r="O465" i="4"/>
  <c r="N465" i="4"/>
  <c r="Q465" i="4" s="1"/>
  <c r="L465" i="4"/>
  <c r="K465" i="4"/>
  <c r="I465" i="4"/>
  <c r="AD465" i="4" s="1"/>
  <c r="E465" i="4"/>
  <c r="AJ464" i="4"/>
  <c r="AI464" i="4"/>
  <c r="AH464" i="4"/>
  <c r="AC464" i="4"/>
  <c r="X464" i="4"/>
  <c r="Y464" i="4" s="1"/>
  <c r="W464" i="4"/>
  <c r="Z464" i="4" s="1"/>
  <c r="T464" i="4"/>
  <c r="S464" i="4"/>
  <c r="R464" i="4"/>
  <c r="O464" i="4"/>
  <c r="N464" i="4"/>
  <c r="Q464" i="4" s="1"/>
  <c r="L464" i="4"/>
  <c r="K464" i="4"/>
  <c r="J464" i="4"/>
  <c r="I464" i="4"/>
  <c r="AD464" i="4" s="1"/>
  <c r="E464" i="4"/>
  <c r="AJ463" i="4"/>
  <c r="AI463" i="4"/>
  <c r="AH463" i="4"/>
  <c r="AC463" i="4"/>
  <c r="X463" i="4"/>
  <c r="Y463" i="4" s="1"/>
  <c r="W463" i="4"/>
  <c r="T463" i="4"/>
  <c r="S463" i="4"/>
  <c r="R463" i="4"/>
  <c r="O463" i="4"/>
  <c r="N463" i="4"/>
  <c r="Q463" i="4" s="1"/>
  <c r="L463" i="4"/>
  <c r="K463" i="4"/>
  <c r="J463" i="4"/>
  <c r="I463" i="4"/>
  <c r="AD463" i="4" s="1"/>
  <c r="E463" i="4"/>
  <c r="AK462" i="4"/>
  <c r="AL462" i="4" s="1"/>
  <c r="AJ462" i="4"/>
  <c r="AI462" i="4"/>
  <c r="AH462" i="4"/>
  <c r="AC462" i="4"/>
  <c r="X462" i="4"/>
  <c r="Y462" i="4" s="1"/>
  <c r="W462" i="4"/>
  <c r="T462" i="4"/>
  <c r="S462" i="4"/>
  <c r="R462" i="4"/>
  <c r="O462" i="4"/>
  <c r="N462" i="4"/>
  <c r="Q462" i="4" s="1"/>
  <c r="L462" i="4"/>
  <c r="K462" i="4"/>
  <c r="J462" i="4"/>
  <c r="I462" i="4"/>
  <c r="AD462" i="4" s="1"/>
  <c r="E462" i="4"/>
  <c r="AJ461" i="4"/>
  <c r="AH461" i="4"/>
  <c r="AI461" i="4" s="1"/>
  <c r="AC461" i="4"/>
  <c r="X461" i="4"/>
  <c r="Y461" i="4" s="1"/>
  <c r="W461" i="4"/>
  <c r="T461" i="4"/>
  <c r="S461" i="4"/>
  <c r="R461" i="4"/>
  <c r="O461" i="4"/>
  <c r="N461" i="4"/>
  <c r="Q461" i="4" s="1"/>
  <c r="L461" i="4"/>
  <c r="K461" i="4"/>
  <c r="I461" i="4"/>
  <c r="AD461" i="4" s="1"/>
  <c r="E461" i="4"/>
  <c r="AJ460" i="4"/>
  <c r="AI460" i="4"/>
  <c r="AH460" i="4"/>
  <c r="AC460" i="4"/>
  <c r="X460" i="4"/>
  <c r="Y460" i="4" s="1"/>
  <c r="W460" i="4"/>
  <c r="Z460" i="4" s="1"/>
  <c r="T460" i="4"/>
  <c r="S460" i="4"/>
  <c r="R460" i="4"/>
  <c r="O460" i="4"/>
  <c r="N460" i="4"/>
  <c r="Q460" i="4" s="1"/>
  <c r="L460" i="4"/>
  <c r="K460" i="4"/>
  <c r="J460" i="4"/>
  <c r="I460" i="4"/>
  <c r="AD460" i="4" s="1"/>
  <c r="E460" i="4"/>
  <c r="AJ459" i="4"/>
  <c r="AI459" i="4"/>
  <c r="AH459" i="4"/>
  <c r="AC459" i="4"/>
  <c r="X459" i="4"/>
  <c r="Y459" i="4" s="1"/>
  <c r="W459" i="4"/>
  <c r="T459" i="4"/>
  <c r="S459" i="4"/>
  <c r="R459" i="4"/>
  <c r="O459" i="4"/>
  <c r="N459" i="4"/>
  <c r="Q459" i="4" s="1"/>
  <c r="L459" i="4"/>
  <c r="K459" i="4"/>
  <c r="J459" i="4"/>
  <c r="I459" i="4"/>
  <c r="AD459" i="4" s="1"/>
  <c r="E459" i="4"/>
  <c r="AK458" i="4"/>
  <c r="AL458" i="4" s="1"/>
  <c r="AJ458" i="4"/>
  <c r="AI458" i="4"/>
  <c r="AH458" i="4"/>
  <c r="AC458" i="4"/>
  <c r="X458" i="4"/>
  <c r="Y458" i="4" s="1"/>
  <c r="W458" i="4"/>
  <c r="T458" i="4"/>
  <c r="S458" i="4"/>
  <c r="R458" i="4"/>
  <c r="O458" i="4"/>
  <c r="N458" i="4"/>
  <c r="Q458" i="4" s="1"/>
  <c r="L458" i="4"/>
  <c r="K458" i="4"/>
  <c r="J458" i="4"/>
  <c r="I458" i="4"/>
  <c r="AD458" i="4" s="1"/>
  <c r="E458" i="4"/>
  <c r="AJ457" i="4"/>
  <c r="AH457" i="4"/>
  <c r="AI457" i="4" s="1"/>
  <c r="AC457" i="4"/>
  <c r="X457" i="4"/>
  <c r="Y457" i="4" s="1"/>
  <c r="W457" i="4"/>
  <c r="T457" i="4"/>
  <c r="S457" i="4"/>
  <c r="R457" i="4"/>
  <c r="O457" i="4"/>
  <c r="N457" i="4"/>
  <c r="Q457" i="4" s="1"/>
  <c r="L457" i="4"/>
  <c r="K457" i="4"/>
  <c r="I457" i="4"/>
  <c r="AD457" i="4" s="1"/>
  <c r="E457" i="4"/>
  <c r="AJ456" i="4"/>
  <c r="AI456" i="4"/>
  <c r="AH456" i="4"/>
  <c r="AC456" i="4"/>
  <c r="X456" i="4"/>
  <c r="Y456" i="4" s="1"/>
  <c r="W456" i="4"/>
  <c r="Z456" i="4" s="1"/>
  <c r="T456" i="4"/>
  <c r="S456" i="4"/>
  <c r="R456" i="4"/>
  <c r="O456" i="4"/>
  <c r="N456" i="4"/>
  <c r="Q456" i="4" s="1"/>
  <c r="L456" i="4"/>
  <c r="K456" i="4"/>
  <c r="J456" i="4"/>
  <c r="I456" i="4"/>
  <c r="AD456" i="4" s="1"/>
  <c r="E456" i="4"/>
  <c r="AJ455" i="4"/>
  <c r="AI455" i="4"/>
  <c r="AH455" i="4"/>
  <c r="AC455" i="4"/>
  <c r="X455" i="4"/>
  <c r="Y455" i="4" s="1"/>
  <c r="W455" i="4"/>
  <c r="T455" i="4"/>
  <c r="S455" i="4"/>
  <c r="R455" i="4"/>
  <c r="O455" i="4"/>
  <c r="N455" i="4"/>
  <c r="Q455" i="4" s="1"/>
  <c r="L455" i="4"/>
  <c r="K455" i="4"/>
  <c r="J455" i="4"/>
  <c r="I455" i="4"/>
  <c r="AD455" i="4" s="1"/>
  <c r="E455" i="4"/>
  <c r="AK454" i="4"/>
  <c r="AL454" i="4" s="1"/>
  <c r="AJ454" i="4"/>
  <c r="AI454" i="4"/>
  <c r="AH454" i="4"/>
  <c r="AC454" i="4"/>
  <c r="X454" i="4"/>
  <c r="Y454" i="4" s="1"/>
  <c r="W454" i="4"/>
  <c r="T454" i="4"/>
  <c r="S454" i="4"/>
  <c r="R454" i="4"/>
  <c r="O454" i="4"/>
  <c r="N454" i="4"/>
  <c r="Q454" i="4" s="1"/>
  <c r="L454" i="4"/>
  <c r="K454" i="4"/>
  <c r="J454" i="4"/>
  <c r="I454" i="4"/>
  <c r="AD454" i="4" s="1"/>
  <c r="E454" i="4"/>
  <c r="AJ453" i="4"/>
  <c r="AH453" i="4"/>
  <c r="AI453" i="4" s="1"/>
  <c r="AC453" i="4"/>
  <c r="X453" i="4"/>
  <c r="Y453" i="4" s="1"/>
  <c r="W453" i="4"/>
  <c r="T453" i="4"/>
  <c r="S453" i="4"/>
  <c r="R453" i="4"/>
  <c r="O453" i="4"/>
  <c r="N453" i="4"/>
  <c r="Q453" i="4" s="1"/>
  <c r="L453" i="4"/>
  <c r="K453" i="4"/>
  <c r="I453" i="4"/>
  <c r="AD453" i="4" s="1"/>
  <c r="E453" i="4"/>
  <c r="AJ452" i="4"/>
  <c r="AI452" i="4"/>
  <c r="AH452" i="4"/>
  <c r="AC452" i="4"/>
  <c r="X452" i="4"/>
  <c r="Y452" i="4" s="1"/>
  <c r="W452" i="4"/>
  <c r="Z452" i="4" s="1"/>
  <c r="T452" i="4"/>
  <c r="S452" i="4"/>
  <c r="R452" i="4"/>
  <c r="O452" i="4"/>
  <c r="N452" i="4"/>
  <c r="Q452" i="4" s="1"/>
  <c r="L452" i="4"/>
  <c r="K452" i="4"/>
  <c r="J452" i="4"/>
  <c r="I452" i="4"/>
  <c r="AD452" i="4" s="1"/>
  <c r="E452" i="4"/>
  <c r="AJ451" i="4"/>
  <c r="AI451" i="4"/>
  <c r="AH451" i="4"/>
  <c r="AC451" i="4"/>
  <c r="X451" i="4"/>
  <c r="Y451" i="4" s="1"/>
  <c r="W451" i="4"/>
  <c r="T451" i="4"/>
  <c r="S451" i="4"/>
  <c r="R451" i="4"/>
  <c r="O451" i="4"/>
  <c r="N451" i="4"/>
  <c r="Q451" i="4" s="1"/>
  <c r="L451" i="4"/>
  <c r="K451" i="4"/>
  <c r="J451" i="4"/>
  <c r="I451" i="4"/>
  <c r="AD451" i="4" s="1"/>
  <c r="E451" i="4"/>
  <c r="AK450" i="4"/>
  <c r="AL450" i="4" s="1"/>
  <c r="AJ450" i="4"/>
  <c r="AI450" i="4"/>
  <c r="AH450" i="4"/>
  <c r="AC450" i="4"/>
  <c r="X450" i="4"/>
  <c r="Y450" i="4" s="1"/>
  <c r="W450" i="4"/>
  <c r="T450" i="4"/>
  <c r="S450" i="4"/>
  <c r="R450" i="4"/>
  <c r="O450" i="4"/>
  <c r="N450" i="4"/>
  <c r="Q450" i="4" s="1"/>
  <c r="L450" i="4"/>
  <c r="K450" i="4"/>
  <c r="J450" i="4"/>
  <c r="I450" i="4"/>
  <c r="AD450" i="4" s="1"/>
  <c r="E450" i="4"/>
  <c r="AJ449" i="4"/>
  <c r="AH449" i="4"/>
  <c r="AI449" i="4" s="1"/>
  <c r="AC449" i="4"/>
  <c r="X449" i="4"/>
  <c r="Y449" i="4" s="1"/>
  <c r="W449" i="4"/>
  <c r="T449" i="4"/>
  <c r="S449" i="4"/>
  <c r="R449" i="4"/>
  <c r="O449" i="4"/>
  <c r="N449" i="4"/>
  <c r="Q449" i="4" s="1"/>
  <c r="L449" i="4"/>
  <c r="K449" i="4"/>
  <c r="I449" i="4"/>
  <c r="AD449" i="4" s="1"/>
  <c r="E449" i="4"/>
  <c r="AJ448" i="4"/>
  <c r="AI448" i="4"/>
  <c r="AH448" i="4"/>
  <c r="AC448" i="4"/>
  <c r="X448" i="4"/>
  <c r="Y448" i="4" s="1"/>
  <c r="W448" i="4"/>
  <c r="Z448" i="4" s="1"/>
  <c r="T448" i="4"/>
  <c r="S448" i="4"/>
  <c r="R448" i="4"/>
  <c r="O448" i="4"/>
  <c r="N448" i="4"/>
  <c r="Q448" i="4" s="1"/>
  <c r="L448" i="4"/>
  <c r="K448" i="4"/>
  <c r="J448" i="4"/>
  <c r="I448" i="4"/>
  <c r="AD448" i="4" s="1"/>
  <c r="E448" i="4"/>
  <c r="AJ447" i="4"/>
  <c r="AI447" i="4"/>
  <c r="AH447" i="4"/>
  <c r="AC447" i="4"/>
  <c r="X447" i="4"/>
  <c r="Y447" i="4" s="1"/>
  <c r="W447" i="4"/>
  <c r="T447" i="4"/>
  <c r="S447" i="4"/>
  <c r="R447" i="4"/>
  <c r="O447" i="4"/>
  <c r="N447" i="4"/>
  <c r="Q447" i="4" s="1"/>
  <c r="L447" i="4"/>
  <c r="K447" i="4"/>
  <c r="J447" i="4"/>
  <c r="I447" i="4"/>
  <c r="AD447" i="4" s="1"/>
  <c r="E447" i="4"/>
  <c r="AK446" i="4"/>
  <c r="AL446" i="4" s="1"/>
  <c r="AJ446" i="4"/>
  <c r="AI446" i="4"/>
  <c r="AH446" i="4"/>
  <c r="AC446" i="4"/>
  <c r="X446" i="4"/>
  <c r="Y446" i="4" s="1"/>
  <c r="W446" i="4"/>
  <c r="T446" i="4"/>
  <c r="S446" i="4"/>
  <c r="R446" i="4"/>
  <c r="O446" i="4"/>
  <c r="N446" i="4"/>
  <c r="Q446" i="4" s="1"/>
  <c r="L446" i="4"/>
  <c r="K446" i="4"/>
  <c r="J446" i="4"/>
  <c r="I446" i="4"/>
  <c r="AD446" i="4" s="1"/>
  <c r="E446" i="4"/>
  <c r="AJ445" i="4"/>
  <c r="AH445" i="4"/>
  <c r="AI445" i="4" s="1"/>
  <c r="AC445" i="4"/>
  <c r="X445" i="4"/>
  <c r="Y445" i="4" s="1"/>
  <c r="W445" i="4"/>
  <c r="T445" i="4"/>
  <c r="S445" i="4"/>
  <c r="R445" i="4"/>
  <c r="O445" i="4"/>
  <c r="N445" i="4"/>
  <c r="Q445" i="4" s="1"/>
  <c r="L445" i="4"/>
  <c r="K445" i="4"/>
  <c r="I445" i="4"/>
  <c r="AD445" i="4" s="1"/>
  <c r="E445" i="4"/>
  <c r="AJ444" i="4"/>
  <c r="AI444" i="4"/>
  <c r="AH444" i="4"/>
  <c r="AC444" i="4"/>
  <c r="X444" i="4"/>
  <c r="Y444" i="4" s="1"/>
  <c r="W444" i="4"/>
  <c r="Z444" i="4" s="1"/>
  <c r="T444" i="4"/>
  <c r="S444" i="4"/>
  <c r="R444" i="4"/>
  <c r="O444" i="4"/>
  <c r="N444" i="4"/>
  <c r="Q444" i="4" s="1"/>
  <c r="L444" i="4"/>
  <c r="K444" i="4"/>
  <c r="J444" i="4"/>
  <c r="I444" i="4"/>
  <c r="AD444" i="4" s="1"/>
  <c r="E444" i="4"/>
  <c r="AJ443" i="4"/>
  <c r="AI443" i="4"/>
  <c r="AH443" i="4"/>
  <c r="AC443" i="4"/>
  <c r="X443" i="4"/>
  <c r="Y443" i="4" s="1"/>
  <c r="W443" i="4"/>
  <c r="T443" i="4"/>
  <c r="S443" i="4"/>
  <c r="R443" i="4"/>
  <c r="O443" i="4"/>
  <c r="N443" i="4"/>
  <c r="Q443" i="4" s="1"/>
  <c r="L443" i="4"/>
  <c r="K443" i="4"/>
  <c r="J443" i="4"/>
  <c r="I443" i="4"/>
  <c r="AD443" i="4" s="1"/>
  <c r="E443" i="4"/>
  <c r="AK442" i="4"/>
  <c r="AL442" i="4" s="1"/>
  <c r="AJ442" i="4"/>
  <c r="AI442" i="4"/>
  <c r="AH442" i="4"/>
  <c r="AC442" i="4"/>
  <c r="X442" i="4"/>
  <c r="Y442" i="4" s="1"/>
  <c r="W442" i="4"/>
  <c r="T442" i="4"/>
  <c r="S442" i="4"/>
  <c r="R442" i="4"/>
  <c r="O442" i="4"/>
  <c r="N442" i="4"/>
  <c r="Q442" i="4" s="1"/>
  <c r="L442" i="4"/>
  <c r="K442" i="4"/>
  <c r="J442" i="4"/>
  <c r="I442" i="4"/>
  <c r="AD442" i="4" s="1"/>
  <c r="E442" i="4"/>
  <c r="AJ441" i="4"/>
  <c r="AH441" i="4"/>
  <c r="AI441" i="4" s="1"/>
  <c r="AC441" i="4"/>
  <c r="X441" i="4"/>
  <c r="Y441" i="4" s="1"/>
  <c r="W441" i="4"/>
  <c r="T441" i="4"/>
  <c r="S441" i="4"/>
  <c r="R441" i="4"/>
  <c r="O441" i="4"/>
  <c r="N441" i="4"/>
  <c r="Q441" i="4" s="1"/>
  <c r="L441" i="4"/>
  <c r="K441" i="4"/>
  <c r="I441" i="4"/>
  <c r="AD441" i="4" s="1"/>
  <c r="E441" i="4"/>
  <c r="AJ440" i="4"/>
  <c r="AI440" i="4"/>
  <c r="AH440" i="4"/>
  <c r="AC440" i="4"/>
  <c r="X440" i="4"/>
  <c r="Y440" i="4" s="1"/>
  <c r="W440" i="4"/>
  <c r="Z440" i="4" s="1"/>
  <c r="T440" i="4"/>
  <c r="S440" i="4"/>
  <c r="R440" i="4"/>
  <c r="O440" i="4"/>
  <c r="N440" i="4"/>
  <c r="Q440" i="4" s="1"/>
  <c r="L440" i="4"/>
  <c r="K440" i="4"/>
  <c r="J440" i="4"/>
  <c r="I440" i="4"/>
  <c r="AD440" i="4" s="1"/>
  <c r="E440" i="4"/>
  <c r="AJ439" i="4"/>
  <c r="AI439" i="4"/>
  <c r="AH439" i="4"/>
  <c r="AC439" i="4"/>
  <c r="X439" i="4"/>
  <c r="Y439" i="4" s="1"/>
  <c r="W439" i="4"/>
  <c r="T439" i="4"/>
  <c r="S439" i="4"/>
  <c r="R439" i="4"/>
  <c r="O439" i="4"/>
  <c r="N439" i="4"/>
  <c r="Q439" i="4" s="1"/>
  <c r="L439" i="4"/>
  <c r="K439" i="4"/>
  <c r="J439" i="4"/>
  <c r="I439" i="4"/>
  <c r="AD439" i="4" s="1"/>
  <c r="E439" i="4"/>
  <c r="AK438" i="4"/>
  <c r="AL438" i="4" s="1"/>
  <c r="AJ438" i="4"/>
  <c r="AI438" i="4"/>
  <c r="AH438" i="4"/>
  <c r="AC438" i="4"/>
  <c r="X438" i="4"/>
  <c r="Y438" i="4" s="1"/>
  <c r="W438" i="4"/>
  <c r="T438" i="4"/>
  <c r="S438" i="4"/>
  <c r="R438" i="4"/>
  <c r="O438" i="4"/>
  <c r="N438" i="4"/>
  <c r="Q438" i="4" s="1"/>
  <c r="L438" i="4"/>
  <c r="K438" i="4"/>
  <c r="J438" i="4"/>
  <c r="I438" i="4"/>
  <c r="AD438" i="4" s="1"/>
  <c r="E438" i="4"/>
  <c r="AJ437" i="4"/>
  <c r="AH437" i="4"/>
  <c r="AI437" i="4" s="1"/>
  <c r="AC437" i="4"/>
  <c r="X437" i="4"/>
  <c r="Y437" i="4" s="1"/>
  <c r="W437" i="4"/>
  <c r="T437" i="4"/>
  <c r="S437" i="4"/>
  <c r="R437" i="4"/>
  <c r="O437" i="4"/>
  <c r="N437" i="4"/>
  <c r="Q437" i="4" s="1"/>
  <c r="L437" i="4"/>
  <c r="K437" i="4"/>
  <c r="I437" i="4"/>
  <c r="AD437" i="4" s="1"/>
  <c r="E437" i="4"/>
  <c r="AJ436" i="4"/>
  <c r="AI436" i="4"/>
  <c r="AH436" i="4"/>
  <c r="AC436" i="4"/>
  <c r="X436" i="4"/>
  <c r="Y436" i="4" s="1"/>
  <c r="W436" i="4"/>
  <c r="Z436" i="4" s="1"/>
  <c r="T436" i="4"/>
  <c r="S436" i="4"/>
  <c r="R436" i="4"/>
  <c r="O436" i="4"/>
  <c r="N436" i="4"/>
  <c r="Q436" i="4" s="1"/>
  <c r="L436" i="4"/>
  <c r="K436" i="4"/>
  <c r="J436" i="4"/>
  <c r="I436" i="4"/>
  <c r="AD436" i="4" s="1"/>
  <c r="E436" i="4"/>
  <c r="AJ435" i="4"/>
  <c r="AI435" i="4"/>
  <c r="AH435" i="4"/>
  <c r="AC435" i="4"/>
  <c r="X435" i="4"/>
  <c r="Y435" i="4" s="1"/>
  <c r="W435" i="4"/>
  <c r="T435" i="4"/>
  <c r="S435" i="4"/>
  <c r="R435" i="4"/>
  <c r="O435" i="4"/>
  <c r="N435" i="4"/>
  <c r="Q435" i="4" s="1"/>
  <c r="L435" i="4"/>
  <c r="K435" i="4"/>
  <c r="J435" i="4"/>
  <c r="I435" i="4"/>
  <c r="AD435" i="4" s="1"/>
  <c r="E435" i="4"/>
  <c r="AK434" i="4"/>
  <c r="AL434" i="4" s="1"/>
  <c r="AJ434" i="4"/>
  <c r="AI434" i="4"/>
  <c r="AH434" i="4"/>
  <c r="AC434" i="4"/>
  <c r="X434" i="4"/>
  <c r="Y434" i="4" s="1"/>
  <c r="W434" i="4"/>
  <c r="T434" i="4"/>
  <c r="S434" i="4"/>
  <c r="R434" i="4"/>
  <c r="O434" i="4"/>
  <c r="N434" i="4"/>
  <c r="Q434" i="4" s="1"/>
  <c r="L434" i="4"/>
  <c r="K434" i="4"/>
  <c r="J434" i="4"/>
  <c r="I434" i="4"/>
  <c r="AD434" i="4" s="1"/>
  <c r="E434" i="4"/>
  <c r="AJ433" i="4"/>
  <c r="AH433" i="4"/>
  <c r="AI433" i="4" s="1"/>
  <c r="AC433" i="4"/>
  <c r="X433" i="4"/>
  <c r="Y433" i="4" s="1"/>
  <c r="W433" i="4"/>
  <c r="T433" i="4"/>
  <c r="S433" i="4"/>
  <c r="R433" i="4"/>
  <c r="O433" i="4"/>
  <c r="N433" i="4"/>
  <c r="Q433" i="4" s="1"/>
  <c r="L433" i="4"/>
  <c r="K433" i="4"/>
  <c r="I433" i="4"/>
  <c r="AD433" i="4" s="1"/>
  <c r="E433" i="4"/>
  <c r="AJ432" i="4"/>
  <c r="AI432" i="4"/>
  <c r="AH432" i="4"/>
  <c r="AC432" i="4"/>
  <c r="X432" i="4"/>
  <c r="Y432" i="4" s="1"/>
  <c r="W432" i="4"/>
  <c r="Z432" i="4" s="1"/>
  <c r="T432" i="4"/>
  <c r="S432" i="4"/>
  <c r="R432" i="4"/>
  <c r="O432" i="4"/>
  <c r="N432" i="4"/>
  <c r="Q432" i="4" s="1"/>
  <c r="L432" i="4"/>
  <c r="K432" i="4"/>
  <c r="J432" i="4"/>
  <c r="I432" i="4"/>
  <c r="AD432" i="4" s="1"/>
  <c r="E432" i="4"/>
  <c r="AJ431" i="4"/>
  <c r="AI431" i="4"/>
  <c r="AH431" i="4"/>
  <c r="AC431" i="4"/>
  <c r="X431" i="4"/>
  <c r="Y431" i="4" s="1"/>
  <c r="W431" i="4"/>
  <c r="T431" i="4"/>
  <c r="S431" i="4"/>
  <c r="R431" i="4"/>
  <c r="O431" i="4"/>
  <c r="N431" i="4"/>
  <c r="Q431" i="4" s="1"/>
  <c r="L431" i="4"/>
  <c r="K431" i="4"/>
  <c r="J431" i="4"/>
  <c r="I431" i="4"/>
  <c r="AD431" i="4" s="1"/>
  <c r="E431" i="4"/>
  <c r="AK430" i="4"/>
  <c r="AL430" i="4" s="1"/>
  <c r="AJ430" i="4"/>
  <c r="AI430" i="4"/>
  <c r="AH430" i="4"/>
  <c r="AC430" i="4"/>
  <c r="X430" i="4"/>
  <c r="Y430" i="4" s="1"/>
  <c r="W430" i="4"/>
  <c r="T430" i="4"/>
  <c r="S430" i="4"/>
  <c r="R430" i="4"/>
  <c r="O430" i="4"/>
  <c r="N430" i="4"/>
  <c r="Q430" i="4" s="1"/>
  <c r="L430" i="4"/>
  <c r="K430" i="4"/>
  <c r="J430" i="4"/>
  <c r="I430" i="4"/>
  <c r="AD430" i="4" s="1"/>
  <c r="E430" i="4"/>
  <c r="AJ429" i="4"/>
  <c r="AH429" i="4"/>
  <c r="AI429" i="4" s="1"/>
  <c r="AC429" i="4"/>
  <c r="X429" i="4"/>
  <c r="Y429" i="4" s="1"/>
  <c r="W429" i="4"/>
  <c r="T429" i="4"/>
  <c r="S429" i="4"/>
  <c r="R429" i="4"/>
  <c r="O429" i="4"/>
  <c r="N429" i="4"/>
  <c r="L429" i="4"/>
  <c r="K429" i="4"/>
  <c r="I429" i="4"/>
  <c r="E429" i="4"/>
  <c r="AJ428" i="4"/>
  <c r="AI428" i="4"/>
  <c r="AH428" i="4"/>
  <c r="AC428" i="4"/>
  <c r="X428" i="4"/>
  <c r="Y428" i="4" s="1"/>
  <c r="W428" i="4"/>
  <c r="Z428" i="4" s="1"/>
  <c r="T428" i="4"/>
  <c r="S428" i="4"/>
  <c r="R428" i="4"/>
  <c r="O428" i="4"/>
  <c r="N428" i="4"/>
  <c r="Q428" i="4" s="1"/>
  <c r="L428" i="4"/>
  <c r="K428" i="4"/>
  <c r="J428" i="4"/>
  <c r="I428" i="4"/>
  <c r="AD428" i="4" s="1"/>
  <c r="E428" i="4"/>
  <c r="AJ427" i="4"/>
  <c r="AI427" i="4"/>
  <c r="AH427" i="4"/>
  <c r="AC427" i="4"/>
  <c r="X427" i="4"/>
  <c r="Y427" i="4" s="1"/>
  <c r="W427" i="4"/>
  <c r="T427" i="4"/>
  <c r="S427" i="4"/>
  <c r="R427" i="4"/>
  <c r="O427" i="4"/>
  <c r="N427" i="4"/>
  <c r="Q427" i="4" s="1"/>
  <c r="L427" i="4"/>
  <c r="K427" i="4"/>
  <c r="J427" i="4"/>
  <c r="I427" i="4"/>
  <c r="AD427" i="4" s="1"/>
  <c r="E427" i="4"/>
  <c r="AJ426" i="4"/>
  <c r="AI426" i="4"/>
  <c r="AH426" i="4"/>
  <c r="AC426" i="4"/>
  <c r="X426" i="4"/>
  <c r="Y426" i="4" s="1"/>
  <c r="W426" i="4"/>
  <c r="T426" i="4"/>
  <c r="S426" i="4"/>
  <c r="R426" i="4"/>
  <c r="O426" i="4"/>
  <c r="N426" i="4"/>
  <c r="L426" i="4"/>
  <c r="K426" i="4"/>
  <c r="J426" i="4"/>
  <c r="I426" i="4"/>
  <c r="AD426" i="4" s="1"/>
  <c r="E426" i="4"/>
  <c r="AK425" i="4"/>
  <c r="AL425" i="4" s="1"/>
  <c r="AJ425" i="4"/>
  <c r="AI425" i="4"/>
  <c r="AH425" i="4"/>
  <c r="AC425" i="4"/>
  <c r="X425" i="4"/>
  <c r="Y425" i="4" s="1"/>
  <c r="W425" i="4"/>
  <c r="T425" i="4"/>
  <c r="S425" i="4"/>
  <c r="R425" i="4"/>
  <c r="O425" i="4"/>
  <c r="N425" i="4"/>
  <c r="Q425" i="4" s="1"/>
  <c r="L425" i="4"/>
  <c r="K425" i="4"/>
  <c r="J425" i="4"/>
  <c r="I425" i="4"/>
  <c r="AD425" i="4" s="1"/>
  <c r="E425" i="4"/>
  <c r="AJ424" i="4"/>
  <c r="AH424" i="4"/>
  <c r="AI424" i="4" s="1"/>
  <c r="AC424" i="4"/>
  <c r="X424" i="4"/>
  <c r="Y424" i="4" s="1"/>
  <c r="W424" i="4"/>
  <c r="T424" i="4"/>
  <c r="S424" i="4"/>
  <c r="R424" i="4"/>
  <c r="O424" i="4"/>
  <c r="N424" i="4"/>
  <c r="L424" i="4"/>
  <c r="K424" i="4"/>
  <c r="I424" i="4"/>
  <c r="E424" i="4"/>
  <c r="AJ423" i="4"/>
  <c r="AI423" i="4"/>
  <c r="AH423" i="4"/>
  <c r="AC423" i="4"/>
  <c r="X423" i="4"/>
  <c r="Y423" i="4" s="1"/>
  <c r="W423" i="4"/>
  <c r="T423" i="4"/>
  <c r="S423" i="4"/>
  <c r="R423" i="4"/>
  <c r="O423" i="4"/>
  <c r="N423" i="4"/>
  <c r="Q423" i="4" s="1"/>
  <c r="L423" i="4"/>
  <c r="K423" i="4"/>
  <c r="J423" i="4"/>
  <c r="I423" i="4"/>
  <c r="AD423" i="4" s="1"/>
  <c r="E423" i="4"/>
  <c r="AJ422" i="4"/>
  <c r="AI422" i="4"/>
  <c r="AH422" i="4"/>
  <c r="AC422" i="4"/>
  <c r="X422" i="4"/>
  <c r="Y422" i="4" s="1"/>
  <c r="W422" i="4"/>
  <c r="T422" i="4"/>
  <c r="S422" i="4"/>
  <c r="R422" i="4"/>
  <c r="O422" i="4"/>
  <c r="N422" i="4"/>
  <c r="Q422" i="4" s="1"/>
  <c r="L422" i="4"/>
  <c r="K422" i="4"/>
  <c r="J422" i="4"/>
  <c r="I422" i="4"/>
  <c r="AD422" i="4" s="1"/>
  <c r="E422" i="4"/>
  <c r="AK421" i="4"/>
  <c r="AL421" i="4" s="1"/>
  <c r="AJ421" i="4"/>
  <c r="AI421" i="4"/>
  <c r="AH421" i="4"/>
  <c r="AC421" i="4"/>
  <c r="X421" i="4"/>
  <c r="Y421" i="4" s="1"/>
  <c r="W421" i="4"/>
  <c r="T421" i="4"/>
  <c r="S421" i="4"/>
  <c r="R421" i="4"/>
  <c r="O421" i="4"/>
  <c r="N421" i="4"/>
  <c r="Q421" i="4" s="1"/>
  <c r="L421" i="4"/>
  <c r="K421" i="4"/>
  <c r="J421" i="4"/>
  <c r="I421" i="4"/>
  <c r="AD421" i="4" s="1"/>
  <c r="E421" i="4"/>
  <c r="AJ420" i="4"/>
  <c r="AH420" i="4"/>
  <c r="AI420" i="4" s="1"/>
  <c r="AC420" i="4"/>
  <c r="X420" i="4"/>
  <c r="Y420" i="4" s="1"/>
  <c r="W420" i="4"/>
  <c r="T420" i="4"/>
  <c r="S420" i="4"/>
  <c r="R420" i="4"/>
  <c r="O420" i="4"/>
  <c r="N420" i="4"/>
  <c r="L420" i="4"/>
  <c r="K420" i="4"/>
  <c r="I420" i="4"/>
  <c r="E420" i="4"/>
  <c r="AJ419" i="4"/>
  <c r="AI419" i="4"/>
  <c r="AH419" i="4"/>
  <c r="AC419" i="4"/>
  <c r="X419" i="4"/>
  <c r="Y419" i="4" s="1"/>
  <c r="W419" i="4"/>
  <c r="T419" i="4"/>
  <c r="S419" i="4"/>
  <c r="R419" i="4"/>
  <c r="O419" i="4"/>
  <c r="N419" i="4"/>
  <c r="Q419" i="4" s="1"/>
  <c r="L419" i="4"/>
  <c r="K419" i="4"/>
  <c r="J419" i="4"/>
  <c r="I419" i="4"/>
  <c r="AD419" i="4" s="1"/>
  <c r="E419" i="4"/>
  <c r="AJ418" i="4"/>
  <c r="AI418" i="4"/>
  <c r="AH418" i="4"/>
  <c r="AC418" i="4"/>
  <c r="X418" i="4"/>
  <c r="Y418" i="4" s="1"/>
  <c r="W418" i="4"/>
  <c r="T418" i="4"/>
  <c r="S418" i="4"/>
  <c r="R418" i="4"/>
  <c r="O418" i="4"/>
  <c r="N418" i="4"/>
  <c r="Q418" i="4" s="1"/>
  <c r="L418" i="4"/>
  <c r="K418" i="4"/>
  <c r="J418" i="4"/>
  <c r="I418" i="4"/>
  <c r="AD418" i="4" s="1"/>
  <c r="E418" i="4"/>
  <c r="AK417" i="4"/>
  <c r="AL417" i="4" s="1"/>
  <c r="AJ417" i="4"/>
  <c r="AI417" i="4"/>
  <c r="AH417" i="4"/>
  <c r="AC417" i="4"/>
  <c r="X417" i="4"/>
  <c r="Y417" i="4" s="1"/>
  <c r="W417" i="4"/>
  <c r="T417" i="4"/>
  <c r="S417" i="4"/>
  <c r="R417" i="4"/>
  <c r="O417" i="4"/>
  <c r="N417" i="4"/>
  <c r="Q417" i="4" s="1"/>
  <c r="L417" i="4"/>
  <c r="K417" i="4"/>
  <c r="J417" i="4"/>
  <c r="I417" i="4"/>
  <c r="AD417" i="4" s="1"/>
  <c r="E417" i="4"/>
  <c r="AJ416" i="4"/>
  <c r="AI416" i="4"/>
  <c r="AH416" i="4"/>
  <c r="AC416" i="4"/>
  <c r="X416" i="4"/>
  <c r="Y416" i="4" s="1"/>
  <c r="W416" i="4"/>
  <c r="T416" i="4"/>
  <c r="S416" i="4"/>
  <c r="R416" i="4"/>
  <c r="O416" i="4"/>
  <c r="N416" i="4"/>
  <c r="L416" i="4"/>
  <c r="K416" i="4"/>
  <c r="J416" i="4"/>
  <c r="I416" i="4"/>
  <c r="AD416" i="4" s="1"/>
  <c r="E416" i="4"/>
  <c r="AJ415" i="4"/>
  <c r="AH415" i="4"/>
  <c r="AI415" i="4" s="1"/>
  <c r="AC415" i="4"/>
  <c r="X415" i="4"/>
  <c r="Y415" i="4" s="1"/>
  <c r="W415" i="4"/>
  <c r="T415" i="4"/>
  <c r="S415" i="4"/>
  <c r="R415" i="4"/>
  <c r="O415" i="4"/>
  <c r="N415" i="4"/>
  <c r="Q415" i="4" s="1"/>
  <c r="L415" i="4"/>
  <c r="K415" i="4"/>
  <c r="I415" i="4"/>
  <c r="E415" i="4"/>
  <c r="AJ414" i="4"/>
  <c r="AH414" i="4"/>
  <c r="AI414" i="4" s="1"/>
  <c r="AC414" i="4"/>
  <c r="X414" i="4"/>
  <c r="Y414" i="4" s="1"/>
  <c r="W414" i="4"/>
  <c r="Z414" i="4" s="1"/>
  <c r="T414" i="4"/>
  <c r="S414" i="4"/>
  <c r="R414" i="4"/>
  <c r="O414" i="4"/>
  <c r="N414" i="4"/>
  <c r="L414" i="4"/>
  <c r="K414" i="4"/>
  <c r="I414" i="4"/>
  <c r="AD414" i="4" s="1"/>
  <c r="E414" i="4"/>
  <c r="AJ413" i="4"/>
  <c r="AI413" i="4"/>
  <c r="AH413" i="4"/>
  <c r="AC413" i="4"/>
  <c r="X413" i="4"/>
  <c r="Y413" i="4" s="1"/>
  <c r="W413" i="4"/>
  <c r="T413" i="4"/>
  <c r="S413" i="4"/>
  <c r="R413" i="4"/>
  <c r="O413" i="4"/>
  <c r="N413" i="4"/>
  <c r="Q413" i="4" s="1"/>
  <c r="L413" i="4"/>
  <c r="K413" i="4"/>
  <c r="J413" i="4"/>
  <c r="I413" i="4"/>
  <c r="AD413" i="4" s="1"/>
  <c r="E413" i="4"/>
  <c r="AJ412" i="4"/>
  <c r="AI412" i="4"/>
  <c r="AH412" i="4"/>
  <c r="AC412" i="4"/>
  <c r="X412" i="4"/>
  <c r="Y412" i="4" s="1"/>
  <c r="W412" i="4"/>
  <c r="T412" i="4"/>
  <c r="S412" i="4"/>
  <c r="R412" i="4"/>
  <c r="O412" i="4"/>
  <c r="N412" i="4"/>
  <c r="L412" i="4"/>
  <c r="K412" i="4"/>
  <c r="I412" i="4"/>
  <c r="AD412" i="4" s="1"/>
  <c r="E412" i="4"/>
  <c r="AJ411" i="4"/>
  <c r="AI411" i="4"/>
  <c r="AH411" i="4"/>
  <c r="AC411" i="4"/>
  <c r="X411" i="4"/>
  <c r="Y411" i="4" s="1"/>
  <c r="W411" i="4"/>
  <c r="Z411" i="4" s="1"/>
  <c r="T411" i="4"/>
  <c r="S411" i="4"/>
  <c r="R411" i="4"/>
  <c r="O411" i="4"/>
  <c r="N411" i="4"/>
  <c r="L411" i="4"/>
  <c r="K411" i="4"/>
  <c r="J411" i="4"/>
  <c r="I411" i="4"/>
  <c r="AD411" i="4" s="1"/>
  <c r="E411" i="4"/>
  <c r="AJ410" i="4"/>
  <c r="AI410" i="4"/>
  <c r="AH410" i="4"/>
  <c r="AC410" i="4"/>
  <c r="X410" i="4"/>
  <c r="Y410" i="4" s="1"/>
  <c r="W410" i="4"/>
  <c r="Z410" i="4" s="1"/>
  <c r="T410" i="4"/>
  <c r="S410" i="4"/>
  <c r="R410" i="4"/>
  <c r="O410" i="4"/>
  <c r="N410" i="4"/>
  <c r="L410" i="4"/>
  <c r="K410" i="4"/>
  <c r="I410" i="4"/>
  <c r="AD410" i="4" s="1"/>
  <c r="E410" i="4"/>
  <c r="AJ409" i="4"/>
  <c r="AI409" i="4"/>
  <c r="AH409" i="4"/>
  <c r="AC409" i="4"/>
  <c r="X409" i="4"/>
  <c r="Y409" i="4" s="1"/>
  <c r="Z409" i="4" s="1"/>
  <c r="W409" i="4"/>
  <c r="T409" i="4"/>
  <c r="S409" i="4"/>
  <c r="R409" i="4"/>
  <c r="O409" i="4"/>
  <c r="N409" i="4"/>
  <c r="Q409" i="4" s="1"/>
  <c r="L409" i="4"/>
  <c r="K409" i="4"/>
  <c r="J409" i="4"/>
  <c r="I409" i="4"/>
  <c r="AD409" i="4" s="1"/>
  <c r="E409" i="4"/>
  <c r="AJ408" i="4"/>
  <c r="AI408" i="4"/>
  <c r="AH408" i="4"/>
  <c r="AC408" i="4"/>
  <c r="X408" i="4"/>
  <c r="Y408" i="4" s="1"/>
  <c r="W408" i="4"/>
  <c r="T408" i="4"/>
  <c r="S408" i="4"/>
  <c r="R408" i="4"/>
  <c r="O408" i="4"/>
  <c r="N408" i="4"/>
  <c r="Q408" i="4" s="1"/>
  <c r="L408" i="4"/>
  <c r="K408" i="4"/>
  <c r="I408" i="4"/>
  <c r="AD408" i="4" s="1"/>
  <c r="E408" i="4"/>
  <c r="AJ407" i="4"/>
  <c r="AI407" i="4"/>
  <c r="AH407" i="4"/>
  <c r="AC407" i="4"/>
  <c r="Z407" i="4"/>
  <c r="X407" i="4"/>
  <c r="Y407" i="4" s="1"/>
  <c r="W407" i="4"/>
  <c r="T407" i="4"/>
  <c r="S407" i="4"/>
  <c r="R407" i="4"/>
  <c r="O407" i="4"/>
  <c r="N407" i="4"/>
  <c r="Q407" i="4" s="1"/>
  <c r="L407" i="4"/>
  <c r="K407" i="4"/>
  <c r="I407" i="4"/>
  <c r="E407" i="4"/>
  <c r="AJ406" i="4"/>
  <c r="AH406" i="4"/>
  <c r="AI406" i="4" s="1"/>
  <c r="AC406" i="4"/>
  <c r="X406" i="4"/>
  <c r="Y406" i="4" s="1"/>
  <c r="W406" i="4"/>
  <c r="T406" i="4"/>
  <c r="S406" i="4"/>
  <c r="R406" i="4"/>
  <c r="O406" i="4"/>
  <c r="N406" i="4"/>
  <c r="Q406" i="4" s="1"/>
  <c r="L406" i="4"/>
  <c r="K406" i="4"/>
  <c r="I406" i="4"/>
  <c r="AD406" i="4" s="1"/>
  <c r="E406" i="4"/>
  <c r="AJ405" i="4"/>
  <c r="AH405" i="4"/>
  <c r="AI405" i="4" s="1"/>
  <c r="AC405" i="4"/>
  <c r="X405" i="4"/>
  <c r="Y405" i="4" s="1"/>
  <c r="Z405" i="4" s="1"/>
  <c r="W405" i="4"/>
  <c r="T405" i="4"/>
  <c r="S405" i="4"/>
  <c r="R405" i="4"/>
  <c r="O405" i="4"/>
  <c r="N405" i="4"/>
  <c r="Q405" i="4" s="1"/>
  <c r="L405" i="4"/>
  <c r="K405" i="4"/>
  <c r="I405" i="4"/>
  <c r="AD405" i="4" s="1"/>
  <c r="E405" i="4"/>
  <c r="AJ404" i="4"/>
  <c r="AI404" i="4"/>
  <c r="AH404" i="4"/>
  <c r="AC404" i="4"/>
  <c r="X404" i="4"/>
  <c r="Y404" i="4" s="1"/>
  <c r="W404" i="4"/>
  <c r="T404" i="4"/>
  <c r="S404" i="4"/>
  <c r="R404" i="4"/>
  <c r="O404" i="4"/>
  <c r="N404" i="4"/>
  <c r="Q404" i="4" s="1"/>
  <c r="L404" i="4"/>
  <c r="K404" i="4"/>
  <c r="I404" i="4"/>
  <c r="AD404" i="4" s="1"/>
  <c r="E404" i="4"/>
  <c r="AJ403" i="4"/>
  <c r="AI403" i="4"/>
  <c r="AH403" i="4"/>
  <c r="AC403" i="4"/>
  <c r="X403" i="4"/>
  <c r="Y403" i="4" s="1"/>
  <c r="W403" i="4"/>
  <c r="T403" i="4"/>
  <c r="S403" i="4"/>
  <c r="R403" i="4"/>
  <c r="O403" i="4"/>
  <c r="N403" i="4"/>
  <c r="L403" i="4"/>
  <c r="K403" i="4"/>
  <c r="I403" i="4"/>
  <c r="AD403" i="4" s="1"/>
  <c r="E403" i="4"/>
  <c r="AJ402" i="4"/>
  <c r="AH402" i="4"/>
  <c r="AI402" i="4" s="1"/>
  <c r="AC402" i="4"/>
  <c r="X402" i="4"/>
  <c r="Y402" i="4" s="1"/>
  <c r="W402" i="4"/>
  <c r="Z402" i="4" s="1"/>
  <c r="T402" i="4"/>
  <c r="S402" i="4"/>
  <c r="R402" i="4"/>
  <c r="O402" i="4"/>
  <c r="N402" i="4"/>
  <c r="L402" i="4"/>
  <c r="K402" i="4"/>
  <c r="I402" i="4"/>
  <c r="AD402" i="4" s="1"/>
  <c r="E402" i="4"/>
  <c r="AJ401" i="4"/>
  <c r="AH401" i="4"/>
  <c r="AI401" i="4" s="1"/>
  <c r="AC401" i="4"/>
  <c r="X401" i="4"/>
  <c r="Y401" i="4" s="1"/>
  <c r="Z401" i="4" s="1"/>
  <c r="W401" i="4"/>
  <c r="T401" i="4"/>
  <c r="S401" i="4"/>
  <c r="R401" i="4"/>
  <c r="O401" i="4"/>
  <c r="N401" i="4"/>
  <c r="L401" i="4"/>
  <c r="K401" i="4"/>
  <c r="I401" i="4"/>
  <c r="AD401" i="4" s="1"/>
  <c r="E401" i="4"/>
  <c r="AJ400" i="4"/>
  <c r="AI400" i="4"/>
  <c r="AH400" i="4"/>
  <c r="AC400" i="4"/>
  <c r="X400" i="4"/>
  <c r="Y400" i="4" s="1"/>
  <c r="W400" i="4"/>
  <c r="Z400" i="4" s="1"/>
  <c r="T400" i="4"/>
  <c r="S400" i="4"/>
  <c r="R400" i="4"/>
  <c r="O400" i="4"/>
  <c r="N400" i="4"/>
  <c r="L400" i="4"/>
  <c r="K400" i="4"/>
  <c r="I400" i="4"/>
  <c r="AD400" i="4" s="1"/>
  <c r="E400" i="4"/>
  <c r="AJ399" i="4"/>
  <c r="AH399" i="4"/>
  <c r="AI399" i="4" s="1"/>
  <c r="AC399" i="4"/>
  <c r="X399" i="4"/>
  <c r="Y399" i="4" s="1"/>
  <c r="W399" i="4"/>
  <c r="T399" i="4"/>
  <c r="S399" i="4"/>
  <c r="R399" i="4"/>
  <c r="O399" i="4"/>
  <c r="N399" i="4"/>
  <c r="L399" i="4"/>
  <c r="K399" i="4"/>
  <c r="I399" i="4"/>
  <c r="AD399" i="4" s="1"/>
  <c r="E399" i="4"/>
  <c r="AJ398" i="4"/>
  <c r="AH398" i="4"/>
  <c r="AI398" i="4" s="1"/>
  <c r="AC398" i="4"/>
  <c r="X398" i="4"/>
  <c r="Y398" i="4" s="1"/>
  <c r="W398" i="4"/>
  <c r="Z398" i="4" s="1"/>
  <c r="T398" i="4"/>
  <c r="S398" i="4"/>
  <c r="R398" i="4"/>
  <c r="O398" i="4"/>
  <c r="N398" i="4"/>
  <c r="L398" i="4"/>
  <c r="K398" i="4"/>
  <c r="I398" i="4"/>
  <c r="AD398" i="4" s="1"/>
  <c r="E398" i="4"/>
  <c r="AJ397" i="4"/>
  <c r="AH397" i="4"/>
  <c r="AI397" i="4" s="1"/>
  <c r="AC397" i="4"/>
  <c r="X397" i="4"/>
  <c r="Y397" i="4" s="1"/>
  <c r="Z397" i="4" s="1"/>
  <c r="W397" i="4"/>
  <c r="T397" i="4"/>
  <c r="S397" i="4"/>
  <c r="R397" i="4"/>
  <c r="O397" i="4"/>
  <c r="N397" i="4"/>
  <c r="L397" i="4"/>
  <c r="K397" i="4"/>
  <c r="I397" i="4"/>
  <c r="AD397" i="4" s="1"/>
  <c r="E397" i="4"/>
  <c r="AJ396" i="4"/>
  <c r="AI396" i="4"/>
  <c r="AH396" i="4"/>
  <c r="AC396" i="4"/>
  <c r="X396" i="4"/>
  <c r="Y396" i="4" s="1"/>
  <c r="W396" i="4"/>
  <c r="Z396" i="4" s="1"/>
  <c r="T396" i="4"/>
  <c r="S396" i="4"/>
  <c r="R396" i="4"/>
  <c r="O396" i="4"/>
  <c r="N396" i="4"/>
  <c r="Q396" i="4" s="1"/>
  <c r="L396" i="4"/>
  <c r="K396" i="4"/>
  <c r="I396" i="4"/>
  <c r="AD396" i="4" s="1"/>
  <c r="E396" i="4"/>
  <c r="AK395" i="4"/>
  <c r="AL395" i="4" s="1"/>
  <c r="AJ395" i="4"/>
  <c r="AI395" i="4"/>
  <c r="AH395" i="4"/>
  <c r="AC395" i="4"/>
  <c r="X395" i="4"/>
  <c r="Y395" i="4" s="1"/>
  <c r="W395" i="4"/>
  <c r="T395" i="4"/>
  <c r="S395" i="4"/>
  <c r="R395" i="4"/>
  <c r="O395" i="4"/>
  <c r="N395" i="4"/>
  <c r="Q395" i="4" s="1"/>
  <c r="L395" i="4"/>
  <c r="K395" i="4"/>
  <c r="I395" i="4"/>
  <c r="AD395" i="4" s="1"/>
  <c r="E395" i="4"/>
  <c r="AJ394" i="4"/>
  <c r="AH394" i="4"/>
  <c r="AI394" i="4" s="1"/>
  <c r="AC394" i="4"/>
  <c r="X394" i="4"/>
  <c r="Y394" i="4" s="1"/>
  <c r="W394" i="4"/>
  <c r="Z394" i="4" s="1"/>
  <c r="T394" i="4"/>
  <c r="S394" i="4"/>
  <c r="R394" i="4"/>
  <c r="O394" i="4"/>
  <c r="N394" i="4"/>
  <c r="L394" i="4"/>
  <c r="K394" i="4"/>
  <c r="I394" i="4"/>
  <c r="AD394" i="4" s="1"/>
  <c r="E394" i="4"/>
  <c r="AJ393" i="4"/>
  <c r="AH393" i="4"/>
  <c r="AI393" i="4" s="1"/>
  <c r="AC393" i="4"/>
  <c r="X393" i="4"/>
  <c r="Y393" i="4" s="1"/>
  <c r="W393" i="4"/>
  <c r="T393" i="4"/>
  <c r="S393" i="4"/>
  <c r="R393" i="4"/>
  <c r="O393" i="4"/>
  <c r="N393" i="4"/>
  <c r="L393" i="4"/>
  <c r="K393" i="4"/>
  <c r="I393" i="4"/>
  <c r="AD393" i="4" s="1"/>
  <c r="E393" i="4"/>
  <c r="AJ392" i="4"/>
  <c r="AI392" i="4"/>
  <c r="AH392" i="4"/>
  <c r="AC392" i="4"/>
  <c r="X392" i="4"/>
  <c r="Y392" i="4" s="1"/>
  <c r="W392" i="4"/>
  <c r="T392" i="4"/>
  <c r="S392" i="4"/>
  <c r="R392" i="4"/>
  <c r="O392" i="4"/>
  <c r="N392" i="4"/>
  <c r="L392" i="4"/>
  <c r="K392" i="4"/>
  <c r="I392" i="4"/>
  <c r="AD392" i="4" s="1"/>
  <c r="E392" i="4"/>
  <c r="AJ391" i="4"/>
  <c r="AI391" i="4"/>
  <c r="AH391" i="4"/>
  <c r="AC391" i="4"/>
  <c r="X391" i="4"/>
  <c r="Y391" i="4" s="1"/>
  <c r="W391" i="4"/>
  <c r="T391" i="4"/>
  <c r="S391" i="4"/>
  <c r="R391" i="4"/>
  <c r="O391" i="4"/>
  <c r="N391" i="4"/>
  <c r="L391" i="4"/>
  <c r="K391" i="4"/>
  <c r="I391" i="4"/>
  <c r="AD391" i="4" s="1"/>
  <c r="E391" i="4"/>
  <c r="AJ390" i="4"/>
  <c r="AH390" i="4"/>
  <c r="AI390" i="4" s="1"/>
  <c r="AC390" i="4"/>
  <c r="X390" i="4"/>
  <c r="Y390" i="4" s="1"/>
  <c r="W390" i="4"/>
  <c r="Z390" i="4" s="1"/>
  <c r="T390" i="4"/>
  <c r="S390" i="4"/>
  <c r="R390" i="4"/>
  <c r="O390" i="4"/>
  <c r="N390" i="4"/>
  <c r="L390" i="4"/>
  <c r="K390" i="4"/>
  <c r="I390" i="4"/>
  <c r="AD390" i="4" s="1"/>
  <c r="E390" i="4"/>
  <c r="AJ389" i="4"/>
  <c r="AH389" i="4"/>
  <c r="AI389" i="4" s="1"/>
  <c r="AC389" i="4"/>
  <c r="X389" i="4"/>
  <c r="Y389" i="4" s="1"/>
  <c r="Z389" i="4" s="1"/>
  <c r="W389" i="4"/>
  <c r="T389" i="4"/>
  <c r="S389" i="4"/>
  <c r="R389" i="4"/>
  <c r="O389" i="4"/>
  <c r="N389" i="4"/>
  <c r="L389" i="4"/>
  <c r="K389" i="4"/>
  <c r="I389" i="4"/>
  <c r="AD389" i="4" s="1"/>
  <c r="E389" i="4"/>
  <c r="AJ388" i="4"/>
  <c r="AI388" i="4"/>
  <c r="AH388" i="4"/>
  <c r="AC388" i="4"/>
  <c r="X388" i="4"/>
  <c r="Y388" i="4" s="1"/>
  <c r="W388" i="4"/>
  <c r="T388" i="4"/>
  <c r="S388" i="4"/>
  <c r="R388" i="4"/>
  <c r="O388" i="4"/>
  <c r="N388" i="4"/>
  <c r="Q388" i="4" s="1"/>
  <c r="L388" i="4"/>
  <c r="K388" i="4"/>
  <c r="I388" i="4"/>
  <c r="AD388" i="4" s="1"/>
  <c r="E388" i="4"/>
  <c r="AJ387" i="4"/>
  <c r="AI387" i="4"/>
  <c r="AH387" i="4"/>
  <c r="AC387" i="4"/>
  <c r="X387" i="4"/>
  <c r="Y387" i="4" s="1"/>
  <c r="W387" i="4"/>
  <c r="T387" i="4"/>
  <c r="S387" i="4"/>
  <c r="R387" i="4"/>
  <c r="O387" i="4"/>
  <c r="N387" i="4"/>
  <c r="L387" i="4"/>
  <c r="K387" i="4"/>
  <c r="I387" i="4"/>
  <c r="AD387" i="4" s="1"/>
  <c r="E387" i="4"/>
  <c r="AJ386" i="4"/>
  <c r="AH386" i="4"/>
  <c r="AI386" i="4" s="1"/>
  <c r="AC386" i="4"/>
  <c r="X386" i="4"/>
  <c r="Y386" i="4" s="1"/>
  <c r="W386" i="4"/>
  <c r="Z386" i="4" s="1"/>
  <c r="T386" i="4"/>
  <c r="S386" i="4"/>
  <c r="R386" i="4"/>
  <c r="O386" i="4"/>
  <c r="N386" i="4"/>
  <c r="L386" i="4"/>
  <c r="K386" i="4"/>
  <c r="I386" i="4"/>
  <c r="AD386" i="4" s="1"/>
  <c r="E386" i="4"/>
  <c r="AJ385" i="4"/>
  <c r="AH385" i="4"/>
  <c r="AI385" i="4" s="1"/>
  <c r="AC385" i="4"/>
  <c r="X385" i="4"/>
  <c r="Y385" i="4" s="1"/>
  <c r="Z385" i="4" s="1"/>
  <c r="W385" i="4"/>
  <c r="T385" i="4"/>
  <c r="S385" i="4"/>
  <c r="R385" i="4"/>
  <c r="O385" i="4"/>
  <c r="N385" i="4"/>
  <c r="L385" i="4"/>
  <c r="K385" i="4"/>
  <c r="I385" i="4"/>
  <c r="AD385" i="4" s="1"/>
  <c r="E385" i="4"/>
  <c r="AJ384" i="4"/>
  <c r="AI384" i="4"/>
  <c r="AH384" i="4"/>
  <c r="AC384" i="4"/>
  <c r="X384" i="4"/>
  <c r="Y384" i="4" s="1"/>
  <c r="W384" i="4"/>
  <c r="T384" i="4"/>
  <c r="S384" i="4"/>
  <c r="R384" i="4"/>
  <c r="O384" i="4"/>
  <c r="N384" i="4"/>
  <c r="L384" i="4"/>
  <c r="K384" i="4"/>
  <c r="I384" i="4"/>
  <c r="AD384" i="4" s="1"/>
  <c r="E384" i="4"/>
  <c r="AJ383" i="4"/>
  <c r="AI383" i="4"/>
  <c r="AH383" i="4"/>
  <c r="AC383" i="4"/>
  <c r="X383" i="4"/>
  <c r="Y383" i="4" s="1"/>
  <c r="W383" i="4"/>
  <c r="T383" i="4"/>
  <c r="S383" i="4"/>
  <c r="R383" i="4"/>
  <c r="O383" i="4"/>
  <c r="N383" i="4"/>
  <c r="L383" i="4"/>
  <c r="K383" i="4"/>
  <c r="I383" i="4"/>
  <c r="AD383" i="4" s="1"/>
  <c r="E383" i="4"/>
  <c r="AJ382" i="4"/>
  <c r="AH382" i="4"/>
  <c r="AI382" i="4" s="1"/>
  <c r="AC382" i="4"/>
  <c r="X382" i="4"/>
  <c r="Y382" i="4" s="1"/>
  <c r="W382" i="4"/>
  <c r="Z382" i="4" s="1"/>
  <c r="T382" i="4"/>
  <c r="S382" i="4"/>
  <c r="R382" i="4"/>
  <c r="O382" i="4"/>
  <c r="N382" i="4"/>
  <c r="L382" i="4"/>
  <c r="K382" i="4"/>
  <c r="I382" i="4"/>
  <c r="AD382" i="4" s="1"/>
  <c r="E382" i="4"/>
  <c r="AJ381" i="4"/>
  <c r="AH381" i="4"/>
  <c r="AI381" i="4" s="1"/>
  <c r="AC381" i="4"/>
  <c r="X381" i="4"/>
  <c r="Y381" i="4" s="1"/>
  <c r="Z381" i="4" s="1"/>
  <c r="W381" i="4"/>
  <c r="T381" i="4"/>
  <c r="S381" i="4"/>
  <c r="R381" i="4"/>
  <c r="O381" i="4"/>
  <c r="N381" i="4"/>
  <c r="L381" i="4"/>
  <c r="K381" i="4"/>
  <c r="I381" i="4"/>
  <c r="AD381" i="4" s="1"/>
  <c r="E381" i="4"/>
  <c r="AJ380" i="4"/>
  <c r="AI380" i="4"/>
  <c r="AH380" i="4"/>
  <c r="AC380" i="4"/>
  <c r="X380" i="4"/>
  <c r="Y380" i="4" s="1"/>
  <c r="W380" i="4"/>
  <c r="T380" i="4"/>
  <c r="S380" i="4"/>
  <c r="R380" i="4"/>
  <c r="O380" i="4"/>
  <c r="N380" i="4"/>
  <c r="L380" i="4"/>
  <c r="K380" i="4"/>
  <c r="I380" i="4"/>
  <c r="AD380" i="4" s="1"/>
  <c r="E380" i="4"/>
  <c r="AJ379" i="4"/>
  <c r="AI379" i="4"/>
  <c r="AH379" i="4"/>
  <c r="AC379" i="4"/>
  <c r="X379" i="4"/>
  <c r="Y379" i="4" s="1"/>
  <c r="W379" i="4"/>
  <c r="T379" i="4"/>
  <c r="S379" i="4"/>
  <c r="R379" i="4"/>
  <c r="O379" i="4"/>
  <c r="N379" i="4"/>
  <c r="L379" i="4"/>
  <c r="K379" i="4"/>
  <c r="I379" i="4"/>
  <c r="AD379" i="4" s="1"/>
  <c r="E379" i="4"/>
  <c r="AJ378" i="4"/>
  <c r="AH378" i="4"/>
  <c r="AI378" i="4" s="1"/>
  <c r="AC378" i="4"/>
  <c r="X378" i="4"/>
  <c r="Y378" i="4" s="1"/>
  <c r="W378" i="4"/>
  <c r="Z378" i="4" s="1"/>
  <c r="T378" i="4"/>
  <c r="S378" i="4"/>
  <c r="R378" i="4"/>
  <c r="O378" i="4"/>
  <c r="N378" i="4"/>
  <c r="L378" i="4"/>
  <c r="K378" i="4"/>
  <c r="I378" i="4"/>
  <c r="AD378" i="4" s="1"/>
  <c r="E378" i="4"/>
  <c r="AJ377" i="4"/>
  <c r="AH377" i="4"/>
  <c r="AI377" i="4" s="1"/>
  <c r="AC377" i="4"/>
  <c r="X377" i="4"/>
  <c r="Y377" i="4" s="1"/>
  <c r="Z377" i="4" s="1"/>
  <c r="W377" i="4"/>
  <c r="T377" i="4"/>
  <c r="S377" i="4"/>
  <c r="R377" i="4"/>
  <c r="O377" i="4"/>
  <c r="N377" i="4"/>
  <c r="L377" i="4"/>
  <c r="K377" i="4"/>
  <c r="I377" i="4"/>
  <c r="AD377" i="4" s="1"/>
  <c r="E377" i="4"/>
  <c r="AJ376" i="4"/>
  <c r="AI376" i="4"/>
  <c r="AH376" i="4"/>
  <c r="AC376" i="4"/>
  <c r="X376" i="4"/>
  <c r="Y376" i="4" s="1"/>
  <c r="W376" i="4"/>
  <c r="T376" i="4"/>
  <c r="S376" i="4"/>
  <c r="R376" i="4"/>
  <c r="O376" i="4"/>
  <c r="N376" i="4"/>
  <c r="L376" i="4"/>
  <c r="K376" i="4"/>
  <c r="I376" i="4"/>
  <c r="AD376" i="4" s="1"/>
  <c r="E376" i="4"/>
  <c r="AJ375" i="4"/>
  <c r="AI375" i="4"/>
  <c r="AH375" i="4"/>
  <c r="AC375" i="4"/>
  <c r="X375" i="4"/>
  <c r="Y375" i="4" s="1"/>
  <c r="W375" i="4"/>
  <c r="T375" i="4"/>
  <c r="S375" i="4"/>
  <c r="R375" i="4"/>
  <c r="O375" i="4"/>
  <c r="N375" i="4"/>
  <c r="L375" i="4"/>
  <c r="K375" i="4"/>
  <c r="I375" i="4"/>
  <c r="AD375" i="4" s="1"/>
  <c r="E375" i="4"/>
  <c r="AJ374" i="4"/>
  <c r="AH374" i="4"/>
  <c r="AI374" i="4" s="1"/>
  <c r="AC374" i="4"/>
  <c r="X374" i="4"/>
  <c r="Y374" i="4" s="1"/>
  <c r="W374" i="4"/>
  <c r="Z374" i="4" s="1"/>
  <c r="T374" i="4"/>
  <c r="S374" i="4"/>
  <c r="R374" i="4"/>
  <c r="O374" i="4"/>
  <c r="N374" i="4"/>
  <c r="L374" i="4"/>
  <c r="K374" i="4"/>
  <c r="I374" i="4"/>
  <c r="AD374" i="4" s="1"/>
  <c r="E374" i="4"/>
  <c r="AJ373" i="4"/>
  <c r="AH373" i="4"/>
  <c r="AI373" i="4" s="1"/>
  <c r="AC373" i="4"/>
  <c r="X373" i="4"/>
  <c r="Y373" i="4" s="1"/>
  <c r="Z373" i="4" s="1"/>
  <c r="W373" i="4"/>
  <c r="T373" i="4"/>
  <c r="S373" i="4"/>
  <c r="R373" i="4"/>
  <c r="O373" i="4"/>
  <c r="N373" i="4"/>
  <c r="L373" i="4"/>
  <c r="K373" i="4"/>
  <c r="I373" i="4"/>
  <c r="AD373" i="4" s="1"/>
  <c r="E373" i="4"/>
  <c r="AJ372" i="4"/>
  <c r="AI372" i="4"/>
  <c r="AH372" i="4"/>
  <c r="AC372" i="4"/>
  <c r="X372" i="4"/>
  <c r="Y372" i="4" s="1"/>
  <c r="W372" i="4"/>
  <c r="T372" i="4"/>
  <c r="S372" i="4"/>
  <c r="R372" i="4"/>
  <c r="O372" i="4"/>
  <c r="N372" i="4"/>
  <c r="L372" i="4"/>
  <c r="K372" i="4"/>
  <c r="I372" i="4"/>
  <c r="AD372" i="4" s="1"/>
  <c r="E372" i="4"/>
  <c r="AJ371" i="4"/>
  <c r="AI371" i="4"/>
  <c r="AH371" i="4"/>
  <c r="AC371" i="4"/>
  <c r="X371" i="4"/>
  <c r="Y371" i="4" s="1"/>
  <c r="W371" i="4"/>
  <c r="T371" i="4"/>
  <c r="S371" i="4"/>
  <c r="R371" i="4"/>
  <c r="O371" i="4"/>
  <c r="N371" i="4"/>
  <c r="L371" i="4"/>
  <c r="K371" i="4"/>
  <c r="I371" i="4"/>
  <c r="AD371" i="4" s="1"/>
  <c r="E371" i="4"/>
  <c r="AJ370" i="4"/>
  <c r="AH370" i="4"/>
  <c r="AI370" i="4" s="1"/>
  <c r="AC370" i="4"/>
  <c r="X370" i="4"/>
  <c r="Y370" i="4" s="1"/>
  <c r="W370" i="4"/>
  <c r="Z370" i="4" s="1"/>
  <c r="T370" i="4"/>
  <c r="S370" i="4"/>
  <c r="R370" i="4"/>
  <c r="O370" i="4"/>
  <c r="N370" i="4"/>
  <c r="L370" i="4"/>
  <c r="K370" i="4"/>
  <c r="I370" i="4"/>
  <c r="AD370" i="4" s="1"/>
  <c r="E370" i="4"/>
  <c r="AJ369" i="4"/>
  <c r="AH369" i="4"/>
  <c r="AI369" i="4" s="1"/>
  <c r="AC369" i="4"/>
  <c r="X369" i="4"/>
  <c r="Y369" i="4" s="1"/>
  <c r="Z369" i="4" s="1"/>
  <c r="W369" i="4"/>
  <c r="T369" i="4"/>
  <c r="S369" i="4"/>
  <c r="R369" i="4"/>
  <c r="O369" i="4"/>
  <c r="N369" i="4"/>
  <c r="L369" i="4"/>
  <c r="K369" i="4"/>
  <c r="I369" i="4"/>
  <c r="AD369" i="4" s="1"/>
  <c r="E369" i="4"/>
  <c r="AJ368" i="4"/>
  <c r="AI368" i="4"/>
  <c r="AH368" i="4"/>
  <c r="AC368" i="4"/>
  <c r="X368" i="4"/>
  <c r="Y368" i="4" s="1"/>
  <c r="W368" i="4"/>
  <c r="T368" i="4"/>
  <c r="S368" i="4"/>
  <c r="R368" i="4"/>
  <c r="O368" i="4"/>
  <c r="N368" i="4"/>
  <c r="L368" i="4"/>
  <c r="K368" i="4"/>
  <c r="I368" i="4"/>
  <c r="AD368" i="4" s="1"/>
  <c r="E368" i="4"/>
  <c r="AJ367" i="4"/>
  <c r="AI367" i="4"/>
  <c r="AH367" i="4"/>
  <c r="AC367" i="4"/>
  <c r="X367" i="4"/>
  <c r="Y367" i="4" s="1"/>
  <c r="W367" i="4"/>
  <c r="T367" i="4"/>
  <c r="S367" i="4"/>
  <c r="R367" i="4"/>
  <c r="O367" i="4"/>
  <c r="N367" i="4"/>
  <c r="L367" i="4"/>
  <c r="K367" i="4"/>
  <c r="I367" i="4"/>
  <c r="AD367" i="4" s="1"/>
  <c r="E367" i="4"/>
  <c r="AJ366" i="4"/>
  <c r="AH366" i="4"/>
  <c r="AI366" i="4" s="1"/>
  <c r="AC366" i="4"/>
  <c r="X366" i="4"/>
  <c r="Y366" i="4" s="1"/>
  <c r="W366" i="4"/>
  <c r="Z366" i="4" s="1"/>
  <c r="T366" i="4"/>
  <c r="S366" i="4"/>
  <c r="R366" i="4"/>
  <c r="O366" i="4"/>
  <c r="N366" i="4"/>
  <c r="L366" i="4"/>
  <c r="K366" i="4"/>
  <c r="I366" i="4"/>
  <c r="AD366" i="4" s="1"/>
  <c r="E366" i="4"/>
  <c r="AJ365" i="4"/>
  <c r="AH365" i="4"/>
  <c r="AI365" i="4" s="1"/>
  <c r="AC365" i="4"/>
  <c r="X365" i="4"/>
  <c r="Y365" i="4" s="1"/>
  <c r="Z365" i="4" s="1"/>
  <c r="W365" i="4"/>
  <c r="T365" i="4"/>
  <c r="S365" i="4"/>
  <c r="R365" i="4"/>
  <c r="O365" i="4"/>
  <c r="N365" i="4"/>
  <c r="L365" i="4"/>
  <c r="K365" i="4"/>
  <c r="I365" i="4"/>
  <c r="AD365" i="4" s="1"/>
  <c r="E365" i="4"/>
  <c r="AJ364" i="4"/>
  <c r="AI364" i="4"/>
  <c r="AH364" i="4"/>
  <c r="AC364" i="4"/>
  <c r="X364" i="4"/>
  <c r="Y364" i="4" s="1"/>
  <c r="W364" i="4"/>
  <c r="T364" i="4"/>
  <c r="S364" i="4"/>
  <c r="R364" i="4"/>
  <c r="O364" i="4"/>
  <c r="N364" i="4"/>
  <c r="L364" i="4"/>
  <c r="K364" i="4"/>
  <c r="I364" i="4"/>
  <c r="AD364" i="4" s="1"/>
  <c r="E364" i="4"/>
  <c r="AJ363" i="4"/>
  <c r="AI363" i="4"/>
  <c r="AH363" i="4"/>
  <c r="AC363" i="4"/>
  <c r="X363" i="4"/>
  <c r="Y363" i="4" s="1"/>
  <c r="W363" i="4"/>
  <c r="T363" i="4"/>
  <c r="S363" i="4"/>
  <c r="R363" i="4"/>
  <c r="O363" i="4"/>
  <c r="N363" i="4"/>
  <c r="L363" i="4"/>
  <c r="K363" i="4"/>
  <c r="I363" i="4"/>
  <c r="AD363" i="4" s="1"/>
  <c r="E363" i="4"/>
  <c r="AJ362" i="4"/>
  <c r="AH362" i="4"/>
  <c r="AI362" i="4" s="1"/>
  <c r="AC362" i="4"/>
  <c r="X362" i="4"/>
  <c r="Y362" i="4" s="1"/>
  <c r="W362" i="4"/>
  <c r="Z362" i="4" s="1"/>
  <c r="T362" i="4"/>
  <c r="S362" i="4"/>
  <c r="R362" i="4"/>
  <c r="O362" i="4"/>
  <c r="N362" i="4"/>
  <c r="L362" i="4"/>
  <c r="K362" i="4"/>
  <c r="I362" i="4"/>
  <c r="AD362" i="4" s="1"/>
  <c r="E362" i="4"/>
  <c r="AJ361" i="4"/>
  <c r="AH361" i="4"/>
  <c r="AI361" i="4" s="1"/>
  <c r="AC361" i="4"/>
  <c r="X361" i="4"/>
  <c r="Y361" i="4" s="1"/>
  <c r="Z361" i="4" s="1"/>
  <c r="W361" i="4"/>
  <c r="T361" i="4"/>
  <c r="S361" i="4"/>
  <c r="R361" i="4"/>
  <c r="O361" i="4"/>
  <c r="N361" i="4"/>
  <c r="L361" i="4"/>
  <c r="K361" i="4"/>
  <c r="I361" i="4"/>
  <c r="AD361" i="4" s="1"/>
  <c r="E361" i="4"/>
  <c r="AJ360" i="4"/>
  <c r="AI360" i="4"/>
  <c r="AH360" i="4"/>
  <c r="AC360" i="4"/>
  <c r="X360" i="4"/>
  <c r="Y360" i="4" s="1"/>
  <c r="W360" i="4"/>
  <c r="T360" i="4"/>
  <c r="S360" i="4"/>
  <c r="R360" i="4"/>
  <c r="O360" i="4"/>
  <c r="N360" i="4"/>
  <c r="L360" i="4"/>
  <c r="K360" i="4"/>
  <c r="I360" i="4"/>
  <c r="AD360" i="4" s="1"/>
  <c r="E360" i="4"/>
  <c r="AJ359" i="4"/>
  <c r="AI359" i="4"/>
  <c r="AH359" i="4"/>
  <c r="AC359" i="4"/>
  <c r="X359" i="4"/>
  <c r="Y359" i="4" s="1"/>
  <c r="W359" i="4"/>
  <c r="T359" i="4"/>
  <c r="S359" i="4"/>
  <c r="R359" i="4"/>
  <c r="O359" i="4"/>
  <c r="N359" i="4"/>
  <c r="L359" i="4"/>
  <c r="K359" i="4"/>
  <c r="I359" i="4"/>
  <c r="AD359" i="4" s="1"/>
  <c r="E359" i="4"/>
  <c r="AJ358" i="4"/>
  <c r="AH358" i="4"/>
  <c r="AI358" i="4" s="1"/>
  <c r="AC358" i="4"/>
  <c r="X358" i="4"/>
  <c r="Y358" i="4" s="1"/>
  <c r="W358" i="4"/>
  <c r="Z358" i="4" s="1"/>
  <c r="T358" i="4"/>
  <c r="S358" i="4"/>
  <c r="R358" i="4"/>
  <c r="O358" i="4"/>
  <c r="N358" i="4"/>
  <c r="L358" i="4"/>
  <c r="K358" i="4"/>
  <c r="I358" i="4"/>
  <c r="AD358" i="4" s="1"/>
  <c r="E358" i="4"/>
  <c r="AJ357" i="4"/>
  <c r="AH357" i="4"/>
  <c r="AI357" i="4" s="1"/>
  <c r="AC357" i="4"/>
  <c r="X357" i="4"/>
  <c r="Y357" i="4" s="1"/>
  <c r="Z357" i="4" s="1"/>
  <c r="W357" i="4"/>
  <c r="T357" i="4"/>
  <c r="S357" i="4"/>
  <c r="R357" i="4"/>
  <c r="O357" i="4"/>
  <c r="N357" i="4"/>
  <c r="L357" i="4"/>
  <c r="K357" i="4"/>
  <c r="I357" i="4"/>
  <c r="AD357" i="4" s="1"/>
  <c r="E357" i="4"/>
  <c r="AJ356" i="4"/>
  <c r="AI356" i="4"/>
  <c r="AH356" i="4"/>
  <c r="AC356" i="4"/>
  <c r="X356" i="4"/>
  <c r="Y356" i="4" s="1"/>
  <c r="W356" i="4"/>
  <c r="T356" i="4"/>
  <c r="S356" i="4"/>
  <c r="R356" i="4"/>
  <c r="O356" i="4"/>
  <c r="N356" i="4"/>
  <c r="L356" i="4"/>
  <c r="K356" i="4"/>
  <c r="I356" i="4"/>
  <c r="AD356" i="4" s="1"/>
  <c r="E356" i="4"/>
  <c r="AJ355" i="4"/>
  <c r="AI355" i="4"/>
  <c r="AH355" i="4"/>
  <c r="AC355" i="4"/>
  <c r="X355" i="4"/>
  <c r="Y355" i="4" s="1"/>
  <c r="W355" i="4"/>
  <c r="T355" i="4"/>
  <c r="S355" i="4"/>
  <c r="R355" i="4"/>
  <c r="O355" i="4"/>
  <c r="N355" i="4"/>
  <c r="L355" i="4"/>
  <c r="K355" i="4"/>
  <c r="I355" i="4"/>
  <c r="AD355" i="4" s="1"/>
  <c r="E355" i="4"/>
  <c r="AJ354" i="4"/>
  <c r="AH354" i="4"/>
  <c r="AI354" i="4" s="1"/>
  <c r="AC354" i="4"/>
  <c r="X354" i="4"/>
  <c r="Y354" i="4" s="1"/>
  <c r="W354" i="4"/>
  <c r="Z354" i="4" s="1"/>
  <c r="T354" i="4"/>
  <c r="S354" i="4"/>
  <c r="R354" i="4"/>
  <c r="O354" i="4"/>
  <c r="N354" i="4"/>
  <c r="L354" i="4"/>
  <c r="K354" i="4"/>
  <c r="I354" i="4"/>
  <c r="AD354" i="4" s="1"/>
  <c r="E354" i="4"/>
  <c r="AJ353" i="4"/>
  <c r="AH353" i="4"/>
  <c r="AI353" i="4" s="1"/>
  <c r="AC353" i="4"/>
  <c r="X353" i="4"/>
  <c r="Y353" i="4" s="1"/>
  <c r="Z353" i="4" s="1"/>
  <c r="W353" i="4"/>
  <c r="T353" i="4"/>
  <c r="S353" i="4"/>
  <c r="R353" i="4"/>
  <c r="O353" i="4"/>
  <c r="N353" i="4"/>
  <c r="L353" i="4"/>
  <c r="K353" i="4"/>
  <c r="I353" i="4"/>
  <c r="AD353" i="4" s="1"/>
  <c r="E353" i="4"/>
  <c r="AJ352" i="4"/>
  <c r="AI352" i="4"/>
  <c r="AH352" i="4"/>
  <c r="AC352" i="4"/>
  <c r="X352" i="4"/>
  <c r="Y352" i="4" s="1"/>
  <c r="W352" i="4"/>
  <c r="T352" i="4"/>
  <c r="S352" i="4"/>
  <c r="R352" i="4"/>
  <c r="O352" i="4"/>
  <c r="N352" i="4"/>
  <c r="L352" i="4"/>
  <c r="K352" i="4"/>
  <c r="I352" i="4"/>
  <c r="AD352" i="4" s="1"/>
  <c r="E352" i="4"/>
  <c r="AJ351" i="4"/>
  <c r="AI351" i="4"/>
  <c r="AH351" i="4"/>
  <c r="AC351" i="4"/>
  <c r="X351" i="4"/>
  <c r="Y351" i="4" s="1"/>
  <c r="W351" i="4"/>
  <c r="T351" i="4"/>
  <c r="S351" i="4"/>
  <c r="R351" i="4"/>
  <c r="O351" i="4"/>
  <c r="N351" i="4"/>
  <c r="L351" i="4"/>
  <c r="K351" i="4"/>
  <c r="I351" i="4"/>
  <c r="AD351" i="4" s="1"/>
  <c r="E351" i="4"/>
  <c r="AJ350" i="4"/>
  <c r="AI350" i="4"/>
  <c r="AH350" i="4"/>
  <c r="AC350" i="4"/>
  <c r="X350" i="4"/>
  <c r="Y350" i="4" s="1"/>
  <c r="W350" i="4"/>
  <c r="Z350" i="4" s="1"/>
  <c r="T350" i="4"/>
  <c r="S350" i="4"/>
  <c r="R350" i="4"/>
  <c r="O350" i="4"/>
  <c r="N350" i="4"/>
  <c r="Q350" i="4" s="1"/>
  <c r="L350" i="4"/>
  <c r="K350" i="4"/>
  <c r="I350" i="4"/>
  <c r="AD350" i="4" s="1"/>
  <c r="E350" i="4"/>
  <c r="AJ349" i="4"/>
  <c r="AH349" i="4"/>
  <c r="AI349" i="4" s="1"/>
  <c r="AC349" i="4"/>
  <c r="X349" i="4"/>
  <c r="Y349" i="4" s="1"/>
  <c r="W349" i="4"/>
  <c r="T349" i="4"/>
  <c r="S349" i="4"/>
  <c r="R349" i="4"/>
  <c r="O349" i="4"/>
  <c r="N349" i="4"/>
  <c r="L349" i="4"/>
  <c r="K349" i="4"/>
  <c r="I349" i="4"/>
  <c r="AD349" i="4" s="1"/>
  <c r="E349" i="4"/>
  <c r="AJ348" i="4"/>
  <c r="AH348" i="4"/>
  <c r="AI348" i="4" s="1"/>
  <c r="AC348" i="4"/>
  <c r="X348" i="4"/>
  <c r="Y348" i="4" s="1"/>
  <c r="W348" i="4"/>
  <c r="T348" i="4"/>
  <c r="S348" i="4"/>
  <c r="R348" i="4"/>
  <c r="O348" i="4"/>
  <c r="N348" i="4"/>
  <c r="L348" i="4"/>
  <c r="K348" i="4"/>
  <c r="I348" i="4"/>
  <c r="AD348" i="4" s="1"/>
  <c r="E348" i="4"/>
  <c r="AJ347" i="4"/>
  <c r="AI347" i="4"/>
  <c r="AH347" i="4"/>
  <c r="AC347" i="4"/>
  <c r="X347" i="4"/>
  <c r="Y347" i="4" s="1"/>
  <c r="Z347" i="4" s="1"/>
  <c r="W347" i="4"/>
  <c r="T347" i="4"/>
  <c r="S347" i="4"/>
  <c r="R347" i="4"/>
  <c r="O347" i="4"/>
  <c r="N347" i="4"/>
  <c r="L347" i="4"/>
  <c r="K347" i="4"/>
  <c r="I347" i="4"/>
  <c r="AD347" i="4" s="1"/>
  <c r="E347" i="4"/>
  <c r="AJ346" i="4"/>
  <c r="AI346" i="4"/>
  <c r="AH346" i="4"/>
  <c r="AC346" i="4"/>
  <c r="X346" i="4"/>
  <c r="Y346" i="4" s="1"/>
  <c r="W346" i="4"/>
  <c r="Z346" i="4" s="1"/>
  <c r="T346" i="4"/>
  <c r="S346" i="4"/>
  <c r="R346" i="4"/>
  <c r="O346" i="4"/>
  <c r="N346" i="4"/>
  <c r="L346" i="4"/>
  <c r="K346" i="4"/>
  <c r="I346" i="4"/>
  <c r="AD346" i="4" s="1"/>
  <c r="E346" i="4"/>
  <c r="AJ345" i="4"/>
  <c r="AH345" i="4"/>
  <c r="AI345" i="4" s="1"/>
  <c r="AC345" i="4"/>
  <c r="X345" i="4"/>
  <c r="Y345" i="4" s="1"/>
  <c r="W345" i="4"/>
  <c r="T345" i="4"/>
  <c r="S345" i="4"/>
  <c r="R345" i="4"/>
  <c r="O345" i="4"/>
  <c r="N345" i="4"/>
  <c r="L345" i="4"/>
  <c r="K345" i="4"/>
  <c r="I345" i="4"/>
  <c r="AD345" i="4" s="1"/>
  <c r="E345" i="4"/>
  <c r="AJ344" i="4"/>
  <c r="AH344" i="4"/>
  <c r="AI344" i="4" s="1"/>
  <c r="AC344" i="4"/>
  <c r="X344" i="4"/>
  <c r="Y344" i="4" s="1"/>
  <c r="W344" i="4"/>
  <c r="T344" i="4"/>
  <c r="S344" i="4"/>
  <c r="R344" i="4"/>
  <c r="O344" i="4"/>
  <c r="N344" i="4"/>
  <c r="L344" i="4"/>
  <c r="K344" i="4"/>
  <c r="I344" i="4"/>
  <c r="AD344" i="4" s="1"/>
  <c r="E344" i="4"/>
  <c r="AJ343" i="4"/>
  <c r="AI343" i="4"/>
  <c r="AH343" i="4"/>
  <c r="AC343" i="4"/>
  <c r="X343" i="4"/>
  <c r="Y343" i="4" s="1"/>
  <c r="Z343" i="4" s="1"/>
  <c r="W343" i="4"/>
  <c r="T343" i="4"/>
  <c r="S343" i="4"/>
  <c r="R343" i="4"/>
  <c r="O343" i="4"/>
  <c r="N343" i="4"/>
  <c r="L343" i="4"/>
  <c r="K343" i="4"/>
  <c r="I343" i="4"/>
  <c r="AD343" i="4" s="1"/>
  <c r="E343" i="4"/>
  <c r="AJ342" i="4"/>
  <c r="AI342" i="4"/>
  <c r="AH342" i="4"/>
  <c r="AC342" i="4"/>
  <c r="X342" i="4"/>
  <c r="Y342" i="4" s="1"/>
  <c r="W342" i="4"/>
  <c r="Z342" i="4" s="1"/>
  <c r="T342" i="4"/>
  <c r="S342" i="4"/>
  <c r="R342" i="4"/>
  <c r="O342" i="4"/>
  <c r="N342" i="4"/>
  <c r="L342" i="4"/>
  <c r="K342" i="4"/>
  <c r="I342" i="4"/>
  <c r="AD342" i="4" s="1"/>
  <c r="E342" i="4"/>
  <c r="AJ341" i="4"/>
  <c r="AH341" i="4"/>
  <c r="AI341" i="4" s="1"/>
  <c r="AC341" i="4"/>
  <c r="X341" i="4"/>
  <c r="Y341" i="4" s="1"/>
  <c r="W341" i="4"/>
  <c r="T341" i="4"/>
  <c r="S341" i="4"/>
  <c r="R341" i="4"/>
  <c r="O341" i="4"/>
  <c r="N341" i="4"/>
  <c r="L341" i="4"/>
  <c r="K341" i="4"/>
  <c r="I341" i="4"/>
  <c r="AD341" i="4" s="1"/>
  <c r="E341" i="4"/>
  <c r="AJ340" i="4"/>
  <c r="AH340" i="4"/>
  <c r="AI340" i="4" s="1"/>
  <c r="AC340" i="4"/>
  <c r="X340" i="4"/>
  <c r="Y340" i="4" s="1"/>
  <c r="W340" i="4"/>
  <c r="T340" i="4"/>
  <c r="S340" i="4"/>
  <c r="R340" i="4"/>
  <c r="O340" i="4"/>
  <c r="N340" i="4"/>
  <c r="L340" i="4"/>
  <c r="K340" i="4"/>
  <c r="I340" i="4"/>
  <c r="AD340" i="4" s="1"/>
  <c r="E340" i="4"/>
  <c r="AJ339" i="4"/>
  <c r="AI339" i="4"/>
  <c r="AH339" i="4"/>
  <c r="AC339" i="4"/>
  <c r="X339" i="4"/>
  <c r="Y339" i="4" s="1"/>
  <c r="Z339" i="4" s="1"/>
  <c r="W339" i="4"/>
  <c r="T339" i="4"/>
  <c r="S339" i="4"/>
  <c r="R339" i="4"/>
  <c r="O339" i="4"/>
  <c r="N339" i="4"/>
  <c r="L339" i="4"/>
  <c r="K339" i="4"/>
  <c r="I339" i="4"/>
  <c r="AD339" i="4" s="1"/>
  <c r="E339" i="4"/>
  <c r="AJ338" i="4"/>
  <c r="AI338" i="4"/>
  <c r="AH338" i="4"/>
  <c r="AC338" i="4"/>
  <c r="X338" i="4"/>
  <c r="Y338" i="4" s="1"/>
  <c r="W338" i="4"/>
  <c r="Z338" i="4" s="1"/>
  <c r="T338" i="4"/>
  <c r="S338" i="4"/>
  <c r="R338" i="4"/>
  <c r="O338" i="4"/>
  <c r="N338" i="4"/>
  <c r="L338" i="4"/>
  <c r="K338" i="4"/>
  <c r="I338" i="4"/>
  <c r="AD338" i="4" s="1"/>
  <c r="E338" i="4"/>
  <c r="AJ337" i="4"/>
  <c r="AH337" i="4"/>
  <c r="AI337" i="4" s="1"/>
  <c r="AC337" i="4"/>
  <c r="X337" i="4"/>
  <c r="Y337" i="4" s="1"/>
  <c r="W337" i="4"/>
  <c r="T337" i="4"/>
  <c r="S337" i="4"/>
  <c r="R337" i="4"/>
  <c r="O337" i="4"/>
  <c r="N337" i="4"/>
  <c r="L337" i="4"/>
  <c r="K337" i="4"/>
  <c r="I337" i="4"/>
  <c r="AD337" i="4" s="1"/>
  <c r="E337" i="4"/>
  <c r="AJ336" i="4"/>
  <c r="AH336" i="4"/>
  <c r="AI336" i="4" s="1"/>
  <c r="AC336" i="4"/>
  <c r="X336" i="4"/>
  <c r="Y336" i="4" s="1"/>
  <c r="W336" i="4"/>
  <c r="T336" i="4"/>
  <c r="S336" i="4"/>
  <c r="R336" i="4"/>
  <c r="O336" i="4"/>
  <c r="N336" i="4"/>
  <c r="L336" i="4"/>
  <c r="K336" i="4"/>
  <c r="I336" i="4"/>
  <c r="AD336" i="4" s="1"/>
  <c r="E336" i="4"/>
  <c r="AJ335" i="4"/>
  <c r="AI335" i="4"/>
  <c r="AH335" i="4"/>
  <c r="AC335" i="4"/>
  <c r="X335" i="4"/>
  <c r="Y335" i="4" s="1"/>
  <c r="Z335" i="4" s="1"/>
  <c r="W335" i="4"/>
  <c r="T335" i="4"/>
  <c r="S335" i="4"/>
  <c r="R335" i="4"/>
  <c r="O335" i="4"/>
  <c r="N335" i="4"/>
  <c r="L335" i="4"/>
  <c r="K335" i="4"/>
  <c r="I335" i="4"/>
  <c r="AD335" i="4" s="1"/>
  <c r="E335" i="4"/>
  <c r="AJ334" i="4"/>
  <c r="AI334" i="4"/>
  <c r="AH334" i="4"/>
  <c r="AC334" i="4"/>
  <c r="X334" i="4"/>
  <c r="Y334" i="4" s="1"/>
  <c r="W334" i="4"/>
  <c r="Z334" i="4" s="1"/>
  <c r="T334" i="4"/>
  <c r="S334" i="4"/>
  <c r="R334" i="4"/>
  <c r="O334" i="4"/>
  <c r="N334" i="4"/>
  <c r="L334" i="4"/>
  <c r="K334" i="4"/>
  <c r="I334" i="4"/>
  <c r="AD334" i="4" s="1"/>
  <c r="E334" i="4"/>
  <c r="AJ333" i="4"/>
  <c r="AH333" i="4"/>
  <c r="AI333" i="4" s="1"/>
  <c r="AC333" i="4"/>
  <c r="X333" i="4"/>
  <c r="Y333" i="4" s="1"/>
  <c r="W333" i="4"/>
  <c r="T333" i="4"/>
  <c r="S333" i="4"/>
  <c r="R333" i="4"/>
  <c r="O333" i="4"/>
  <c r="N333" i="4"/>
  <c r="L333" i="4"/>
  <c r="K333" i="4"/>
  <c r="I333" i="4"/>
  <c r="AD333" i="4" s="1"/>
  <c r="E333" i="4"/>
  <c r="AJ332" i="4"/>
  <c r="AH332" i="4"/>
  <c r="AI332" i="4" s="1"/>
  <c r="AC332" i="4"/>
  <c r="X332" i="4"/>
  <c r="Y332" i="4" s="1"/>
  <c r="W332" i="4"/>
  <c r="T332" i="4"/>
  <c r="S332" i="4"/>
  <c r="R332" i="4"/>
  <c r="O332" i="4"/>
  <c r="N332" i="4"/>
  <c r="L332" i="4"/>
  <c r="K332" i="4"/>
  <c r="I332" i="4"/>
  <c r="AD332" i="4" s="1"/>
  <c r="E332" i="4"/>
  <c r="AJ331" i="4"/>
  <c r="AI331" i="4"/>
  <c r="AH331" i="4"/>
  <c r="AC331" i="4"/>
  <c r="X331" i="4"/>
  <c r="Y331" i="4" s="1"/>
  <c r="Z331" i="4" s="1"/>
  <c r="W331" i="4"/>
  <c r="T331" i="4"/>
  <c r="S331" i="4"/>
  <c r="R331" i="4"/>
  <c r="O331" i="4"/>
  <c r="N331" i="4"/>
  <c r="L331" i="4"/>
  <c r="K331" i="4"/>
  <c r="I331" i="4"/>
  <c r="AD331" i="4" s="1"/>
  <c r="E331" i="4"/>
  <c r="AJ330" i="4"/>
  <c r="AI330" i="4"/>
  <c r="AH330" i="4"/>
  <c r="AC330" i="4"/>
  <c r="X330" i="4"/>
  <c r="Y330" i="4" s="1"/>
  <c r="W330" i="4"/>
  <c r="Z330" i="4" s="1"/>
  <c r="T330" i="4"/>
  <c r="S330" i="4"/>
  <c r="R330" i="4"/>
  <c r="O330" i="4"/>
  <c r="N330" i="4"/>
  <c r="L330" i="4"/>
  <c r="K330" i="4"/>
  <c r="I330" i="4"/>
  <c r="AD330" i="4" s="1"/>
  <c r="E330" i="4"/>
  <c r="AJ329" i="4"/>
  <c r="AH329" i="4"/>
  <c r="AI329" i="4" s="1"/>
  <c r="AC329" i="4"/>
  <c r="X329" i="4"/>
  <c r="Y329" i="4" s="1"/>
  <c r="W329" i="4"/>
  <c r="T329" i="4"/>
  <c r="S329" i="4"/>
  <c r="R329" i="4"/>
  <c r="O329" i="4"/>
  <c r="N329" i="4"/>
  <c r="L329" i="4"/>
  <c r="K329" i="4"/>
  <c r="I329" i="4"/>
  <c r="AD329" i="4" s="1"/>
  <c r="E329" i="4"/>
  <c r="AJ328" i="4"/>
  <c r="AH328" i="4"/>
  <c r="AI328" i="4" s="1"/>
  <c r="AC328" i="4"/>
  <c r="X328" i="4"/>
  <c r="Y328" i="4" s="1"/>
  <c r="W328" i="4"/>
  <c r="T328" i="4"/>
  <c r="S328" i="4"/>
  <c r="R328" i="4"/>
  <c r="O328" i="4"/>
  <c r="N328" i="4"/>
  <c r="L328" i="4"/>
  <c r="K328" i="4"/>
  <c r="I328" i="4"/>
  <c r="AD328" i="4" s="1"/>
  <c r="E328" i="4"/>
  <c r="AJ327" i="4"/>
  <c r="AI327" i="4"/>
  <c r="AH327" i="4"/>
  <c r="AC327" i="4"/>
  <c r="X327" i="4"/>
  <c r="Y327" i="4" s="1"/>
  <c r="Z327" i="4" s="1"/>
  <c r="W327" i="4"/>
  <c r="T327" i="4"/>
  <c r="S327" i="4"/>
  <c r="R327" i="4"/>
  <c r="O327" i="4"/>
  <c r="N327" i="4"/>
  <c r="L327" i="4"/>
  <c r="K327" i="4"/>
  <c r="I327" i="4"/>
  <c r="AD327" i="4" s="1"/>
  <c r="E327" i="4"/>
  <c r="AJ326" i="4"/>
  <c r="AI326" i="4"/>
  <c r="AH326" i="4"/>
  <c r="AC326" i="4"/>
  <c r="X326" i="4"/>
  <c r="Y326" i="4" s="1"/>
  <c r="W326" i="4"/>
  <c r="Z326" i="4" s="1"/>
  <c r="T326" i="4"/>
  <c r="S326" i="4"/>
  <c r="R326" i="4"/>
  <c r="O326" i="4"/>
  <c r="N326" i="4"/>
  <c r="L326" i="4"/>
  <c r="K326" i="4"/>
  <c r="I326" i="4"/>
  <c r="AD326" i="4" s="1"/>
  <c r="E326" i="4"/>
  <c r="AJ325" i="4"/>
  <c r="AH325" i="4"/>
  <c r="AI325" i="4" s="1"/>
  <c r="AC325" i="4"/>
  <c r="X325" i="4"/>
  <c r="Y325" i="4" s="1"/>
  <c r="W325" i="4"/>
  <c r="T325" i="4"/>
  <c r="S325" i="4"/>
  <c r="R325" i="4"/>
  <c r="O325" i="4"/>
  <c r="N325" i="4"/>
  <c r="L325" i="4"/>
  <c r="K325" i="4"/>
  <c r="I325" i="4"/>
  <c r="AD325" i="4" s="1"/>
  <c r="E325" i="4"/>
  <c r="AJ324" i="4"/>
  <c r="AH324" i="4"/>
  <c r="AI324" i="4" s="1"/>
  <c r="AC324" i="4"/>
  <c r="X324" i="4"/>
  <c r="Y324" i="4" s="1"/>
  <c r="W324" i="4"/>
  <c r="T324" i="4"/>
  <c r="S324" i="4"/>
  <c r="R324" i="4"/>
  <c r="O324" i="4"/>
  <c r="N324" i="4"/>
  <c r="L324" i="4"/>
  <c r="K324" i="4"/>
  <c r="I324" i="4"/>
  <c r="AD324" i="4" s="1"/>
  <c r="E324" i="4"/>
  <c r="AJ323" i="4"/>
  <c r="AI323" i="4"/>
  <c r="AH323" i="4"/>
  <c r="AC323" i="4"/>
  <c r="X323" i="4"/>
  <c r="Y323" i="4" s="1"/>
  <c r="Z323" i="4" s="1"/>
  <c r="W323" i="4"/>
  <c r="T323" i="4"/>
  <c r="S323" i="4"/>
  <c r="R323" i="4"/>
  <c r="O323" i="4"/>
  <c r="N323" i="4"/>
  <c r="L323" i="4"/>
  <c r="K323" i="4"/>
  <c r="I323" i="4"/>
  <c r="AD323" i="4" s="1"/>
  <c r="E323" i="4"/>
  <c r="AJ322" i="4"/>
  <c r="AI322" i="4"/>
  <c r="AH322" i="4"/>
  <c r="AC322" i="4"/>
  <c r="X322" i="4"/>
  <c r="Y322" i="4" s="1"/>
  <c r="W322" i="4"/>
  <c r="Z322" i="4" s="1"/>
  <c r="T322" i="4"/>
  <c r="S322" i="4"/>
  <c r="R322" i="4"/>
  <c r="O322" i="4"/>
  <c r="N322" i="4"/>
  <c r="L322" i="4"/>
  <c r="K322" i="4"/>
  <c r="I322" i="4"/>
  <c r="AD322" i="4" s="1"/>
  <c r="E322" i="4"/>
  <c r="AJ321" i="4"/>
  <c r="AH321" i="4"/>
  <c r="AI321" i="4" s="1"/>
  <c r="AC321" i="4"/>
  <c r="X321" i="4"/>
  <c r="Y321" i="4" s="1"/>
  <c r="W321" i="4"/>
  <c r="T321" i="4"/>
  <c r="S321" i="4"/>
  <c r="R321" i="4"/>
  <c r="O321" i="4"/>
  <c r="N321" i="4"/>
  <c r="L321" i="4"/>
  <c r="K321" i="4"/>
  <c r="I321" i="4"/>
  <c r="AD321" i="4" s="1"/>
  <c r="E321" i="4"/>
  <c r="AJ320" i="4"/>
  <c r="AH320" i="4"/>
  <c r="AI320" i="4" s="1"/>
  <c r="AC320" i="4"/>
  <c r="X320" i="4"/>
  <c r="Y320" i="4" s="1"/>
  <c r="W320" i="4"/>
  <c r="T320" i="4"/>
  <c r="S320" i="4"/>
  <c r="R320" i="4"/>
  <c r="O320" i="4"/>
  <c r="N320" i="4"/>
  <c r="L320" i="4"/>
  <c r="K320" i="4"/>
  <c r="I320" i="4"/>
  <c r="AD320" i="4" s="1"/>
  <c r="E320" i="4"/>
  <c r="AJ319" i="4"/>
  <c r="AI319" i="4"/>
  <c r="AH319" i="4"/>
  <c r="AC319" i="4"/>
  <c r="X319" i="4"/>
  <c r="Y319" i="4" s="1"/>
  <c r="Z319" i="4" s="1"/>
  <c r="W319" i="4"/>
  <c r="T319" i="4"/>
  <c r="S319" i="4"/>
  <c r="R319" i="4"/>
  <c r="O319" i="4"/>
  <c r="N319" i="4"/>
  <c r="L319" i="4"/>
  <c r="K319" i="4"/>
  <c r="I319" i="4"/>
  <c r="AD319" i="4" s="1"/>
  <c r="E319" i="4"/>
  <c r="AJ318" i="4"/>
  <c r="AI318" i="4"/>
  <c r="AH318" i="4"/>
  <c r="AC318" i="4"/>
  <c r="X318" i="4"/>
  <c r="Y318" i="4" s="1"/>
  <c r="W318" i="4"/>
  <c r="Z318" i="4" s="1"/>
  <c r="T318" i="4"/>
  <c r="S318" i="4"/>
  <c r="R318" i="4"/>
  <c r="O318" i="4"/>
  <c r="N318" i="4"/>
  <c r="L318" i="4"/>
  <c r="K318" i="4"/>
  <c r="I318" i="4"/>
  <c r="AD318" i="4" s="1"/>
  <c r="E318" i="4"/>
  <c r="AJ317" i="4"/>
  <c r="AH317" i="4"/>
  <c r="AI317" i="4" s="1"/>
  <c r="AC317" i="4"/>
  <c r="X317" i="4"/>
  <c r="Y317" i="4" s="1"/>
  <c r="W317" i="4"/>
  <c r="T317" i="4"/>
  <c r="S317" i="4"/>
  <c r="R317" i="4"/>
  <c r="O317" i="4"/>
  <c r="N317" i="4"/>
  <c r="L317" i="4"/>
  <c r="K317" i="4"/>
  <c r="I317" i="4"/>
  <c r="AD317" i="4" s="1"/>
  <c r="E317" i="4"/>
  <c r="AJ316" i="4"/>
  <c r="AH316" i="4"/>
  <c r="AI316" i="4" s="1"/>
  <c r="AC316" i="4"/>
  <c r="X316" i="4"/>
  <c r="Y316" i="4" s="1"/>
  <c r="W316" i="4"/>
  <c r="T316" i="4"/>
  <c r="S316" i="4"/>
  <c r="R316" i="4"/>
  <c r="O316" i="4"/>
  <c r="N316" i="4"/>
  <c r="L316" i="4"/>
  <c r="K316" i="4"/>
  <c r="I316" i="4"/>
  <c r="E316" i="4"/>
  <c r="AJ315" i="4"/>
  <c r="AI315" i="4"/>
  <c r="AH315" i="4"/>
  <c r="AC315" i="4"/>
  <c r="X315" i="4"/>
  <c r="Y315" i="4" s="1"/>
  <c r="Z315" i="4" s="1"/>
  <c r="W315" i="4"/>
  <c r="T315" i="4"/>
  <c r="S315" i="4"/>
  <c r="R315" i="4"/>
  <c r="O315" i="4"/>
  <c r="N315" i="4"/>
  <c r="L315" i="4"/>
  <c r="K315" i="4"/>
  <c r="I315" i="4"/>
  <c r="E315" i="4"/>
  <c r="AJ314" i="4"/>
  <c r="AI314" i="4"/>
  <c r="AH314" i="4"/>
  <c r="AC314" i="4"/>
  <c r="X314" i="4"/>
  <c r="Y314" i="4" s="1"/>
  <c r="W314" i="4"/>
  <c r="T314" i="4"/>
  <c r="S314" i="4"/>
  <c r="R314" i="4"/>
  <c r="O314" i="4"/>
  <c r="N314" i="4"/>
  <c r="L314" i="4"/>
  <c r="K314" i="4"/>
  <c r="I314" i="4"/>
  <c r="E314" i="4"/>
  <c r="AJ313" i="4"/>
  <c r="AH313" i="4"/>
  <c r="AI313" i="4" s="1"/>
  <c r="AC313" i="4"/>
  <c r="X313" i="4"/>
  <c r="Y313" i="4" s="1"/>
  <c r="W313" i="4"/>
  <c r="T313" i="4"/>
  <c r="S313" i="4"/>
  <c r="R313" i="4"/>
  <c r="O313" i="4"/>
  <c r="N313" i="4"/>
  <c r="L313" i="4"/>
  <c r="K313" i="4"/>
  <c r="I313" i="4"/>
  <c r="E313" i="4"/>
  <c r="AJ312" i="4"/>
  <c r="AH312" i="4"/>
  <c r="AI312" i="4" s="1"/>
  <c r="AC312" i="4"/>
  <c r="X312" i="4"/>
  <c r="Y312" i="4" s="1"/>
  <c r="W312" i="4"/>
  <c r="T312" i="4"/>
  <c r="S312" i="4"/>
  <c r="R312" i="4"/>
  <c r="O312" i="4"/>
  <c r="N312" i="4"/>
  <c r="L312" i="4"/>
  <c r="K312" i="4"/>
  <c r="I312" i="4"/>
  <c r="E312" i="4"/>
  <c r="AJ311" i="4"/>
  <c r="AI311" i="4"/>
  <c r="AH311" i="4"/>
  <c r="AC311" i="4"/>
  <c r="X311" i="4"/>
  <c r="Y311" i="4" s="1"/>
  <c r="Z311" i="4" s="1"/>
  <c r="W311" i="4"/>
  <c r="T311" i="4"/>
  <c r="S311" i="4"/>
  <c r="R311" i="4"/>
  <c r="O311" i="4"/>
  <c r="N311" i="4"/>
  <c r="L311" i="4"/>
  <c r="K311" i="4"/>
  <c r="I311" i="4"/>
  <c r="E311" i="4"/>
  <c r="AJ310" i="4"/>
  <c r="AI310" i="4"/>
  <c r="AH310" i="4"/>
  <c r="AC310" i="4"/>
  <c r="X310" i="4"/>
  <c r="Y310" i="4" s="1"/>
  <c r="W310" i="4"/>
  <c r="T310" i="4"/>
  <c r="S310" i="4"/>
  <c r="R310" i="4"/>
  <c r="O310" i="4"/>
  <c r="N310" i="4"/>
  <c r="L310" i="4"/>
  <c r="K310" i="4"/>
  <c r="I310" i="4"/>
  <c r="E310" i="4"/>
  <c r="AJ309" i="4"/>
  <c r="AH309" i="4"/>
  <c r="AI309" i="4" s="1"/>
  <c r="AC309" i="4"/>
  <c r="X309" i="4"/>
  <c r="Y309" i="4" s="1"/>
  <c r="W309" i="4"/>
  <c r="T309" i="4"/>
  <c r="S309" i="4"/>
  <c r="R309" i="4"/>
  <c r="O309" i="4"/>
  <c r="N309" i="4"/>
  <c r="L309" i="4"/>
  <c r="K309" i="4"/>
  <c r="I309" i="4"/>
  <c r="E309" i="4"/>
  <c r="AJ308" i="4"/>
  <c r="AH308" i="4"/>
  <c r="AI308" i="4" s="1"/>
  <c r="AC308" i="4"/>
  <c r="X308" i="4"/>
  <c r="Y308" i="4" s="1"/>
  <c r="W308" i="4"/>
  <c r="T308" i="4"/>
  <c r="S308" i="4"/>
  <c r="R308" i="4"/>
  <c r="O308" i="4"/>
  <c r="N308" i="4"/>
  <c r="L308" i="4"/>
  <c r="K308" i="4"/>
  <c r="I308" i="4"/>
  <c r="E308" i="4"/>
  <c r="AJ307" i="4"/>
  <c r="AI307" i="4"/>
  <c r="AH307" i="4"/>
  <c r="AC307" i="4"/>
  <c r="X307" i="4"/>
  <c r="Y307" i="4" s="1"/>
  <c r="Z307" i="4" s="1"/>
  <c r="W307" i="4"/>
  <c r="T307" i="4"/>
  <c r="S307" i="4"/>
  <c r="R307" i="4"/>
  <c r="O307" i="4"/>
  <c r="N307" i="4"/>
  <c r="L307" i="4"/>
  <c r="K307" i="4"/>
  <c r="I307" i="4"/>
  <c r="E307" i="4"/>
  <c r="AJ306" i="4"/>
  <c r="AI306" i="4"/>
  <c r="AH306" i="4"/>
  <c r="AC306" i="4"/>
  <c r="X306" i="4"/>
  <c r="Y306" i="4" s="1"/>
  <c r="W306" i="4"/>
  <c r="T306" i="4"/>
  <c r="S306" i="4"/>
  <c r="R306" i="4"/>
  <c r="O306" i="4"/>
  <c r="N306" i="4"/>
  <c r="L306" i="4"/>
  <c r="K306" i="4"/>
  <c r="I306" i="4"/>
  <c r="E306" i="4"/>
  <c r="AJ305" i="4"/>
  <c r="AH305" i="4"/>
  <c r="AI305" i="4" s="1"/>
  <c r="AC305" i="4"/>
  <c r="X305" i="4"/>
  <c r="Y305" i="4" s="1"/>
  <c r="W305" i="4"/>
  <c r="T305" i="4"/>
  <c r="S305" i="4"/>
  <c r="R305" i="4"/>
  <c r="O305" i="4"/>
  <c r="N305" i="4"/>
  <c r="L305" i="4"/>
  <c r="K305" i="4"/>
  <c r="I305" i="4"/>
  <c r="E305" i="4"/>
  <c r="AJ304" i="4"/>
  <c r="AH304" i="4"/>
  <c r="AI304" i="4" s="1"/>
  <c r="AC304" i="4"/>
  <c r="X304" i="4"/>
  <c r="Y304" i="4" s="1"/>
  <c r="W304" i="4"/>
  <c r="T304" i="4"/>
  <c r="S304" i="4"/>
  <c r="R304" i="4"/>
  <c r="O304" i="4"/>
  <c r="N304" i="4"/>
  <c r="L304" i="4"/>
  <c r="K304" i="4"/>
  <c r="I304" i="4"/>
  <c r="E304" i="4"/>
  <c r="AJ303" i="4"/>
  <c r="AI303" i="4"/>
  <c r="AH303" i="4"/>
  <c r="AC303" i="4"/>
  <c r="X303" i="4"/>
  <c r="Y303" i="4" s="1"/>
  <c r="Z303" i="4" s="1"/>
  <c r="W303" i="4"/>
  <c r="T303" i="4"/>
  <c r="S303" i="4"/>
  <c r="R303" i="4"/>
  <c r="O303" i="4"/>
  <c r="N303" i="4"/>
  <c r="L303" i="4"/>
  <c r="K303" i="4"/>
  <c r="I303" i="4"/>
  <c r="E303" i="4"/>
  <c r="AJ302" i="4"/>
  <c r="AI302" i="4"/>
  <c r="AH302" i="4"/>
  <c r="AC302" i="4"/>
  <c r="X302" i="4"/>
  <c r="Y302" i="4" s="1"/>
  <c r="W302" i="4"/>
  <c r="T302" i="4"/>
  <c r="S302" i="4"/>
  <c r="R302" i="4"/>
  <c r="O302" i="4"/>
  <c r="N302" i="4"/>
  <c r="L302" i="4"/>
  <c r="K302" i="4"/>
  <c r="I302" i="4"/>
  <c r="E302" i="4"/>
  <c r="AJ301" i="4"/>
  <c r="AH301" i="4"/>
  <c r="AI301" i="4" s="1"/>
  <c r="AC301" i="4"/>
  <c r="X301" i="4"/>
  <c r="Y301" i="4" s="1"/>
  <c r="W301" i="4"/>
  <c r="T301" i="4"/>
  <c r="S301" i="4"/>
  <c r="R301" i="4"/>
  <c r="O301" i="4"/>
  <c r="N301" i="4"/>
  <c r="L301" i="4"/>
  <c r="K301" i="4"/>
  <c r="I301" i="4"/>
  <c r="E301" i="4"/>
  <c r="AJ300" i="4"/>
  <c r="AH300" i="4"/>
  <c r="AI300" i="4" s="1"/>
  <c r="AC300" i="4"/>
  <c r="X300" i="4"/>
  <c r="Y300" i="4" s="1"/>
  <c r="W300" i="4"/>
  <c r="T300" i="4"/>
  <c r="S300" i="4"/>
  <c r="R300" i="4"/>
  <c r="O300" i="4"/>
  <c r="N300" i="4"/>
  <c r="L300" i="4"/>
  <c r="K300" i="4"/>
  <c r="I300" i="4"/>
  <c r="E300" i="4"/>
  <c r="AJ299" i="4"/>
  <c r="AI299" i="4"/>
  <c r="AH299" i="4"/>
  <c r="AC299" i="4"/>
  <c r="X299" i="4"/>
  <c r="Y299" i="4" s="1"/>
  <c r="Z299" i="4" s="1"/>
  <c r="W299" i="4"/>
  <c r="T299" i="4"/>
  <c r="S299" i="4"/>
  <c r="R299" i="4"/>
  <c r="O299" i="4"/>
  <c r="N299" i="4"/>
  <c r="L299" i="4"/>
  <c r="K299" i="4"/>
  <c r="I299" i="4"/>
  <c r="E299" i="4"/>
  <c r="AJ298" i="4"/>
  <c r="AI298" i="4"/>
  <c r="AH298" i="4"/>
  <c r="AC298" i="4"/>
  <c r="X298" i="4"/>
  <c r="Y298" i="4" s="1"/>
  <c r="W298" i="4"/>
  <c r="T298" i="4"/>
  <c r="S298" i="4"/>
  <c r="R298" i="4"/>
  <c r="O298" i="4"/>
  <c r="N298" i="4"/>
  <c r="L298" i="4"/>
  <c r="K298" i="4"/>
  <c r="I298" i="4"/>
  <c r="E298" i="4"/>
  <c r="AJ297" i="4"/>
  <c r="AH297" i="4"/>
  <c r="AI297" i="4" s="1"/>
  <c r="AC297" i="4"/>
  <c r="X297" i="4"/>
  <c r="Y297" i="4" s="1"/>
  <c r="W297" i="4"/>
  <c r="T297" i="4"/>
  <c r="S297" i="4"/>
  <c r="R297" i="4"/>
  <c r="O297" i="4"/>
  <c r="N297" i="4"/>
  <c r="L297" i="4"/>
  <c r="K297" i="4"/>
  <c r="I297" i="4"/>
  <c r="E297" i="4"/>
  <c r="AJ296" i="4"/>
  <c r="AH296" i="4"/>
  <c r="AI296" i="4" s="1"/>
  <c r="AC296" i="4"/>
  <c r="X296" i="4"/>
  <c r="Y296" i="4" s="1"/>
  <c r="W296" i="4"/>
  <c r="T296" i="4"/>
  <c r="S296" i="4"/>
  <c r="R296" i="4"/>
  <c r="O296" i="4"/>
  <c r="N296" i="4"/>
  <c r="L296" i="4"/>
  <c r="K296" i="4"/>
  <c r="I296" i="4"/>
  <c r="AD296" i="4" s="1"/>
  <c r="E296" i="4"/>
  <c r="AJ295" i="4"/>
  <c r="AH295" i="4"/>
  <c r="AI295" i="4" s="1"/>
  <c r="AC295" i="4"/>
  <c r="Y295" i="4"/>
  <c r="X295" i="4"/>
  <c r="W295" i="4"/>
  <c r="T295" i="4"/>
  <c r="S295" i="4"/>
  <c r="R295" i="4"/>
  <c r="O295" i="4"/>
  <c r="N295" i="4"/>
  <c r="L295" i="4"/>
  <c r="K295" i="4"/>
  <c r="I295" i="4"/>
  <c r="AD295" i="4" s="1"/>
  <c r="E295" i="4"/>
  <c r="AJ294" i="4"/>
  <c r="AH294" i="4"/>
  <c r="AI294" i="4" s="1"/>
  <c r="AD294" i="4"/>
  <c r="AC294" i="4"/>
  <c r="X294" i="4"/>
  <c r="Y294" i="4" s="1"/>
  <c r="W294" i="4"/>
  <c r="T294" i="4"/>
  <c r="S294" i="4"/>
  <c r="R294" i="4"/>
  <c r="O294" i="4"/>
  <c r="N294" i="4"/>
  <c r="L294" i="4"/>
  <c r="K294" i="4"/>
  <c r="J294" i="4"/>
  <c r="I294" i="4"/>
  <c r="E294" i="4"/>
  <c r="AJ293" i="4"/>
  <c r="AH293" i="4"/>
  <c r="AI293" i="4" s="1"/>
  <c r="AD293" i="4"/>
  <c r="AC293" i="4"/>
  <c r="X293" i="4"/>
  <c r="Y293" i="4" s="1"/>
  <c r="W293" i="4"/>
  <c r="T293" i="4"/>
  <c r="S293" i="4"/>
  <c r="R293" i="4"/>
  <c r="O293" i="4"/>
  <c r="N293" i="4"/>
  <c r="L293" i="4"/>
  <c r="K293" i="4"/>
  <c r="J293" i="4"/>
  <c r="I293" i="4"/>
  <c r="E293" i="4"/>
  <c r="AJ292" i="4"/>
  <c r="AH292" i="4"/>
  <c r="AI292" i="4" s="1"/>
  <c r="AC292" i="4"/>
  <c r="Y292" i="4"/>
  <c r="X292" i="4"/>
  <c r="W292" i="4"/>
  <c r="T292" i="4"/>
  <c r="S292" i="4"/>
  <c r="R292" i="4"/>
  <c r="O292" i="4"/>
  <c r="N292" i="4"/>
  <c r="L292" i="4"/>
  <c r="K292" i="4"/>
  <c r="I292" i="4"/>
  <c r="AD292" i="4" s="1"/>
  <c r="E292" i="4"/>
  <c r="AJ291" i="4"/>
  <c r="AH291" i="4"/>
  <c r="AI291" i="4" s="1"/>
  <c r="AC291" i="4"/>
  <c r="Y291" i="4"/>
  <c r="X291" i="4"/>
  <c r="W291" i="4"/>
  <c r="T291" i="4"/>
  <c r="S291" i="4"/>
  <c r="R291" i="4"/>
  <c r="O291" i="4"/>
  <c r="N291" i="4"/>
  <c r="L291" i="4"/>
  <c r="K291" i="4"/>
  <c r="I291" i="4"/>
  <c r="AD291" i="4" s="1"/>
  <c r="E291" i="4"/>
  <c r="AJ290" i="4"/>
  <c r="AH290" i="4"/>
  <c r="AI290" i="4" s="1"/>
  <c r="AD290" i="4"/>
  <c r="AC290" i="4"/>
  <c r="X290" i="4"/>
  <c r="Y290" i="4" s="1"/>
  <c r="W290" i="4"/>
  <c r="T290" i="4"/>
  <c r="S290" i="4"/>
  <c r="R290" i="4"/>
  <c r="O290" i="4"/>
  <c r="N290" i="4"/>
  <c r="L290" i="4"/>
  <c r="K290" i="4"/>
  <c r="J290" i="4"/>
  <c r="I290" i="4"/>
  <c r="E290" i="4"/>
  <c r="AJ289" i="4"/>
  <c r="AH289" i="4"/>
  <c r="AI289" i="4" s="1"/>
  <c r="AD289" i="4"/>
  <c r="AC289" i="4"/>
  <c r="X289" i="4"/>
  <c r="Y289" i="4" s="1"/>
  <c r="W289" i="4"/>
  <c r="T289" i="4"/>
  <c r="S289" i="4"/>
  <c r="R289" i="4"/>
  <c r="O289" i="4"/>
  <c r="N289" i="4"/>
  <c r="L289" i="4"/>
  <c r="K289" i="4"/>
  <c r="J289" i="4"/>
  <c r="I289" i="4"/>
  <c r="E289" i="4"/>
  <c r="AJ288" i="4"/>
  <c r="AH288" i="4"/>
  <c r="AI288" i="4" s="1"/>
  <c r="AC288" i="4"/>
  <c r="Y288" i="4"/>
  <c r="X288" i="4"/>
  <c r="W288" i="4"/>
  <c r="T288" i="4"/>
  <c r="S288" i="4"/>
  <c r="R288" i="4"/>
  <c r="O288" i="4"/>
  <c r="N288" i="4"/>
  <c r="L288" i="4"/>
  <c r="K288" i="4"/>
  <c r="I288" i="4"/>
  <c r="AD288" i="4" s="1"/>
  <c r="E288" i="4"/>
  <c r="AJ287" i="4"/>
  <c r="AH287" i="4"/>
  <c r="AI287" i="4" s="1"/>
  <c r="AC287" i="4"/>
  <c r="Y287" i="4"/>
  <c r="X287" i="4"/>
  <c r="W287" i="4"/>
  <c r="T287" i="4"/>
  <c r="S287" i="4"/>
  <c r="R287" i="4"/>
  <c r="O287" i="4"/>
  <c r="N287" i="4"/>
  <c r="L287" i="4"/>
  <c r="K287" i="4"/>
  <c r="I287" i="4"/>
  <c r="AD287" i="4" s="1"/>
  <c r="E287" i="4"/>
  <c r="AJ286" i="4"/>
  <c r="AH286" i="4"/>
  <c r="AI286" i="4" s="1"/>
  <c r="AD286" i="4"/>
  <c r="AC286" i="4"/>
  <c r="X286" i="4"/>
  <c r="Y286" i="4" s="1"/>
  <c r="W286" i="4"/>
  <c r="T286" i="4"/>
  <c r="S286" i="4"/>
  <c r="R286" i="4"/>
  <c r="O286" i="4"/>
  <c r="N286" i="4"/>
  <c r="L286" i="4"/>
  <c r="K286" i="4"/>
  <c r="J286" i="4"/>
  <c r="I286" i="4"/>
  <c r="E286" i="4"/>
  <c r="AJ285" i="4"/>
  <c r="AH285" i="4"/>
  <c r="AI285" i="4" s="1"/>
  <c r="AD285" i="4"/>
  <c r="AC285" i="4"/>
  <c r="X285" i="4"/>
  <c r="Y285" i="4" s="1"/>
  <c r="W285" i="4"/>
  <c r="T285" i="4"/>
  <c r="S285" i="4"/>
  <c r="R285" i="4"/>
  <c r="O285" i="4"/>
  <c r="N285" i="4"/>
  <c r="L285" i="4"/>
  <c r="K285" i="4"/>
  <c r="J285" i="4"/>
  <c r="I285" i="4"/>
  <c r="E285" i="4"/>
  <c r="AJ284" i="4"/>
  <c r="AH284" i="4"/>
  <c r="AI284" i="4" s="1"/>
  <c r="AC284" i="4"/>
  <c r="Y284" i="4"/>
  <c r="X284" i="4"/>
  <c r="W284" i="4"/>
  <c r="T284" i="4"/>
  <c r="S284" i="4"/>
  <c r="R284" i="4"/>
  <c r="O284" i="4"/>
  <c r="N284" i="4"/>
  <c r="L284" i="4"/>
  <c r="K284" i="4"/>
  <c r="I284" i="4"/>
  <c r="AD284" i="4" s="1"/>
  <c r="E284" i="4"/>
  <c r="AJ283" i="4"/>
  <c r="AH283" i="4"/>
  <c r="AI283" i="4" s="1"/>
  <c r="AC283" i="4"/>
  <c r="Y283" i="4"/>
  <c r="X283" i="4"/>
  <c r="W283" i="4"/>
  <c r="T283" i="4"/>
  <c r="S283" i="4"/>
  <c r="R283" i="4"/>
  <c r="O283" i="4"/>
  <c r="N283" i="4"/>
  <c r="L283" i="4"/>
  <c r="K283" i="4"/>
  <c r="I283" i="4"/>
  <c r="AD283" i="4" s="1"/>
  <c r="E283" i="4"/>
  <c r="AJ282" i="4"/>
  <c r="AH282" i="4"/>
  <c r="AI282" i="4" s="1"/>
  <c r="AD282" i="4"/>
  <c r="AC282" i="4"/>
  <c r="X282" i="4"/>
  <c r="Y282" i="4" s="1"/>
  <c r="W282" i="4"/>
  <c r="T282" i="4"/>
  <c r="S282" i="4"/>
  <c r="R282" i="4"/>
  <c r="O282" i="4"/>
  <c r="N282" i="4"/>
  <c r="L282" i="4"/>
  <c r="K282" i="4"/>
  <c r="J282" i="4"/>
  <c r="I282" i="4"/>
  <c r="E282" i="4"/>
  <c r="AJ281" i="4"/>
  <c r="AH281" i="4"/>
  <c r="AI281" i="4" s="1"/>
  <c r="AD281" i="4"/>
  <c r="AC281" i="4"/>
  <c r="X281" i="4"/>
  <c r="Y281" i="4" s="1"/>
  <c r="W281" i="4"/>
  <c r="T281" i="4"/>
  <c r="S281" i="4"/>
  <c r="R281" i="4"/>
  <c r="O281" i="4"/>
  <c r="N281" i="4"/>
  <c r="L281" i="4"/>
  <c r="K281" i="4"/>
  <c r="J281" i="4"/>
  <c r="I281" i="4"/>
  <c r="E281" i="4"/>
  <c r="AJ280" i="4"/>
  <c r="AH280" i="4"/>
  <c r="AI280" i="4" s="1"/>
  <c r="AC280" i="4"/>
  <c r="Y280" i="4"/>
  <c r="X280" i="4"/>
  <c r="W280" i="4"/>
  <c r="T280" i="4"/>
  <c r="S280" i="4"/>
  <c r="R280" i="4"/>
  <c r="O280" i="4"/>
  <c r="N280" i="4"/>
  <c r="L280" i="4"/>
  <c r="K280" i="4"/>
  <c r="I280" i="4"/>
  <c r="AD280" i="4" s="1"/>
  <c r="E280" i="4"/>
  <c r="AJ279" i="4"/>
  <c r="AH279" i="4"/>
  <c r="AI279" i="4" s="1"/>
  <c r="AC279" i="4"/>
  <c r="Y279" i="4"/>
  <c r="X279" i="4"/>
  <c r="W279" i="4"/>
  <c r="T279" i="4"/>
  <c r="S279" i="4"/>
  <c r="R279" i="4"/>
  <c r="O279" i="4"/>
  <c r="N279" i="4"/>
  <c r="L279" i="4"/>
  <c r="K279" i="4"/>
  <c r="I279" i="4"/>
  <c r="E279" i="4"/>
  <c r="AJ278" i="4"/>
  <c r="AH278" i="4"/>
  <c r="AI278" i="4" s="1"/>
  <c r="AD278" i="4"/>
  <c r="AC278" i="4"/>
  <c r="X278" i="4"/>
  <c r="Y278" i="4" s="1"/>
  <c r="W278" i="4"/>
  <c r="Z278" i="4" s="1"/>
  <c r="T278" i="4"/>
  <c r="S278" i="4"/>
  <c r="R278" i="4"/>
  <c r="O278" i="4"/>
  <c r="N278" i="4"/>
  <c r="L278" i="4"/>
  <c r="K278" i="4"/>
  <c r="J278" i="4"/>
  <c r="I278" i="4"/>
  <c r="E278" i="4"/>
  <c r="AJ277" i="4"/>
  <c r="AH277" i="4"/>
  <c r="AI277" i="4" s="1"/>
  <c r="AD277" i="4"/>
  <c r="AC277" i="4"/>
  <c r="X277" i="4"/>
  <c r="Y277" i="4" s="1"/>
  <c r="W277" i="4"/>
  <c r="T277" i="4"/>
  <c r="S277" i="4"/>
  <c r="R277" i="4"/>
  <c r="O277" i="4"/>
  <c r="N277" i="4"/>
  <c r="L277" i="4"/>
  <c r="K277" i="4"/>
  <c r="J277" i="4"/>
  <c r="I277" i="4"/>
  <c r="E277" i="4"/>
  <c r="AJ276" i="4"/>
  <c r="AH276" i="4"/>
  <c r="AI276" i="4" s="1"/>
  <c r="AC276" i="4"/>
  <c r="Y276" i="4"/>
  <c r="X276" i="4"/>
  <c r="W276" i="4"/>
  <c r="T276" i="4"/>
  <c r="S276" i="4"/>
  <c r="R276" i="4"/>
  <c r="O276" i="4"/>
  <c r="N276" i="4"/>
  <c r="L276" i="4"/>
  <c r="K276" i="4"/>
  <c r="I276" i="4"/>
  <c r="AD276" i="4" s="1"/>
  <c r="E276" i="4"/>
  <c r="AJ275" i="4"/>
  <c r="AH275" i="4"/>
  <c r="AI275" i="4" s="1"/>
  <c r="AC275" i="4"/>
  <c r="Y275" i="4"/>
  <c r="X275" i="4"/>
  <c r="W275" i="4"/>
  <c r="T275" i="4"/>
  <c r="S275" i="4"/>
  <c r="R275" i="4"/>
  <c r="O275" i="4"/>
  <c r="N275" i="4"/>
  <c r="L275" i="4"/>
  <c r="K275" i="4"/>
  <c r="I275" i="4"/>
  <c r="E275" i="4"/>
  <c r="AJ274" i="4"/>
  <c r="AH274" i="4"/>
  <c r="AI274" i="4" s="1"/>
  <c r="AD274" i="4"/>
  <c r="AC274" i="4"/>
  <c r="X274" i="4"/>
  <c r="Y274" i="4" s="1"/>
  <c r="W274" i="4"/>
  <c r="Z274" i="4" s="1"/>
  <c r="T274" i="4"/>
  <c r="S274" i="4"/>
  <c r="R274" i="4"/>
  <c r="O274" i="4"/>
  <c r="N274" i="4"/>
  <c r="L274" i="4"/>
  <c r="K274" i="4"/>
  <c r="J274" i="4"/>
  <c r="I274" i="4"/>
  <c r="E274" i="4"/>
  <c r="AJ273" i="4"/>
  <c r="AH273" i="4"/>
  <c r="AI273" i="4" s="1"/>
  <c r="AD273" i="4"/>
  <c r="AC273" i="4"/>
  <c r="X273" i="4"/>
  <c r="Y273" i="4" s="1"/>
  <c r="W273" i="4"/>
  <c r="T273" i="4"/>
  <c r="S273" i="4"/>
  <c r="R273" i="4"/>
  <c r="O273" i="4"/>
  <c r="N273" i="4"/>
  <c r="L273" i="4"/>
  <c r="K273" i="4"/>
  <c r="J273" i="4"/>
  <c r="I273" i="4"/>
  <c r="E273" i="4"/>
  <c r="AJ272" i="4"/>
  <c r="AH272" i="4"/>
  <c r="AI272" i="4" s="1"/>
  <c r="AC272" i="4"/>
  <c r="Y272" i="4"/>
  <c r="X272" i="4"/>
  <c r="W272" i="4"/>
  <c r="T272" i="4"/>
  <c r="S272" i="4"/>
  <c r="R272" i="4"/>
  <c r="O272" i="4"/>
  <c r="N272" i="4"/>
  <c r="L272" i="4"/>
  <c r="K272" i="4"/>
  <c r="I272" i="4"/>
  <c r="AD272" i="4" s="1"/>
  <c r="E272" i="4"/>
  <c r="AJ271" i="4"/>
  <c r="AH271" i="4"/>
  <c r="AI271" i="4" s="1"/>
  <c r="AC271" i="4"/>
  <c r="Y271" i="4"/>
  <c r="X271" i="4"/>
  <c r="W271" i="4"/>
  <c r="T271" i="4"/>
  <c r="S271" i="4"/>
  <c r="R271" i="4"/>
  <c r="O271" i="4"/>
  <c r="N271" i="4"/>
  <c r="L271" i="4"/>
  <c r="K271" i="4"/>
  <c r="J271" i="4"/>
  <c r="I271" i="4"/>
  <c r="AD271" i="4" s="1"/>
  <c r="E271" i="4"/>
  <c r="AJ270" i="4"/>
  <c r="AH270" i="4"/>
  <c r="AI270" i="4" s="1"/>
  <c r="AC270" i="4"/>
  <c r="X270" i="4"/>
  <c r="Y270" i="4" s="1"/>
  <c r="W270" i="4"/>
  <c r="Z270" i="4" s="1"/>
  <c r="T270" i="4"/>
  <c r="S270" i="4"/>
  <c r="R270" i="4"/>
  <c r="O270" i="4"/>
  <c r="N270" i="4"/>
  <c r="L270" i="4"/>
  <c r="K270" i="4"/>
  <c r="J270" i="4"/>
  <c r="I270" i="4"/>
  <c r="AD270" i="4" s="1"/>
  <c r="E270" i="4"/>
  <c r="AJ269" i="4"/>
  <c r="AH269" i="4"/>
  <c r="AI269" i="4" s="1"/>
  <c r="AD269" i="4"/>
  <c r="AC269" i="4"/>
  <c r="X269" i="4"/>
  <c r="Y269" i="4" s="1"/>
  <c r="W269" i="4"/>
  <c r="T269" i="4"/>
  <c r="S269" i="4"/>
  <c r="R269" i="4"/>
  <c r="O269" i="4"/>
  <c r="N269" i="4"/>
  <c r="L269" i="4"/>
  <c r="K269" i="4"/>
  <c r="J269" i="4"/>
  <c r="I269" i="4"/>
  <c r="E269" i="4"/>
  <c r="AJ268" i="4"/>
  <c r="AH268" i="4"/>
  <c r="AI268" i="4" s="1"/>
  <c r="AC268" i="4"/>
  <c r="X268" i="4"/>
  <c r="Y268" i="4" s="1"/>
  <c r="W268" i="4"/>
  <c r="T268" i="4"/>
  <c r="S268" i="4"/>
  <c r="R268" i="4"/>
  <c r="O268" i="4"/>
  <c r="N268" i="4"/>
  <c r="L268" i="4"/>
  <c r="K268" i="4"/>
  <c r="I268" i="4"/>
  <c r="E268" i="4"/>
  <c r="AJ267" i="4"/>
  <c r="AH267" i="4"/>
  <c r="AI267" i="4" s="1"/>
  <c r="AC267" i="4"/>
  <c r="X267" i="4"/>
  <c r="Y267" i="4" s="1"/>
  <c r="W267" i="4"/>
  <c r="T267" i="4"/>
  <c r="S267" i="4"/>
  <c r="R267" i="4"/>
  <c r="O267" i="4"/>
  <c r="N267" i="4"/>
  <c r="L267" i="4"/>
  <c r="K267" i="4"/>
  <c r="I267" i="4"/>
  <c r="AD267" i="4" s="1"/>
  <c r="E267" i="4"/>
  <c r="AJ266" i="4"/>
  <c r="AH266" i="4"/>
  <c r="AI266" i="4" s="1"/>
  <c r="AD266" i="4"/>
  <c r="AC266" i="4"/>
  <c r="Y266" i="4"/>
  <c r="X266" i="4"/>
  <c r="W266" i="4"/>
  <c r="Z266" i="4" s="1"/>
  <c r="T266" i="4"/>
  <c r="S266" i="4"/>
  <c r="R266" i="4"/>
  <c r="O266" i="4"/>
  <c r="N266" i="4"/>
  <c r="L266" i="4"/>
  <c r="K266" i="4"/>
  <c r="J266" i="4"/>
  <c r="I266" i="4"/>
  <c r="E266" i="4"/>
  <c r="AJ265" i="4"/>
  <c r="AH265" i="4"/>
  <c r="AI265" i="4" s="1"/>
  <c r="AC265" i="4"/>
  <c r="X265" i="4"/>
  <c r="Y265" i="4" s="1"/>
  <c r="W265" i="4"/>
  <c r="T265" i="4"/>
  <c r="S265" i="4"/>
  <c r="R265" i="4"/>
  <c r="O265" i="4"/>
  <c r="N265" i="4"/>
  <c r="L265" i="4"/>
  <c r="K265" i="4"/>
  <c r="I265" i="4"/>
  <c r="AD265" i="4" s="1"/>
  <c r="E265" i="4"/>
  <c r="AJ264" i="4"/>
  <c r="AH264" i="4"/>
  <c r="AI264" i="4" s="1"/>
  <c r="AD264" i="4"/>
  <c r="AC264" i="4"/>
  <c r="Y264" i="4"/>
  <c r="X264" i="4"/>
  <c r="W264" i="4"/>
  <c r="T264" i="4"/>
  <c r="S264" i="4"/>
  <c r="R264" i="4"/>
  <c r="O264" i="4"/>
  <c r="N264" i="4"/>
  <c r="L264" i="4"/>
  <c r="K264" i="4"/>
  <c r="J264" i="4"/>
  <c r="I264" i="4"/>
  <c r="E264" i="4"/>
  <c r="AJ263" i="4"/>
  <c r="AH263" i="4"/>
  <c r="AI263" i="4" s="1"/>
  <c r="AC263" i="4"/>
  <c r="X263" i="4"/>
  <c r="Y263" i="4" s="1"/>
  <c r="W263" i="4"/>
  <c r="T263" i="4"/>
  <c r="S263" i="4"/>
  <c r="R263" i="4"/>
  <c r="O263" i="4"/>
  <c r="N263" i="4"/>
  <c r="L263" i="4"/>
  <c r="K263" i="4"/>
  <c r="I263" i="4"/>
  <c r="AD263" i="4" s="1"/>
  <c r="E263" i="4"/>
  <c r="AJ262" i="4"/>
  <c r="AH262" i="4"/>
  <c r="AI262" i="4" s="1"/>
  <c r="AD262" i="4"/>
  <c r="AC262" i="4"/>
  <c r="Y262" i="4"/>
  <c r="X262" i="4"/>
  <c r="W262" i="4"/>
  <c r="Z262" i="4" s="1"/>
  <c r="T262" i="4"/>
  <c r="S262" i="4"/>
  <c r="R262" i="4"/>
  <c r="O262" i="4"/>
  <c r="N262" i="4"/>
  <c r="L262" i="4"/>
  <c r="K262" i="4"/>
  <c r="J262" i="4"/>
  <c r="I262" i="4"/>
  <c r="E262" i="4"/>
  <c r="AJ261" i="4"/>
  <c r="AH261" i="4"/>
  <c r="AI261" i="4" s="1"/>
  <c r="AC261" i="4"/>
  <c r="X261" i="4"/>
  <c r="Y261" i="4" s="1"/>
  <c r="W261" i="4"/>
  <c r="T261" i="4"/>
  <c r="S261" i="4"/>
  <c r="R261" i="4"/>
  <c r="O261" i="4"/>
  <c r="N261" i="4"/>
  <c r="L261" i="4"/>
  <c r="K261" i="4"/>
  <c r="I261" i="4"/>
  <c r="AD261" i="4" s="1"/>
  <c r="E261" i="4"/>
  <c r="AJ260" i="4"/>
  <c r="AH260" i="4"/>
  <c r="AI260" i="4" s="1"/>
  <c r="AD260" i="4"/>
  <c r="AC260" i="4"/>
  <c r="Y260" i="4"/>
  <c r="X260" i="4"/>
  <c r="W260" i="4"/>
  <c r="T260" i="4"/>
  <c r="S260" i="4"/>
  <c r="R260" i="4"/>
  <c r="O260" i="4"/>
  <c r="N260" i="4"/>
  <c r="L260" i="4"/>
  <c r="K260" i="4"/>
  <c r="J260" i="4"/>
  <c r="I260" i="4"/>
  <c r="E260" i="4"/>
  <c r="AJ259" i="4"/>
  <c r="AH259" i="4"/>
  <c r="AI259" i="4" s="1"/>
  <c r="AC259" i="4"/>
  <c r="X259" i="4"/>
  <c r="Y259" i="4" s="1"/>
  <c r="W259" i="4"/>
  <c r="T259" i="4"/>
  <c r="S259" i="4"/>
  <c r="R259" i="4"/>
  <c r="O259" i="4"/>
  <c r="N259" i="4"/>
  <c r="L259" i="4"/>
  <c r="K259" i="4"/>
  <c r="I259" i="4"/>
  <c r="AD259" i="4" s="1"/>
  <c r="E259" i="4"/>
  <c r="AJ258" i="4"/>
  <c r="AH258" i="4"/>
  <c r="AI258" i="4" s="1"/>
  <c r="AD258" i="4"/>
  <c r="AC258" i="4"/>
  <c r="Y258" i="4"/>
  <c r="X258" i="4"/>
  <c r="W258" i="4"/>
  <c r="Z258" i="4" s="1"/>
  <c r="T258" i="4"/>
  <c r="S258" i="4"/>
  <c r="R258" i="4"/>
  <c r="O258" i="4"/>
  <c r="N258" i="4"/>
  <c r="L258" i="4"/>
  <c r="K258" i="4"/>
  <c r="J258" i="4"/>
  <c r="I258" i="4"/>
  <c r="E258" i="4"/>
  <c r="AJ257" i="4"/>
  <c r="AH257" i="4"/>
  <c r="AI257" i="4" s="1"/>
  <c r="AC257" i="4"/>
  <c r="X257" i="4"/>
  <c r="Y257" i="4" s="1"/>
  <c r="W257" i="4"/>
  <c r="T257" i="4"/>
  <c r="S257" i="4"/>
  <c r="R257" i="4"/>
  <c r="O257" i="4"/>
  <c r="N257" i="4"/>
  <c r="L257" i="4"/>
  <c r="K257" i="4"/>
  <c r="I257" i="4"/>
  <c r="AD257" i="4" s="1"/>
  <c r="E257" i="4"/>
  <c r="AJ256" i="4"/>
  <c r="AH256" i="4"/>
  <c r="AI256" i="4" s="1"/>
  <c r="AD256" i="4"/>
  <c r="AC256" i="4"/>
  <c r="Y256" i="4"/>
  <c r="X256" i="4"/>
  <c r="W256" i="4"/>
  <c r="T256" i="4"/>
  <c r="S256" i="4"/>
  <c r="R256" i="4"/>
  <c r="O256" i="4"/>
  <c r="N256" i="4"/>
  <c r="L256" i="4"/>
  <c r="K256" i="4"/>
  <c r="J256" i="4"/>
  <c r="I256" i="4"/>
  <c r="E256" i="4"/>
  <c r="AJ255" i="4"/>
  <c r="AH255" i="4"/>
  <c r="AI255" i="4" s="1"/>
  <c r="AC255" i="4"/>
  <c r="X255" i="4"/>
  <c r="Y255" i="4" s="1"/>
  <c r="W255" i="4"/>
  <c r="T255" i="4"/>
  <c r="S255" i="4"/>
  <c r="R255" i="4"/>
  <c r="O255" i="4"/>
  <c r="N255" i="4"/>
  <c r="L255" i="4"/>
  <c r="K255" i="4"/>
  <c r="I255" i="4"/>
  <c r="AD255" i="4" s="1"/>
  <c r="E255" i="4"/>
  <c r="AJ254" i="4"/>
  <c r="AH254" i="4"/>
  <c r="AI254" i="4" s="1"/>
  <c r="AD254" i="4"/>
  <c r="AC254" i="4"/>
  <c r="Y254" i="4"/>
  <c r="X254" i="4"/>
  <c r="W254" i="4"/>
  <c r="Z254" i="4" s="1"/>
  <c r="T254" i="4"/>
  <c r="S254" i="4"/>
  <c r="R254" i="4"/>
  <c r="O254" i="4"/>
  <c r="N254" i="4"/>
  <c r="L254" i="4"/>
  <c r="K254" i="4"/>
  <c r="J254" i="4"/>
  <c r="I254" i="4"/>
  <c r="E254" i="4"/>
  <c r="AJ253" i="4"/>
  <c r="AH253" i="4"/>
  <c r="AI253" i="4" s="1"/>
  <c r="AC253" i="4"/>
  <c r="X253" i="4"/>
  <c r="Y253" i="4" s="1"/>
  <c r="W253" i="4"/>
  <c r="T253" i="4"/>
  <c r="S253" i="4"/>
  <c r="R253" i="4"/>
  <c r="O253" i="4"/>
  <c r="N253" i="4"/>
  <c r="L253" i="4"/>
  <c r="K253" i="4"/>
  <c r="I253" i="4"/>
  <c r="AD253" i="4" s="1"/>
  <c r="E253" i="4"/>
  <c r="AJ252" i="4"/>
  <c r="AH252" i="4"/>
  <c r="AI252" i="4" s="1"/>
  <c r="AD252" i="4"/>
  <c r="AC252" i="4"/>
  <c r="Y252" i="4"/>
  <c r="X252" i="4"/>
  <c r="W252" i="4"/>
  <c r="T252" i="4"/>
  <c r="S252" i="4"/>
  <c r="R252" i="4"/>
  <c r="O252" i="4"/>
  <c r="N252" i="4"/>
  <c r="L252" i="4"/>
  <c r="K252" i="4"/>
  <c r="J252" i="4"/>
  <c r="I252" i="4"/>
  <c r="E252" i="4"/>
  <c r="AJ251" i="4"/>
  <c r="AH251" i="4"/>
  <c r="AI251" i="4" s="1"/>
  <c r="AC251" i="4"/>
  <c r="X251" i="4"/>
  <c r="Y251" i="4" s="1"/>
  <c r="W251" i="4"/>
  <c r="T251" i="4"/>
  <c r="S251" i="4"/>
  <c r="R251" i="4"/>
  <c r="O251" i="4"/>
  <c r="N251" i="4"/>
  <c r="L251" i="4"/>
  <c r="K251" i="4"/>
  <c r="I251" i="4"/>
  <c r="AD251" i="4" s="1"/>
  <c r="E251" i="4"/>
  <c r="AJ250" i="4"/>
  <c r="AH250" i="4"/>
  <c r="AI250" i="4" s="1"/>
  <c r="AD250" i="4"/>
  <c r="AC250" i="4"/>
  <c r="Y250" i="4"/>
  <c r="X250" i="4"/>
  <c r="W250" i="4"/>
  <c r="Z250" i="4" s="1"/>
  <c r="T250" i="4"/>
  <c r="S250" i="4"/>
  <c r="R250" i="4"/>
  <c r="O250" i="4"/>
  <c r="N250" i="4"/>
  <c r="L250" i="4"/>
  <c r="K250" i="4"/>
  <c r="J250" i="4"/>
  <c r="I250" i="4"/>
  <c r="E250" i="4"/>
  <c r="AJ249" i="4"/>
  <c r="AH249" i="4"/>
  <c r="AI249" i="4" s="1"/>
  <c r="AC249" i="4"/>
  <c r="X249" i="4"/>
  <c r="Y249" i="4" s="1"/>
  <c r="W249" i="4"/>
  <c r="T249" i="4"/>
  <c r="S249" i="4"/>
  <c r="R249" i="4"/>
  <c r="O249" i="4"/>
  <c r="N249" i="4"/>
  <c r="L249" i="4"/>
  <c r="K249" i="4"/>
  <c r="I249" i="4"/>
  <c r="AD249" i="4" s="1"/>
  <c r="E249" i="4"/>
  <c r="AJ248" i="4"/>
  <c r="AH248" i="4"/>
  <c r="AI248" i="4" s="1"/>
  <c r="AD248" i="4"/>
  <c r="AC248" i="4"/>
  <c r="Y248" i="4"/>
  <c r="X248" i="4"/>
  <c r="W248" i="4"/>
  <c r="T248" i="4"/>
  <c r="S248" i="4"/>
  <c r="R248" i="4"/>
  <c r="O248" i="4"/>
  <c r="N248" i="4"/>
  <c r="L248" i="4"/>
  <c r="K248" i="4"/>
  <c r="J248" i="4"/>
  <c r="I248" i="4"/>
  <c r="E248" i="4"/>
  <c r="AJ247" i="4"/>
  <c r="AH247" i="4"/>
  <c r="AI247" i="4" s="1"/>
  <c r="AC247" i="4"/>
  <c r="X247" i="4"/>
  <c r="Y247" i="4" s="1"/>
  <c r="W247" i="4"/>
  <c r="T247" i="4"/>
  <c r="S247" i="4"/>
  <c r="R247" i="4"/>
  <c r="O247" i="4"/>
  <c r="N247" i="4"/>
  <c r="L247" i="4"/>
  <c r="K247" i="4"/>
  <c r="I247" i="4"/>
  <c r="AD247" i="4" s="1"/>
  <c r="E247" i="4"/>
  <c r="AJ246" i="4"/>
  <c r="AH246" i="4"/>
  <c r="AI246" i="4" s="1"/>
  <c r="AD246" i="4"/>
  <c r="AC246" i="4"/>
  <c r="Y246" i="4"/>
  <c r="X246" i="4"/>
  <c r="W246" i="4"/>
  <c r="Z246" i="4" s="1"/>
  <c r="T246" i="4"/>
  <c r="S246" i="4"/>
  <c r="R246" i="4"/>
  <c r="O246" i="4"/>
  <c r="N246" i="4"/>
  <c r="L246" i="4"/>
  <c r="K246" i="4"/>
  <c r="J246" i="4"/>
  <c r="I246" i="4"/>
  <c r="E246" i="4"/>
  <c r="AJ245" i="4"/>
  <c r="AH245" i="4"/>
  <c r="AI245" i="4" s="1"/>
  <c r="AC245" i="4"/>
  <c r="X245" i="4"/>
  <c r="Y245" i="4" s="1"/>
  <c r="W245" i="4"/>
  <c r="T245" i="4"/>
  <c r="S245" i="4"/>
  <c r="R245" i="4"/>
  <c r="O245" i="4"/>
  <c r="N245" i="4"/>
  <c r="L245" i="4"/>
  <c r="K245" i="4"/>
  <c r="I245" i="4"/>
  <c r="AD245" i="4" s="1"/>
  <c r="E245" i="4"/>
  <c r="AJ244" i="4"/>
  <c r="AH244" i="4"/>
  <c r="AI244" i="4" s="1"/>
  <c r="AD244" i="4"/>
  <c r="AC244" i="4"/>
  <c r="Y244" i="4"/>
  <c r="X244" i="4"/>
  <c r="W244" i="4"/>
  <c r="T244" i="4"/>
  <c r="S244" i="4"/>
  <c r="R244" i="4"/>
  <c r="O244" i="4"/>
  <c r="N244" i="4"/>
  <c r="L244" i="4"/>
  <c r="K244" i="4"/>
  <c r="J244" i="4"/>
  <c r="I244" i="4"/>
  <c r="E244" i="4"/>
  <c r="AJ243" i="4"/>
  <c r="AH243" i="4"/>
  <c r="AI243" i="4" s="1"/>
  <c r="AC243" i="4"/>
  <c r="X243" i="4"/>
  <c r="Y243" i="4" s="1"/>
  <c r="W243" i="4"/>
  <c r="T243" i="4"/>
  <c r="S243" i="4"/>
  <c r="R243" i="4"/>
  <c r="O243" i="4"/>
  <c r="N243" i="4"/>
  <c r="L243" i="4"/>
  <c r="K243" i="4"/>
  <c r="I243" i="4"/>
  <c r="AD243" i="4" s="1"/>
  <c r="E243" i="4"/>
  <c r="AJ242" i="4"/>
  <c r="AH242" i="4"/>
  <c r="AI242" i="4" s="1"/>
  <c r="AD242" i="4"/>
  <c r="AC242" i="4"/>
  <c r="Y242" i="4"/>
  <c r="X242" i="4"/>
  <c r="W242" i="4"/>
  <c r="Z242" i="4" s="1"/>
  <c r="T242" i="4"/>
  <c r="S242" i="4"/>
  <c r="R242" i="4"/>
  <c r="O242" i="4"/>
  <c r="N242" i="4"/>
  <c r="L242" i="4"/>
  <c r="K242" i="4"/>
  <c r="I242" i="4"/>
  <c r="J242" i="4" s="1"/>
  <c r="E242" i="4"/>
  <c r="AJ241" i="4"/>
  <c r="AH241" i="4"/>
  <c r="AI241" i="4" s="1"/>
  <c r="AC241" i="4"/>
  <c r="Y241" i="4"/>
  <c r="X241" i="4"/>
  <c r="W241" i="4"/>
  <c r="T241" i="4"/>
  <c r="S241" i="4"/>
  <c r="R241" i="4"/>
  <c r="O241" i="4"/>
  <c r="N241" i="4"/>
  <c r="L241" i="4"/>
  <c r="K241" i="4"/>
  <c r="I241" i="4"/>
  <c r="J241" i="4" s="1"/>
  <c r="E241" i="4"/>
  <c r="AJ240" i="4"/>
  <c r="AH240" i="4"/>
  <c r="AI240" i="4" s="1"/>
  <c r="AD240" i="4"/>
  <c r="AC240" i="4"/>
  <c r="Y240" i="4"/>
  <c r="X240" i="4"/>
  <c r="W240" i="4"/>
  <c r="Z240" i="4" s="1"/>
  <c r="T240" i="4"/>
  <c r="S240" i="4"/>
  <c r="R240" i="4"/>
  <c r="O240" i="4"/>
  <c r="N240" i="4"/>
  <c r="L240" i="4"/>
  <c r="K240" i="4"/>
  <c r="I240" i="4"/>
  <c r="J240" i="4" s="1"/>
  <c r="E240" i="4"/>
  <c r="AJ239" i="4"/>
  <c r="AH239" i="4"/>
  <c r="AI239" i="4" s="1"/>
  <c r="AC239" i="4"/>
  <c r="Y239" i="4"/>
  <c r="X239" i="4"/>
  <c r="W239" i="4"/>
  <c r="T239" i="4"/>
  <c r="S239" i="4"/>
  <c r="R239" i="4"/>
  <c r="O239" i="4"/>
  <c r="N239" i="4"/>
  <c r="L239" i="4"/>
  <c r="K239" i="4"/>
  <c r="I239" i="4"/>
  <c r="J239" i="4" s="1"/>
  <c r="E239" i="4"/>
  <c r="AJ238" i="4"/>
  <c r="AH238" i="4"/>
  <c r="AI238" i="4" s="1"/>
  <c r="AD238" i="4"/>
  <c r="AC238" i="4"/>
  <c r="Y238" i="4"/>
  <c r="X238" i="4"/>
  <c r="W238" i="4"/>
  <c r="Z238" i="4" s="1"/>
  <c r="T238" i="4"/>
  <c r="S238" i="4"/>
  <c r="R238" i="4"/>
  <c r="O238" i="4"/>
  <c r="N238" i="4"/>
  <c r="L238" i="4"/>
  <c r="K238" i="4"/>
  <c r="I238" i="4"/>
  <c r="J238" i="4" s="1"/>
  <c r="E238" i="4"/>
  <c r="AJ237" i="4"/>
  <c r="AH237" i="4"/>
  <c r="AI237" i="4" s="1"/>
  <c r="AC237" i="4"/>
  <c r="Y237" i="4"/>
  <c r="X237" i="4"/>
  <c r="W237" i="4"/>
  <c r="T237" i="4"/>
  <c r="S237" i="4"/>
  <c r="R237" i="4"/>
  <c r="O237" i="4"/>
  <c r="N237" i="4"/>
  <c r="L237" i="4"/>
  <c r="K237" i="4"/>
  <c r="I237" i="4"/>
  <c r="E237" i="4"/>
  <c r="AJ236" i="4"/>
  <c r="AH236" i="4"/>
  <c r="AI236" i="4" s="1"/>
  <c r="AD236" i="4"/>
  <c r="AC236" i="4"/>
  <c r="Y236" i="4"/>
  <c r="X236" i="4"/>
  <c r="W236" i="4"/>
  <c r="Z236" i="4" s="1"/>
  <c r="T236" i="4"/>
  <c r="S236" i="4"/>
  <c r="R236" i="4"/>
  <c r="O236" i="4"/>
  <c r="N236" i="4"/>
  <c r="L236" i="4"/>
  <c r="K236" i="4"/>
  <c r="I236" i="4"/>
  <c r="J236" i="4" s="1"/>
  <c r="E236" i="4"/>
  <c r="AJ235" i="4"/>
  <c r="AH235" i="4"/>
  <c r="AI235" i="4" s="1"/>
  <c r="AC235" i="4"/>
  <c r="Y235" i="4"/>
  <c r="X235" i="4"/>
  <c r="W235" i="4"/>
  <c r="T235" i="4"/>
  <c r="S235" i="4"/>
  <c r="R235" i="4"/>
  <c r="O235" i="4"/>
  <c r="N235" i="4"/>
  <c r="L235" i="4"/>
  <c r="K235" i="4"/>
  <c r="I235" i="4"/>
  <c r="E235" i="4"/>
  <c r="AJ234" i="4"/>
  <c r="AH234" i="4"/>
  <c r="AI234" i="4" s="1"/>
  <c r="AD234" i="4"/>
  <c r="AC234" i="4"/>
  <c r="Y234" i="4"/>
  <c r="X234" i="4"/>
  <c r="W234" i="4"/>
  <c r="Z234" i="4" s="1"/>
  <c r="T234" i="4"/>
  <c r="S234" i="4"/>
  <c r="R234" i="4"/>
  <c r="O234" i="4"/>
  <c r="N234" i="4"/>
  <c r="L234" i="4"/>
  <c r="K234" i="4"/>
  <c r="I234" i="4"/>
  <c r="J234" i="4" s="1"/>
  <c r="E234" i="4"/>
  <c r="AJ233" i="4"/>
  <c r="AH233" i="4"/>
  <c r="AI233" i="4" s="1"/>
  <c r="AC233" i="4"/>
  <c r="Y233" i="4"/>
  <c r="X233" i="4"/>
  <c r="W233" i="4"/>
  <c r="T233" i="4"/>
  <c r="S233" i="4"/>
  <c r="R233" i="4"/>
  <c r="O233" i="4"/>
  <c r="N233" i="4"/>
  <c r="L233" i="4"/>
  <c r="K233" i="4"/>
  <c r="I233" i="4"/>
  <c r="E233" i="4"/>
  <c r="AJ232" i="4"/>
  <c r="AH232" i="4"/>
  <c r="AI232" i="4" s="1"/>
  <c r="AD232" i="4"/>
  <c r="AC232" i="4"/>
  <c r="Y232" i="4"/>
  <c r="X232" i="4"/>
  <c r="W232" i="4"/>
  <c r="Z232" i="4" s="1"/>
  <c r="T232" i="4"/>
  <c r="S232" i="4"/>
  <c r="R232" i="4"/>
  <c r="O232" i="4"/>
  <c r="N232" i="4"/>
  <c r="L232" i="4"/>
  <c r="K232" i="4"/>
  <c r="I232" i="4"/>
  <c r="J232" i="4" s="1"/>
  <c r="E232" i="4"/>
  <c r="AJ231" i="4"/>
  <c r="AH231" i="4"/>
  <c r="AI231" i="4" s="1"/>
  <c r="AC231" i="4"/>
  <c r="Y231" i="4"/>
  <c r="X231" i="4"/>
  <c r="W231" i="4"/>
  <c r="T231" i="4"/>
  <c r="S231" i="4"/>
  <c r="R231" i="4"/>
  <c r="O231" i="4"/>
  <c r="N231" i="4"/>
  <c r="L231" i="4"/>
  <c r="K231" i="4"/>
  <c r="I231" i="4"/>
  <c r="E231" i="4"/>
  <c r="AJ230" i="4"/>
  <c r="AH230" i="4"/>
  <c r="AI230" i="4" s="1"/>
  <c r="AD230" i="4"/>
  <c r="AC230" i="4"/>
  <c r="Y230" i="4"/>
  <c r="X230" i="4"/>
  <c r="W230" i="4"/>
  <c r="Z230" i="4" s="1"/>
  <c r="T230" i="4"/>
  <c r="S230" i="4"/>
  <c r="R230" i="4"/>
  <c r="O230" i="4"/>
  <c r="N230" i="4"/>
  <c r="L230" i="4"/>
  <c r="K230" i="4"/>
  <c r="I230" i="4"/>
  <c r="J230" i="4" s="1"/>
  <c r="E230" i="4"/>
  <c r="AJ229" i="4"/>
  <c r="AH229" i="4"/>
  <c r="AI229" i="4" s="1"/>
  <c r="AC229" i="4"/>
  <c r="Y229" i="4"/>
  <c r="X229" i="4"/>
  <c r="W229" i="4"/>
  <c r="T229" i="4"/>
  <c r="S229" i="4"/>
  <c r="R229" i="4"/>
  <c r="O229" i="4"/>
  <c r="N229" i="4"/>
  <c r="L229" i="4"/>
  <c r="K229" i="4"/>
  <c r="I229" i="4"/>
  <c r="E229" i="4"/>
  <c r="AJ228" i="4"/>
  <c r="AH228" i="4"/>
  <c r="AI228" i="4" s="1"/>
  <c r="AD228" i="4"/>
  <c r="AC228" i="4"/>
  <c r="Y228" i="4"/>
  <c r="X228" i="4"/>
  <c r="W228" i="4"/>
  <c r="Z228" i="4" s="1"/>
  <c r="T228" i="4"/>
  <c r="S228" i="4"/>
  <c r="R228" i="4"/>
  <c r="O228" i="4"/>
  <c r="N228" i="4"/>
  <c r="L228" i="4"/>
  <c r="K228" i="4"/>
  <c r="I228" i="4"/>
  <c r="J228" i="4" s="1"/>
  <c r="E228" i="4"/>
  <c r="AJ227" i="4"/>
  <c r="AH227" i="4"/>
  <c r="AI227" i="4" s="1"/>
  <c r="AC227" i="4"/>
  <c r="Y227" i="4"/>
  <c r="X227" i="4"/>
  <c r="W227" i="4"/>
  <c r="T227" i="4"/>
  <c r="S227" i="4"/>
  <c r="R227" i="4"/>
  <c r="O227" i="4"/>
  <c r="N227" i="4"/>
  <c r="L227" i="4"/>
  <c r="K227" i="4"/>
  <c r="I227" i="4"/>
  <c r="E227" i="4"/>
  <c r="AJ226" i="4"/>
  <c r="AH226" i="4"/>
  <c r="AI226" i="4" s="1"/>
  <c r="AD226" i="4"/>
  <c r="AC226" i="4"/>
  <c r="Y226" i="4"/>
  <c r="X226" i="4"/>
  <c r="W226" i="4"/>
  <c r="Z226" i="4" s="1"/>
  <c r="T226" i="4"/>
  <c r="S226" i="4"/>
  <c r="R226" i="4"/>
  <c r="O226" i="4"/>
  <c r="N226" i="4"/>
  <c r="L226" i="4"/>
  <c r="K226" i="4"/>
  <c r="I226" i="4"/>
  <c r="J226" i="4" s="1"/>
  <c r="E226" i="4"/>
  <c r="AJ225" i="4"/>
  <c r="AH225" i="4"/>
  <c r="AI225" i="4" s="1"/>
  <c r="AC225" i="4"/>
  <c r="Y225" i="4"/>
  <c r="X225" i="4"/>
  <c r="W225" i="4"/>
  <c r="T225" i="4"/>
  <c r="S225" i="4"/>
  <c r="R225" i="4"/>
  <c r="O225" i="4"/>
  <c r="N225" i="4"/>
  <c r="L225" i="4"/>
  <c r="K225" i="4"/>
  <c r="I225" i="4"/>
  <c r="E225" i="4"/>
  <c r="AJ224" i="4"/>
  <c r="AH224" i="4"/>
  <c r="AI224" i="4" s="1"/>
  <c r="AD224" i="4"/>
  <c r="AC224" i="4"/>
  <c r="Y224" i="4"/>
  <c r="X224" i="4"/>
  <c r="W224" i="4"/>
  <c r="Z224" i="4" s="1"/>
  <c r="T224" i="4"/>
  <c r="S224" i="4"/>
  <c r="R224" i="4"/>
  <c r="O224" i="4"/>
  <c r="N224" i="4"/>
  <c r="L224" i="4"/>
  <c r="K224" i="4"/>
  <c r="I224" i="4"/>
  <c r="J224" i="4" s="1"/>
  <c r="E224" i="4"/>
  <c r="AJ223" i="4"/>
  <c r="AH223" i="4"/>
  <c r="AI223" i="4" s="1"/>
  <c r="AC223" i="4"/>
  <c r="Y223" i="4"/>
  <c r="X223" i="4"/>
  <c r="W223" i="4"/>
  <c r="T223" i="4"/>
  <c r="S223" i="4"/>
  <c r="R223" i="4"/>
  <c r="O223" i="4"/>
  <c r="N223" i="4"/>
  <c r="L223" i="4"/>
  <c r="K223" i="4"/>
  <c r="I223" i="4"/>
  <c r="E223" i="4"/>
  <c r="AJ222" i="4"/>
  <c r="AH222" i="4"/>
  <c r="AI222" i="4" s="1"/>
  <c r="AD222" i="4"/>
  <c r="AC222" i="4"/>
  <c r="Y222" i="4"/>
  <c r="X222" i="4"/>
  <c r="W222" i="4"/>
  <c r="Z222" i="4" s="1"/>
  <c r="T222" i="4"/>
  <c r="S222" i="4"/>
  <c r="R222" i="4"/>
  <c r="O222" i="4"/>
  <c r="N222" i="4"/>
  <c r="L222" i="4"/>
  <c r="K222" i="4"/>
  <c r="I222" i="4"/>
  <c r="J222" i="4" s="1"/>
  <c r="E222" i="4"/>
  <c r="AJ221" i="4"/>
  <c r="AH221" i="4"/>
  <c r="AI221" i="4" s="1"/>
  <c r="AC221" i="4"/>
  <c r="Y221" i="4"/>
  <c r="X221" i="4"/>
  <c r="W221" i="4"/>
  <c r="T221" i="4"/>
  <c r="S221" i="4"/>
  <c r="R221" i="4"/>
  <c r="O221" i="4"/>
  <c r="N221" i="4"/>
  <c r="L221" i="4"/>
  <c r="K221" i="4"/>
  <c r="I221" i="4"/>
  <c r="E221" i="4"/>
  <c r="AJ220" i="4"/>
  <c r="AH220" i="4"/>
  <c r="AI220" i="4" s="1"/>
  <c r="AD220" i="4"/>
  <c r="AC220" i="4"/>
  <c r="X220" i="4"/>
  <c r="Y220" i="4" s="1"/>
  <c r="W220" i="4"/>
  <c r="T220" i="4"/>
  <c r="S220" i="4"/>
  <c r="R220" i="4"/>
  <c r="O220" i="4"/>
  <c r="N220" i="4"/>
  <c r="L220" i="4"/>
  <c r="K220" i="4"/>
  <c r="J220" i="4"/>
  <c r="I220" i="4"/>
  <c r="E220" i="4"/>
  <c r="AJ219" i="4"/>
  <c r="AH219" i="4"/>
  <c r="AI219" i="4" s="1"/>
  <c r="AC219" i="4"/>
  <c r="X219" i="4"/>
  <c r="Y219" i="4" s="1"/>
  <c r="W219" i="4"/>
  <c r="T219" i="4"/>
  <c r="S219" i="4"/>
  <c r="R219" i="4"/>
  <c r="O219" i="4"/>
  <c r="N219" i="4"/>
  <c r="L219" i="4"/>
  <c r="K219" i="4"/>
  <c r="I219" i="4"/>
  <c r="AD219" i="4" s="1"/>
  <c r="E219" i="4"/>
  <c r="AJ218" i="4"/>
  <c r="AH218" i="4"/>
  <c r="AI218" i="4" s="1"/>
  <c r="AD218" i="4"/>
  <c r="AC218" i="4"/>
  <c r="X218" i="4"/>
  <c r="Y218" i="4" s="1"/>
  <c r="W218" i="4"/>
  <c r="T218" i="4"/>
  <c r="S218" i="4"/>
  <c r="R218" i="4"/>
  <c r="O218" i="4"/>
  <c r="N218" i="4"/>
  <c r="L218" i="4"/>
  <c r="K218" i="4"/>
  <c r="J218" i="4"/>
  <c r="I218" i="4"/>
  <c r="E218" i="4"/>
  <c r="AJ217" i="4"/>
  <c r="AH217" i="4"/>
  <c r="AI217" i="4" s="1"/>
  <c r="AC217" i="4"/>
  <c r="X217" i="4"/>
  <c r="Y217" i="4" s="1"/>
  <c r="W217" i="4"/>
  <c r="T217" i="4"/>
  <c r="S217" i="4"/>
  <c r="R217" i="4"/>
  <c r="O217" i="4"/>
  <c r="N217" i="4"/>
  <c r="L217" i="4"/>
  <c r="K217" i="4"/>
  <c r="I217" i="4"/>
  <c r="E217" i="4"/>
  <c r="AJ216" i="4"/>
  <c r="AH216" i="4"/>
  <c r="AI216" i="4" s="1"/>
  <c r="AD216" i="4"/>
  <c r="AC216" i="4"/>
  <c r="X216" i="4"/>
  <c r="Y216" i="4" s="1"/>
  <c r="W216" i="4"/>
  <c r="T216" i="4"/>
  <c r="S216" i="4"/>
  <c r="R216" i="4"/>
  <c r="O216" i="4"/>
  <c r="N216" i="4"/>
  <c r="L216" i="4"/>
  <c r="K216" i="4"/>
  <c r="J216" i="4"/>
  <c r="I216" i="4"/>
  <c r="E216" i="4"/>
  <c r="AJ215" i="4"/>
  <c r="AH215" i="4"/>
  <c r="AI215" i="4" s="1"/>
  <c r="AC215" i="4"/>
  <c r="X215" i="4"/>
  <c r="Y215" i="4" s="1"/>
  <c r="W215" i="4"/>
  <c r="T215" i="4"/>
  <c r="S215" i="4"/>
  <c r="R215" i="4"/>
  <c r="O215" i="4"/>
  <c r="N215" i="4"/>
  <c r="L215" i="4"/>
  <c r="K215" i="4"/>
  <c r="I215" i="4"/>
  <c r="AD215" i="4" s="1"/>
  <c r="E215" i="4"/>
  <c r="AJ214" i="4"/>
  <c r="AH214" i="4"/>
  <c r="AI214" i="4" s="1"/>
  <c r="AD214" i="4"/>
  <c r="AC214" i="4"/>
  <c r="X214" i="4"/>
  <c r="Y214" i="4" s="1"/>
  <c r="W214" i="4"/>
  <c r="T214" i="4"/>
  <c r="S214" i="4"/>
  <c r="R214" i="4"/>
  <c r="O214" i="4"/>
  <c r="N214" i="4"/>
  <c r="L214" i="4"/>
  <c r="K214" i="4"/>
  <c r="J214" i="4"/>
  <c r="I214" i="4"/>
  <c r="E214" i="4"/>
  <c r="AJ213" i="4"/>
  <c r="AH213" i="4"/>
  <c r="AI213" i="4" s="1"/>
  <c r="AC213" i="4"/>
  <c r="X213" i="4"/>
  <c r="Y213" i="4" s="1"/>
  <c r="W213" i="4"/>
  <c r="T213" i="4"/>
  <c r="S213" i="4"/>
  <c r="R213" i="4"/>
  <c r="O213" i="4"/>
  <c r="N213" i="4"/>
  <c r="L213" i="4"/>
  <c r="K213" i="4"/>
  <c r="I213" i="4"/>
  <c r="E213" i="4"/>
  <c r="AJ212" i="4"/>
  <c r="AH212" i="4"/>
  <c r="AI212" i="4" s="1"/>
  <c r="AD212" i="4"/>
  <c r="AC212" i="4"/>
  <c r="X212" i="4"/>
  <c r="Y212" i="4" s="1"/>
  <c r="W212" i="4"/>
  <c r="T212" i="4"/>
  <c r="S212" i="4"/>
  <c r="R212" i="4"/>
  <c r="O212" i="4"/>
  <c r="N212" i="4"/>
  <c r="L212" i="4"/>
  <c r="K212" i="4"/>
  <c r="J212" i="4"/>
  <c r="I212" i="4"/>
  <c r="E212" i="4"/>
  <c r="AJ211" i="4"/>
  <c r="AH211" i="4"/>
  <c r="AI211" i="4" s="1"/>
  <c r="AC211" i="4"/>
  <c r="X211" i="4"/>
  <c r="Y211" i="4" s="1"/>
  <c r="W211" i="4"/>
  <c r="T211" i="4"/>
  <c r="S211" i="4"/>
  <c r="R211" i="4"/>
  <c r="O211" i="4"/>
  <c r="N211" i="4"/>
  <c r="L211" i="4"/>
  <c r="K211" i="4"/>
  <c r="I211" i="4"/>
  <c r="AD211" i="4" s="1"/>
  <c r="E211" i="4"/>
  <c r="AJ210" i="4"/>
  <c r="AH210" i="4"/>
  <c r="AI210" i="4" s="1"/>
  <c r="AD210" i="4"/>
  <c r="AC210" i="4"/>
  <c r="X210" i="4"/>
  <c r="Y210" i="4" s="1"/>
  <c r="W210" i="4"/>
  <c r="T210" i="4"/>
  <c r="S210" i="4"/>
  <c r="R210" i="4"/>
  <c r="O210" i="4"/>
  <c r="N210" i="4"/>
  <c r="L210" i="4"/>
  <c r="K210" i="4"/>
  <c r="J210" i="4"/>
  <c r="I210" i="4"/>
  <c r="E210" i="4"/>
  <c r="AJ209" i="4"/>
  <c r="AH209" i="4"/>
  <c r="AI209" i="4" s="1"/>
  <c r="AC209" i="4"/>
  <c r="X209" i="4"/>
  <c r="Y209" i="4" s="1"/>
  <c r="W209" i="4"/>
  <c r="T209" i="4"/>
  <c r="S209" i="4"/>
  <c r="R209" i="4"/>
  <c r="O209" i="4"/>
  <c r="N209" i="4"/>
  <c r="L209" i="4"/>
  <c r="K209" i="4"/>
  <c r="I209" i="4"/>
  <c r="E209" i="4"/>
  <c r="AJ208" i="4"/>
  <c r="AH208" i="4"/>
  <c r="AI208" i="4" s="1"/>
  <c r="AD208" i="4"/>
  <c r="AC208" i="4"/>
  <c r="X208" i="4"/>
  <c r="Y208" i="4" s="1"/>
  <c r="W208" i="4"/>
  <c r="T208" i="4"/>
  <c r="S208" i="4"/>
  <c r="R208" i="4"/>
  <c r="O208" i="4"/>
  <c r="N208" i="4"/>
  <c r="L208" i="4"/>
  <c r="K208" i="4"/>
  <c r="J208" i="4"/>
  <c r="I208" i="4"/>
  <c r="E208" i="4"/>
  <c r="AJ207" i="4"/>
  <c r="AH207" i="4"/>
  <c r="AI207" i="4" s="1"/>
  <c r="AC207" i="4"/>
  <c r="X207" i="4"/>
  <c r="Y207" i="4" s="1"/>
  <c r="W207" i="4"/>
  <c r="T207" i="4"/>
  <c r="S207" i="4"/>
  <c r="R207" i="4"/>
  <c r="O207" i="4"/>
  <c r="N207" i="4"/>
  <c r="L207" i="4"/>
  <c r="K207" i="4"/>
  <c r="I207" i="4"/>
  <c r="AD207" i="4" s="1"/>
  <c r="E207" i="4"/>
  <c r="AJ206" i="4"/>
  <c r="AH206" i="4"/>
  <c r="AI206" i="4" s="1"/>
  <c r="AD206" i="4"/>
  <c r="AC206" i="4"/>
  <c r="X206" i="4"/>
  <c r="Y206" i="4" s="1"/>
  <c r="W206" i="4"/>
  <c r="T206" i="4"/>
  <c r="S206" i="4"/>
  <c r="R206" i="4"/>
  <c r="O206" i="4"/>
  <c r="N206" i="4"/>
  <c r="L206" i="4"/>
  <c r="K206" i="4"/>
  <c r="J206" i="4"/>
  <c r="I206" i="4"/>
  <c r="E206" i="4"/>
  <c r="AJ205" i="4"/>
  <c r="AH205" i="4"/>
  <c r="AI205" i="4" s="1"/>
  <c r="AC205" i="4"/>
  <c r="X205" i="4"/>
  <c r="Y205" i="4" s="1"/>
  <c r="W205" i="4"/>
  <c r="T205" i="4"/>
  <c r="S205" i="4"/>
  <c r="R205" i="4"/>
  <c r="O205" i="4"/>
  <c r="N205" i="4"/>
  <c r="L205" i="4"/>
  <c r="K205" i="4"/>
  <c r="I205" i="4"/>
  <c r="E205" i="4"/>
  <c r="AJ204" i="4"/>
  <c r="AH204" i="4"/>
  <c r="AI204" i="4" s="1"/>
  <c r="AD204" i="4"/>
  <c r="AC204" i="4"/>
  <c r="X204" i="4"/>
  <c r="Y204" i="4" s="1"/>
  <c r="W204" i="4"/>
  <c r="T204" i="4"/>
  <c r="S204" i="4"/>
  <c r="R204" i="4"/>
  <c r="O204" i="4"/>
  <c r="N204" i="4"/>
  <c r="L204" i="4"/>
  <c r="K204" i="4"/>
  <c r="J204" i="4"/>
  <c r="I204" i="4"/>
  <c r="E204" i="4"/>
  <c r="AJ203" i="4"/>
  <c r="AH203" i="4"/>
  <c r="AI203" i="4" s="1"/>
  <c r="AC203" i="4"/>
  <c r="X203" i="4"/>
  <c r="Y203" i="4" s="1"/>
  <c r="W203" i="4"/>
  <c r="T203" i="4"/>
  <c r="S203" i="4"/>
  <c r="R203" i="4"/>
  <c r="O203" i="4"/>
  <c r="N203" i="4"/>
  <c r="L203" i="4"/>
  <c r="K203" i="4"/>
  <c r="I203" i="4"/>
  <c r="AD203" i="4" s="1"/>
  <c r="E203" i="4"/>
  <c r="AJ202" i="4"/>
  <c r="AH202" i="4"/>
  <c r="AI202" i="4" s="1"/>
  <c r="AD202" i="4"/>
  <c r="AC202" i="4"/>
  <c r="X202" i="4"/>
  <c r="Y202" i="4" s="1"/>
  <c r="W202" i="4"/>
  <c r="T202" i="4"/>
  <c r="S202" i="4"/>
  <c r="R202" i="4"/>
  <c r="O202" i="4"/>
  <c r="N202" i="4"/>
  <c r="L202" i="4"/>
  <c r="K202" i="4"/>
  <c r="J202" i="4"/>
  <c r="I202" i="4"/>
  <c r="E202" i="4"/>
  <c r="AJ201" i="4"/>
  <c r="AH201" i="4"/>
  <c r="AI201" i="4" s="1"/>
  <c r="AC201" i="4"/>
  <c r="X201" i="4"/>
  <c r="Y201" i="4" s="1"/>
  <c r="W201" i="4"/>
  <c r="T201" i="4"/>
  <c r="S201" i="4"/>
  <c r="R201" i="4"/>
  <c r="O201" i="4"/>
  <c r="N201" i="4"/>
  <c r="L201" i="4"/>
  <c r="K201" i="4"/>
  <c r="I201" i="4"/>
  <c r="E201" i="4"/>
  <c r="AJ200" i="4"/>
  <c r="AH200" i="4"/>
  <c r="AI200" i="4" s="1"/>
  <c r="AD200" i="4"/>
  <c r="AC200" i="4"/>
  <c r="X200" i="4"/>
  <c r="Y200" i="4" s="1"/>
  <c r="W200" i="4"/>
  <c r="T200" i="4"/>
  <c r="S200" i="4"/>
  <c r="R200" i="4"/>
  <c r="O200" i="4"/>
  <c r="N200" i="4"/>
  <c r="L200" i="4"/>
  <c r="K200" i="4"/>
  <c r="J200" i="4"/>
  <c r="I200" i="4"/>
  <c r="E200" i="4"/>
  <c r="AJ199" i="4"/>
  <c r="AH199" i="4"/>
  <c r="AI199" i="4" s="1"/>
  <c r="AC199" i="4"/>
  <c r="X199" i="4"/>
  <c r="Y199" i="4" s="1"/>
  <c r="W199" i="4"/>
  <c r="T199" i="4"/>
  <c r="S199" i="4"/>
  <c r="R199" i="4"/>
  <c r="O199" i="4"/>
  <c r="N199" i="4"/>
  <c r="L199" i="4"/>
  <c r="K199" i="4"/>
  <c r="I199" i="4"/>
  <c r="AD199" i="4" s="1"/>
  <c r="E199" i="4"/>
  <c r="AJ198" i="4"/>
  <c r="AH198" i="4"/>
  <c r="AI198" i="4" s="1"/>
  <c r="AD198" i="4"/>
  <c r="AC198" i="4"/>
  <c r="X198" i="4"/>
  <c r="Y198" i="4" s="1"/>
  <c r="W198" i="4"/>
  <c r="T198" i="4"/>
  <c r="S198" i="4"/>
  <c r="R198" i="4"/>
  <c r="O198" i="4"/>
  <c r="N198" i="4"/>
  <c r="L198" i="4"/>
  <c r="K198" i="4"/>
  <c r="J198" i="4"/>
  <c r="I198" i="4"/>
  <c r="E198" i="4"/>
  <c r="AJ197" i="4"/>
  <c r="AH197" i="4"/>
  <c r="AI197" i="4" s="1"/>
  <c r="AC197" i="4"/>
  <c r="X197" i="4"/>
  <c r="Y197" i="4" s="1"/>
  <c r="W197" i="4"/>
  <c r="T197" i="4"/>
  <c r="S197" i="4"/>
  <c r="R197" i="4"/>
  <c r="O197" i="4"/>
  <c r="N197" i="4"/>
  <c r="L197" i="4"/>
  <c r="K197" i="4"/>
  <c r="I197" i="4"/>
  <c r="E197" i="4"/>
  <c r="AJ196" i="4"/>
  <c r="AH196" i="4"/>
  <c r="AI196" i="4" s="1"/>
  <c r="AD196" i="4"/>
  <c r="AC196" i="4"/>
  <c r="X196" i="4"/>
  <c r="Y196" i="4" s="1"/>
  <c r="W196" i="4"/>
  <c r="T196" i="4"/>
  <c r="S196" i="4"/>
  <c r="R196" i="4"/>
  <c r="O196" i="4"/>
  <c r="N196" i="4"/>
  <c r="L196" i="4"/>
  <c r="K196" i="4"/>
  <c r="J196" i="4"/>
  <c r="I196" i="4"/>
  <c r="E196" i="4"/>
  <c r="AJ195" i="4"/>
  <c r="AH195" i="4"/>
  <c r="AI195" i="4" s="1"/>
  <c r="AC195" i="4"/>
  <c r="X195" i="4"/>
  <c r="Y195" i="4" s="1"/>
  <c r="W195" i="4"/>
  <c r="T195" i="4"/>
  <c r="S195" i="4"/>
  <c r="R195" i="4"/>
  <c r="O195" i="4"/>
  <c r="N195" i="4"/>
  <c r="L195" i="4"/>
  <c r="K195" i="4"/>
  <c r="I195" i="4"/>
  <c r="AD195" i="4" s="1"/>
  <c r="E195" i="4"/>
  <c r="AJ194" i="4"/>
  <c r="AH194" i="4"/>
  <c r="AI194" i="4" s="1"/>
  <c r="AD194" i="4"/>
  <c r="AC194" i="4"/>
  <c r="X194" i="4"/>
  <c r="Y194" i="4" s="1"/>
  <c r="W194" i="4"/>
  <c r="T194" i="4"/>
  <c r="S194" i="4"/>
  <c r="R194" i="4"/>
  <c r="O194" i="4"/>
  <c r="N194" i="4"/>
  <c r="L194" i="4"/>
  <c r="K194" i="4"/>
  <c r="J194" i="4"/>
  <c r="I194" i="4"/>
  <c r="E194" i="4"/>
  <c r="AJ193" i="4"/>
  <c r="AH193" i="4"/>
  <c r="AI193" i="4" s="1"/>
  <c r="AC193" i="4"/>
  <c r="X193" i="4"/>
  <c r="Y193" i="4" s="1"/>
  <c r="W193" i="4"/>
  <c r="T193" i="4"/>
  <c r="S193" i="4"/>
  <c r="R193" i="4"/>
  <c r="O193" i="4"/>
  <c r="N193" i="4"/>
  <c r="L193" i="4"/>
  <c r="K193" i="4"/>
  <c r="I193" i="4"/>
  <c r="E193" i="4"/>
  <c r="AJ192" i="4"/>
  <c r="AH192" i="4"/>
  <c r="AI192" i="4" s="1"/>
  <c r="AD192" i="4"/>
  <c r="AC192" i="4"/>
  <c r="X192" i="4"/>
  <c r="Y192" i="4" s="1"/>
  <c r="W192" i="4"/>
  <c r="T192" i="4"/>
  <c r="S192" i="4"/>
  <c r="R192" i="4"/>
  <c r="O192" i="4"/>
  <c r="N192" i="4"/>
  <c r="L192" i="4"/>
  <c r="K192" i="4"/>
  <c r="J192" i="4"/>
  <c r="I192" i="4"/>
  <c r="E192" i="4"/>
  <c r="AJ191" i="4"/>
  <c r="AH191" i="4"/>
  <c r="AI191" i="4" s="1"/>
  <c r="AC191" i="4"/>
  <c r="X191" i="4"/>
  <c r="Y191" i="4" s="1"/>
  <c r="W191" i="4"/>
  <c r="T191" i="4"/>
  <c r="S191" i="4"/>
  <c r="R191" i="4"/>
  <c r="O191" i="4"/>
  <c r="N191" i="4"/>
  <c r="L191" i="4"/>
  <c r="K191" i="4"/>
  <c r="I191" i="4"/>
  <c r="AD191" i="4" s="1"/>
  <c r="E191" i="4"/>
  <c r="AJ190" i="4"/>
  <c r="AH190" i="4"/>
  <c r="AI190" i="4" s="1"/>
  <c r="AD190" i="4"/>
  <c r="AC190" i="4"/>
  <c r="X190" i="4"/>
  <c r="Y190" i="4" s="1"/>
  <c r="W190" i="4"/>
  <c r="T190" i="4"/>
  <c r="S190" i="4"/>
  <c r="R190" i="4"/>
  <c r="O190" i="4"/>
  <c r="N190" i="4"/>
  <c r="L190" i="4"/>
  <c r="K190" i="4"/>
  <c r="J190" i="4"/>
  <c r="I190" i="4"/>
  <c r="E190" i="4"/>
  <c r="AJ189" i="4"/>
  <c r="AH189" i="4"/>
  <c r="AI189" i="4" s="1"/>
  <c r="AC189" i="4"/>
  <c r="X189" i="4"/>
  <c r="Y189" i="4" s="1"/>
  <c r="W189" i="4"/>
  <c r="T189" i="4"/>
  <c r="S189" i="4"/>
  <c r="R189" i="4"/>
  <c r="O189" i="4"/>
  <c r="N189" i="4"/>
  <c r="L189" i="4"/>
  <c r="K189" i="4"/>
  <c r="I189" i="4"/>
  <c r="E189" i="4"/>
  <c r="AJ188" i="4"/>
  <c r="AH188" i="4"/>
  <c r="AI188" i="4" s="1"/>
  <c r="AD188" i="4"/>
  <c r="AC188" i="4"/>
  <c r="X188" i="4"/>
  <c r="Y188" i="4" s="1"/>
  <c r="W188" i="4"/>
  <c r="T188" i="4"/>
  <c r="S188" i="4"/>
  <c r="R188" i="4"/>
  <c r="O188" i="4"/>
  <c r="N188" i="4"/>
  <c r="L188" i="4"/>
  <c r="K188" i="4"/>
  <c r="J188" i="4"/>
  <c r="I188" i="4"/>
  <c r="E188" i="4"/>
  <c r="AJ187" i="4"/>
  <c r="AH187" i="4"/>
  <c r="AI187" i="4" s="1"/>
  <c r="AC187" i="4"/>
  <c r="X187" i="4"/>
  <c r="Y187" i="4" s="1"/>
  <c r="W187" i="4"/>
  <c r="T187" i="4"/>
  <c r="S187" i="4"/>
  <c r="R187" i="4"/>
  <c r="O187" i="4"/>
  <c r="N187" i="4"/>
  <c r="L187" i="4"/>
  <c r="K187" i="4"/>
  <c r="J187" i="4"/>
  <c r="I187" i="4"/>
  <c r="AD187" i="4" s="1"/>
  <c r="E187" i="4"/>
  <c r="AJ186" i="4"/>
  <c r="AH186" i="4"/>
  <c r="AI186" i="4" s="1"/>
  <c r="AD186" i="4"/>
  <c r="AC186" i="4"/>
  <c r="X186" i="4"/>
  <c r="Y186" i="4" s="1"/>
  <c r="W186" i="4"/>
  <c r="T186" i="4"/>
  <c r="S186" i="4"/>
  <c r="R186" i="4"/>
  <c r="O186" i="4"/>
  <c r="N186" i="4"/>
  <c r="L186" i="4"/>
  <c r="K186" i="4"/>
  <c r="J186" i="4"/>
  <c r="I186" i="4"/>
  <c r="E186" i="4"/>
  <c r="AJ185" i="4"/>
  <c r="AH185" i="4"/>
  <c r="AI185" i="4" s="1"/>
  <c r="AC185" i="4"/>
  <c r="X185" i="4"/>
  <c r="Y185" i="4" s="1"/>
  <c r="W185" i="4"/>
  <c r="T185" i="4"/>
  <c r="S185" i="4"/>
  <c r="R185" i="4"/>
  <c r="O185" i="4"/>
  <c r="N185" i="4"/>
  <c r="L185" i="4"/>
  <c r="K185" i="4"/>
  <c r="I185" i="4"/>
  <c r="E185" i="4"/>
  <c r="AJ184" i="4"/>
  <c r="AH184" i="4"/>
  <c r="AI184" i="4" s="1"/>
  <c r="AD184" i="4"/>
  <c r="AC184" i="4"/>
  <c r="X184" i="4"/>
  <c r="Y184" i="4" s="1"/>
  <c r="W184" i="4"/>
  <c r="T184" i="4"/>
  <c r="S184" i="4"/>
  <c r="R184" i="4"/>
  <c r="O184" i="4"/>
  <c r="N184" i="4"/>
  <c r="L184" i="4"/>
  <c r="K184" i="4"/>
  <c r="J184" i="4"/>
  <c r="I184" i="4"/>
  <c r="E184" i="4"/>
  <c r="AJ183" i="4"/>
  <c r="AH183" i="4"/>
  <c r="AI183" i="4" s="1"/>
  <c r="AD183" i="4"/>
  <c r="AC183" i="4"/>
  <c r="X183" i="4"/>
  <c r="Y183" i="4" s="1"/>
  <c r="W183" i="4"/>
  <c r="T183" i="4"/>
  <c r="S183" i="4"/>
  <c r="R183" i="4"/>
  <c r="O183" i="4"/>
  <c r="N183" i="4"/>
  <c r="L183" i="4"/>
  <c r="K183" i="4"/>
  <c r="J183" i="4"/>
  <c r="I183" i="4"/>
  <c r="E183" i="4"/>
  <c r="AJ182" i="4"/>
  <c r="AH182" i="4"/>
  <c r="AI182" i="4" s="1"/>
  <c r="AD182" i="4"/>
  <c r="AC182" i="4"/>
  <c r="X182" i="4"/>
  <c r="Y182" i="4" s="1"/>
  <c r="W182" i="4"/>
  <c r="T182" i="4"/>
  <c r="S182" i="4"/>
  <c r="R182" i="4"/>
  <c r="O182" i="4"/>
  <c r="N182" i="4"/>
  <c r="L182" i="4"/>
  <c r="K182" i="4"/>
  <c r="J182" i="4"/>
  <c r="I182" i="4"/>
  <c r="E182" i="4"/>
  <c r="AJ181" i="4"/>
  <c r="AH181" i="4"/>
  <c r="AI181" i="4" s="1"/>
  <c r="AC181" i="4"/>
  <c r="X181" i="4"/>
  <c r="Y181" i="4" s="1"/>
  <c r="W181" i="4"/>
  <c r="T181" i="4"/>
  <c r="S181" i="4"/>
  <c r="R181" i="4"/>
  <c r="O181" i="4"/>
  <c r="N181" i="4"/>
  <c r="L181" i="4"/>
  <c r="K181" i="4"/>
  <c r="I181" i="4"/>
  <c r="E181" i="4"/>
  <c r="AJ180" i="4"/>
  <c r="AH180" i="4"/>
  <c r="AI180" i="4" s="1"/>
  <c r="AD180" i="4"/>
  <c r="AC180" i="4"/>
  <c r="X180" i="4"/>
  <c r="Y180" i="4" s="1"/>
  <c r="W180" i="4"/>
  <c r="T180" i="4"/>
  <c r="S180" i="4"/>
  <c r="R180" i="4"/>
  <c r="O180" i="4"/>
  <c r="N180" i="4"/>
  <c r="L180" i="4"/>
  <c r="K180" i="4"/>
  <c r="J180" i="4"/>
  <c r="I180" i="4"/>
  <c r="E180" i="4"/>
  <c r="AJ179" i="4"/>
  <c r="AH179" i="4"/>
  <c r="AI179" i="4" s="1"/>
  <c r="AD179" i="4"/>
  <c r="AC179" i="4"/>
  <c r="X179" i="4"/>
  <c r="Y179" i="4" s="1"/>
  <c r="W179" i="4"/>
  <c r="T179" i="4"/>
  <c r="S179" i="4"/>
  <c r="R179" i="4"/>
  <c r="O179" i="4"/>
  <c r="N179" i="4"/>
  <c r="L179" i="4"/>
  <c r="K179" i="4"/>
  <c r="J179" i="4"/>
  <c r="I179" i="4"/>
  <c r="E179" i="4"/>
  <c r="AJ178" i="4"/>
  <c r="AH178" i="4"/>
  <c r="AI178" i="4" s="1"/>
  <c r="AD178" i="4"/>
  <c r="AC178" i="4"/>
  <c r="X178" i="4"/>
  <c r="Y178" i="4" s="1"/>
  <c r="W178" i="4"/>
  <c r="T178" i="4"/>
  <c r="S178" i="4"/>
  <c r="R178" i="4"/>
  <c r="O178" i="4"/>
  <c r="N178" i="4"/>
  <c r="L178" i="4"/>
  <c r="K178" i="4"/>
  <c r="J178" i="4"/>
  <c r="I178" i="4"/>
  <c r="E178" i="4"/>
  <c r="AJ177" i="4"/>
  <c r="AH177" i="4"/>
  <c r="AI177" i="4" s="1"/>
  <c r="AC177" i="4"/>
  <c r="X177" i="4"/>
  <c r="Y177" i="4" s="1"/>
  <c r="W177" i="4"/>
  <c r="T177" i="4"/>
  <c r="S177" i="4"/>
  <c r="R177" i="4"/>
  <c r="O177" i="4"/>
  <c r="N177" i="4"/>
  <c r="L177" i="4"/>
  <c r="K177" i="4"/>
  <c r="I177" i="4"/>
  <c r="E177" i="4"/>
  <c r="AJ176" i="4"/>
  <c r="AH176" i="4"/>
  <c r="AI176" i="4" s="1"/>
  <c r="AD176" i="4"/>
  <c r="AC176" i="4"/>
  <c r="X176" i="4"/>
  <c r="Y176" i="4" s="1"/>
  <c r="W176" i="4"/>
  <c r="T176" i="4"/>
  <c r="S176" i="4"/>
  <c r="R176" i="4"/>
  <c r="O176" i="4"/>
  <c r="N176" i="4"/>
  <c r="L176" i="4"/>
  <c r="K176" i="4"/>
  <c r="J176" i="4"/>
  <c r="I176" i="4"/>
  <c r="E176" i="4"/>
  <c r="AJ175" i="4"/>
  <c r="AH175" i="4"/>
  <c r="AI175" i="4" s="1"/>
  <c r="AD175" i="4"/>
  <c r="AC175" i="4"/>
  <c r="X175" i="4"/>
  <c r="Y175" i="4" s="1"/>
  <c r="W175" i="4"/>
  <c r="T175" i="4"/>
  <c r="S175" i="4"/>
  <c r="R175" i="4"/>
  <c r="O175" i="4"/>
  <c r="N175" i="4"/>
  <c r="L175" i="4"/>
  <c r="K175" i="4"/>
  <c r="J175" i="4"/>
  <c r="I175" i="4"/>
  <c r="E175" i="4"/>
  <c r="AJ174" i="4"/>
  <c r="AH174" i="4"/>
  <c r="AI174" i="4" s="1"/>
  <c r="AD174" i="4"/>
  <c r="AC174" i="4"/>
  <c r="X174" i="4"/>
  <c r="Y174" i="4" s="1"/>
  <c r="W174" i="4"/>
  <c r="T174" i="4"/>
  <c r="S174" i="4"/>
  <c r="R174" i="4"/>
  <c r="O174" i="4"/>
  <c r="N174" i="4"/>
  <c r="L174" i="4"/>
  <c r="K174" i="4"/>
  <c r="J174" i="4"/>
  <c r="I174" i="4"/>
  <c r="E174" i="4"/>
  <c r="AJ173" i="4"/>
  <c r="AH173" i="4"/>
  <c r="AI173" i="4" s="1"/>
  <c r="AC173" i="4"/>
  <c r="X173" i="4"/>
  <c r="Y173" i="4" s="1"/>
  <c r="W173" i="4"/>
  <c r="T173" i="4"/>
  <c r="S173" i="4"/>
  <c r="R173" i="4"/>
  <c r="O173" i="4"/>
  <c r="N173" i="4"/>
  <c r="L173" i="4"/>
  <c r="K173" i="4"/>
  <c r="I173" i="4"/>
  <c r="E173" i="4"/>
  <c r="AJ172" i="4"/>
  <c r="AH172" i="4"/>
  <c r="AI172" i="4" s="1"/>
  <c r="AD172" i="4"/>
  <c r="AC172" i="4"/>
  <c r="X172" i="4"/>
  <c r="Y172" i="4" s="1"/>
  <c r="W172" i="4"/>
  <c r="T172" i="4"/>
  <c r="S172" i="4"/>
  <c r="R172" i="4"/>
  <c r="O172" i="4"/>
  <c r="N172" i="4"/>
  <c r="L172" i="4"/>
  <c r="K172" i="4"/>
  <c r="J172" i="4"/>
  <c r="I172" i="4"/>
  <c r="E172" i="4"/>
  <c r="AJ171" i="4"/>
  <c r="AH171" i="4"/>
  <c r="AI171" i="4" s="1"/>
  <c r="AD171" i="4"/>
  <c r="AC171" i="4"/>
  <c r="X171" i="4"/>
  <c r="Y171" i="4" s="1"/>
  <c r="W171" i="4"/>
  <c r="T171" i="4"/>
  <c r="S171" i="4"/>
  <c r="R171" i="4"/>
  <c r="O171" i="4"/>
  <c r="N171" i="4"/>
  <c r="L171" i="4"/>
  <c r="K171" i="4"/>
  <c r="J171" i="4"/>
  <c r="I171" i="4"/>
  <c r="E171" i="4"/>
  <c r="AJ170" i="4"/>
  <c r="AH170" i="4"/>
  <c r="AI170" i="4" s="1"/>
  <c r="AD170" i="4"/>
  <c r="AC170" i="4"/>
  <c r="X170" i="4"/>
  <c r="Y170" i="4" s="1"/>
  <c r="W170" i="4"/>
  <c r="T170" i="4"/>
  <c r="S170" i="4"/>
  <c r="R170" i="4"/>
  <c r="O170" i="4"/>
  <c r="N170" i="4"/>
  <c r="L170" i="4"/>
  <c r="K170" i="4"/>
  <c r="J170" i="4"/>
  <c r="I170" i="4"/>
  <c r="E170" i="4"/>
  <c r="AJ169" i="4"/>
  <c r="AH169" i="4"/>
  <c r="AI169" i="4" s="1"/>
  <c r="AC169" i="4"/>
  <c r="X169" i="4"/>
  <c r="Y169" i="4" s="1"/>
  <c r="W169" i="4"/>
  <c r="T169" i="4"/>
  <c r="S169" i="4"/>
  <c r="R169" i="4"/>
  <c r="O169" i="4"/>
  <c r="N169" i="4"/>
  <c r="L169" i="4"/>
  <c r="K169" i="4"/>
  <c r="I169" i="4"/>
  <c r="E169" i="4"/>
  <c r="AJ168" i="4"/>
  <c r="AH168" i="4"/>
  <c r="AI168" i="4" s="1"/>
  <c r="AD168" i="4"/>
  <c r="AC168" i="4"/>
  <c r="X168" i="4"/>
  <c r="Y168" i="4" s="1"/>
  <c r="W168" i="4"/>
  <c r="T168" i="4"/>
  <c r="S168" i="4"/>
  <c r="R168" i="4"/>
  <c r="O168" i="4"/>
  <c r="N168" i="4"/>
  <c r="L168" i="4"/>
  <c r="K168" i="4"/>
  <c r="J168" i="4"/>
  <c r="I168" i="4"/>
  <c r="E168" i="4"/>
  <c r="AJ167" i="4"/>
  <c r="AH167" i="4"/>
  <c r="AI167" i="4" s="1"/>
  <c r="AD167" i="4"/>
  <c r="AC167" i="4"/>
  <c r="X167" i="4"/>
  <c r="Y167" i="4" s="1"/>
  <c r="W167" i="4"/>
  <c r="T167" i="4"/>
  <c r="S167" i="4"/>
  <c r="R167" i="4"/>
  <c r="O167" i="4"/>
  <c r="N167" i="4"/>
  <c r="L167" i="4"/>
  <c r="K167" i="4"/>
  <c r="J167" i="4"/>
  <c r="I167" i="4"/>
  <c r="E167" i="4"/>
  <c r="AJ166" i="4"/>
  <c r="AH166" i="4"/>
  <c r="AI166" i="4" s="1"/>
  <c r="AD166" i="4"/>
  <c r="AC166" i="4"/>
  <c r="X166" i="4"/>
  <c r="Y166" i="4" s="1"/>
  <c r="W166" i="4"/>
  <c r="T166" i="4"/>
  <c r="S166" i="4"/>
  <c r="R166" i="4"/>
  <c r="O166" i="4"/>
  <c r="N166" i="4"/>
  <c r="L166" i="4"/>
  <c r="K166" i="4"/>
  <c r="J166" i="4"/>
  <c r="I166" i="4"/>
  <c r="E166" i="4"/>
  <c r="AJ165" i="4"/>
  <c r="AH165" i="4"/>
  <c r="AI165" i="4" s="1"/>
  <c r="AC165" i="4"/>
  <c r="X165" i="4"/>
  <c r="Y165" i="4" s="1"/>
  <c r="W165" i="4"/>
  <c r="T165" i="4"/>
  <c r="S165" i="4"/>
  <c r="R165" i="4"/>
  <c r="O165" i="4"/>
  <c r="N165" i="4"/>
  <c r="L165" i="4"/>
  <c r="K165" i="4"/>
  <c r="I165" i="4"/>
  <c r="E165" i="4"/>
  <c r="AJ164" i="4"/>
  <c r="AH164" i="4"/>
  <c r="AI164" i="4" s="1"/>
  <c r="AD164" i="4"/>
  <c r="AC164" i="4"/>
  <c r="X164" i="4"/>
  <c r="Y164" i="4" s="1"/>
  <c r="W164" i="4"/>
  <c r="T164" i="4"/>
  <c r="S164" i="4"/>
  <c r="R164" i="4"/>
  <c r="O164" i="4"/>
  <c r="N164" i="4"/>
  <c r="L164" i="4"/>
  <c r="K164" i="4"/>
  <c r="J164" i="4"/>
  <c r="I164" i="4"/>
  <c r="E164" i="4"/>
  <c r="AJ163" i="4"/>
  <c r="AH163" i="4"/>
  <c r="AI163" i="4" s="1"/>
  <c r="AD163" i="4"/>
  <c r="AC163" i="4"/>
  <c r="X163" i="4"/>
  <c r="Y163" i="4" s="1"/>
  <c r="W163" i="4"/>
  <c r="T163" i="4"/>
  <c r="S163" i="4"/>
  <c r="R163" i="4"/>
  <c r="O163" i="4"/>
  <c r="N163" i="4"/>
  <c r="L163" i="4"/>
  <c r="K163" i="4"/>
  <c r="J163" i="4"/>
  <c r="I163" i="4"/>
  <c r="E163" i="4"/>
  <c r="AJ162" i="4"/>
  <c r="AH162" i="4"/>
  <c r="AI162" i="4" s="1"/>
  <c r="AD162" i="4"/>
  <c r="AC162" i="4"/>
  <c r="X162" i="4"/>
  <c r="Y162" i="4" s="1"/>
  <c r="W162" i="4"/>
  <c r="T162" i="4"/>
  <c r="S162" i="4"/>
  <c r="R162" i="4"/>
  <c r="O162" i="4"/>
  <c r="N162" i="4"/>
  <c r="L162" i="4"/>
  <c r="K162" i="4"/>
  <c r="J162" i="4"/>
  <c r="I162" i="4"/>
  <c r="E162" i="4"/>
  <c r="AJ161" i="4"/>
  <c r="AH161" i="4"/>
  <c r="AI161" i="4" s="1"/>
  <c r="AC161" i="4"/>
  <c r="X161" i="4"/>
  <c r="Y161" i="4" s="1"/>
  <c r="W161" i="4"/>
  <c r="T161" i="4"/>
  <c r="S161" i="4"/>
  <c r="R161" i="4"/>
  <c r="O161" i="4"/>
  <c r="N161" i="4"/>
  <c r="L161" i="4"/>
  <c r="K161" i="4"/>
  <c r="I161" i="4"/>
  <c r="E161" i="4"/>
  <c r="AJ160" i="4"/>
  <c r="AH160" i="4"/>
  <c r="AI160" i="4" s="1"/>
  <c r="AD160" i="4"/>
  <c r="AC160" i="4"/>
  <c r="X160" i="4"/>
  <c r="Y160" i="4" s="1"/>
  <c r="W160" i="4"/>
  <c r="T160" i="4"/>
  <c r="S160" i="4"/>
  <c r="R160" i="4"/>
  <c r="O160" i="4"/>
  <c r="N160" i="4"/>
  <c r="L160" i="4"/>
  <c r="K160" i="4"/>
  <c r="J160" i="4"/>
  <c r="I160" i="4"/>
  <c r="E160" i="4"/>
  <c r="AJ159" i="4"/>
  <c r="AH159" i="4"/>
  <c r="AI159" i="4" s="1"/>
  <c r="AD159" i="4"/>
  <c r="AC159" i="4"/>
  <c r="X159" i="4"/>
  <c r="Y159" i="4" s="1"/>
  <c r="W159" i="4"/>
  <c r="T159" i="4"/>
  <c r="S159" i="4"/>
  <c r="R159" i="4"/>
  <c r="O159" i="4"/>
  <c r="N159" i="4"/>
  <c r="L159" i="4"/>
  <c r="K159" i="4"/>
  <c r="J159" i="4"/>
  <c r="I159" i="4"/>
  <c r="E159" i="4"/>
  <c r="AJ158" i="4"/>
  <c r="AH158" i="4"/>
  <c r="AI158" i="4" s="1"/>
  <c r="AD158" i="4"/>
  <c r="AC158" i="4"/>
  <c r="X158" i="4"/>
  <c r="Y158" i="4" s="1"/>
  <c r="W158" i="4"/>
  <c r="T158" i="4"/>
  <c r="S158" i="4"/>
  <c r="R158" i="4"/>
  <c r="O158" i="4"/>
  <c r="N158" i="4"/>
  <c r="L158" i="4"/>
  <c r="K158" i="4"/>
  <c r="J158" i="4"/>
  <c r="I158" i="4"/>
  <c r="E158" i="4"/>
  <c r="AJ157" i="4"/>
  <c r="AH157" i="4"/>
  <c r="AI157" i="4" s="1"/>
  <c r="AC157" i="4"/>
  <c r="X157" i="4"/>
  <c r="Y157" i="4" s="1"/>
  <c r="W157" i="4"/>
  <c r="T157" i="4"/>
  <c r="S157" i="4"/>
  <c r="R157" i="4"/>
  <c r="O157" i="4"/>
  <c r="N157" i="4"/>
  <c r="L157" i="4"/>
  <c r="K157" i="4"/>
  <c r="I157" i="4"/>
  <c r="E157" i="4"/>
  <c r="AJ156" i="4"/>
  <c r="AH156" i="4"/>
  <c r="AI156" i="4" s="1"/>
  <c r="AC156" i="4"/>
  <c r="X156" i="4"/>
  <c r="Y156" i="4" s="1"/>
  <c r="W156" i="4"/>
  <c r="T156" i="4"/>
  <c r="S156" i="4"/>
  <c r="R156" i="4"/>
  <c r="O156" i="4"/>
  <c r="N156" i="4"/>
  <c r="L156" i="4"/>
  <c r="K156" i="4"/>
  <c r="I156" i="4"/>
  <c r="AD156" i="4" s="1"/>
  <c r="E156" i="4"/>
  <c r="AJ155" i="4"/>
  <c r="AH155" i="4"/>
  <c r="AI155" i="4" s="1"/>
  <c r="AD155" i="4"/>
  <c r="AC155" i="4"/>
  <c r="X155" i="4"/>
  <c r="Y155" i="4" s="1"/>
  <c r="W155" i="4"/>
  <c r="T155" i="4"/>
  <c r="S155" i="4"/>
  <c r="R155" i="4"/>
  <c r="O155" i="4"/>
  <c r="N155" i="4"/>
  <c r="L155" i="4"/>
  <c r="K155" i="4"/>
  <c r="J155" i="4"/>
  <c r="I155" i="4"/>
  <c r="E155" i="4"/>
  <c r="AJ154" i="4"/>
  <c r="AH154" i="4"/>
  <c r="AI154" i="4" s="1"/>
  <c r="AD154" i="4"/>
  <c r="AC154" i="4"/>
  <c r="X154" i="4"/>
  <c r="Y154" i="4" s="1"/>
  <c r="W154" i="4"/>
  <c r="T154" i="4"/>
  <c r="S154" i="4"/>
  <c r="R154" i="4"/>
  <c r="O154" i="4"/>
  <c r="N154" i="4"/>
  <c r="L154" i="4"/>
  <c r="K154" i="4"/>
  <c r="J154" i="4"/>
  <c r="I154" i="4"/>
  <c r="E154" i="4"/>
  <c r="AJ153" i="4"/>
  <c r="AH153" i="4"/>
  <c r="AI153" i="4" s="1"/>
  <c r="AC153" i="4"/>
  <c r="X153" i="4"/>
  <c r="Y153" i="4" s="1"/>
  <c r="W153" i="4"/>
  <c r="T153" i="4"/>
  <c r="S153" i="4"/>
  <c r="R153" i="4"/>
  <c r="O153" i="4"/>
  <c r="N153" i="4"/>
  <c r="L153" i="4"/>
  <c r="K153" i="4"/>
  <c r="I153" i="4"/>
  <c r="E153" i="4"/>
  <c r="AJ152" i="4"/>
  <c r="AH152" i="4"/>
  <c r="AI152" i="4" s="1"/>
  <c r="AC152" i="4"/>
  <c r="X152" i="4"/>
  <c r="Y152" i="4" s="1"/>
  <c r="W152" i="4"/>
  <c r="T152" i="4"/>
  <c r="S152" i="4"/>
  <c r="R152" i="4"/>
  <c r="O152" i="4"/>
  <c r="N152" i="4"/>
  <c r="L152" i="4"/>
  <c r="K152" i="4"/>
  <c r="I152" i="4"/>
  <c r="AD152" i="4" s="1"/>
  <c r="E152" i="4"/>
  <c r="AJ151" i="4"/>
  <c r="AH151" i="4"/>
  <c r="AI151" i="4" s="1"/>
  <c r="AD151" i="4"/>
  <c r="AC151" i="4"/>
  <c r="X151" i="4"/>
  <c r="Y151" i="4" s="1"/>
  <c r="W151" i="4"/>
  <c r="T151" i="4"/>
  <c r="S151" i="4"/>
  <c r="R151" i="4"/>
  <c r="O151" i="4"/>
  <c r="N151" i="4"/>
  <c r="L151" i="4"/>
  <c r="K151" i="4"/>
  <c r="J151" i="4"/>
  <c r="I151" i="4"/>
  <c r="E151" i="4"/>
  <c r="AJ150" i="4"/>
  <c r="AH150" i="4"/>
  <c r="AI150" i="4" s="1"/>
  <c r="AD150" i="4"/>
  <c r="AC150" i="4"/>
  <c r="X150" i="4"/>
  <c r="Y150" i="4" s="1"/>
  <c r="W150" i="4"/>
  <c r="T150" i="4"/>
  <c r="S150" i="4"/>
  <c r="R150" i="4"/>
  <c r="O150" i="4"/>
  <c r="N150" i="4"/>
  <c r="L150" i="4"/>
  <c r="K150" i="4"/>
  <c r="J150" i="4"/>
  <c r="I150" i="4"/>
  <c r="E150" i="4"/>
  <c r="AJ149" i="4"/>
  <c r="AH149" i="4"/>
  <c r="AI149" i="4" s="1"/>
  <c r="AC149" i="4"/>
  <c r="X149" i="4"/>
  <c r="Y149" i="4" s="1"/>
  <c r="W149" i="4"/>
  <c r="T149" i="4"/>
  <c r="S149" i="4"/>
  <c r="R149" i="4"/>
  <c r="O149" i="4"/>
  <c r="N149" i="4"/>
  <c r="L149" i="4"/>
  <c r="K149" i="4"/>
  <c r="I149" i="4"/>
  <c r="E149" i="4"/>
  <c r="AJ148" i="4"/>
  <c r="AH148" i="4"/>
  <c r="AI148" i="4" s="1"/>
  <c r="AC148" i="4"/>
  <c r="X148" i="4"/>
  <c r="Y148" i="4" s="1"/>
  <c r="W148" i="4"/>
  <c r="T148" i="4"/>
  <c r="S148" i="4"/>
  <c r="R148" i="4"/>
  <c r="O148" i="4"/>
  <c r="N148" i="4"/>
  <c r="L148" i="4"/>
  <c r="K148" i="4"/>
  <c r="I148" i="4"/>
  <c r="AD148" i="4" s="1"/>
  <c r="E148" i="4"/>
  <c r="AJ147" i="4"/>
  <c r="AH147" i="4"/>
  <c r="AI147" i="4" s="1"/>
  <c r="AD147" i="4"/>
  <c r="AC147" i="4"/>
  <c r="X147" i="4"/>
  <c r="Y147" i="4" s="1"/>
  <c r="W147" i="4"/>
  <c r="T147" i="4"/>
  <c r="S147" i="4"/>
  <c r="R147" i="4"/>
  <c r="O147" i="4"/>
  <c r="N147" i="4"/>
  <c r="L147" i="4"/>
  <c r="K147" i="4"/>
  <c r="J147" i="4"/>
  <c r="I147" i="4"/>
  <c r="E147" i="4"/>
  <c r="AJ146" i="4"/>
  <c r="AH146" i="4"/>
  <c r="AI146" i="4" s="1"/>
  <c r="AD146" i="4"/>
  <c r="AC146" i="4"/>
  <c r="X146" i="4"/>
  <c r="Y146" i="4" s="1"/>
  <c r="W146" i="4"/>
  <c r="T146" i="4"/>
  <c r="S146" i="4"/>
  <c r="R146" i="4"/>
  <c r="O146" i="4"/>
  <c r="N146" i="4"/>
  <c r="L146" i="4"/>
  <c r="K146" i="4"/>
  <c r="J146" i="4"/>
  <c r="I146" i="4"/>
  <c r="E146" i="4"/>
  <c r="AJ145" i="4"/>
  <c r="AH145" i="4"/>
  <c r="AI145" i="4" s="1"/>
  <c r="AC145" i="4"/>
  <c r="X145" i="4"/>
  <c r="Y145" i="4" s="1"/>
  <c r="W145" i="4"/>
  <c r="T145" i="4"/>
  <c r="S145" i="4"/>
  <c r="R145" i="4"/>
  <c r="O145" i="4"/>
  <c r="N145" i="4"/>
  <c r="L145" i="4"/>
  <c r="K145" i="4"/>
  <c r="I145" i="4"/>
  <c r="E145" i="4"/>
  <c r="AJ144" i="4"/>
  <c r="AH144" i="4"/>
  <c r="AI144" i="4" s="1"/>
  <c r="AC144" i="4"/>
  <c r="X144" i="4"/>
  <c r="Y144" i="4" s="1"/>
  <c r="W144" i="4"/>
  <c r="T144" i="4"/>
  <c r="S144" i="4"/>
  <c r="R144" i="4"/>
  <c r="O144" i="4"/>
  <c r="N144" i="4"/>
  <c r="L144" i="4"/>
  <c r="K144" i="4"/>
  <c r="J144" i="4"/>
  <c r="I144" i="4"/>
  <c r="AD144" i="4" s="1"/>
  <c r="E144" i="4"/>
  <c r="AJ143" i="4"/>
  <c r="AH143" i="4"/>
  <c r="AI143" i="4" s="1"/>
  <c r="AD143" i="4"/>
  <c r="AC143" i="4"/>
  <c r="X143" i="4"/>
  <c r="Y143" i="4" s="1"/>
  <c r="W143" i="4"/>
  <c r="T143" i="4"/>
  <c r="S143" i="4"/>
  <c r="R143" i="4"/>
  <c r="O143" i="4"/>
  <c r="N143" i="4"/>
  <c r="L143" i="4"/>
  <c r="K143" i="4"/>
  <c r="J143" i="4"/>
  <c r="I143" i="4"/>
  <c r="E143" i="4"/>
  <c r="AJ142" i="4"/>
  <c r="AH142" i="4"/>
  <c r="AI142" i="4" s="1"/>
  <c r="AD142" i="4"/>
  <c r="AC142" i="4"/>
  <c r="X142" i="4"/>
  <c r="Y142" i="4" s="1"/>
  <c r="W142" i="4"/>
  <c r="T142" i="4"/>
  <c r="S142" i="4"/>
  <c r="R142" i="4"/>
  <c r="O142" i="4"/>
  <c r="N142" i="4"/>
  <c r="L142" i="4"/>
  <c r="K142" i="4"/>
  <c r="J142" i="4"/>
  <c r="I142" i="4"/>
  <c r="E142" i="4"/>
  <c r="AJ141" i="4"/>
  <c r="AH141" i="4"/>
  <c r="AI141" i="4" s="1"/>
  <c r="AC141" i="4"/>
  <c r="X141" i="4"/>
  <c r="Y141" i="4" s="1"/>
  <c r="W141" i="4"/>
  <c r="T141" i="4"/>
  <c r="S141" i="4"/>
  <c r="R141" i="4"/>
  <c r="O141" i="4"/>
  <c r="N141" i="4"/>
  <c r="L141" i="4"/>
  <c r="K141" i="4"/>
  <c r="I141" i="4"/>
  <c r="E141" i="4"/>
  <c r="AJ140" i="4"/>
  <c r="AH140" i="4"/>
  <c r="AI140" i="4" s="1"/>
  <c r="AC140" i="4"/>
  <c r="X140" i="4"/>
  <c r="Y140" i="4" s="1"/>
  <c r="W140" i="4"/>
  <c r="T140" i="4"/>
  <c r="S140" i="4"/>
  <c r="R140" i="4"/>
  <c r="O140" i="4"/>
  <c r="N140" i="4"/>
  <c r="L140" i="4"/>
  <c r="K140" i="4"/>
  <c r="J140" i="4"/>
  <c r="I140" i="4"/>
  <c r="AD140" i="4" s="1"/>
  <c r="E140" i="4"/>
  <c r="AJ139" i="4"/>
  <c r="AH139" i="4"/>
  <c r="AI139" i="4" s="1"/>
  <c r="AC139" i="4"/>
  <c r="X139" i="4"/>
  <c r="Y139" i="4" s="1"/>
  <c r="W139" i="4"/>
  <c r="T139" i="4"/>
  <c r="S139" i="4"/>
  <c r="R139" i="4"/>
  <c r="O139" i="4"/>
  <c r="N139" i="4"/>
  <c r="L139" i="4"/>
  <c r="K139" i="4"/>
  <c r="I139" i="4"/>
  <c r="AD139" i="4" s="1"/>
  <c r="E139" i="4"/>
  <c r="AJ138" i="4"/>
  <c r="AH138" i="4"/>
  <c r="AI138" i="4" s="1"/>
  <c r="AD138" i="4"/>
  <c r="AC138" i="4"/>
  <c r="X138" i="4"/>
  <c r="Y138" i="4" s="1"/>
  <c r="W138" i="4"/>
  <c r="T138" i="4"/>
  <c r="S138" i="4"/>
  <c r="R138" i="4"/>
  <c r="O138" i="4"/>
  <c r="N138" i="4"/>
  <c r="L138" i="4"/>
  <c r="K138" i="4"/>
  <c r="J138" i="4"/>
  <c r="I138" i="4"/>
  <c r="E138" i="4"/>
  <c r="AJ137" i="4"/>
  <c r="AH137" i="4"/>
  <c r="AI137" i="4" s="1"/>
  <c r="AC137" i="4"/>
  <c r="X137" i="4"/>
  <c r="Y137" i="4" s="1"/>
  <c r="W137" i="4"/>
  <c r="T137" i="4"/>
  <c r="S137" i="4"/>
  <c r="R137" i="4"/>
  <c r="O137" i="4"/>
  <c r="N137" i="4"/>
  <c r="L137" i="4"/>
  <c r="K137" i="4"/>
  <c r="I137" i="4"/>
  <c r="E137" i="4"/>
  <c r="AJ136" i="4"/>
  <c r="AH136" i="4"/>
  <c r="AI136" i="4" s="1"/>
  <c r="AC136" i="4"/>
  <c r="X136" i="4"/>
  <c r="Y136" i="4" s="1"/>
  <c r="W136" i="4"/>
  <c r="T136" i="4"/>
  <c r="S136" i="4"/>
  <c r="R136" i="4"/>
  <c r="O136" i="4"/>
  <c r="N136" i="4"/>
  <c r="L136" i="4"/>
  <c r="K136" i="4"/>
  <c r="I136" i="4"/>
  <c r="J136" i="4" s="1"/>
  <c r="E136" i="4"/>
  <c r="AJ135" i="4"/>
  <c r="AH135" i="4"/>
  <c r="AI135" i="4" s="1"/>
  <c r="AC135" i="4"/>
  <c r="X135" i="4"/>
  <c r="Y135" i="4" s="1"/>
  <c r="W135" i="4"/>
  <c r="T135" i="4"/>
  <c r="S135" i="4"/>
  <c r="R135" i="4"/>
  <c r="O135" i="4"/>
  <c r="N135" i="4"/>
  <c r="L135" i="4"/>
  <c r="K135" i="4"/>
  <c r="I135" i="4"/>
  <c r="AD135" i="4" s="1"/>
  <c r="E135" i="4"/>
  <c r="AJ134" i="4"/>
  <c r="AH134" i="4"/>
  <c r="AI134" i="4" s="1"/>
  <c r="AD134" i="4"/>
  <c r="AC134" i="4"/>
  <c r="X134" i="4"/>
  <c r="Y134" i="4" s="1"/>
  <c r="W134" i="4"/>
  <c r="T134" i="4"/>
  <c r="S134" i="4"/>
  <c r="R134" i="4"/>
  <c r="O134" i="4"/>
  <c r="N134" i="4"/>
  <c r="L134" i="4"/>
  <c r="K134" i="4"/>
  <c r="J134" i="4"/>
  <c r="I134" i="4"/>
  <c r="E134" i="4"/>
  <c r="AJ133" i="4"/>
  <c r="AH133" i="4"/>
  <c r="AI133" i="4" s="1"/>
  <c r="AC133" i="4"/>
  <c r="X133" i="4"/>
  <c r="Y133" i="4" s="1"/>
  <c r="W133" i="4"/>
  <c r="T133" i="4"/>
  <c r="S133" i="4"/>
  <c r="R133" i="4"/>
  <c r="O133" i="4"/>
  <c r="N133" i="4"/>
  <c r="L133" i="4"/>
  <c r="K133" i="4"/>
  <c r="I133" i="4"/>
  <c r="E133" i="4"/>
  <c r="AJ132" i="4"/>
  <c r="AH132" i="4"/>
  <c r="AI132" i="4" s="1"/>
  <c r="AC132" i="4"/>
  <c r="X132" i="4"/>
  <c r="Y132" i="4" s="1"/>
  <c r="W132" i="4"/>
  <c r="T132" i="4"/>
  <c r="S132" i="4"/>
  <c r="R132" i="4"/>
  <c r="O132" i="4"/>
  <c r="N132" i="4"/>
  <c r="L132" i="4"/>
  <c r="K132" i="4"/>
  <c r="I132" i="4"/>
  <c r="AD132" i="4" s="1"/>
  <c r="E132" i="4"/>
  <c r="AJ131" i="4"/>
  <c r="AH131" i="4"/>
  <c r="AI131" i="4" s="1"/>
  <c r="AD131" i="4"/>
  <c r="AC131" i="4"/>
  <c r="X131" i="4"/>
  <c r="Y131" i="4" s="1"/>
  <c r="W131" i="4"/>
  <c r="T131" i="4"/>
  <c r="S131" i="4"/>
  <c r="R131" i="4"/>
  <c r="O131" i="4"/>
  <c r="N131" i="4"/>
  <c r="L131" i="4"/>
  <c r="K131" i="4"/>
  <c r="J131" i="4"/>
  <c r="I131" i="4"/>
  <c r="E131" i="4"/>
  <c r="AJ130" i="4"/>
  <c r="AH130" i="4"/>
  <c r="AI130" i="4" s="1"/>
  <c r="AD130" i="4"/>
  <c r="AC130" i="4"/>
  <c r="X130" i="4"/>
  <c r="Y130" i="4" s="1"/>
  <c r="W130" i="4"/>
  <c r="T130" i="4"/>
  <c r="S130" i="4"/>
  <c r="R130" i="4"/>
  <c r="O130" i="4"/>
  <c r="N130" i="4"/>
  <c r="L130" i="4"/>
  <c r="K130" i="4"/>
  <c r="J130" i="4"/>
  <c r="I130" i="4"/>
  <c r="E130" i="4"/>
  <c r="AJ129" i="4"/>
  <c r="AH129" i="4"/>
  <c r="AI129" i="4" s="1"/>
  <c r="AC129" i="4"/>
  <c r="X129" i="4"/>
  <c r="Y129" i="4" s="1"/>
  <c r="W129" i="4"/>
  <c r="T129" i="4"/>
  <c r="S129" i="4"/>
  <c r="R129" i="4"/>
  <c r="O129" i="4"/>
  <c r="N129" i="4"/>
  <c r="L129" i="4"/>
  <c r="K129" i="4"/>
  <c r="I129" i="4"/>
  <c r="AD129" i="4" s="1"/>
  <c r="E129" i="4"/>
  <c r="AJ128" i="4"/>
  <c r="AH128" i="4"/>
  <c r="AI128" i="4" s="1"/>
  <c r="AC128" i="4"/>
  <c r="X128" i="4"/>
  <c r="Y128" i="4" s="1"/>
  <c r="W128" i="4"/>
  <c r="T128" i="4"/>
  <c r="S128" i="4"/>
  <c r="R128" i="4"/>
  <c r="O128" i="4"/>
  <c r="N128" i="4"/>
  <c r="L128" i="4"/>
  <c r="K128" i="4"/>
  <c r="I128" i="4"/>
  <c r="AD128" i="4" s="1"/>
  <c r="E128" i="4"/>
  <c r="AJ127" i="4"/>
  <c r="AH127" i="4"/>
  <c r="AI127" i="4" s="1"/>
  <c r="AD127" i="4"/>
  <c r="AC127" i="4"/>
  <c r="X127" i="4"/>
  <c r="Y127" i="4" s="1"/>
  <c r="W127" i="4"/>
  <c r="T127" i="4"/>
  <c r="S127" i="4"/>
  <c r="R127" i="4"/>
  <c r="O127" i="4"/>
  <c r="N127" i="4"/>
  <c r="L127" i="4"/>
  <c r="K127" i="4"/>
  <c r="J127" i="4"/>
  <c r="I127" i="4"/>
  <c r="E127" i="4"/>
  <c r="AJ126" i="4"/>
  <c r="AH126" i="4"/>
  <c r="AI126" i="4" s="1"/>
  <c r="AD126" i="4"/>
  <c r="AC126" i="4"/>
  <c r="X126" i="4"/>
  <c r="Y126" i="4" s="1"/>
  <c r="W126" i="4"/>
  <c r="T126" i="4"/>
  <c r="S126" i="4"/>
  <c r="R126" i="4"/>
  <c r="O126" i="4"/>
  <c r="N126" i="4"/>
  <c r="L126" i="4"/>
  <c r="K126" i="4"/>
  <c r="J126" i="4"/>
  <c r="I126" i="4"/>
  <c r="E126" i="4"/>
  <c r="AJ125" i="4"/>
  <c r="AH125" i="4"/>
  <c r="AI125" i="4" s="1"/>
  <c r="AC125" i="4"/>
  <c r="X125" i="4"/>
  <c r="Y125" i="4" s="1"/>
  <c r="W125" i="4"/>
  <c r="T125" i="4"/>
  <c r="S125" i="4"/>
  <c r="R125" i="4"/>
  <c r="O125" i="4"/>
  <c r="N125" i="4"/>
  <c r="L125" i="4"/>
  <c r="K125" i="4"/>
  <c r="I125" i="4"/>
  <c r="AD125" i="4" s="1"/>
  <c r="E125" i="4"/>
  <c r="AJ124" i="4"/>
  <c r="AH124" i="4"/>
  <c r="AI124" i="4" s="1"/>
  <c r="AC124" i="4"/>
  <c r="X124" i="4"/>
  <c r="Y124" i="4" s="1"/>
  <c r="W124" i="4"/>
  <c r="T124" i="4"/>
  <c r="S124" i="4"/>
  <c r="R124" i="4"/>
  <c r="O124" i="4"/>
  <c r="N124" i="4"/>
  <c r="L124" i="4"/>
  <c r="K124" i="4"/>
  <c r="I124" i="4"/>
  <c r="AD124" i="4" s="1"/>
  <c r="E124" i="4"/>
  <c r="AJ123" i="4"/>
  <c r="AH123" i="4"/>
  <c r="AI123" i="4" s="1"/>
  <c r="AD123" i="4"/>
  <c r="AC123" i="4"/>
  <c r="X123" i="4"/>
  <c r="Y123" i="4" s="1"/>
  <c r="W123" i="4"/>
  <c r="T123" i="4"/>
  <c r="S123" i="4"/>
  <c r="R123" i="4"/>
  <c r="O123" i="4"/>
  <c r="N123" i="4"/>
  <c r="L123" i="4"/>
  <c r="K123" i="4"/>
  <c r="J123" i="4"/>
  <c r="I123" i="4"/>
  <c r="E123" i="4"/>
  <c r="AJ122" i="4"/>
  <c r="AH122" i="4"/>
  <c r="AI122" i="4" s="1"/>
  <c r="AD122" i="4"/>
  <c r="AC122" i="4"/>
  <c r="X122" i="4"/>
  <c r="Y122" i="4" s="1"/>
  <c r="W122" i="4"/>
  <c r="T122" i="4"/>
  <c r="S122" i="4"/>
  <c r="R122" i="4"/>
  <c r="O122" i="4"/>
  <c r="N122" i="4"/>
  <c r="L122" i="4"/>
  <c r="K122" i="4"/>
  <c r="J122" i="4"/>
  <c r="I122" i="4"/>
  <c r="E122" i="4"/>
  <c r="AJ121" i="4"/>
  <c r="AH121" i="4"/>
  <c r="AI121" i="4" s="1"/>
  <c r="AC121" i="4"/>
  <c r="X121" i="4"/>
  <c r="Y121" i="4" s="1"/>
  <c r="W121" i="4"/>
  <c r="T121" i="4"/>
  <c r="S121" i="4"/>
  <c r="R121" i="4"/>
  <c r="O121" i="4"/>
  <c r="N121" i="4"/>
  <c r="L121" i="4"/>
  <c r="K121" i="4"/>
  <c r="I121" i="4"/>
  <c r="AD121" i="4" s="1"/>
  <c r="E121" i="4"/>
  <c r="AJ120" i="4"/>
  <c r="AH120" i="4"/>
  <c r="AI120" i="4" s="1"/>
  <c r="AC120" i="4"/>
  <c r="X120" i="4"/>
  <c r="Y120" i="4" s="1"/>
  <c r="W120" i="4"/>
  <c r="T120" i="4"/>
  <c r="S120" i="4"/>
  <c r="R120" i="4"/>
  <c r="O120" i="4"/>
  <c r="N120" i="4"/>
  <c r="L120" i="4"/>
  <c r="K120" i="4"/>
  <c r="I120" i="4"/>
  <c r="AD120" i="4" s="1"/>
  <c r="E120" i="4"/>
  <c r="AJ119" i="4"/>
  <c r="AH119" i="4"/>
  <c r="AI119" i="4" s="1"/>
  <c r="AD119" i="4"/>
  <c r="AC119" i="4"/>
  <c r="X119" i="4"/>
  <c r="Y119" i="4" s="1"/>
  <c r="W119" i="4"/>
  <c r="T119" i="4"/>
  <c r="S119" i="4"/>
  <c r="R119" i="4"/>
  <c r="O119" i="4"/>
  <c r="N119" i="4"/>
  <c r="L119" i="4"/>
  <c r="K119" i="4"/>
  <c r="J119" i="4"/>
  <c r="I119" i="4"/>
  <c r="E119" i="4"/>
  <c r="AJ118" i="4"/>
  <c r="AH118" i="4"/>
  <c r="AI118" i="4" s="1"/>
  <c r="AD118" i="4"/>
  <c r="AC118" i="4"/>
  <c r="X118" i="4"/>
  <c r="Y118" i="4" s="1"/>
  <c r="W118" i="4"/>
  <c r="T118" i="4"/>
  <c r="S118" i="4"/>
  <c r="R118" i="4"/>
  <c r="O118" i="4"/>
  <c r="N118" i="4"/>
  <c r="L118" i="4"/>
  <c r="K118" i="4"/>
  <c r="J118" i="4"/>
  <c r="I118" i="4"/>
  <c r="E118" i="4"/>
  <c r="AJ117" i="4"/>
  <c r="AH117" i="4"/>
  <c r="AI117" i="4" s="1"/>
  <c r="AC117" i="4"/>
  <c r="X117" i="4"/>
  <c r="Y117" i="4" s="1"/>
  <c r="W117" i="4"/>
  <c r="T117" i="4"/>
  <c r="S117" i="4"/>
  <c r="R117" i="4"/>
  <c r="O117" i="4"/>
  <c r="N117" i="4"/>
  <c r="L117" i="4"/>
  <c r="K117" i="4"/>
  <c r="I117" i="4"/>
  <c r="AD117" i="4" s="1"/>
  <c r="E117" i="4"/>
  <c r="AJ116" i="4"/>
  <c r="AH116" i="4"/>
  <c r="AI116" i="4" s="1"/>
  <c r="AC116" i="4"/>
  <c r="X116" i="4"/>
  <c r="Y116" i="4" s="1"/>
  <c r="W116" i="4"/>
  <c r="T116" i="4"/>
  <c r="S116" i="4"/>
  <c r="R116" i="4"/>
  <c r="O116" i="4"/>
  <c r="N116" i="4"/>
  <c r="L116" i="4"/>
  <c r="K116" i="4"/>
  <c r="I116" i="4"/>
  <c r="AD116" i="4" s="1"/>
  <c r="E116" i="4"/>
  <c r="AJ115" i="4"/>
  <c r="AH115" i="4"/>
  <c r="AI115" i="4" s="1"/>
  <c r="AD115" i="4"/>
  <c r="AC115" i="4"/>
  <c r="X115" i="4"/>
  <c r="Y115" i="4" s="1"/>
  <c r="W115" i="4"/>
  <c r="T115" i="4"/>
  <c r="S115" i="4"/>
  <c r="R115" i="4"/>
  <c r="O115" i="4"/>
  <c r="N115" i="4"/>
  <c r="L115" i="4"/>
  <c r="K115" i="4"/>
  <c r="J115" i="4"/>
  <c r="I115" i="4"/>
  <c r="E115" i="4"/>
  <c r="AJ114" i="4"/>
  <c r="AH114" i="4"/>
  <c r="AI114" i="4" s="1"/>
  <c r="AD114" i="4"/>
  <c r="AC114" i="4"/>
  <c r="X114" i="4"/>
  <c r="Y114" i="4" s="1"/>
  <c r="W114" i="4"/>
  <c r="T114" i="4"/>
  <c r="S114" i="4"/>
  <c r="R114" i="4"/>
  <c r="O114" i="4"/>
  <c r="N114" i="4"/>
  <c r="L114" i="4"/>
  <c r="K114" i="4"/>
  <c r="J114" i="4"/>
  <c r="I114" i="4"/>
  <c r="E114" i="4"/>
  <c r="AJ113" i="4"/>
  <c r="AH113" i="4"/>
  <c r="AI113" i="4" s="1"/>
  <c r="AC113" i="4"/>
  <c r="X113" i="4"/>
  <c r="Y113" i="4" s="1"/>
  <c r="W113" i="4"/>
  <c r="T113" i="4"/>
  <c r="S113" i="4"/>
  <c r="R113" i="4"/>
  <c r="O113" i="4"/>
  <c r="N113" i="4"/>
  <c r="L113" i="4"/>
  <c r="K113" i="4"/>
  <c r="I113" i="4"/>
  <c r="AD113" i="4" s="1"/>
  <c r="E113" i="4"/>
  <c r="AJ112" i="4"/>
  <c r="AH112" i="4"/>
  <c r="AI112" i="4" s="1"/>
  <c r="AC112" i="4"/>
  <c r="X112" i="4"/>
  <c r="Y112" i="4" s="1"/>
  <c r="W112" i="4"/>
  <c r="T112" i="4"/>
  <c r="S112" i="4"/>
  <c r="R112" i="4"/>
  <c r="O112" i="4"/>
  <c r="N112" i="4"/>
  <c r="L112" i="4"/>
  <c r="K112" i="4"/>
  <c r="I112" i="4"/>
  <c r="AD112" i="4" s="1"/>
  <c r="E112" i="4"/>
  <c r="AJ111" i="4"/>
  <c r="AH111" i="4"/>
  <c r="AI111" i="4" s="1"/>
  <c r="AD111" i="4"/>
  <c r="AC111" i="4"/>
  <c r="X111" i="4"/>
  <c r="Y111" i="4" s="1"/>
  <c r="W111" i="4"/>
  <c r="T111" i="4"/>
  <c r="S111" i="4"/>
  <c r="R111" i="4"/>
  <c r="O111" i="4"/>
  <c r="N111" i="4"/>
  <c r="L111" i="4"/>
  <c r="K111" i="4"/>
  <c r="J111" i="4"/>
  <c r="I111" i="4"/>
  <c r="E111" i="4"/>
  <c r="AJ110" i="4"/>
  <c r="AH110" i="4"/>
  <c r="AI110" i="4" s="1"/>
  <c r="AD110" i="4"/>
  <c r="AC110" i="4"/>
  <c r="X110" i="4"/>
  <c r="Y110" i="4" s="1"/>
  <c r="W110" i="4"/>
  <c r="T110" i="4"/>
  <c r="S110" i="4"/>
  <c r="R110" i="4"/>
  <c r="O110" i="4"/>
  <c r="N110" i="4"/>
  <c r="L110" i="4"/>
  <c r="K110" i="4"/>
  <c r="J110" i="4"/>
  <c r="I110" i="4"/>
  <c r="E110" i="4"/>
  <c r="AJ109" i="4"/>
  <c r="AH109" i="4"/>
  <c r="AI109" i="4" s="1"/>
  <c r="AC109" i="4"/>
  <c r="X109" i="4"/>
  <c r="Y109" i="4" s="1"/>
  <c r="W109" i="4"/>
  <c r="T109" i="4"/>
  <c r="S109" i="4"/>
  <c r="R109" i="4"/>
  <c r="O109" i="4"/>
  <c r="N109" i="4"/>
  <c r="L109" i="4"/>
  <c r="K109" i="4"/>
  <c r="I109" i="4"/>
  <c r="AD109" i="4" s="1"/>
  <c r="E109" i="4"/>
  <c r="AJ108" i="4"/>
  <c r="AH108" i="4"/>
  <c r="AI108" i="4" s="1"/>
  <c r="AC108" i="4"/>
  <c r="X108" i="4"/>
  <c r="Y108" i="4" s="1"/>
  <c r="W108" i="4"/>
  <c r="T108" i="4"/>
  <c r="S108" i="4"/>
  <c r="R108" i="4"/>
  <c r="O108" i="4"/>
  <c r="N108" i="4"/>
  <c r="L108" i="4"/>
  <c r="K108" i="4"/>
  <c r="I108" i="4"/>
  <c r="AD108" i="4" s="1"/>
  <c r="E108" i="4"/>
  <c r="AJ107" i="4"/>
  <c r="AH107" i="4"/>
  <c r="AI107" i="4" s="1"/>
  <c r="AD107" i="4"/>
  <c r="AC107" i="4"/>
  <c r="X107" i="4"/>
  <c r="Y107" i="4" s="1"/>
  <c r="W107" i="4"/>
  <c r="T107" i="4"/>
  <c r="S107" i="4"/>
  <c r="R107" i="4"/>
  <c r="O107" i="4"/>
  <c r="N107" i="4"/>
  <c r="L107" i="4"/>
  <c r="K107" i="4"/>
  <c r="J107" i="4"/>
  <c r="I107" i="4"/>
  <c r="E107" i="4"/>
  <c r="AJ106" i="4"/>
  <c r="AH106" i="4"/>
  <c r="AI106" i="4" s="1"/>
  <c r="AD106" i="4"/>
  <c r="AC106" i="4"/>
  <c r="X106" i="4"/>
  <c r="Y106" i="4" s="1"/>
  <c r="W106" i="4"/>
  <c r="T106" i="4"/>
  <c r="S106" i="4"/>
  <c r="R106" i="4"/>
  <c r="O106" i="4"/>
  <c r="N106" i="4"/>
  <c r="L106" i="4"/>
  <c r="K106" i="4"/>
  <c r="J106" i="4"/>
  <c r="I106" i="4"/>
  <c r="E106" i="4"/>
  <c r="AJ105" i="4"/>
  <c r="AH105" i="4"/>
  <c r="AI105" i="4" s="1"/>
  <c r="AC105" i="4"/>
  <c r="X105" i="4"/>
  <c r="Y105" i="4" s="1"/>
  <c r="W105" i="4"/>
  <c r="T105" i="4"/>
  <c r="S105" i="4"/>
  <c r="R105" i="4"/>
  <c r="O105" i="4"/>
  <c r="N105" i="4"/>
  <c r="L105" i="4"/>
  <c r="K105" i="4"/>
  <c r="I105" i="4"/>
  <c r="AD105" i="4" s="1"/>
  <c r="E105" i="4"/>
  <c r="AJ104" i="4"/>
  <c r="AH104" i="4"/>
  <c r="AI104" i="4" s="1"/>
  <c r="AC104" i="4"/>
  <c r="X104" i="4"/>
  <c r="Y104" i="4" s="1"/>
  <c r="W104" i="4"/>
  <c r="T104" i="4"/>
  <c r="S104" i="4"/>
  <c r="R104" i="4"/>
  <c r="O104" i="4"/>
  <c r="N104" i="4"/>
  <c r="L104" i="4"/>
  <c r="K104" i="4"/>
  <c r="I104" i="4"/>
  <c r="AD104" i="4" s="1"/>
  <c r="E104" i="4"/>
  <c r="AJ103" i="4"/>
  <c r="AH103" i="4"/>
  <c r="AI103" i="4" s="1"/>
  <c r="AD103" i="4"/>
  <c r="AC103" i="4"/>
  <c r="X103" i="4"/>
  <c r="Y103" i="4" s="1"/>
  <c r="W103" i="4"/>
  <c r="T103" i="4"/>
  <c r="S103" i="4"/>
  <c r="R103" i="4"/>
  <c r="O103" i="4"/>
  <c r="N103" i="4"/>
  <c r="L103" i="4"/>
  <c r="K103" i="4"/>
  <c r="J103" i="4"/>
  <c r="I103" i="4"/>
  <c r="E103" i="4"/>
  <c r="AJ102" i="4"/>
  <c r="AH102" i="4"/>
  <c r="AI102" i="4" s="1"/>
  <c r="AD102" i="4"/>
  <c r="AC102" i="4"/>
  <c r="X102" i="4"/>
  <c r="Y102" i="4" s="1"/>
  <c r="W102" i="4"/>
  <c r="T102" i="4"/>
  <c r="S102" i="4"/>
  <c r="R102" i="4"/>
  <c r="O102" i="4"/>
  <c r="N102" i="4"/>
  <c r="L102" i="4"/>
  <c r="K102" i="4"/>
  <c r="J102" i="4"/>
  <c r="I102" i="4"/>
  <c r="E102" i="4"/>
  <c r="AJ101" i="4"/>
  <c r="AH101" i="4"/>
  <c r="AI101" i="4" s="1"/>
  <c r="AC101" i="4"/>
  <c r="X101" i="4"/>
  <c r="Y101" i="4" s="1"/>
  <c r="W101" i="4"/>
  <c r="T101" i="4"/>
  <c r="S101" i="4"/>
  <c r="R101" i="4"/>
  <c r="O101" i="4"/>
  <c r="N101" i="4"/>
  <c r="L101" i="4"/>
  <c r="K101" i="4"/>
  <c r="I101" i="4"/>
  <c r="AD101" i="4" s="1"/>
  <c r="E101" i="4"/>
  <c r="AJ100" i="4"/>
  <c r="AH100" i="4"/>
  <c r="AI100" i="4" s="1"/>
  <c r="AC100" i="4"/>
  <c r="X100" i="4"/>
  <c r="Y100" i="4" s="1"/>
  <c r="W100" i="4"/>
  <c r="T100" i="4"/>
  <c r="S100" i="4"/>
  <c r="R100" i="4"/>
  <c r="O100" i="4"/>
  <c r="N100" i="4"/>
  <c r="L100" i="4"/>
  <c r="K100" i="4"/>
  <c r="I100" i="4"/>
  <c r="AD100" i="4" s="1"/>
  <c r="E100" i="4"/>
  <c r="AJ99" i="4"/>
  <c r="AH99" i="4"/>
  <c r="AI99" i="4" s="1"/>
  <c r="AD99" i="4"/>
  <c r="AC99" i="4"/>
  <c r="X99" i="4"/>
  <c r="Y99" i="4" s="1"/>
  <c r="W99" i="4"/>
  <c r="T99" i="4"/>
  <c r="S99" i="4"/>
  <c r="R99" i="4"/>
  <c r="O99" i="4"/>
  <c r="N99" i="4"/>
  <c r="L99" i="4"/>
  <c r="K99" i="4"/>
  <c r="J99" i="4"/>
  <c r="I99" i="4"/>
  <c r="E99" i="4"/>
  <c r="AJ98" i="4"/>
  <c r="AH98" i="4"/>
  <c r="AI98" i="4" s="1"/>
  <c r="AD98" i="4"/>
  <c r="AC98" i="4"/>
  <c r="X98" i="4"/>
  <c r="Y98" i="4" s="1"/>
  <c r="W98" i="4"/>
  <c r="T98" i="4"/>
  <c r="S98" i="4"/>
  <c r="R98" i="4"/>
  <c r="O98" i="4"/>
  <c r="N98" i="4"/>
  <c r="L98" i="4"/>
  <c r="K98" i="4"/>
  <c r="J98" i="4"/>
  <c r="I98" i="4"/>
  <c r="E98" i="4"/>
  <c r="AJ97" i="4"/>
  <c r="AH97" i="4"/>
  <c r="AI97" i="4" s="1"/>
  <c r="AC97" i="4"/>
  <c r="X97" i="4"/>
  <c r="Y97" i="4" s="1"/>
  <c r="W97" i="4"/>
  <c r="T97" i="4"/>
  <c r="S97" i="4"/>
  <c r="R97" i="4"/>
  <c r="O97" i="4"/>
  <c r="N97" i="4"/>
  <c r="L97" i="4"/>
  <c r="K97" i="4"/>
  <c r="I97" i="4"/>
  <c r="AD97" i="4" s="1"/>
  <c r="E97" i="4"/>
  <c r="AJ96" i="4"/>
  <c r="AH96" i="4"/>
  <c r="AI96" i="4" s="1"/>
  <c r="AC96" i="4"/>
  <c r="X96" i="4"/>
  <c r="Y96" i="4" s="1"/>
  <c r="W96" i="4"/>
  <c r="T96" i="4"/>
  <c r="S96" i="4"/>
  <c r="R96" i="4"/>
  <c r="O96" i="4"/>
  <c r="N96" i="4"/>
  <c r="L96" i="4"/>
  <c r="K96" i="4"/>
  <c r="I96" i="4"/>
  <c r="AD96" i="4" s="1"/>
  <c r="E96" i="4"/>
  <c r="AJ95" i="4"/>
  <c r="AH95" i="4"/>
  <c r="AI95" i="4" s="1"/>
  <c r="AD95" i="4"/>
  <c r="AC95" i="4"/>
  <c r="X95" i="4"/>
  <c r="Y95" i="4" s="1"/>
  <c r="W95" i="4"/>
  <c r="T95" i="4"/>
  <c r="S95" i="4"/>
  <c r="R95" i="4"/>
  <c r="O95" i="4"/>
  <c r="N95" i="4"/>
  <c r="L95" i="4"/>
  <c r="K95" i="4"/>
  <c r="J95" i="4"/>
  <c r="I95" i="4"/>
  <c r="E95" i="4"/>
  <c r="AJ94" i="4"/>
  <c r="AH94" i="4"/>
  <c r="AI94" i="4" s="1"/>
  <c r="AD94" i="4"/>
  <c r="AC94" i="4"/>
  <c r="X94" i="4"/>
  <c r="Y94" i="4" s="1"/>
  <c r="W94" i="4"/>
  <c r="T94" i="4"/>
  <c r="S94" i="4"/>
  <c r="R94" i="4"/>
  <c r="O94" i="4"/>
  <c r="N94" i="4"/>
  <c r="L94" i="4"/>
  <c r="K94" i="4"/>
  <c r="J94" i="4"/>
  <c r="I94" i="4"/>
  <c r="E94" i="4"/>
  <c r="AJ93" i="4"/>
  <c r="AH93" i="4"/>
  <c r="AI93" i="4" s="1"/>
  <c r="AC93" i="4"/>
  <c r="X93" i="4"/>
  <c r="Y93" i="4" s="1"/>
  <c r="W93" i="4"/>
  <c r="T93" i="4"/>
  <c r="S93" i="4"/>
  <c r="R93" i="4"/>
  <c r="O93" i="4"/>
  <c r="N93" i="4"/>
  <c r="L93" i="4"/>
  <c r="K93" i="4"/>
  <c r="I93" i="4"/>
  <c r="AD93" i="4" s="1"/>
  <c r="E93" i="4"/>
  <c r="AJ92" i="4"/>
  <c r="AH92" i="4"/>
  <c r="AI92" i="4" s="1"/>
  <c r="AC92" i="4"/>
  <c r="X92" i="4"/>
  <c r="Y92" i="4" s="1"/>
  <c r="W92" i="4"/>
  <c r="T92" i="4"/>
  <c r="S92" i="4"/>
  <c r="R92" i="4"/>
  <c r="O92" i="4"/>
  <c r="N92" i="4"/>
  <c r="L92" i="4"/>
  <c r="K92" i="4"/>
  <c r="I92" i="4"/>
  <c r="AD92" i="4" s="1"/>
  <c r="E92" i="4"/>
  <c r="AJ91" i="4"/>
  <c r="AH91" i="4"/>
  <c r="AI91" i="4" s="1"/>
  <c r="AD91" i="4"/>
  <c r="AC91" i="4"/>
  <c r="X91" i="4"/>
  <c r="Y91" i="4" s="1"/>
  <c r="W91" i="4"/>
  <c r="T91" i="4"/>
  <c r="S91" i="4"/>
  <c r="R91" i="4"/>
  <c r="O91" i="4"/>
  <c r="N91" i="4"/>
  <c r="L91" i="4"/>
  <c r="K91" i="4"/>
  <c r="J91" i="4"/>
  <c r="I91" i="4"/>
  <c r="E91" i="4"/>
  <c r="AJ90" i="4"/>
  <c r="AH90" i="4"/>
  <c r="AI90" i="4" s="1"/>
  <c r="AD90" i="4"/>
  <c r="AC90" i="4"/>
  <c r="X90" i="4"/>
  <c r="Y90" i="4" s="1"/>
  <c r="W90" i="4"/>
  <c r="T90" i="4"/>
  <c r="S90" i="4"/>
  <c r="R90" i="4"/>
  <c r="O90" i="4"/>
  <c r="N90" i="4"/>
  <c r="L90" i="4"/>
  <c r="K90" i="4"/>
  <c r="J90" i="4"/>
  <c r="I90" i="4"/>
  <c r="E90" i="4"/>
  <c r="AJ89" i="4"/>
  <c r="AH89" i="4"/>
  <c r="AI89" i="4" s="1"/>
  <c r="AC89" i="4"/>
  <c r="X89" i="4"/>
  <c r="Y89" i="4" s="1"/>
  <c r="W89" i="4"/>
  <c r="T89" i="4"/>
  <c r="S89" i="4"/>
  <c r="R89" i="4"/>
  <c r="O89" i="4"/>
  <c r="N89" i="4"/>
  <c r="L89" i="4"/>
  <c r="K89" i="4"/>
  <c r="I89" i="4"/>
  <c r="AD89" i="4" s="1"/>
  <c r="E89" i="4"/>
  <c r="AJ88" i="4"/>
  <c r="AH88" i="4"/>
  <c r="AI88" i="4" s="1"/>
  <c r="AC88" i="4"/>
  <c r="X88" i="4"/>
  <c r="Y88" i="4" s="1"/>
  <c r="W88" i="4"/>
  <c r="T88" i="4"/>
  <c r="S88" i="4"/>
  <c r="R88" i="4"/>
  <c r="O88" i="4"/>
  <c r="N88" i="4"/>
  <c r="L88" i="4"/>
  <c r="K88" i="4"/>
  <c r="I88" i="4"/>
  <c r="AD88" i="4" s="1"/>
  <c r="E88" i="4"/>
  <c r="AJ87" i="4"/>
  <c r="AH87" i="4"/>
  <c r="AI87" i="4" s="1"/>
  <c r="AD87" i="4"/>
  <c r="AC87" i="4"/>
  <c r="X87" i="4"/>
  <c r="Y87" i="4" s="1"/>
  <c r="W87" i="4"/>
  <c r="T87" i="4"/>
  <c r="S87" i="4"/>
  <c r="R87" i="4"/>
  <c r="O87" i="4"/>
  <c r="N87" i="4"/>
  <c r="L87" i="4"/>
  <c r="K87" i="4"/>
  <c r="J87" i="4"/>
  <c r="I87" i="4"/>
  <c r="E87" i="4"/>
  <c r="AJ86" i="4"/>
  <c r="AH86" i="4"/>
  <c r="AI86" i="4" s="1"/>
  <c r="AD86" i="4"/>
  <c r="AC86" i="4"/>
  <c r="X86" i="4"/>
  <c r="Y86" i="4" s="1"/>
  <c r="W86" i="4"/>
  <c r="T86" i="4"/>
  <c r="S86" i="4"/>
  <c r="R86" i="4"/>
  <c r="O86" i="4"/>
  <c r="N86" i="4"/>
  <c r="L86" i="4"/>
  <c r="K86" i="4"/>
  <c r="J86" i="4"/>
  <c r="I86" i="4"/>
  <c r="E86" i="4"/>
  <c r="AJ85" i="4"/>
  <c r="AH85" i="4"/>
  <c r="AI85" i="4" s="1"/>
  <c r="AC85" i="4"/>
  <c r="X85" i="4"/>
  <c r="Y85" i="4" s="1"/>
  <c r="W85" i="4"/>
  <c r="T85" i="4"/>
  <c r="S85" i="4"/>
  <c r="R85" i="4"/>
  <c r="O85" i="4"/>
  <c r="N85" i="4"/>
  <c r="L85" i="4"/>
  <c r="K85" i="4"/>
  <c r="I85" i="4"/>
  <c r="AD85" i="4" s="1"/>
  <c r="E85" i="4"/>
  <c r="AJ84" i="4"/>
  <c r="AH84" i="4"/>
  <c r="AI84" i="4" s="1"/>
  <c r="AC84" i="4"/>
  <c r="X84" i="4"/>
  <c r="Y84" i="4" s="1"/>
  <c r="W84" i="4"/>
  <c r="T84" i="4"/>
  <c r="S84" i="4"/>
  <c r="R84" i="4"/>
  <c r="O84" i="4"/>
  <c r="N84" i="4"/>
  <c r="L84" i="4"/>
  <c r="K84" i="4"/>
  <c r="I84" i="4"/>
  <c r="AD84" i="4" s="1"/>
  <c r="E84" i="4"/>
  <c r="AJ83" i="4"/>
  <c r="AH83" i="4"/>
  <c r="AI83" i="4" s="1"/>
  <c r="AD83" i="4"/>
  <c r="AC83" i="4"/>
  <c r="X83" i="4"/>
  <c r="Y83" i="4" s="1"/>
  <c r="W83" i="4"/>
  <c r="T83" i="4"/>
  <c r="S83" i="4"/>
  <c r="R83" i="4"/>
  <c r="O83" i="4"/>
  <c r="N83" i="4"/>
  <c r="L83" i="4"/>
  <c r="K83" i="4"/>
  <c r="J83" i="4"/>
  <c r="I83" i="4"/>
  <c r="E83" i="4"/>
  <c r="AJ82" i="4"/>
  <c r="AH82" i="4"/>
  <c r="AI82" i="4" s="1"/>
  <c r="AD82" i="4"/>
  <c r="AC82" i="4"/>
  <c r="X82" i="4"/>
  <c r="Y82" i="4" s="1"/>
  <c r="W82" i="4"/>
  <c r="T82" i="4"/>
  <c r="S82" i="4"/>
  <c r="R82" i="4"/>
  <c r="O82" i="4"/>
  <c r="N82" i="4"/>
  <c r="L82" i="4"/>
  <c r="K82" i="4"/>
  <c r="J82" i="4"/>
  <c r="I82" i="4"/>
  <c r="E82" i="4"/>
  <c r="AJ81" i="4"/>
  <c r="AH81" i="4"/>
  <c r="AI81" i="4" s="1"/>
  <c r="AC81" i="4"/>
  <c r="X81" i="4"/>
  <c r="Y81" i="4" s="1"/>
  <c r="W81" i="4"/>
  <c r="T81" i="4"/>
  <c r="S81" i="4"/>
  <c r="R81" i="4"/>
  <c r="O81" i="4"/>
  <c r="N81" i="4"/>
  <c r="L81" i="4"/>
  <c r="K81" i="4"/>
  <c r="I81" i="4"/>
  <c r="AD81" i="4" s="1"/>
  <c r="E81" i="4"/>
  <c r="AJ80" i="4"/>
  <c r="AH80" i="4"/>
  <c r="AI80" i="4" s="1"/>
  <c r="AC80" i="4"/>
  <c r="X80" i="4"/>
  <c r="Y80" i="4" s="1"/>
  <c r="W80" i="4"/>
  <c r="T80" i="4"/>
  <c r="S80" i="4"/>
  <c r="R80" i="4"/>
  <c r="O80" i="4"/>
  <c r="N80" i="4"/>
  <c r="L80" i="4"/>
  <c r="K80" i="4"/>
  <c r="I80" i="4"/>
  <c r="AD80" i="4" s="1"/>
  <c r="E80" i="4"/>
  <c r="AJ79" i="4"/>
  <c r="AH79" i="4"/>
  <c r="AI79" i="4" s="1"/>
  <c r="AD79" i="4"/>
  <c r="AC79" i="4"/>
  <c r="X79" i="4"/>
  <c r="Y79" i="4" s="1"/>
  <c r="W79" i="4"/>
  <c r="T79" i="4"/>
  <c r="S79" i="4"/>
  <c r="R79" i="4"/>
  <c r="O79" i="4"/>
  <c r="N79" i="4"/>
  <c r="L79" i="4"/>
  <c r="K79" i="4"/>
  <c r="J79" i="4"/>
  <c r="I79" i="4"/>
  <c r="E79" i="4"/>
  <c r="AJ78" i="4"/>
  <c r="AH78" i="4"/>
  <c r="AI78" i="4" s="1"/>
  <c r="AD78" i="4"/>
  <c r="AC78" i="4"/>
  <c r="X78" i="4"/>
  <c r="Y78" i="4" s="1"/>
  <c r="W78" i="4"/>
  <c r="T78" i="4"/>
  <c r="S78" i="4"/>
  <c r="R78" i="4"/>
  <c r="O78" i="4"/>
  <c r="N78" i="4"/>
  <c r="L78" i="4"/>
  <c r="K78" i="4"/>
  <c r="J78" i="4"/>
  <c r="I78" i="4"/>
  <c r="E78" i="4"/>
  <c r="AJ77" i="4"/>
  <c r="AH77" i="4"/>
  <c r="AI77" i="4" s="1"/>
  <c r="AC77" i="4"/>
  <c r="X77" i="4"/>
  <c r="Y77" i="4" s="1"/>
  <c r="W77" i="4"/>
  <c r="T77" i="4"/>
  <c r="S77" i="4"/>
  <c r="R77" i="4"/>
  <c r="O77" i="4"/>
  <c r="N77" i="4"/>
  <c r="L77" i="4"/>
  <c r="K77" i="4"/>
  <c r="I77" i="4"/>
  <c r="AD77" i="4" s="1"/>
  <c r="E77" i="4"/>
  <c r="AJ76" i="4"/>
  <c r="AH76" i="4"/>
  <c r="AI76" i="4" s="1"/>
  <c r="AC76" i="4"/>
  <c r="X76" i="4"/>
  <c r="Y76" i="4" s="1"/>
  <c r="W76" i="4"/>
  <c r="T76" i="4"/>
  <c r="S76" i="4"/>
  <c r="R76" i="4"/>
  <c r="O76" i="4"/>
  <c r="N76" i="4"/>
  <c r="L76" i="4"/>
  <c r="K76" i="4"/>
  <c r="I76" i="4"/>
  <c r="AD76" i="4" s="1"/>
  <c r="E76" i="4"/>
  <c r="AJ75" i="4"/>
  <c r="AH75" i="4"/>
  <c r="AI75" i="4" s="1"/>
  <c r="AD75" i="4"/>
  <c r="AC75" i="4"/>
  <c r="X75" i="4"/>
  <c r="Y75" i="4" s="1"/>
  <c r="W75" i="4"/>
  <c r="T75" i="4"/>
  <c r="S75" i="4"/>
  <c r="R75" i="4"/>
  <c r="O75" i="4"/>
  <c r="N75" i="4"/>
  <c r="L75" i="4"/>
  <c r="K75" i="4"/>
  <c r="J75" i="4"/>
  <c r="I75" i="4"/>
  <c r="E75" i="4"/>
  <c r="AJ74" i="4"/>
  <c r="AH74" i="4"/>
  <c r="AI74" i="4" s="1"/>
  <c r="AD74" i="4"/>
  <c r="AC74" i="4"/>
  <c r="X74" i="4"/>
  <c r="Y74" i="4" s="1"/>
  <c r="W74" i="4"/>
  <c r="T74" i="4"/>
  <c r="S74" i="4"/>
  <c r="R74" i="4"/>
  <c r="O74" i="4"/>
  <c r="N74" i="4"/>
  <c r="L74" i="4"/>
  <c r="K74" i="4"/>
  <c r="J74" i="4"/>
  <c r="I74" i="4"/>
  <c r="E74" i="4"/>
  <c r="AJ73" i="4"/>
  <c r="AH73" i="4"/>
  <c r="AI73" i="4" s="1"/>
  <c r="AC73" i="4"/>
  <c r="X73" i="4"/>
  <c r="Y73" i="4" s="1"/>
  <c r="W73" i="4"/>
  <c r="T73" i="4"/>
  <c r="S73" i="4"/>
  <c r="R73" i="4"/>
  <c r="O73" i="4"/>
  <c r="N73" i="4"/>
  <c r="L73" i="4"/>
  <c r="K73" i="4"/>
  <c r="I73" i="4"/>
  <c r="AD73" i="4" s="1"/>
  <c r="E73" i="4"/>
  <c r="AJ72" i="4"/>
  <c r="AH72" i="4"/>
  <c r="AI72" i="4" s="1"/>
  <c r="AC72" i="4"/>
  <c r="X72" i="4"/>
  <c r="Y72" i="4" s="1"/>
  <c r="W72" i="4"/>
  <c r="T72" i="4"/>
  <c r="S72" i="4"/>
  <c r="R72" i="4"/>
  <c r="O72" i="4"/>
  <c r="N72" i="4"/>
  <c r="L72" i="4"/>
  <c r="K72" i="4"/>
  <c r="I72" i="4"/>
  <c r="AD72" i="4" s="1"/>
  <c r="E72" i="4"/>
  <c r="AJ71" i="4"/>
  <c r="AH71" i="4"/>
  <c r="AI71" i="4" s="1"/>
  <c r="AD71" i="4"/>
  <c r="AC71" i="4"/>
  <c r="X71" i="4"/>
  <c r="Y71" i="4" s="1"/>
  <c r="W71" i="4"/>
  <c r="T71" i="4"/>
  <c r="S71" i="4"/>
  <c r="R71" i="4"/>
  <c r="O71" i="4"/>
  <c r="N71" i="4"/>
  <c r="L71" i="4"/>
  <c r="K71" i="4"/>
  <c r="J71" i="4"/>
  <c r="I71" i="4"/>
  <c r="E71" i="4"/>
  <c r="AJ70" i="4"/>
  <c r="AH70" i="4"/>
  <c r="AI70" i="4" s="1"/>
  <c r="AD70" i="4"/>
  <c r="AC70" i="4"/>
  <c r="X70" i="4"/>
  <c r="Y70" i="4" s="1"/>
  <c r="W70" i="4"/>
  <c r="T70" i="4"/>
  <c r="S70" i="4"/>
  <c r="R70" i="4"/>
  <c r="O70" i="4"/>
  <c r="N70" i="4"/>
  <c r="L70" i="4"/>
  <c r="K70" i="4"/>
  <c r="J70" i="4"/>
  <c r="I70" i="4"/>
  <c r="E70" i="4"/>
  <c r="AJ69" i="4"/>
  <c r="AH69" i="4"/>
  <c r="AI69" i="4" s="1"/>
  <c r="AC69" i="4"/>
  <c r="X69" i="4"/>
  <c r="Y69" i="4" s="1"/>
  <c r="W69" i="4"/>
  <c r="T69" i="4"/>
  <c r="S69" i="4"/>
  <c r="R69" i="4"/>
  <c r="O69" i="4"/>
  <c r="N69" i="4"/>
  <c r="L69" i="4"/>
  <c r="K69" i="4"/>
  <c r="I69" i="4"/>
  <c r="AD69" i="4" s="1"/>
  <c r="E69" i="4"/>
  <c r="AJ68" i="4"/>
  <c r="AH68" i="4"/>
  <c r="AI68" i="4" s="1"/>
  <c r="AC68" i="4"/>
  <c r="X68" i="4"/>
  <c r="Y68" i="4" s="1"/>
  <c r="W68" i="4"/>
  <c r="T68" i="4"/>
  <c r="S68" i="4"/>
  <c r="R68" i="4"/>
  <c r="O68" i="4"/>
  <c r="N68" i="4"/>
  <c r="L68" i="4"/>
  <c r="K68" i="4"/>
  <c r="I68" i="4"/>
  <c r="AD68" i="4" s="1"/>
  <c r="E68" i="4"/>
  <c r="AJ67" i="4"/>
  <c r="AH67" i="4"/>
  <c r="AI67" i="4" s="1"/>
  <c r="AD67" i="4"/>
  <c r="AC67" i="4"/>
  <c r="X67" i="4"/>
  <c r="Y67" i="4" s="1"/>
  <c r="W67" i="4"/>
  <c r="T67" i="4"/>
  <c r="S67" i="4"/>
  <c r="R67" i="4"/>
  <c r="O67" i="4"/>
  <c r="N67" i="4"/>
  <c r="L67" i="4"/>
  <c r="K67" i="4"/>
  <c r="J67" i="4"/>
  <c r="I67" i="4"/>
  <c r="E67" i="4"/>
  <c r="AJ66" i="4"/>
  <c r="AH66" i="4"/>
  <c r="AI66" i="4" s="1"/>
  <c r="AD66" i="4"/>
  <c r="AC66" i="4"/>
  <c r="X66" i="4"/>
  <c r="Y66" i="4" s="1"/>
  <c r="W66" i="4"/>
  <c r="T66" i="4"/>
  <c r="S66" i="4"/>
  <c r="R66" i="4"/>
  <c r="O66" i="4"/>
  <c r="N66" i="4"/>
  <c r="L66" i="4"/>
  <c r="K66" i="4"/>
  <c r="J66" i="4"/>
  <c r="I66" i="4"/>
  <c r="E66" i="4"/>
  <c r="AJ65" i="4"/>
  <c r="AH65" i="4"/>
  <c r="AI65" i="4" s="1"/>
  <c r="AC65" i="4"/>
  <c r="X65" i="4"/>
  <c r="Y65" i="4" s="1"/>
  <c r="W65" i="4"/>
  <c r="T65" i="4"/>
  <c r="S65" i="4"/>
  <c r="R65" i="4"/>
  <c r="O65" i="4"/>
  <c r="N65" i="4"/>
  <c r="L65" i="4"/>
  <c r="K65" i="4"/>
  <c r="I65" i="4"/>
  <c r="AD65" i="4" s="1"/>
  <c r="E65" i="4"/>
  <c r="AJ64" i="4"/>
  <c r="AH64" i="4"/>
  <c r="AI64" i="4" s="1"/>
  <c r="AC64" i="4"/>
  <c r="X64" i="4"/>
  <c r="Y64" i="4" s="1"/>
  <c r="W64" i="4"/>
  <c r="T64" i="4"/>
  <c r="S64" i="4"/>
  <c r="R64" i="4"/>
  <c r="O64" i="4"/>
  <c r="N64" i="4"/>
  <c r="L64" i="4"/>
  <c r="K64" i="4"/>
  <c r="I64" i="4"/>
  <c r="AD64" i="4" s="1"/>
  <c r="E64" i="4"/>
  <c r="AJ63" i="4"/>
  <c r="AH63" i="4"/>
  <c r="AI63" i="4" s="1"/>
  <c r="AD63" i="4"/>
  <c r="AC63" i="4"/>
  <c r="X63" i="4"/>
  <c r="Y63" i="4" s="1"/>
  <c r="W63" i="4"/>
  <c r="T63" i="4"/>
  <c r="S63" i="4"/>
  <c r="R63" i="4"/>
  <c r="O63" i="4"/>
  <c r="N63" i="4"/>
  <c r="L63" i="4"/>
  <c r="K63" i="4"/>
  <c r="J63" i="4"/>
  <c r="I63" i="4"/>
  <c r="E63" i="4"/>
  <c r="AJ62" i="4"/>
  <c r="AH62" i="4"/>
  <c r="AI62" i="4" s="1"/>
  <c r="AD62" i="4"/>
  <c r="AC62" i="4"/>
  <c r="X62" i="4"/>
  <c r="Y62" i="4" s="1"/>
  <c r="W62" i="4"/>
  <c r="T62" i="4"/>
  <c r="S62" i="4"/>
  <c r="R62" i="4"/>
  <c r="O62" i="4"/>
  <c r="N62" i="4"/>
  <c r="L62" i="4"/>
  <c r="K62" i="4"/>
  <c r="J62" i="4"/>
  <c r="I62" i="4"/>
  <c r="E62" i="4"/>
  <c r="AJ61" i="4"/>
  <c r="AH61" i="4"/>
  <c r="AI61" i="4" s="1"/>
  <c r="AC61" i="4"/>
  <c r="X61" i="4"/>
  <c r="Y61" i="4" s="1"/>
  <c r="W61" i="4"/>
  <c r="T61" i="4"/>
  <c r="S61" i="4"/>
  <c r="R61" i="4"/>
  <c r="O61" i="4"/>
  <c r="N61" i="4"/>
  <c r="L61" i="4"/>
  <c r="K61" i="4"/>
  <c r="I61" i="4"/>
  <c r="AD61" i="4" s="1"/>
  <c r="E61" i="4"/>
  <c r="AJ60" i="4"/>
  <c r="AH60" i="4"/>
  <c r="AI60" i="4" s="1"/>
  <c r="AC60" i="4"/>
  <c r="X60" i="4"/>
  <c r="Y60" i="4" s="1"/>
  <c r="W60" i="4"/>
  <c r="T60" i="4"/>
  <c r="S60" i="4"/>
  <c r="R60" i="4"/>
  <c r="O60" i="4"/>
  <c r="N60" i="4"/>
  <c r="L60" i="4"/>
  <c r="K60" i="4"/>
  <c r="I60" i="4"/>
  <c r="E60" i="4"/>
  <c r="AJ59" i="4"/>
  <c r="AH59" i="4"/>
  <c r="AI59" i="4" s="1"/>
  <c r="AD59" i="4"/>
  <c r="AC59" i="4"/>
  <c r="X59" i="4"/>
  <c r="Y59" i="4" s="1"/>
  <c r="W59" i="4"/>
  <c r="T59" i="4"/>
  <c r="S59" i="4"/>
  <c r="R59" i="4"/>
  <c r="O59" i="4"/>
  <c r="N59" i="4"/>
  <c r="L59" i="4"/>
  <c r="K59" i="4"/>
  <c r="J59" i="4"/>
  <c r="I59" i="4"/>
  <c r="E59" i="4"/>
  <c r="AJ58" i="4"/>
  <c r="AH58" i="4"/>
  <c r="AI58" i="4" s="1"/>
  <c r="AD58" i="4"/>
  <c r="AC58" i="4"/>
  <c r="X58" i="4"/>
  <c r="Y58" i="4" s="1"/>
  <c r="W58" i="4"/>
  <c r="T58" i="4"/>
  <c r="S58" i="4"/>
  <c r="R58" i="4"/>
  <c r="O58" i="4"/>
  <c r="N58" i="4"/>
  <c r="L58" i="4"/>
  <c r="K58" i="4"/>
  <c r="J58" i="4"/>
  <c r="I58" i="4"/>
  <c r="E58" i="4"/>
  <c r="AJ57" i="4"/>
  <c r="AH57" i="4"/>
  <c r="AI57" i="4" s="1"/>
  <c r="AC57" i="4"/>
  <c r="X57" i="4"/>
  <c r="Y57" i="4" s="1"/>
  <c r="W57" i="4"/>
  <c r="T57" i="4"/>
  <c r="S57" i="4"/>
  <c r="R57" i="4"/>
  <c r="O57" i="4"/>
  <c r="N57" i="4"/>
  <c r="L57" i="4"/>
  <c r="K57" i="4"/>
  <c r="I57" i="4"/>
  <c r="AD57" i="4" s="1"/>
  <c r="E57" i="4"/>
  <c r="AJ56" i="4"/>
  <c r="AH56" i="4"/>
  <c r="AI56" i="4" s="1"/>
  <c r="AC56" i="4"/>
  <c r="X56" i="4"/>
  <c r="Y56" i="4" s="1"/>
  <c r="W56" i="4"/>
  <c r="T56" i="4"/>
  <c r="S56" i="4"/>
  <c r="R56" i="4"/>
  <c r="O56" i="4"/>
  <c r="N56" i="4"/>
  <c r="L56" i="4"/>
  <c r="K56" i="4"/>
  <c r="I56" i="4"/>
  <c r="E56" i="4"/>
  <c r="AJ55" i="4"/>
  <c r="AH55" i="4"/>
  <c r="AI55" i="4" s="1"/>
  <c r="AD55" i="4"/>
  <c r="AC55" i="4"/>
  <c r="X55" i="4"/>
  <c r="Y55" i="4" s="1"/>
  <c r="W55" i="4"/>
  <c r="T55" i="4"/>
  <c r="S55" i="4"/>
  <c r="R55" i="4"/>
  <c r="O55" i="4"/>
  <c r="N55" i="4"/>
  <c r="L55" i="4"/>
  <c r="K55" i="4"/>
  <c r="J55" i="4"/>
  <c r="I55" i="4"/>
  <c r="E55" i="4"/>
  <c r="AJ54" i="4"/>
  <c r="AH54" i="4"/>
  <c r="AI54" i="4" s="1"/>
  <c r="AD54" i="4"/>
  <c r="AC54" i="4"/>
  <c r="X54" i="4"/>
  <c r="Y54" i="4" s="1"/>
  <c r="W54" i="4"/>
  <c r="T54" i="4"/>
  <c r="S54" i="4"/>
  <c r="R54" i="4"/>
  <c r="O54" i="4"/>
  <c r="N54" i="4"/>
  <c r="L54" i="4"/>
  <c r="K54" i="4"/>
  <c r="J54" i="4"/>
  <c r="I54" i="4"/>
  <c r="E54" i="4"/>
  <c r="AJ53" i="4"/>
  <c r="AH53" i="4"/>
  <c r="AI53" i="4" s="1"/>
  <c r="AC53" i="4"/>
  <c r="X53" i="4"/>
  <c r="Y53" i="4" s="1"/>
  <c r="W53" i="4"/>
  <c r="T53" i="4"/>
  <c r="S53" i="4"/>
  <c r="R53" i="4"/>
  <c r="O53" i="4"/>
  <c r="N53" i="4"/>
  <c r="L53" i="4"/>
  <c r="K53" i="4"/>
  <c r="I53" i="4"/>
  <c r="AD53" i="4" s="1"/>
  <c r="E53" i="4"/>
  <c r="AJ52" i="4"/>
  <c r="AH52" i="4"/>
  <c r="AI52" i="4" s="1"/>
  <c r="AC52" i="4"/>
  <c r="X52" i="4"/>
  <c r="Y52" i="4" s="1"/>
  <c r="W52" i="4"/>
  <c r="T52" i="4"/>
  <c r="S52" i="4"/>
  <c r="R52" i="4"/>
  <c r="O52" i="4"/>
  <c r="N52" i="4"/>
  <c r="L52" i="4"/>
  <c r="K52" i="4"/>
  <c r="I52" i="4"/>
  <c r="E52" i="4"/>
  <c r="AJ51" i="4"/>
  <c r="AH51" i="4"/>
  <c r="AI51" i="4" s="1"/>
  <c r="AD51" i="4"/>
  <c r="AC51" i="4"/>
  <c r="X51" i="4"/>
  <c r="Y51" i="4" s="1"/>
  <c r="W51" i="4"/>
  <c r="T51" i="4"/>
  <c r="S51" i="4"/>
  <c r="R51" i="4"/>
  <c r="O51" i="4"/>
  <c r="N51" i="4"/>
  <c r="L51" i="4"/>
  <c r="K51" i="4"/>
  <c r="J51" i="4"/>
  <c r="I51" i="4"/>
  <c r="E51" i="4"/>
  <c r="AJ50" i="4"/>
  <c r="AH50" i="4"/>
  <c r="AI50" i="4" s="1"/>
  <c r="AD50" i="4"/>
  <c r="AC50" i="4"/>
  <c r="X50" i="4"/>
  <c r="Y50" i="4" s="1"/>
  <c r="W50" i="4"/>
  <c r="T50" i="4"/>
  <c r="S50" i="4"/>
  <c r="R50" i="4"/>
  <c r="O50" i="4"/>
  <c r="N50" i="4"/>
  <c r="L50" i="4"/>
  <c r="K50" i="4"/>
  <c r="J50" i="4"/>
  <c r="I50" i="4"/>
  <c r="E50" i="4"/>
  <c r="AJ49" i="4"/>
  <c r="AH49" i="4"/>
  <c r="AI49" i="4" s="1"/>
  <c r="AC49" i="4"/>
  <c r="X49" i="4"/>
  <c r="Y49" i="4" s="1"/>
  <c r="W49" i="4"/>
  <c r="T49" i="4"/>
  <c r="S49" i="4"/>
  <c r="R49" i="4"/>
  <c r="O49" i="4"/>
  <c r="N49" i="4"/>
  <c r="L49" i="4"/>
  <c r="K49" i="4"/>
  <c r="I49" i="4"/>
  <c r="AD49" i="4" s="1"/>
  <c r="E49" i="4"/>
  <c r="AJ48" i="4"/>
  <c r="AH48" i="4"/>
  <c r="AI48" i="4" s="1"/>
  <c r="AC48" i="4"/>
  <c r="X48" i="4"/>
  <c r="Y48" i="4" s="1"/>
  <c r="W48" i="4"/>
  <c r="T48" i="4"/>
  <c r="S48" i="4"/>
  <c r="R48" i="4"/>
  <c r="O48" i="4"/>
  <c r="N48" i="4"/>
  <c r="L48" i="4"/>
  <c r="K48" i="4"/>
  <c r="I48" i="4"/>
  <c r="E48" i="4"/>
  <c r="AJ47" i="4"/>
  <c r="AH47" i="4"/>
  <c r="AI47" i="4" s="1"/>
  <c r="AD47" i="4"/>
  <c r="AC47" i="4"/>
  <c r="X47" i="4"/>
  <c r="Y47" i="4" s="1"/>
  <c r="W47" i="4"/>
  <c r="T47" i="4"/>
  <c r="S47" i="4"/>
  <c r="R47" i="4"/>
  <c r="O47" i="4"/>
  <c r="N47" i="4"/>
  <c r="L47" i="4"/>
  <c r="K47" i="4"/>
  <c r="J47" i="4"/>
  <c r="I47" i="4"/>
  <c r="E47" i="4"/>
  <c r="AJ46" i="4"/>
  <c r="AH46" i="4"/>
  <c r="AI46" i="4" s="1"/>
  <c r="AD46" i="4"/>
  <c r="AC46" i="4"/>
  <c r="X46" i="4"/>
  <c r="Y46" i="4" s="1"/>
  <c r="W46" i="4"/>
  <c r="T46" i="4"/>
  <c r="S46" i="4"/>
  <c r="R46" i="4"/>
  <c r="O46" i="4"/>
  <c r="N46" i="4"/>
  <c r="L46" i="4"/>
  <c r="K46" i="4"/>
  <c r="J46" i="4"/>
  <c r="I46" i="4"/>
  <c r="E46" i="4"/>
  <c r="AJ45" i="4"/>
  <c r="AH45" i="4"/>
  <c r="AI45" i="4" s="1"/>
  <c r="AC45" i="4"/>
  <c r="X45" i="4"/>
  <c r="Y45" i="4" s="1"/>
  <c r="W45" i="4"/>
  <c r="T45" i="4"/>
  <c r="S45" i="4"/>
  <c r="R45" i="4"/>
  <c r="O45" i="4"/>
  <c r="N45" i="4"/>
  <c r="L45" i="4"/>
  <c r="K45" i="4"/>
  <c r="I45" i="4"/>
  <c r="AD45" i="4" s="1"/>
  <c r="E45" i="4"/>
  <c r="AJ44" i="4"/>
  <c r="AH44" i="4"/>
  <c r="AI44" i="4" s="1"/>
  <c r="AC44" i="4"/>
  <c r="X44" i="4"/>
  <c r="Y44" i="4" s="1"/>
  <c r="W44" i="4"/>
  <c r="T44" i="4"/>
  <c r="S44" i="4"/>
  <c r="R44" i="4"/>
  <c r="O44" i="4"/>
  <c r="N44" i="4"/>
  <c r="L44" i="4"/>
  <c r="K44" i="4"/>
  <c r="I44" i="4"/>
  <c r="E44" i="4"/>
  <c r="AJ43" i="4"/>
  <c r="AH43" i="4"/>
  <c r="AI43" i="4" s="1"/>
  <c r="AD43" i="4"/>
  <c r="AC43" i="4"/>
  <c r="X43" i="4"/>
  <c r="Y43" i="4" s="1"/>
  <c r="W43" i="4"/>
  <c r="T43" i="4"/>
  <c r="S43" i="4"/>
  <c r="R43" i="4"/>
  <c r="O43" i="4"/>
  <c r="N43" i="4"/>
  <c r="L43" i="4"/>
  <c r="K43" i="4"/>
  <c r="J43" i="4"/>
  <c r="I43" i="4"/>
  <c r="E43" i="4"/>
  <c r="AJ42" i="4"/>
  <c r="AH42" i="4"/>
  <c r="AI42" i="4" s="1"/>
  <c r="AC42" i="4"/>
  <c r="Y42" i="4"/>
  <c r="X42" i="4"/>
  <c r="W42" i="4"/>
  <c r="T42" i="4"/>
  <c r="S42" i="4"/>
  <c r="R42" i="4"/>
  <c r="O42" i="4"/>
  <c r="N42" i="4"/>
  <c r="L42" i="4"/>
  <c r="K42" i="4"/>
  <c r="I42" i="4"/>
  <c r="AD42" i="4" s="1"/>
  <c r="E42" i="4"/>
  <c r="AJ41" i="4"/>
  <c r="AH41" i="4"/>
  <c r="AI41" i="4" s="1"/>
  <c r="AD41" i="4"/>
  <c r="AC41" i="4"/>
  <c r="X41" i="4"/>
  <c r="Y41" i="4" s="1"/>
  <c r="W41" i="4"/>
  <c r="T41" i="4"/>
  <c r="S41" i="4"/>
  <c r="R41" i="4"/>
  <c r="O41" i="4"/>
  <c r="N41" i="4"/>
  <c r="L41" i="4"/>
  <c r="K41" i="4"/>
  <c r="J41" i="4"/>
  <c r="I41" i="4"/>
  <c r="E41" i="4"/>
  <c r="AJ40" i="4"/>
  <c r="AH40" i="4"/>
  <c r="AI40" i="4" s="1"/>
  <c r="AC40" i="4"/>
  <c r="Y40" i="4"/>
  <c r="X40" i="4"/>
  <c r="W40" i="4"/>
  <c r="T40" i="4"/>
  <c r="S40" i="4"/>
  <c r="R40" i="4"/>
  <c r="O40" i="4"/>
  <c r="N40" i="4"/>
  <c r="L40" i="4"/>
  <c r="K40" i="4"/>
  <c r="J40" i="4"/>
  <c r="I40" i="4"/>
  <c r="AD40" i="4" s="1"/>
  <c r="E40" i="4"/>
  <c r="AJ39" i="4"/>
  <c r="AH39" i="4"/>
  <c r="AI39" i="4" s="1"/>
  <c r="AD39" i="4"/>
  <c r="AC39" i="4"/>
  <c r="X39" i="4"/>
  <c r="Y39" i="4" s="1"/>
  <c r="W39" i="4"/>
  <c r="T39" i="4"/>
  <c r="S39" i="4"/>
  <c r="R39" i="4"/>
  <c r="O39" i="4"/>
  <c r="N39" i="4"/>
  <c r="L39" i="4"/>
  <c r="K39" i="4"/>
  <c r="J39" i="4"/>
  <c r="I39" i="4"/>
  <c r="E39" i="4"/>
  <c r="AJ38" i="4"/>
  <c r="AH38" i="4"/>
  <c r="AI38" i="4" s="1"/>
  <c r="AC38" i="4"/>
  <c r="X38" i="4"/>
  <c r="Y38" i="4" s="1"/>
  <c r="W38" i="4"/>
  <c r="T38" i="4"/>
  <c r="S38" i="4"/>
  <c r="R38" i="4"/>
  <c r="O38" i="4"/>
  <c r="N38" i="4"/>
  <c r="L38" i="4"/>
  <c r="K38" i="4"/>
  <c r="I38" i="4"/>
  <c r="AD38" i="4" s="1"/>
  <c r="E38" i="4"/>
  <c r="AJ37" i="4"/>
  <c r="AH37" i="4"/>
  <c r="AI37" i="4" s="1"/>
  <c r="AD37" i="4"/>
  <c r="AC37" i="4"/>
  <c r="X37" i="4"/>
  <c r="Y37" i="4" s="1"/>
  <c r="W37" i="4"/>
  <c r="T37" i="4"/>
  <c r="S37" i="4"/>
  <c r="R37" i="4"/>
  <c r="O37" i="4"/>
  <c r="N37" i="4"/>
  <c r="L37" i="4"/>
  <c r="K37" i="4"/>
  <c r="J37" i="4"/>
  <c r="I37" i="4"/>
  <c r="E37" i="4"/>
  <c r="AJ36" i="4"/>
  <c r="AH36" i="4"/>
  <c r="AI36" i="4" s="1"/>
  <c r="AC36" i="4"/>
  <c r="Y36" i="4"/>
  <c r="X36" i="4"/>
  <c r="W36" i="4"/>
  <c r="T36" i="4"/>
  <c r="S36" i="4"/>
  <c r="R36" i="4"/>
  <c r="O36" i="4"/>
  <c r="N36" i="4"/>
  <c r="L36" i="4"/>
  <c r="K36" i="4"/>
  <c r="J36" i="4"/>
  <c r="I36" i="4"/>
  <c r="AD36" i="4" s="1"/>
  <c r="E36" i="4"/>
  <c r="AJ35" i="4"/>
  <c r="AH35" i="4"/>
  <c r="AI35" i="4" s="1"/>
  <c r="AD35" i="4"/>
  <c r="AC35" i="4"/>
  <c r="X35" i="4"/>
  <c r="Y35" i="4" s="1"/>
  <c r="W35" i="4"/>
  <c r="T35" i="4"/>
  <c r="S35" i="4"/>
  <c r="R35" i="4"/>
  <c r="O35" i="4"/>
  <c r="N35" i="4"/>
  <c r="L35" i="4"/>
  <c r="K35" i="4"/>
  <c r="J35" i="4"/>
  <c r="I35" i="4"/>
  <c r="E35" i="4"/>
  <c r="AJ34" i="4"/>
  <c r="AH34" i="4"/>
  <c r="AI34" i="4" s="1"/>
  <c r="AC34" i="4"/>
  <c r="X34" i="4"/>
  <c r="Y34" i="4" s="1"/>
  <c r="W34" i="4"/>
  <c r="T34" i="4"/>
  <c r="S34" i="4"/>
  <c r="R34" i="4"/>
  <c r="O34" i="4"/>
  <c r="N34" i="4"/>
  <c r="L34" i="4"/>
  <c r="K34" i="4"/>
  <c r="I34" i="4"/>
  <c r="AD34" i="4" s="1"/>
  <c r="E34" i="4"/>
  <c r="AJ33" i="4"/>
  <c r="AH33" i="4"/>
  <c r="AI33" i="4" s="1"/>
  <c r="AD33" i="4"/>
  <c r="AC33" i="4"/>
  <c r="X33" i="4"/>
  <c r="Y33" i="4" s="1"/>
  <c r="W33" i="4"/>
  <c r="T33" i="4"/>
  <c r="S33" i="4"/>
  <c r="R33" i="4"/>
  <c r="O33" i="4"/>
  <c r="N33" i="4"/>
  <c r="L33" i="4"/>
  <c r="K33" i="4"/>
  <c r="J33" i="4"/>
  <c r="I33" i="4"/>
  <c r="E33" i="4"/>
  <c r="AJ32" i="4"/>
  <c r="AH32" i="4"/>
  <c r="AI32" i="4" s="1"/>
  <c r="AC32" i="4"/>
  <c r="Y32" i="4"/>
  <c r="X32" i="4"/>
  <c r="W32" i="4"/>
  <c r="T32" i="4"/>
  <c r="S32" i="4"/>
  <c r="R32" i="4"/>
  <c r="O32" i="4"/>
  <c r="N32" i="4"/>
  <c r="L32" i="4"/>
  <c r="K32" i="4"/>
  <c r="J32" i="4"/>
  <c r="I32" i="4"/>
  <c r="AD32" i="4" s="1"/>
  <c r="E32" i="4"/>
  <c r="AJ31" i="4"/>
  <c r="AH31" i="4"/>
  <c r="AI31" i="4" s="1"/>
  <c r="AD31" i="4"/>
  <c r="AC31" i="4"/>
  <c r="X31" i="4"/>
  <c r="Y31" i="4" s="1"/>
  <c r="W31" i="4"/>
  <c r="T31" i="4"/>
  <c r="S31" i="4"/>
  <c r="R31" i="4"/>
  <c r="O31" i="4"/>
  <c r="N31" i="4"/>
  <c r="L31" i="4"/>
  <c r="K31" i="4"/>
  <c r="J31" i="4"/>
  <c r="I31" i="4"/>
  <c r="E31" i="4"/>
  <c r="AJ30" i="4"/>
  <c r="AH30" i="4"/>
  <c r="AI30" i="4" s="1"/>
  <c r="AC30" i="4"/>
  <c r="X30" i="4"/>
  <c r="Y30" i="4" s="1"/>
  <c r="W30" i="4"/>
  <c r="T30" i="4"/>
  <c r="S30" i="4"/>
  <c r="R30" i="4"/>
  <c r="O30" i="4"/>
  <c r="N30" i="4"/>
  <c r="L30" i="4"/>
  <c r="K30" i="4"/>
  <c r="I30" i="4"/>
  <c r="AD30" i="4" s="1"/>
  <c r="E30" i="4"/>
  <c r="AJ29" i="4"/>
  <c r="AH29" i="4"/>
  <c r="AI29" i="4" s="1"/>
  <c r="AD29" i="4"/>
  <c r="AC29" i="4"/>
  <c r="X29" i="4"/>
  <c r="Y29" i="4" s="1"/>
  <c r="W29" i="4"/>
  <c r="T29" i="4"/>
  <c r="S29" i="4"/>
  <c r="R29" i="4"/>
  <c r="O29" i="4"/>
  <c r="N29" i="4"/>
  <c r="L29" i="4"/>
  <c r="K29" i="4"/>
  <c r="J29" i="4"/>
  <c r="I29" i="4"/>
  <c r="E29" i="4"/>
  <c r="AJ28" i="4"/>
  <c r="AH28" i="4"/>
  <c r="AI28" i="4" s="1"/>
  <c r="AC28" i="4"/>
  <c r="Y28" i="4"/>
  <c r="X28" i="4"/>
  <c r="W28" i="4"/>
  <c r="T28" i="4"/>
  <c r="S28" i="4"/>
  <c r="R28" i="4"/>
  <c r="O28" i="4"/>
  <c r="N28" i="4"/>
  <c r="L28" i="4"/>
  <c r="K28" i="4"/>
  <c r="J28" i="4"/>
  <c r="I28" i="4"/>
  <c r="AD28" i="4" s="1"/>
  <c r="E28" i="4"/>
  <c r="AJ27" i="4"/>
  <c r="AH27" i="4"/>
  <c r="AI27" i="4" s="1"/>
  <c r="AD27" i="4"/>
  <c r="AC27" i="4"/>
  <c r="X27" i="4"/>
  <c r="Y27" i="4" s="1"/>
  <c r="W27" i="4"/>
  <c r="T27" i="4"/>
  <c r="S27" i="4"/>
  <c r="R27" i="4"/>
  <c r="O27" i="4"/>
  <c r="N27" i="4"/>
  <c r="L27" i="4"/>
  <c r="K27" i="4"/>
  <c r="J27" i="4"/>
  <c r="I27" i="4"/>
  <c r="E27" i="4"/>
  <c r="AJ26" i="4"/>
  <c r="AH26" i="4"/>
  <c r="AI26" i="4" s="1"/>
  <c r="AC26" i="4"/>
  <c r="X26" i="4"/>
  <c r="Y26" i="4" s="1"/>
  <c r="W26" i="4"/>
  <c r="T26" i="4"/>
  <c r="S26" i="4"/>
  <c r="R26" i="4"/>
  <c r="O26" i="4"/>
  <c r="N26" i="4"/>
  <c r="L26" i="4"/>
  <c r="K26" i="4"/>
  <c r="I26" i="4"/>
  <c r="AD26" i="4" s="1"/>
  <c r="E26" i="4"/>
  <c r="AJ25" i="4"/>
  <c r="AH25" i="4"/>
  <c r="AI25" i="4" s="1"/>
  <c r="AD25" i="4"/>
  <c r="AC25" i="4"/>
  <c r="X25" i="4"/>
  <c r="Y25" i="4" s="1"/>
  <c r="W25" i="4"/>
  <c r="T25" i="4"/>
  <c r="S25" i="4"/>
  <c r="R25" i="4"/>
  <c r="O25" i="4"/>
  <c r="N25" i="4"/>
  <c r="L25" i="4"/>
  <c r="K25" i="4"/>
  <c r="J25" i="4"/>
  <c r="I25" i="4"/>
  <c r="E25" i="4"/>
  <c r="AJ24" i="4"/>
  <c r="AH24" i="4"/>
  <c r="AI24" i="4" s="1"/>
  <c r="AC24" i="4"/>
  <c r="Y24" i="4"/>
  <c r="X24" i="4"/>
  <c r="W24" i="4"/>
  <c r="T24" i="4"/>
  <c r="S24" i="4"/>
  <c r="R24" i="4"/>
  <c r="O24" i="4"/>
  <c r="N24" i="4"/>
  <c r="L24" i="4"/>
  <c r="K24" i="4"/>
  <c r="J24" i="4"/>
  <c r="I24" i="4"/>
  <c r="AD24" i="4" s="1"/>
  <c r="E24" i="4"/>
  <c r="AJ23" i="4"/>
  <c r="AH23" i="4"/>
  <c r="AI23" i="4" s="1"/>
  <c r="AD23" i="4"/>
  <c r="AC23" i="4"/>
  <c r="X23" i="4"/>
  <c r="Y23" i="4" s="1"/>
  <c r="W23" i="4"/>
  <c r="T23" i="4"/>
  <c r="S23" i="4"/>
  <c r="R23" i="4"/>
  <c r="O23" i="4"/>
  <c r="N23" i="4"/>
  <c r="L23" i="4"/>
  <c r="K23" i="4"/>
  <c r="J23" i="4"/>
  <c r="I23" i="4"/>
  <c r="E23" i="4"/>
  <c r="AJ22" i="4"/>
  <c r="AH22" i="4"/>
  <c r="AI22" i="4" s="1"/>
  <c r="AC22" i="4"/>
  <c r="X22" i="4"/>
  <c r="Y22" i="4" s="1"/>
  <c r="W22" i="4"/>
  <c r="T22" i="4"/>
  <c r="S22" i="4"/>
  <c r="R22" i="4"/>
  <c r="O22" i="4"/>
  <c r="N22" i="4"/>
  <c r="L22" i="4"/>
  <c r="K22" i="4"/>
  <c r="I22" i="4"/>
  <c r="AD22" i="4" s="1"/>
  <c r="E22" i="4"/>
  <c r="AJ21" i="4"/>
  <c r="AH21" i="4"/>
  <c r="AI21" i="4" s="1"/>
  <c r="AD21" i="4"/>
  <c r="AC21" i="4"/>
  <c r="X21" i="4"/>
  <c r="Y21" i="4" s="1"/>
  <c r="W21" i="4"/>
  <c r="T21" i="4"/>
  <c r="S21" i="4"/>
  <c r="R21" i="4"/>
  <c r="O21" i="4"/>
  <c r="N21" i="4"/>
  <c r="L21" i="4"/>
  <c r="K21" i="4"/>
  <c r="J21" i="4"/>
  <c r="I21" i="4"/>
  <c r="E21" i="4"/>
  <c r="AJ20" i="4"/>
  <c r="AH20" i="4"/>
  <c r="AI20" i="4" s="1"/>
  <c r="AC20" i="4"/>
  <c r="Y20" i="4"/>
  <c r="X20" i="4"/>
  <c r="W20" i="4"/>
  <c r="T20" i="4"/>
  <c r="S20" i="4"/>
  <c r="R20" i="4"/>
  <c r="O20" i="4"/>
  <c r="N20" i="4"/>
  <c r="L20" i="4"/>
  <c r="K20" i="4"/>
  <c r="J20" i="4"/>
  <c r="I20" i="4"/>
  <c r="AD20" i="4" s="1"/>
  <c r="E20" i="4"/>
  <c r="AJ19" i="4"/>
  <c r="AH19" i="4"/>
  <c r="AI19" i="4" s="1"/>
  <c r="AD19" i="4"/>
  <c r="AC19" i="4"/>
  <c r="X19" i="4"/>
  <c r="Y19" i="4" s="1"/>
  <c r="W19" i="4"/>
  <c r="T19" i="4"/>
  <c r="S19" i="4"/>
  <c r="R19" i="4"/>
  <c r="O19" i="4"/>
  <c r="N19" i="4"/>
  <c r="L19" i="4"/>
  <c r="K19" i="4"/>
  <c r="J19" i="4"/>
  <c r="I19" i="4"/>
  <c r="E19" i="4"/>
  <c r="AJ18" i="4"/>
  <c r="AH18" i="4"/>
  <c r="AI18" i="4" s="1"/>
  <c r="AC18" i="4"/>
  <c r="X18" i="4"/>
  <c r="Y18" i="4" s="1"/>
  <c r="W18" i="4"/>
  <c r="T18" i="4"/>
  <c r="S18" i="4"/>
  <c r="R18" i="4"/>
  <c r="O18" i="4"/>
  <c r="N18" i="4"/>
  <c r="L18" i="4"/>
  <c r="K18" i="4"/>
  <c r="I18" i="4"/>
  <c r="AD18" i="4" s="1"/>
  <c r="E18" i="4"/>
  <c r="AJ17" i="4"/>
  <c r="AH17" i="4"/>
  <c r="AI17" i="4" s="1"/>
  <c r="AD17" i="4"/>
  <c r="AC17" i="4"/>
  <c r="X17" i="4"/>
  <c r="Y17" i="4" s="1"/>
  <c r="W17" i="4"/>
  <c r="T17" i="4"/>
  <c r="S17" i="4"/>
  <c r="R17" i="4"/>
  <c r="O17" i="4"/>
  <c r="N17" i="4"/>
  <c r="L17" i="4"/>
  <c r="K17" i="4"/>
  <c r="J17" i="4"/>
  <c r="I17" i="4"/>
  <c r="E17" i="4"/>
  <c r="AJ16" i="4"/>
  <c r="AH16" i="4"/>
  <c r="AI16" i="4" s="1"/>
  <c r="AC16" i="4"/>
  <c r="Y16" i="4"/>
  <c r="X16" i="4"/>
  <c r="W16" i="4"/>
  <c r="T16" i="4"/>
  <c r="S16" i="4"/>
  <c r="R16" i="4"/>
  <c r="O16" i="4"/>
  <c r="N16" i="4"/>
  <c r="L16" i="4"/>
  <c r="K16" i="4"/>
  <c r="J16" i="4"/>
  <c r="I16" i="4"/>
  <c r="AD16" i="4" s="1"/>
  <c r="E16" i="4"/>
  <c r="AJ15" i="4"/>
  <c r="AH15" i="4"/>
  <c r="AI15" i="4" s="1"/>
  <c r="AD15" i="4"/>
  <c r="AC15" i="4"/>
  <c r="X15" i="4"/>
  <c r="Y15" i="4" s="1"/>
  <c r="W15" i="4"/>
  <c r="T15" i="4"/>
  <c r="S15" i="4"/>
  <c r="R15" i="4"/>
  <c r="O15" i="4"/>
  <c r="N15" i="4"/>
  <c r="L15" i="4"/>
  <c r="K15" i="4"/>
  <c r="J15" i="4"/>
  <c r="I15" i="4"/>
  <c r="E15" i="4"/>
  <c r="AJ14" i="4"/>
  <c r="AH14" i="4"/>
  <c r="AI14" i="4" s="1"/>
  <c r="AC14" i="4"/>
  <c r="X14" i="4"/>
  <c r="Y14" i="4" s="1"/>
  <c r="W14" i="4"/>
  <c r="T14" i="4"/>
  <c r="S14" i="4"/>
  <c r="R14" i="4"/>
  <c r="O14" i="4"/>
  <c r="N14" i="4"/>
  <c r="L14" i="4"/>
  <c r="K14" i="4"/>
  <c r="I14" i="4"/>
  <c r="AD14" i="4" s="1"/>
  <c r="E14" i="4"/>
  <c r="AJ13" i="4"/>
  <c r="AH13" i="4"/>
  <c r="AI13" i="4" s="1"/>
  <c r="AD13" i="4"/>
  <c r="AC13" i="4"/>
  <c r="X13" i="4"/>
  <c r="Y13" i="4" s="1"/>
  <c r="W13" i="4"/>
  <c r="T13" i="4"/>
  <c r="S13" i="4"/>
  <c r="R13" i="4"/>
  <c r="O13" i="4"/>
  <c r="N13" i="4"/>
  <c r="L13" i="4"/>
  <c r="K13" i="4"/>
  <c r="J13" i="4"/>
  <c r="I13" i="4"/>
  <c r="E13" i="4"/>
  <c r="AJ12" i="4"/>
  <c r="AH12" i="4"/>
  <c r="AI12" i="4" s="1"/>
  <c r="AC12" i="4"/>
  <c r="Y12" i="4"/>
  <c r="X12" i="4"/>
  <c r="W12" i="4"/>
  <c r="T12" i="4"/>
  <c r="S12" i="4"/>
  <c r="R12" i="4"/>
  <c r="O12" i="4"/>
  <c r="N12" i="4"/>
  <c r="L12" i="4"/>
  <c r="K12" i="4"/>
  <c r="I12" i="4"/>
  <c r="AD12" i="4" s="1"/>
  <c r="E12" i="4"/>
  <c r="AJ11" i="4"/>
  <c r="AH11" i="4"/>
  <c r="AI11" i="4" s="1"/>
  <c r="AD11" i="4"/>
  <c r="AC11" i="4"/>
  <c r="X11" i="4"/>
  <c r="Y11" i="4" s="1"/>
  <c r="W11" i="4"/>
  <c r="T11" i="4"/>
  <c r="S11" i="4"/>
  <c r="R11" i="4"/>
  <c r="O11" i="4"/>
  <c r="N11" i="4"/>
  <c r="L11" i="4"/>
  <c r="K11" i="4"/>
  <c r="J11" i="4"/>
  <c r="I11" i="4"/>
  <c r="E11" i="4"/>
  <c r="AJ10" i="4"/>
  <c r="AH10" i="4"/>
  <c r="AI10" i="4" s="1"/>
  <c r="AC10" i="4"/>
  <c r="X10" i="4"/>
  <c r="Y10" i="4" s="1"/>
  <c r="W10" i="4"/>
  <c r="T10" i="4"/>
  <c r="S10" i="4"/>
  <c r="R10" i="4"/>
  <c r="O10" i="4"/>
  <c r="N10" i="4"/>
  <c r="L10" i="4"/>
  <c r="K10" i="4"/>
  <c r="I10" i="4"/>
  <c r="AD10" i="4" s="1"/>
  <c r="E10" i="4"/>
  <c r="AJ9" i="4"/>
  <c r="AH9" i="4"/>
  <c r="AI9" i="4" s="1"/>
  <c r="AD9" i="4"/>
  <c r="AC9" i="4"/>
  <c r="X9" i="4"/>
  <c r="Y9" i="4" s="1"/>
  <c r="W9" i="4"/>
  <c r="T9" i="4"/>
  <c r="S9" i="4"/>
  <c r="R9" i="4"/>
  <c r="O9" i="4"/>
  <c r="N9" i="4"/>
  <c r="L9" i="4"/>
  <c r="K9" i="4"/>
  <c r="J9" i="4"/>
  <c r="I9" i="4"/>
  <c r="E9" i="4"/>
  <c r="AJ8" i="4"/>
  <c r="AH8" i="4"/>
  <c r="AI8" i="4" s="1"/>
  <c r="AC8" i="4"/>
  <c r="X8" i="4"/>
  <c r="Y8" i="4" s="1"/>
  <c r="W8" i="4"/>
  <c r="T8" i="4"/>
  <c r="S8" i="4"/>
  <c r="R8" i="4"/>
  <c r="O8" i="4"/>
  <c r="V8" i="4" s="1"/>
  <c r="N8" i="4"/>
  <c r="L8" i="4"/>
  <c r="K8" i="4"/>
  <c r="J8" i="4"/>
  <c r="I8" i="4"/>
  <c r="AD8" i="4" s="1"/>
  <c r="E8" i="4"/>
  <c r="AJ7" i="4"/>
  <c r="AH7" i="4"/>
  <c r="AI7" i="4" s="1"/>
  <c r="AD7" i="4"/>
  <c r="AC7" i="4"/>
  <c r="X7" i="4"/>
  <c r="Y7" i="4" s="1"/>
  <c r="W7" i="4"/>
  <c r="T7" i="4"/>
  <c r="S7" i="4"/>
  <c r="R7" i="4"/>
  <c r="O7" i="4"/>
  <c r="N7" i="4"/>
  <c r="L7" i="4"/>
  <c r="K7" i="4"/>
  <c r="J7" i="4"/>
  <c r="I7" i="4"/>
  <c r="E7" i="4"/>
  <c r="AJ6" i="4"/>
  <c r="AH6" i="4"/>
  <c r="AI6" i="4" s="1"/>
  <c r="AC6" i="4"/>
  <c r="X6" i="4"/>
  <c r="Y6" i="4" s="1"/>
  <c r="W6" i="4"/>
  <c r="T6" i="4"/>
  <c r="S6" i="4"/>
  <c r="R6" i="4"/>
  <c r="O6" i="4"/>
  <c r="V6" i="4" s="1"/>
  <c r="N6" i="4"/>
  <c r="L6" i="4"/>
  <c r="K6" i="4"/>
  <c r="I6" i="4"/>
  <c r="AD6" i="4" s="1"/>
  <c r="E6" i="4"/>
  <c r="AJ5" i="4"/>
  <c r="AH5" i="4"/>
  <c r="AI5" i="4" s="1"/>
  <c r="AD5" i="4"/>
  <c r="AC5" i="4"/>
  <c r="X5" i="4"/>
  <c r="Y5" i="4" s="1"/>
  <c r="W5" i="4"/>
  <c r="T5" i="4"/>
  <c r="S5" i="4"/>
  <c r="R5" i="4"/>
  <c r="O5" i="4"/>
  <c r="N5" i="4"/>
  <c r="L5" i="4"/>
  <c r="K5" i="4"/>
  <c r="J5" i="4"/>
  <c r="I5" i="4"/>
  <c r="E5" i="4"/>
  <c r="AJ4" i="4"/>
  <c r="AH4" i="4"/>
  <c r="AI4" i="4" s="1"/>
  <c r="AC4" i="4"/>
  <c r="Y4" i="4"/>
  <c r="X4" i="4"/>
  <c r="W4" i="4"/>
  <c r="T4" i="4"/>
  <c r="S4" i="4"/>
  <c r="R4" i="4"/>
  <c r="O4" i="4"/>
  <c r="N4" i="4"/>
  <c r="L4" i="4"/>
  <c r="K4" i="4"/>
  <c r="I4" i="4"/>
  <c r="AD4" i="4" s="1"/>
  <c r="E4" i="4"/>
  <c r="AJ3" i="4"/>
  <c r="AH3" i="4"/>
  <c r="AI3" i="4" s="1"/>
  <c r="AD3" i="4"/>
  <c r="AC3" i="4"/>
  <c r="X3" i="4"/>
  <c r="Y3" i="4" s="1"/>
  <c r="W3" i="4"/>
  <c r="T3" i="4"/>
  <c r="S3" i="4"/>
  <c r="R3" i="4"/>
  <c r="O3" i="4"/>
  <c r="N3" i="4"/>
  <c r="L3" i="4"/>
  <c r="K3" i="4"/>
  <c r="J3" i="4"/>
  <c r="I3" i="4"/>
  <c r="E3" i="4"/>
  <c r="AJ2" i="4"/>
  <c r="AH2" i="4"/>
  <c r="AI2" i="4" s="1"/>
  <c r="AC2" i="4"/>
  <c r="X2" i="4"/>
  <c r="Y2" i="4" s="1"/>
  <c r="W2" i="4"/>
  <c r="T2" i="4"/>
  <c r="S2" i="4"/>
  <c r="R2" i="4"/>
  <c r="O2" i="4"/>
  <c r="N2" i="4"/>
  <c r="Q54" i="4" s="1"/>
  <c r="L2" i="4"/>
  <c r="K2" i="4"/>
  <c r="I2" i="4"/>
  <c r="AD2" i="4" s="1"/>
  <c r="E2" i="4"/>
  <c r="B29" i="3"/>
  <c r="B28" i="3"/>
  <c r="B27" i="3"/>
  <c r="B26" i="3"/>
  <c r="B25" i="3"/>
  <c r="B18" i="3"/>
  <c r="B17" i="3"/>
  <c r="B16" i="3"/>
  <c r="B15" i="3"/>
  <c r="B14" i="3"/>
  <c r="B13" i="3"/>
  <c r="B10" i="3"/>
  <c r="B9" i="3"/>
  <c r="B8" i="3"/>
  <c r="B7" i="3"/>
  <c r="B6" i="3"/>
  <c r="B21" i="3" s="1"/>
  <c r="D21" i="2"/>
  <c r="B21" i="2"/>
  <c r="D20" i="2"/>
  <c r="B20" i="2"/>
  <c r="D19" i="2"/>
  <c r="B19" i="2"/>
  <c r="D18" i="2"/>
  <c r="C18" i="2"/>
  <c r="B18" i="2"/>
  <c r="G14" i="2"/>
  <c r="E14" i="2"/>
  <c r="C14" i="2"/>
  <c r="A14" i="2"/>
  <c r="G10" i="2"/>
  <c r="G4" i="2"/>
  <c r="D4" i="2"/>
  <c r="A4" i="2"/>
  <c r="J2" i="4" l="1"/>
  <c r="Q9" i="4"/>
  <c r="Z9" i="4"/>
  <c r="J10" i="4"/>
  <c r="V10" i="4"/>
  <c r="V11" i="4"/>
  <c r="Q12" i="4"/>
  <c r="Q17" i="4"/>
  <c r="Z17" i="4"/>
  <c r="J18" i="4"/>
  <c r="V18" i="4"/>
  <c r="V19" i="4"/>
  <c r="Q20" i="4"/>
  <c r="Q25" i="4"/>
  <c r="Z25" i="4"/>
  <c r="J26" i="4"/>
  <c r="V26" i="4"/>
  <c r="V27" i="4"/>
  <c r="Q28" i="4"/>
  <c r="Q33" i="4"/>
  <c r="Z33" i="4"/>
  <c r="J34" i="4"/>
  <c r="V34" i="4"/>
  <c r="V35" i="4"/>
  <c r="Q36" i="4"/>
  <c r="Q41" i="4"/>
  <c r="Z41" i="4"/>
  <c r="J42" i="4"/>
  <c r="V42" i="4"/>
  <c r="AD44" i="4"/>
  <c r="J44" i="4"/>
  <c r="Q48" i="4"/>
  <c r="Q57" i="4"/>
  <c r="Q59" i="4"/>
  <c r="AD60" i="4"/>
  <c r="J60" i="4"/>
  <c r="Q63" i="4"/>
  <c r="Q67" i="4"/>
  <c r="Q71" i="4"/>
  <c r="Q75" i="4"/>
  <c r="Q79" i="4"/>
  <c r="Q83" i="4"/>
  <c r="Q87" i="4"/>
  <c r="Q91" i="4"/>
  <c r="Q95" i="4"/>
  <c r="Q99" i="4"/>
  <c r="Q103" i="4"/>
  <c r="Q107" i="4"/>
  <c r="Q111" i="4"/>
  <c r="Q115" i="4"/>
  <c r="Q119" i="4"/>
  <c r="Q123" i="4"/>
  <c r="Q127" i="4"/>
  <c r="Q131" i="4"/>
  <c r="E35" i="8"/>
  <c r="F35" i="8" s="1"/>
  <c r="Q242" i="4"/>
  <c r="Q240" i="4"/>
  <c r="Q238" i="4"/>
  <c r="Q202" i="4"/>
  <c r="Q198" i="4"/>
  <c r="Q194" i="4"/>
  <c r="Q190" i="4"/>
  <c r="Q186" i="4"/>
  <c r="Q182" i="4"/>
  <c r="Q178" i="4"/>
  <c r="Q174" i="4"/>
  <c r="Q170" i="4"/>
  <c r="Q166" i="4"/>
  <c r="Q162" i="4"/>
  <c r="Q236" i="4"/>
  <c r="Q234" i="4"/>
  <c r="Q232" i="4"/>
  <c r="Q230" i="4"/>
  <c r="Q228" i="4"/>
  <c r="Q226" i="4"/>
  <c r="Q224" i="4"/>
  <c r="Q222" i="4"/>
  <c r="Q211" i="4"/>
  <c r="Q195" i="4"/>
  <c r="Q179" i="4"/>
  <c r="Q163" i="4"/>
  <c r="Q158" i="4"/>
  <c r="Q154" i="4"/>
  <c r="Q150" i="4"/>
  <c r="Q146" i="4"/>
  <c r="Q145" i="4"/>
  <c r="Q143" i="4"/>
  <c r="Q130" i="4"/>
  <c r="Q126" i="4"/>
  <c r="Q122" i="4"/>
  <c r="Q118" i="4"/>
  <c r="Q114" i="4"/>
  <c r="Q110" i="4"/>
  <c r="Q106" i="4"/>
  <c r="Q102" i="4"/>
  <c r="Q98" i="4"/>
  <c r="Q94" i="4"/>
  <c r="Q90" i="4"/>
  <c r="Q86" i="4"/>
  <c r="Q82" i="4"/>
  <c r="Q78" i="4"/>
  <c r="Q74" i="4"/>
  <c r="Q70" i="4"/>
  <c r="Q66" i="4"/>
  <c r="Q62" i="4"/>
  <c r="Q207" i="4"/>
  <c r="Q191" i="4"/>
  <c r="Q183" i="4"/>
  <c r="Q167" i="4"/>
  <c r="Q142" i="4"/>
  <c r="Q219" i="4"/>
  <c r="Q203" i="4"/>
  <c r="Q187" i="4"/>
  <c r="Q171" i="4"/>
  <c r="Q138" i="4"/>
  <c r="Q2" i="4"/>
  <c r="Q215" i="4"/>
  <c r="Q199" i="4"/>
  <c r="Q175" i="4"/>
  <c r="Q159" i="4"/>
  <c r="Q155" i="4"/>
  <c r="Q151" i="4"/>
  <c r="Q134" i="4"/>
  <c r="Q4" i="4"/>
  <c r="Q3" i="4"/>
  <c r="V4" i="4"/>
  <c r="E33" i="8"/>
  <c r="Q6" i="4"/>
  <c r="Q11" i="4"/>
  <c r="V12" i="4"/>
  <c r="V13" i="4"/>
  <c r="Q19" i="4"/>
  <c r="V20" i="4"/>
  <c r="V21" i="4"/>
  <c r="Q22" i="4"/>
  <c r="Q27" i="4"/>
  <c r="V28" i="4"/>
  <c r="V29" i="4"/>
  <c r="Q30" i="4"/>
  <c r="Q35" i="4"/>
  <c r="V36" i="4"/>
  <c r="V37" i="4"/>
  <c r="Q38" i="4"/>
  <c r="Q43" i="4"/>
  <c r="Q45" i="4"/>
  <c r="Q47" i="4"/>
  <c r="AD48" i="4"/>
  <c r="J48" i="4"/>
  <c r="Q52" i="4"/>
  <c r="Q58" i="4"/>
  <c r="Q61" i="4"/>
  <c r="Q65" i="4"/>
  <c r="Q69" i="4"/>
  <c r="Q73" i="4"/>
  <c r="Q77" i="4"/>
  <c r="Q81" i="4"/>
  <c r="Q85" i="4"/>
  <c r="Q89" i="4"/>
  <c r="Q93" i="4"/>
  <c r="Q97" i="4"/>
  <c r="Q101" i="4"/>
  <c r="Q105" i="4"/>
  <c r="Q109" i="4"/>
  <c r="Q113" i="4"/>
  <c r="Q117" i="4"/>
  <c r="Q121" i="4"/>
  <c r="Q125" i="4"/>
  <c r="Q129" i="4"/>
  <c r="Q133" i="4"/>
  <c r="Q139" i="4"/>
  <c r="Q7" i="4"/>
  <c r="V3" i="4"/>
  <c r="B31" i="3"/>
  <c r="J4" i="4"/>
  <c r="V5" i="4"/>
  <c r="J12" i="4"/>
  <c r="Q14" i="4"/>
  <c r="Q5" i="4"/>
  <c r="Z5" i="4"/>
  <c r="J6" i="4"/>
  <c r="Q8" i="4"/>
  <c r="Q13" i="4"/>
  <c r="Z13" i="4"/>
  <c r="J14" i="4"/>
  <c r="V14" i="4"/>
  <c r="V15" i="4"/>
  <c r="Q16" i="4"/>
  <c r="Q21" i="4"/>
  <c r="Z21" i="4"/>
  <c r="J22" i="4"/>
  <c r="V22" i="4"/>
  <c r="V23" i="4"/>
  <c r="Q24" i="4"/>
  <c r="Q29" i="4"/>
  <c r="Z29" i="4"/>
  <c r="J30" i="4"/>
  <c r="V30" i="4"/>
  <c r="V31" i="4"/>
  <c r="Q32" i="4"/>
  <c r="Q37" i="4"/>
  <c r="Z37" i="4"/>
  <c r="J38" i="4"/>
  <c r="V38" i="4"/>
  <c r="V39" i="4"/>
  <c r="Q40" i="4"/>
  <c r="Q46" i="4"/>
  <c r="Q49" i="4"/>
  <c r="Q51" i="4"/>
  <c r="AD52" i="4"/>
  <c r="J52" i="4"/>
  <c r="Q56" i="4"/>
  <c r="Q141" i="4"/>
  <c r="Q147" i="4"/>
  <c r="V9" i="4"/>
  <c r="Q10" i="4"/>
  <c r="Q15" i="4"/>
  <c r="V16" i="4"/>
  <c r="V17" i="4"/>
  <c r="Q18" i="4"/>
  <c r="Q23" i="4"/>
  <c r="V24" i="4"/>
  <c r="V25" i="4"/>
  <c r="Q26" i="4"/>
  <c r="Q31" i="4"/>
  <c r="V32" i="4"/>
  <c r="V33" i="4"/>
  <c r="Q34" i="4"/>
  <c r="Q39" i="4"/>
  <c r="V40" i="4"/>
  <c r="Q42" i="4"/>
  <c r="Q44" i="4"/>
  <c r="Q50" i="4"/>
  <c r="Q53" i="4"/>
  <c r="Q55" i="4"/>
  <c r="AD56" i="4"/>
  <c r="J56" i="4"/>
  <c r="Q60" i="4"/>
  <c r="Q64" i="4"/>
  <c r="Q68" i="4"/>
  <c r="Q72" i="4"/>
  <c r="Q76" i="4"/>
  <c r="Q80" i="4"/>
  <c r="Q84" i="4"/>
  <c r="Q88" i="4"/>
  <c r="Q92" i="4"/>
  <c r="Q96" i="4"/>
  <c r="Q100" i="4"/>
  <c r="Q104" i="4"/>
  <c r="Q108" i="4"/>
  <c r="Q112" i="4"/>
  <c r="Q116" i="4"/>
  <c r="Q120" i="4"/>
  <c r="Q124" i="4"/>
  <c r="Q128" i="4"/>
  <c r="Q135" i="4"/>
  <c r="Q137" i="4"/>
  <c r="P44" i="4"/>
  <c r="P48" i="4"/>
  <c r="P52" i="4"/>
  <c r="P56" i="4"/>
  <c r="P60" i="4"/>
  <c r="J64" i="4"/>
  <c r="P64" i="4"/>
  <c r="J68" i="4"/>
  <c r="P68" i="4"/>
  <c r="J72" i="4"/>
  <c r="P72" i="4"/>
  <c r="J76" i="4"/>
  <c r="P76" i="4"/>
  <c r="J80" i="4"/>
  <c r="P80" i="4"/>
  <c r="J84" i="4"/>
  <c r="P84" i="4"/>
  <c r="J88" i="4"/>
  <c r="P88" i="4"/>
  <c r="J92" i="4"/>
  <c r="P92" i="4"/>
  <c r="J96" i="4"/>
  <c r="P96" i="4"/>
  <c r="J100" i="4"/>
  <c r="P100" i="4"/>
  <c r="J104" i="4"/>
  <c r="P104" i="4"/>
  <c r="J108" i="4"/>
  <c r="P108" i="4"/>
  <c r="J112" i="4"/>
  <c r="P112" i="4"/>
  <c r="J116" i="4"/>
  <c r="P116" i="4"/>
  <c r="J120" i="4"/>
  <c r="P120" i="4"/>
  <c r="J124" i="4"/>
  <c r="J128" i="4"/>
  <c r="J132" i="4"/>
  <c r="J135" i="4"/>
  <c r="P135" i="4"/>
  <c r="Q136" i="4"/>
  <c r="AD136" i="4"/>
  <c r="AD137" i="4"/>
  <c r="J137" i="4"/>
  <c r="J148" i="4"/>
  <c r="P148" i="4"/>
  <c r="J152" i="4"/>
  <c r="J156" i="4"/>
  <c r="Q169" i="4"/>
  <c r="Q172" i="4"/>
  <c r="AD173" i="4"/>
  <c r="J173" i="4"/>
  <c r="Q185" i="4"/>
  <c r="P188" i="4"/>
  <c r="Q192" i="4"/>
  <c r="AD193" i="4"/>
  <c r="J193" i="4"/>
  <c r="Q197" i="4"/>
  <c r="P204" i="4"/>
  <c r="Q208" i="4"/>
  <c r="AD209" i="4"/>
  <c r="J209" i="4"/>
  <c r="Q213" i="4"/>
  <c r="Q218" i="4"/>
  <c r="P220" i="4"/>
  <c r="Q241" i="4"/>
  <c r="Z2" i="4"/>
  <c r="Z6" i="4"/>
  <c r="E34" i="8"/>
  <c r="Z10" i="4"/>
  <c r="Z14" i="4"/>
  <c r="Z18" i="4"/>
  <c r="Z22" i="4"/>
  <c r="Z26" i="4"/>
  <c r="Z30" i="4"/>
  <c r="Z34" i="4"/>
  <c r="Z38" i="4"/>
  <c r="E32" i="8"/>
  <c r="Z42" i="4"/>
  <c r="J45" i="4"/>
  <c r="J49" i="4"/>
  <c r="J53" i="4"/>
  <c r="J57" i="4"/>
  <c r="J61" i="4"/>
  <c r="J65" i="4"/>
  <c r="J69" i="4"/>
  <c r="J73" i="4"/>
  <c r="J77" i="4"/>
  <c r="J81" i="4"/>
  <c r="J85" i="4"/>
  <c r="J89" i="4"/>
  <c r="J93" i="4"/>
  <c r="J97" i="4"/>
  <c r="J101" i="4"/>
  <c r="J105" i="4"/>
  <c r="J109" i="4"/>
  <c r="J113" i="4"/>
  <c r="J117" i="4"/>
  <c r="J121" i="4"/>
  <c r="J125" i="4"/>
  <c r="P125" i="4"/>
  <c r="J129" i="4"/>
  <c r="P129" i="4"/>
  <c r="J139" i="4"/>
  <c r="P139" i="4"/>
  <c r="Q140" i="4"/>
  <c r="AD141" i="4"/>
  <c r="J141" i="4"/>
  <c r="Q165" i="4"/>
  <c r="Q168" i="4"/>
  <c r="AD169" i="4"/>
  <c r="J169" i="4"/>
  <c r="Q181" i="4"/>
  <c r="Q184" i="4"/>
  <c r="AD185" i="4"/>
  <c r="J185" i="4"/>
  <c r="P192" i="4"/>
  <c r="Q196" i="4"/>
  <c r="AD197" i="4"/>
  <c r="J197" i="4"/>
  <c r="Q201" i="4"/>
  <c r="Q206" i="4"/>
  <c r="P208" i="4"/>
  <c r="Q212" i="4"/>
  <c r="AD213" i="4"/>
  <c r="J213" i="4"/>
  <c r="Q217" i="4"/>
  <c r="Q239" i="4"/>
  <c r="V43" i="4"/>
  <c r="P46" i="4"/>
  <c r="P50" i="4"/>
  <c r="P54" i="4"/>
  <c r="P58" i="4"/>
  <c r="P62" i="4"/>
  <c r="P66" i="4"/>
  <c r="P70" i="4"/>
  <c r="P74" i="4"/>
  <c r="P78" i="4"/>
  <c r="P82" i="4"/>
  <c r="P86" i="4"/>
  <c r="P90" i="4"/>
  <c r="P94" i="4"/>
  <c r="P98" i="4"/>
  <c r="P102" i="4"/>
  <c r="P106" i="4"/>
  <c r="P110" i="4"/>
  <c r="P114" i="4"/>
  <c r="P118" i="4"/>
  <c r="P143" i="4"/>
  <c r="Q144" i="4"/>
  <c r="AD145" i="4"/>
  <c r="J145" i="4"/>
  <c r="P146" i="4"/>
  <c r="Q149" i="4"/>
  <c r="Q153" i="4"/>
  <c r="Q157" i="4"/>
  <c r="Q161" i="4"/>
  <c r="Q164" i="4"/>
  <c r="AD165" i="4"/>
  <c r="J165" i="4"/>
  <c r="Q177" i="4"/>
  <c r="Q180" i="4"/>
  <c r="AD181" i="4"/>
  <c r="J181" i="4"/>
  <c r="P184" i="4"/>
  <c r="Q189" i="4"/>
  <c r="P196" i="4"/>
  <c r="Q200" i="4"/>
  <c r="AD201" i="4"/>
  <c r="J201" i="4"/>
  <c r="Q205" i="4"/>
  <c r="Q210" i="4"/>
  <c r="P212" i="4"/>
  <c r="Q216" i="4"/>
  <c r="AD217" i="4"/>
  <c r="J217" i="4"/>
  <c r="Q221" i="4"/>
  <c r="Q223" i="4"/>
  <c r="Q225" i="4"/>
  <c r="Q227" i="4"/>
  <c r="Q229" i="4"/>
  <c r="Q231" i="4"/>
  <c r="Q233" i="4"/>
  <c r="Q235" i="4"/>
  <c r="Q237" i="4"/>
  <c r="P123" i="4"/>
  <c r="P127" i="4"/>
  <c r="P131" i="4"/>
  <c r="Q132" i="4"/>
  <c r="G240" i="12" s="1"/>
  <c r="AD133" i="4"/>
  <c r="J133" i="4"/>
  <c r="Q148" i="4"/>
  <c r="AD149" i="4"/>
  <c r="J149" i="4"/>
  <c r="Q152" i="4"/>
  <c r="AD153" i="4"/>
  <c r="J153" i="4"/>
  <c r="P155" i="4"/>
  <c r="Q156" i="4"/>
  <c r="AD157" i="4"/>
  <c r="J157" i="4"/>
  <c r="Q160" i="4"/>
  <c r="AD161" i="4"/>
  <c r="J161" i="4"/>
  <c r="Q173" i="4"/>
  <c r="F177" i="12" s="1"/>
  <c r="Q176" i="4"/>
  <c r="AD177" i="4"/>
  <c r="J177" i="4"/>
  <c r="P180" i="4"/>
  <c r="Q188" i="4"/>
  <c r="AD189" i="4"/>
  <c r="J189" i="4"/>
  <c r="Q193" i="4"/>
  <c r="L230" i="12" s="1"/>
  <c r="P200" i="4"/>
  <c r="Q204" i="4"/>
  <c r="AD205" i="4"/>
  <c r="J205" i="4"/>
  <c r="Q209" i="4"/>
  <c r="Q214" i="4"/>
  <c r="P216" i="4"/>
  <c r="Q220" i="4"/>
  <c r="J221" i="4"/>
  <c r="AD221" i="4"/>
  <c r="J223" i="4"/>
  <c r="AD223" i="4"/>
  <c r="J225" i="4"/>
  <c r="AD225" i="4"/>
  <c r="J227" i="4"/>
  <c r="AD227" i="4"/>
  <c r="J229" i="4"/>
  <c r="AD229" i="4"/>
  <c r="J231" i="4"/>
  <c r="AD231" i="4"/>
  <c r="J233" i="4"/>
  <c r="AD233" i="4"/>
  <c r="J235" i="4"/>
  <c r="AD235" i="4"/>
  <c r="J237" i="4"/>
  <c r="AD237" i="4"/>
  <c r="P150" i="4"/>
  <c r="P182" i="4"/>
  <c r="P186" i="4"/>
  <c r="P190" i="4"/>
  <c r="P194" i="4"/>
  <c r="P198" i="4"/>
  <c r="P202" i="4"/>
  <c r="P206" i="4"/>
  <c r="P210" i="4"/>
  <c r="P214" i="4"/>
  <c r="P218" i="4"/>
  <c r="Z221" i="4"/>
  <c r="Z223" i="4"/>
  <c r="Z225" i="4"/>
  <c r="Z227" i="4"/>
  <c r="Z229" i="4"/>
  <c r="Z231" i="4"/>
  <c r="Z233" i="4"/>
  <c r="Z235" i="4"/>
  <c r="Z237" i="4"/>
  <c r="Z239" i="4"/>
  <c r="AD239" i="4"/>
  <c r="Z241" i="4"/>
  <c r="AD241" i="4"/>
  <c r="Z244" i="4"/>
  <c r="Z248" i="4"/>
  <c r="Z252" i="4"/>
  <c r="Z256" i="4"/>
  <c r="Z260" i="4"/>
  <c r="Z264" i="4"/>
  <c r="Z271" i="4"/>
  <c r="AD279" i="4"/>
  <c r="J279" i="4"/>
  <c r="P159" i="4"/>
  <c r="P163" i="4"/>
  <c r="P167" i="4"/>
  <c r="P171" i="4"/>
  <c r="P175" i="4"/>
  <c r="P183" i="4"/>
  <c r="P187" i="4"/>
  <c r="J191" i="4"/>
  <c r="P191" i="4"/>
  <c r="J195" i="4"/>
  <c r="P195" i="4"/>
  <c r="J199" i="4"/>
  <c r="P199" i="4"/>
  <c r="J203" i="4"/>
  <c r="P203" i="4"/>
  <c r="J207" i="4"/>
  <c r="P207" i="4"/>
  <c r="J211" i="4"/>
  <c r="P211" i="4"/>
  <c r="J215" i="4"/>
  <c r="P215" i="4"/>
  <c r="H217" i="12" s="1"/>
  <c r="J219" i="4"/>
  <c r="P219" i="4"/>
  <c r="J245" i="4"/>
  <c r="Z245" i="4"/>
  <c r="J249" i="4"/>
  <c r="Z249" i="4"/>
  <c r="J253" i="4"/>
  <c r="Z253" i="4"/>
  <c r="J257" i="4"/>
  <c r="Z257" i="4"/>
  <c r="J261" i="4"/>
  <c r="Z261" i="4"/>
  <c r="J265" i="4"/>
  <c r="Z265" i="4"/>
  <c r="AD275" i="4"/>
  <c r="J275" i="4"/>
  <c r="P133" i="4"/>
  <c r="P137" i="4"/>
  <c r="P141" i="4"/>
  <c r="P153" i="4"/>
  <c r="H155" i="12" s="1"/>
  <c r="P157" i="4"/>
  <c r="P161" i="4"/>
  <c r="P165" i="4"/>
  <c r="P169" i="4"/>
  <c r="H171" i="12" s="1"/>
  <c r="P173" i="4"/>
  <c r="P177" i="4"/>
  <c r="P181" i="4"/>
  <c r="P185" i="4"/>
  <c r="P189" i="4"/>
  <c r="P193" i="4"/>
  <c r="P197" i="4"/>
  <c r="P201" i="4"/>
  <c r="P205" i="4"/>
  <c r="P209" i="4"/>
  <c r="P213" i="4"/>
  <c r="P217" i="4"/>
  <c r="H219" i="12" s="1"/>
  <c r="P221" i="4"/>
  <c r="J243" i="4"/>
  <c r="Z243" i="4"/>
  <c r="J247" i="4"/>
  <c r="Z247" i="4"/>
  <c r="J251" i="4"/>
  <c r="Z251" i="4"/>
  <c r="J255" i="4"/>
  <c r="Z255" i="4"/>
  <c r="J259" i="4"/>
  <c r="Z259" i="4"/>
  <c r="J263" i="4"/>
  <c r="Z263" i="4"/>
  <c r="J267" i="4"/>
  <c r="Z267" i="4"/>
  <c r="AD268" i="4"/>
  <c r="J268" i="4"/>
  <c r="Z269" i="4"/>
  <c r="Z273" i="4"/>
  <c r="Z277" i="4"/>
  <c r="Z281" i="4"/>
  <c r="Z285" i="4"/>
  <c r="Z289" i="4"/>
  <c r="Z293" i="4"/>
  <c r="Z352" i="4"/>
  <c r="Z356" i="4"/>
  <c r="Z360" i="4"/>
  <c r="Z364" i="4"/>
  <c r="Z368" i="4"/>
  <c r="Z372" i="4"/>
  <c r="Z376" i="4"/>
  <c r="Z380" i="4"/>
  <c r="Z384" i="4"/>
  <c r="Z388" i="4"/>
  <c r="Z392" i="4"/>
  <c r="Q424" i="4"/>
  <c r="AK424" i="4"/>
  <c r="AL424" i="4" s="1"/>
  <c r="AD429" i="4"/>
  <c r="J429" i="4"/>
  <c r="Z282" i="4"/>
  <c r="Z286" i="4"/>
  <c r="Z290" i="4"/>
  <c r="Z294" i="4"/>
  <c r="Z403" i="4"/>
  <c r="Q420" i="4"/>
  <c r="AK420" i="4"/>
  <c r="AL420" i="4" s="1"/>
  <c r="AD424" i="4"/>
  <c r="J424" i="4"/>
  <c r="Z275" i="4"/>
  <c r="Z279" i="4"/>
  <c r="J283" i="4"/>
  <c r="Z283" i="4"/>
  <c r="J287" i="4"/>
  <c r="Z287" i="4"/>
  <c r="J291" i="4"/>
  <c r="Z291" i="4"/>
  <c r="J295" i="4"/>
  <c r="Z295" i="4"/>
  <c r="Z351" i="4"/>
  <c r="Z355" i="4"/>
  <c r="Z359" i="4"/>
  <c r="Z363" i="4"/>
  <c r="Z367" i="4"/>
  <c r="Z371" i="4"/>
  <c r="Z375" i="4"/>
  <c r="Z379" i="4"/>
  <c r="Z383" i="4"/>
  <c r="Z387" i="4"/>
  <c r="Z391" i="4"/>
  <c r="Z395" i="4"/>
  <c r="Z399" i="4"/>
  <c r="AK407" i="4"/>
  <c r="AL407" i="4" s="1"/>
  <c r="Q414" i="4"/>
  <c r="AK414" i="4"/>
  <c r="AL414" i="4" s="1"/>
  <c r="AD415" i="4"/>
  <c r="J415" i="4"/>
  <c r="AD420" i="4"/>
  <c r="J420" i="4"/>
  <c r="Z268" i="4"/>
  <c r="J272" i="4"/>
  <c r="Z272" i="4"/>
  <c r="J276" i="4"/>
  <c r="Z276" i="4"/>
  <c r="J280" i="4"/>
  <c r="Z280" i="4"/>
  <c r="J284" i="4"/>
  <c r="Z284" i="4"/>
  <c r="J288" i="4"/>
  <c r="Z288" i="4"/>
  <c r="J292" i="4"/>
  <c r="Z292" i="4"/>
  <c r="J296" i="4"/>
  <c r="Z297" i="4"/>
  <c r="Z301" i="4"/>
  <c r="Z305" i="4"/>
  <c r="Z309" i="4"/>
  <c r="Z313" i="4"/>
  <c r="Z317" i="4"/>
  <c r="Z320" i="4"/>
  <c r="Z321" i="4"/>
  <c r="Z324" i="4"/>
  <c r="Z325" i="4"/>
  <c r="Z328" i="4"/>
  <c r="Z329" i="4"/>
  <c r="Z332" i="4"/>
  <c r="Z333" i="4"/>
  <c r="Z336" i="4"/>
  <c r="Z337" i="4"/>
  <c r="Z340" i="4"/>
  <c r="Z341" i="4"/>
  <c r="Z344" i="4"/>
  <c r="Z345" i="4"/>
  <c r="Z348" i="4"/>
  <c r="Z349" i="4"/>
  <c r="AK350" i="4"/>
  <c r="AL350" i="4" s="1"/>
  <c r="Z404" i="4"/>
  <c r="AK405" i="4"/>
  <c r="AL405" i="4" s="1"/>
  <c r="AD407" i="4"/>
  <c r="J407" i="4"/>
  <c r="Z412" i="4"/>
  <c r="Z413" i="4"/>
  <c r="J414" i="4"/>
  <c r="AK415" i="4"/>
  <c r="AL415" i="4" s="1"/>
  <c r="Q429" i="4"/>
  <c r="AK429" i="4"/>
  <c r="AL429" i="4" s="1"/>
  <c r="Z393" i="4"/>
  <c r="Z406" i="4"/>
  <c r="AK409" i="4"/>
  <c r="AL409" i="4" s="1"/>
  <c r="AK413" i="4"/>
  <c r="AL413" i="4" s="1"/>
  <c r="AK418" i="4"/>
  <c r="AL418" i="4" s="1"/>
  <c r="Z420" i="4"/>
  <c r="AK422" i="4"/>
  <c r="AL422" i="4" s="1"/>
  <c r="Z424" i="4"/>
  <c r="AK427" i="4"/>
  <c r="AL427" i="4" s="1"/>
  <c r="Z429" i="4"/>
  <c r="AK431" i="4"/>
  <c r="AL431" i="4" s="1"/>
  <c r="J433" i="4"/>
  <c r="Z433" i="4"/>
  <c r="AK435" i="4"/>
  <c r="AL435" i="4" s="1"/>
  <c r="J437" i="4"/>
  <c r="Z437" i="4"/>
  <c r="AK439" i="4"/>
  <c r="AL439" i="4" s="1"/>
  <c r="J441" i="4"/>
  <c r="Z441" i="4"/>
  <c r="AK443" i="4"/>
  <c r="AL443" i="4" s="1"/>
  <c r="J445" i="4"/>
  <c r="Z445" i="4"/>
  <c r="AK447" i="4"/>
  <c r="AL447" i="4" s="1"/>
  <c r="J449" i="4"/>
  <c r="Z449" i="4"/>
  <c r="AK451" i="4"/>
  <c r="AL451" i="4" s="1"/>
  <c r="J453" i="4"/>
  <c r="Z453" i="4"/>
  <c r="AK455" i="4"/>
  <c r="AL455" i="4" s="1"/>
  <c r="J457" i="4"/>
  <c r="Z457" i="4"/>
  <c r="AK459" i="4"/>
  <c r="AL459" i="4" s="1"/>
  <c r="J461" i="4"/>
  <c r="Z461" i="4"/>
  <c r="AK463" i="4"/>
  <c r="AL463" i="4" s="1"/>
  <c r="J465" i="4"/>
  <c r="Z465" i="4"/>
  <c r="AK467" i="4"/>
  <c r="AL467" i="4" s="1"/>
  <c r="J469" i="4"/>
  <c r="Z469" i="4"/>
  <c r="AK471" i="4"/>
  <c r="AL471" i="4" s="1"/>
  <c r="J473" i="4"/>
  <c r="Z473" i="4"/>
  <c r="AK476" i="4"/>
  <c r="AL476" i="4" s="1"/>
  <c r="J478" i="4"/>
  <c r="AK480" i="4"/>
  <c r="AL480" i="4" s="1"/>
  <c r="J482" i="4"/>
  <c r="AK484" i="4"/>
  <c r="AL484" i="4" s="1"/>
  <c r="J486" i="4"/>
  <c r="J492" i="4"/>
  <c r="Z492" i="4"/>
  <c r="D34" i="8"/>
  <c r="E11" i="5" s="1"/>
  <c r="G9" i="2" s="1"/>
  <c r="B59" i="8"/>
  <c r="Z408" i="4"/>
  <c r="Z416" i="4"/>
  <c r="Z417" i="4"/>
  <c r="AK419" i="4"/>
  <c r="AL419" i="4" s="1"/>
  <c r="Z421" i="4"/>
  <c r="AK423" i="4"/>
  <c r="AL423" i="4" s="1"/>
  <c r="Z425" i="4"/>
  <c r="AK428" i="4"/>
  <c r="AL428" i="4" s="1"/>
  <c r="AK432" i="4"/>
  <c r="AL432" i="4" s="1"/>
  <c r="AK436" i="4"/>
  <c r="AL436" i="4" s="1"/>
  <c r="AK440" i="4"/>
  <c r="AL440" i="4" s="1"/>
  <c r="AK444" i="4"/>
  <c r="AL444" i="4" s="1"/>
  <c r="AK448" i="4"/>
  <c r="AL448" i="4" s="1"/>
  <c r="AK452" i="4"/>
  <c r="AL452" i="4" s="1"/>
  <c r="AK456" i="4"/>
  <c r="AL456" i="4" s="1"/>
  <c r="AK460" i="4"/>
  <c r="AL460" i="4" s="1"/>
  <c r="AK464" i="4"/>
  <c r="AL464" i="4" s="1"/>
  <c r="AK468" i="4"/>
  <c r="AL468" i="4" s="1"/>
  <c r="AK472" i="4"/>
  <c r="AL472" i="4" s="1"/>
  <c r="Z474" i="4"/>
  <c r="AK477" i="4"/>
  <c r="AL477" i="4" s="1"/>
  <c r="AK481" i="4"/>
  <c r="AL481" i="4" s="1"/>
  <c r="AK485" i="4"/>
  <c r="AL485" i="4" s="1"/>
  <c r="R8" i="13"/>
  <c r="I14" i="2" s="1"/>
  <c r="AK433" i="4"/>
  <c r="AL433" i="4" s="1"/>
  <c r="AK437" i="4"/>
  <c r="AL437" i="4" s="1"/>
  <c r="AK441" i="4"/>
  <c r="AL441" i="4" s="1"/>
  <c r="AK445" i="4"/>
  <c r="AL445" i="4" s="1"/>
  <c r="AK449" i="4"/>
  <c r="AL449" i="4" s="1"/>
  <c r="AK453" i="4"/>
  <c r="AL453" i="4" s="1"/>
  <c r="AK457" i="4"/>
  <c r="AL457" i="4" s="1"/>
  <c r="AK461" i="4"/>
  <c r="AL461" i="4" s="1"/>
  <c r="AK465" i="4"/>
  <c r="AL465" i="4" s="1"/>
  <c r="AK469" i="4"/>
  <c r="AL469" i="4" s="1"/>
  <c r="AK473" i="4"/>
  <c r="AL473" i="4" s="1"/>
  <c r="Z476" i="4"/>
  <c r="AK478" i="4"/>
  <c r="AL478" i="4" s="1"/>
  <c r="J480" i="4"/>
  <c r="Z480" i="4"/>
  <c r="AK482" i="4"/>
  <c r="AL482" i="4" s="1"/>
  <c r="Z484" i="4"/>
  <c r="AK486" i="4"/>
  <c r="AL486" i="4" s="1"/>
  <c r="Z488" i="4"/>
  <c r="Z489" i="4"/>
  <c r="Z490" i="4"/>
  <c r="D32" i="8"/>
  <c r="E9" i="5" s="1"/>
  <c r="G7" i="2" s="1"/>
  <c r="O12" i="13"/>
  <c r="G244" i="12"/>
  <c r="F241" i="12"/>
  <c r="L239" i="12"/>
  <c r="G236" i="12"/>
  <c r="F233" i="12"/>
  <c r="L231" i="12"/>
  <c r="G228" i="12"/>
  <c r="F225" i="12"/>
  <c r="L223" i="12"/>
  <c r="B221" i="12"/>
  <c r="E221" i="12" s="1"/>
  <c r="G216" i="12"/>
  <c r="D215" i="12"/>
  <c r="B244" i="12"/>
  <c r="E244" i="12" s="1"/>
  <c r="D242" i="12"/>
  <c r="C239" i="12"/>
  <c r="C242" i="12"/>
  <c r="B239" i="12"/>
  <c r="E239" i="12" s="1"/>
  <c r="D237" i="12"/>
  <c r="C234" i="12"/>
  <c r="B231" i="12"/>
  <c r="E231" i="12" s="1"/>
  <c r="D229" i="12"/>
  <c r="B242" i="12"/>
  <c r="E242" i="12" s="1"/>
  <c r="D240" i="12"/>
  <c r="C237" i="12"/>
  <c r="B234" i="12"/>
  <c r="E234" i="12" s="1"/>
  <c r="D232" i="12"/>
  <c r="C229" i="12"/>
  <c r="B226" i="12"/>
  <c r="E226" i="12" s="1"/>
  <c r="D224" i="12"/>
  <c r="C221" i="12"/>
  <c r="F218" i="12"/>
  <c r="L216" i="12"/>
  <c r="B214" i="12"/>
  <c r="E214" i="12" s="1"/>
  <c r="D234" i="12"/>
  <c r="G223" i="12"/>
  <c r="C219" i="12"/>
  <c r="L214" i="12"/>
  <c r="G210" i="12"/>
  <c r="D209" i="12"/>
  <c r="C206" i="12"/>
  <c r="F203" i="12"/>
  <c r="L201" i="12"/>
  <c r="B199" i="12"/>
  <c r="E199" i="12" s="1"/>
  <c r="H197" i="12"/>
  <c r="G194" i="12"/>
  <c r="D193" i="12"/>
  <c r="C190" i="12"/>
  <c r="F187" i="12"/>
  <c r="L185" i="12"/>
  <c r="B183" i="12"/>
  <c r="E183" i="12" s="1"/>
  <c r="D181" i="12"/>
  <c r="C178" i="12"/>
  <c r="F175" i="12"/>
  <c r="L173" i="12"/>
  <c r="B171" i="12"/>
  <c r="E171" i="12" s="1"/>
  <c r="H169" i="12"/>
  <c r="G166" i="12"/>
  <c r="D165" i="12"/>
  <c r="C162" i="12"/>
  <c r="F159" i="12"/>
  <c r="L157" i="12"/>
  <c r="B155" i="12"/>
  <c r="E155" i="12" s="1"/>
  <c r="D153" i="12"/>
  <c r="C150" i="12"/>
  <c r="B147" i="12"/>
  <c r="E147" i="12" s="1"/>
  <c r="H145" i="12"/>
  <c r="G142" i="12"/>
  <c r="D141" i="12"/>
  <c r="C138" i="12"/>
  <c r="F135" i="12"/>
  <c r="L133" i="12"/>
  <c r="H133" i="12"/>
  <c r="D133" i="12"/>
  <c r="F131" i="12"/>
  <c r="B131" i="12"/>
  <c r="E131" i="12" s="1"/>
  <c r="G130" i="12"/>
  <c r="C130" i="12"/>
  <c r="L129" i="12"/>
  <c r="H129" i="12"/>
  <c r="D129" i="12"/>
  <c r="F127" i="12"/>
  <c r="B127" i="12"/>
  <c r="E127" i="12" s="1"/>
  <c r="G126" i="12"/>
  <c r="C126" i="12"/>
  <c r="L125" i="12"/>
  <c r="H125" i="12"/>
  <c r="D125" i="12"/>
  <c r="F123" i="12"/>
  <c r="B123" i="12"/>
  <c r="E123" i="12" s="1"/>
  <c r="G122" i="12"/>
  <c r="C122" i="12"/>
  <c r="L121" i="12"/>
  <c r="D121" i="12"/>
  <c r="F119" i="12"/>
  <c r="B119" i="12"/>
  <c r="E119" i="12" s="1"/>
  <c r="G118" i="12"/>
  <c r="C118" i="12"/>
  <c r="L117" i="12"/>
  <c r="D117" i="12"/>
  <c r="F115" i="12"/>
  <c r="B115" i="12"/>
  <c r="E115" i="12" s="1"/>
  <c r="G114" i="12"/>
  <c r="C114" i="12"/>
  <c r="L113" i="12"/>
  <c r="D113" i="12"/>
  <c r="F111" i="12"/>
  <c r="B111" i="12"/>
  <c r="E111" i="12" s="1"/>
  <c r="G110" i="12"/>
  <c r="C110" i="12"/>
  <c r="L109" i="12"/>
  <c r="D109" i="12"/>
  <c r="F107" i="12"/>
  <c r="B107" i="12"/>
  <c r="E107" i="12" s="1"/>
  <c r="G106" i="12"/>
  <c r="C106" i="12"/>
  <c r="L105" i="12"/>
  <c r="D105" i="12"/>
  <c r="F103" i="12"/>
  <c r="B103" i="12"/>
  <c r="E103" i="12" s="1"/>
  <c r="G102" i="12"/>
  <c r="C102" i="12"/>
  <c r="L101" i="12"/>
  <c r="D101" i="12"/>
  <c r="F99" i="12"/>
  <c r="B99" i="12"/>
  <c r="E99" i="12" s="1"/>
  <c r="G98" i="12"/>
  <c r="C98" i="12"/>
  <c r="L97" i="12"/>
  <c r="D97" i="12"/>
  <c r="F95" i="12"/>
  <c r="B95" i="12"/>
  <c r="E95" i="12" s="1"/>
  <c r="G94" i="12"/>
  <c r="C94" i="12"/>
  <c r="L93" i="12"/>
  <c r="D93" i="12"/>
  <c r="F91" i="12"/>
  <c r="B91" i="12"/>
  <c r="E91" i="12" s="1"/>
  <c r="G90" i="12"/>
  <c r="C90" i="12"/>
  <c r="L89" i="12"/>
  <c r="D89" i="12"/>
  <c r="F87" i="12"/>
  <c r="B87" i="12"/>
  <c r="E87" i="12" s="1"/>
  <c r="G86" i="12"/>
  <c r="C86" i="12"/>
  <c r="L85" i="12"/>
  <c r="D85" i="12"/>
  <c r="F83" i="12"/>
  <c r="B83" i="12"/>
  <c r="E83" i="12" s="1"/>
  <c r="G82" i="12"/>
  <c r="C82" i="12"/>
  <c r="L81" i="12"/>
  <c r="D81" i="12"/>
  <c r="F79" i="12"/>
  <c r="B79" i="12"/>
  <c r="E79" i="12" s="1"/>
  <c r="G78" i="12"/>
  <c r="C78" i="12"/>
  <c r="L77" i="12"/>
  <c r="D77" i="12"/>
  <c r="F75" i="12"/>
  <c r="B75" i="12"/>
  <c r="E75" i="12" s="1"/>
  <c r="G74" i="12"/>
  <c r="C74" i="12"/>
  <c r="L73" i="12"/>
  <c r="D73" i="12"/>
  <c r="F71" i="12"/>
  <c r="B71" i="12"/>
  <c r="E71" i="12" s="1"/>
  <c r="G70" i="12"/>
  <c r="C70" i="12"/>
  <c r="L69" i="12"/>
  <c r="D69" i="12"/>
  <c r="F67" i="12"/>
  <c r="B67" i="12"/>
  <c r="E67" i="12" s="1"/>
  <c r="G66" i="12"/>
  <c r="C66" i="12"/>
  <c r="L65" i="12"/>
  <c r="D65" i="12"/>
  <c r="F63" i="12"/>
  <c r="B63" i="12"/>
  <c r="E63" i="12" s="1"/>
  <c r="G62" i="12"/>
  <c r="C62" i="12"/>
  <c r="L61" i="12"/>
  <c r="D61" i="12"/>
  <c r="F59" i="12"/>
  <c r="B59" i="12"/>
  <c r="E59" i="12" s="1"/>
  <c r="G58" i="12"/>
  <c r="C58" i="12"/>
  <c r="L57" i="12"/>
  <c r="D57" i="12"/>
  <c r="F55" i="12"/>
  <c r="B55" i="12"/>
  <c r="E55" i="12" s="1"/>
  <c r="G54" i="12"/>
  <c r="C54" i="12"/>
  <c r="L53" i="12"/>
  <c r="D53" i="12"/>
  <c r="F51" i="12"/>
  <c r="B51" i="12"/>
  <c r="E51" i="12" s="1"/>
  <c r="G50" i="12"/>
  <c r="C50" i="12"/>
  <c r="L49" i="12"/>
  <c r="D49" i="12"/>
  <c r="F47" i="12"/>
  <c r="B47" i="12"/>
  <c r="E47" i="12" s="1"/>
  <c r="G46" i="12"/>
  <c r="C46" i="12"/>
  <c r="L45" i="12"/>
  <c r="D45" i="12"/>
  <c r="F43" i="12"/>
  <c r="B43" i="12"/>
  <c r="E43" i="12" s="1"/>
  <c r="G42" i="12"/>
  <c r="C42" i="12"/>
  <c r="L41" i="12"/>
  <c r="D41" i="12"/>
  <c r="F39" i="12"/>
  <c r="B39" i="12"/>
  <c r="E39" i="12" s="1"/>
  <c r="G38" i="12"/>
  <c r="C38" i="12"/>
  <c r="L37" i="12"/>
  <c r="D37" i="12"/>
  <c r="F35" i="12"/>
  <c r="B35" i="12"/>
  <c r="E35" i="12" s="1"/>
  <c r="G34" i="12"/>
  <c r="C34" i="12"/>
  <c r="L33" i="12"/>
  <c r="D33" i="12"/>
  <c r="F31" i="12"/>
  <c r="B31" i="12"/>
  <c r="E31" i="12" s="1"/>
  <c r="G30" i="12"/>
  <c r="C30" i="12"/>
  <c r="L29" i="12"/>
  <c r="D29" i="12"/>
  <c r="F27" i="12"/>
  <c r="B27" i="12"/>
  <c r="E27" i="12" s="1"/>
  <c r="G26" i="12"/>
  <c r="C26" i="12"/>
  <c r="L25" i="12"/>
  <c r="D25" i="12"/>
  <c r="F23" i="12"/>
  <c r="B23" i="12"/>
  <c r="E23" i="12" s="1"/>
  <c r="G22" i="12"/>
  <c r="C22" i="12"/>
  <c r="L21" i="12"/>
  <c r="D21" i="12"/>
  <c r="F19" i="12"/>
  <c r="B19" i="12"/>
  <c r="E19" i="12" s="1"/>
  <c r="G18" i="12"/>
  <c r="C18" i="12"/>
  <c r="L17" i="12"/>
  <c r="D17" i="12"/>
  <c r="F15" i="12"/>
  <c r="B15" i="12"/>
  <c r="E15" i="12" s="1"/>
  <c r="G14" i="12"/>
  <c r="C14" i="12"/>
  <c r="L13" i="12"/>
  <c r="D13" i="12"/>
  <c r="G231" i="12"/>
  <c r="L225" i="12"/>
  <c r="H221" i="12"/>
  <c r="D217" i="12"/>
  <c r="H212" i="12"/>
  <c r="G209" i="12"/>
  <c r="D208" i="12"/>
  <c r="C205" i="12"/>
  <c r="F202" i="12"/>
  <c r="L200" i="12"/>
  <c r="B198" i="12"/>
  <c r="E198" i="12" s="1"/>
  <c r="H196" i="12"/>
  <c r="G193" i="12"/>
  <c r="H192" i="12"/>
  <c r="B190" i="12"/>
  <c r="E190" i="12" s="1"/>
  <c r="C189" i="12"/>
  <c r="D188" i="12"/>
  <c r="G185" i="12"/>
  <c r="L184" i="12"/>
  <c r="F182" i="12"/>
  <c r="C181" i="12"/>
  <c r="D180" i="12"/>
  <c r="G177" i="12"/>
  <c r="D176" i="12"/>
  <c r="B174" i="12"/>
  <c r="E174" i="12" s="1"/>
  <c r="L172" i="12"/>
  <c r="B170" i="12"/>
  <c r="E170" i="12" s="1"/>
  <c r="C169" i="12"/>
  <c r="F166" i="12"/>
  <c r="C165" i="12"/>
  <c r="D164" i="12"/>
  <c r="G161" i="12"/>
  <c r="D160" i="12"/>
  <c r="B158" i="12"/>
  <c r="E158" i="12" s="1"/>
  <c r="L156" i="12"/>
  <c r="B154" i="12"/>
  <c r="E154" i="12" s="1"/>
  <c r="C153" i="12"/>
  <c r="D152" i="12"/>
  <c r="G149" i="12"/>
  <c r="L148" i="12"/>
  <c r="F146" i="12"/>
  <c r="C145" i="12"/>
  <c r="D144" i="12"/>
  <c r="G141" i="12"/>
  <c r="D140" i="12"/>
  <c r="B138" i="12"/>
  <c r="E138" i="12" s="1"/>
  <c r="L136" i="12"/>
  <c r="B134" i="12"/>
  <c r="E134" i="12" s="1"/>
  <c r="G133" i="12"/>
  <c r="C133" i="12"/>
  <c r="L132" i="12"/>
  <c r="D132" i="12"/>
  <c r="F130" i="12"/>
  <c r="B130" i="12"/>
  <c r="E130" i="12" s="1"/>
  <c r="G129" i="12"/>
  <c r="C129" i="12"/>
  <c r="L128" i="12"/>
  <c r="D128" i="12"/>
  <c r="F126" i="12"/>
  <c r="B126" i="12"/>
  <c r="E126" i="12" s="1"/>
  <c r="G125" i="12"/>
  <c r="C125" i="12"/>
  <c r="L124" i="12"/>
  <c r="D124" i="12"/>
  <c r="F122" i="12"/>
  <c r="B122" i="12"/>
  <c r="E122" i="12" s="1"/>
  <c r="G121" i="12"/>
  <c r="C121" i="12"/>
  <c r="L120" i="12"/>
  <c r="H120" i="12"/>
  <c r="D120" i="12"/>
  <c r="F118" i="12"/>
  <c r="B118" i="12"/>
  <c r="E118" i="12" s="1"/>
  <c r="G117" i="12"/>
  <c r="C117" i="12"/>
  <c r="L116" i="12"/>
  <c r="H116" i="12"/>
  <c r="D116" i="12"/>
  <c r="F114" i="12"/>
  <c r="B114" i="12"/>
  <c r="E114" i="12" s="1"/>
  <c r="G113" i="12"/>
  <c r="C113" i="12"/>
  <c r="L112" i="12"/>
  <c r="H112" i="12"/>
  <c r="D112" i="12"/>
  <c r="F110" i="12"/>
  <c r="B110" i="12"/>
  <c r="E110" i="12" s="1"/>
  <c r="G109" i="12"/>
  <c r="C109" i="12"/>
  <c r="L108" i="12"/>
  <c r="H108" i="12"/>
  <c r="D108" i="12"/>
  <c r="F106" i="12"/>
  <c r="B106" i="12"/>
  <c r="E106" i="12" s="1"/>
  <c r="G105" i="12"/>
  <c r="C105" i="12"/>
  <c r="L104" i="12"/>
  <c r="H104" i="12"/>
  <c r="D104" i="12"/>
  <c r="F102" i="12"/>
  <c r="B102" i="12"/>
  <c r="E102" i="12" s="1"/>
  <c r="G101" i="12"/>
  <c r="C101" i="12"/>
  <c r="L100" i="12"/>
  <c r="H100" i="12"/>
  <c r="D100" i="12"/>
  <c r="F98" i="12"/>
  <c r="B98" i="12"/>
  <c r="E98" i="12" s="1"/>
  <c r="G97" i="12"/>
  <c r="C97" i="12"/>
  <c r="L96" i="12"/>
  <c r="H96" i="12"/>
  <c r="D96" i="12"/>
  <c r="F94" i="12"/>
  <c r="B94" i="12"/>
  <c r="E94" i="12" s="1"/>
  <c r="G93" i="12"/>
  <c r="C93" i="12"/>
  <c r="L92" i="12"/>
  <c r="H92" i="12"/>
  <c r="D92" i="12"/>
  <c r="F90" i="12"/>
  <c r="B90" i="12"/>
  <c r="E90" i="12" s="1"/>
  <c r="G89" i="12"/>
  <c r="C89" i="12"/>
  <c r="L88" i="12"/>
  <c r="H88" i="12"/>
  <c r="D88" i="12"/>
  <c r="F86" i="12"/>
  <c r="B86" i="12"/>
  <c r="E86" i="12" s="1"/>
  <c r="G85" i="12"/>
  <c r="C85" i="12"/>
  <c r="L84" i="12"/>
  <c r="H84" i="12"/>
  <c r="D84" i="12"/>
  <c r="F82" i="12"/>
  <c r="B82" i="12"/>
  <c r="E82" i="12" s="1"/>
  <c r="G81" i="12"/>
  <c r="C81" i="12"/>
  <c r="L80" i="12"/>
  <c r="H80" i="12"/>
  <c r="D80" i="12"/>
  <c r="F78" i="12"/>
  <c r="B78" i="12"/>
  <c r="E78" i="12" s="1"/>
  <c r="G77" i="12"/>
  <c r="C77" i="12"/>
  <c r="L76" i="12"/>
  <c r="H76" i="12"/>
  <c r="D76" i="12"/>
  <c r="F74" i="12"/>
  <c r="B74" i="12"/>
  <c r="E74" i="12" s="1"/>
  <c r="G73" i="12"/>
  <c r="C73" i="12"/>
  <c r="L72" i="12"/>
  <c r="H72" i="12"/>
  <c r="D72" i="12"/>
  <c r="F70" i="12"/>
  <c r="B70" i="12"/>
  <c r="E70" i="12" s="1"/>
  <c r="G69" i="12"/>
  <c r="C69" i="12"/>
  <c r="L68" i="12"/>
  <c r="H68" i="12"/>
  <c r="D68" i="12"/>
  <c r="F66" i="12"/>
  <c r="B66" i="12"/>
  <c r="E66" i="12" s="1"/>
  <c r="G65" i="12"/>
  <c r="C65" i="12"/>
  <c r="L64" i="12"/>
  <c r="H64" i="12"/>
  <c r="D64" i="12"/>
  <c r="F62" i="12"/>
  <c r="B62" i="12"/>
  <c r="E62" i="12" s="1"/>
  <c r="G61" i="12"/>
  <c r="C61" i="12"/>
  <c r="L60" i="12"/>
  <c r="H60" i="12"/>
  <c r="D60" i="12"/>
  <c r="F58" i="12"/>
  <c r="B58" i="12"/>
  <c r="E58" i="12" s="1"/>
  <c r="G57" i="12"/>
  <c r="C57" i="12"/>
  <c r="L56" i="12"/>
  <c r="H56" i="12"/>
  <c r="D56" i="12"/>
  <c r="F54" i="12"/>
  <c r="B54" i="12"/>
  <c r="E54" i="12" s="1"/>
  <c r="G53" i="12"/>
  <c r="C53" i="12"/>
  <c r="L52" i="12"/>
  <c r="H52" i="12"/>
  <c r="D52" i="12"/>
  <c r="F50" i="12"/>
  <c r="B50" i="12"/>
  <c r="E50" i="12" s="1"/>
  <c r="G49" i="12"/>
  <c r="C49" i="12"/>
  <c r="L48" i="12"/>
  <c r="H48" i="12"/>
  <c r="D48" i="12"/>
  <c r="F46" i="12"/>
  <c r="B46" i="12"/>
  <c r="E46" i="12" s="1"/>
  <c r="G45" i="12"/>
  <c r="C45" i="12"/>
  <c r="L44" i="12"/>
  <c r="D44" i="12"/>
  <c r="F42" i="12"/>
  <c r="B42" i="12"/>
  <c r="E42" i="12" s="1"/>
  <c r="G41" i="12"/>
  <c r="C41" i="12"/>
  <c r="L40" i="12"/>
  <c r="D40" i="12"/>
  <c r="F38" i="12"/>
  <c r="B38" i="12"/>
  <c r="E38" i="12" s="1"/>
  <c r="G37" i="12"/>
  <c r="C37" i="12"/>
  <c r="L36" i="12"/>
  <c r="D36" i="12"/>
  <c r="F34" i="12"/>
  <c r="B34" i="12"/>
  <c r="E34" i="12" s="1"/>
  <c r="G33" i="12"/>
  <c r="C33" i="12"/>
  <c r="L32" i="12"/>
  <c r="D32" i="12"/>
  <c r="B236" i="12"/>
  <c r="E236" i="12" s="1"/>
  <c r="F232" i="12"/>
  <c r="G227" i="12"/>
  <c r="D226" i="12"/>
  <c r="C223" i="12"/>
  <c r="B220" i="12"/>
  <c r="E220" i="12" s="1"/>
  <c r="L218" i="12"/>
  <c r="F216" i="12"/>
  <c r="H214" i="12"/>
  <c r="G212" i="12"/>
  <c r="L211" i="12"/>
  <c r="D211" i="12"/>
  <c r="B209" i="12"/>
  <c r="E209" i="12" s="1"/>
  <c r="C208" i="12"/>
  <c r="H207" i="12"/>
  <c r="F205" i="12"/>
  <c r="G204" i="12"/>
  <c r="L203" i="12"/>
  <c r="D203" i="12"/>
  <c r="B201" i="12"/>
  <c r="E201" i="12" s="1"/>
  <c r="C200" i="12"/>
  <c r="H199" i="12"/>
  <c r="F197" i="12"/>
  <c r="G196" i="12"/>
  <c r="L195" i="12"/>
  <c r="D195" i="12"/>
  <c r="B193" i="12"/>
  <c r="E193" i="12" s="1"/>
  <c r="C192" i="12"/>
  <c r="H191" i="12"/>
  <c r="F189" i="12"/>
  <c r="G188" i="12"/>
  <c r="L187" i="12"/>
  <c r="D187" i="12"/>
  <c r="B185" i="12"/>
  <c r="E185" i="12" s="1"/>
  <c r="C184" i="12"/>
  <c r="H183" i="12"/>
  <c r="F181" i="12"/>
  <c r="G180" i="12"/>
  <c r="L179" i="12"/>
  <c r="D179" i="12"/>
  <c r="B177" i="12"/>
  <c r="E177" i="12" s="1"/>
  <c r="C176" i="12"/>
  <c r="H175" i="12"/>
  <c r="F173" i="12"/>
  <c r="B173" i="12"/>
  <c r="E173" i="12" s="1"/>
  <c r="G172" i="12"/>
  <c r="L171" i="12"/>
  <c r="D171" i="12"/>
  <c r="B169" i="12"/>
  <c r="E169" i="12" s="1"/>
  <c r="G168" i="12"/>
  <c r="C168" i="12"/>
  <c r="H167" i="12"/>
  <c r="D167" i="12"/>
  <c r="F165" i="12"/>
  <c r="G164" i="12"/>
  <c r="C164" i="12"/>
  <c r="L163" i="12"/>
  <c r="D163" i="12"/>
  <c r="F161" i="12"/>
  <c r="B161" i="12"/>
  <c r="E161" i="12" s="1"/>
  <c r="C160" i="12"/>
  <c r="L159" i="12"/>
  <c r="H159" i="12"/>
  <c r="F157" i="12"/>
  <c r="B157" i="12"/>
  <c r="E157" i="12" s="1"/>
  <c r="G156" i="12"/>
  <c r="L155" i="12"/>
  <c r="D155" i="12"/>
  <c r="B153" i="12"/>
  <c r="E153" i="12" s="1"/>
  <c r="G152" i="12"/>
  <c r="C152" i="12"/>
  <c r="D151" i="12"/>
  <c r="F149" i="12"/>
  <c r="B149" i="12"/>
  <c r="E149" i="12" s="1"/>
  <c r="C148" i="12"/>
  <c r="L147" i="12"/>
  <c r="D147" i="12"/>
  <c r="B145" i="12"/>
  <c r="E145" i="12" s="1"/>
  <c r="G144" i="12"/>
  <c r="C144" i="12"/>
  <c r="H143" i="12"/>
  <c r="D143" i="12"/>
  <c r="F141" i="12"/>
  <c r="G140" i="12"/>
  <c r="C140" i="12"/>
  <c r="L139" i="12"/>
  <c r="D139" i="12"/>
  <c r="F137" i="12"/>
  <c r="B137" i="12"/>
  <c r="E137" i="12" s="1"/>
  <c r="C136" i="12"/>
  <c r="L135" i="12"/>
  <c r="H135" i="12"/>
  <c r="F133" i="12"/>
  <c r="B133" i="12"/>
  <c r="E133" i="12" s="1"/>
  <c r="G132" i="12"/>
  <c r="C132" i="12"/>
  <c r="L131" i="12"/>
  <c r="H131" i="12"/>
  <c r="D131" i="12"/>
  <c r="F129" i="12"/>
  <c r="B129" i="12"/>
  <c r="E129" i="12" s="1"/>
  <c r="G128" i="12"/>
  <c r="C128" i="12"/>
  <c r="L127" i="12"/>
  <c r="H127" i="12"/>
  <c r="D127" i="12"/>
  <c r="F125" i="12"/>
  <c r="B125" i="12"/>
  <c r="E125" i="12" s="1"/>
  <c r="G124" i="12"/>
  <c r="C124" i="12"/>
  <c r="L123" i="12"/>
  <c r="D123" i="12"/>
  <c r="F121" i="12"/>
  <c r="B121" i="12"/>
  <c r="E121" i="12" s="1"/>
  <c r="G120" i="12"/>
  <c r="C120" i="12"/>
  <c r="L119" i="12"/>
  <c r="D119" i="12"/>
  <c r="F117" i="12"/>
  <c r="B117" i="12"/>
  <c r="E117" i="12" s="1"/>
  <c r="G116" i="12"/>
  <c r="C116" i="12"/>
  <c r="L115" i="12"/>
  <c r="D115" i="12"/>
  <c r="F113" i="12"/>
  <c r="B113" i="12"/>
  <c r="E113" i="12" s="1"/>
  <c r="G112" i="12"/>
  <c r="C112" i="12"/>
  <c r="L111" i="12"/>
  <c r="D111" i="12"/>
  <c r="F109" i="12"/>
  <c r="B109" i="12"/>
  <c r="E109" i="12" s="1"/>
  <c r="G108" i="12"/>
  <c r="C108" i="12"/>
  <c r="L107" i="12"/>
  <c r="D107" i="12"/>
  <c r="F105" i="12"/>
  <c r="B105" i="12"/>
  <c r="E105" i="12" s="1"/>
  <c r="G104" i="12"/>
  <c r="C104" i="12"/>
  <c r="L103" i="12"/>
  <c r="D103" i="12"/>
  <c r="F101" i="12"/>
  <c r="B101" i="12"/>
  <c r="E101" i="12" s="1"/>
  <c r="G100" i="12"/>
  <c r="C100" i="12"/>
  <c r="L99" i="12"/>
  <c r="D99" i="12"/>
  <c r="F97" i="12"/>
  <c r="B97" i="12"/>
  <c r="E97" i="12" s="1"/>
  <c r="G96" i="12"/>
  <c r="C96" i="12"/>
  <c r="L95" i="12"/>
  <c r="D95" i="12"/>
  <c r="F93" i="12"/>
  <c r="B93" i="12"/>
  <c r="E93" i="12" s="1"/>
  <c r="G92" i="12"/>
  <c r="C92" i="12"/>
  <c r="L91" i="12"/>
  <c r="D91" i="12"/>
  <c r="F89" i="12"/>
  <c r="B89" i="12"/>
  <c r="E89" i="12" s="1"/>
  <c r="G88" i="12"/>
  <c r="C88" i="12"/>
  <c r="L87" i="12"/>
  <c r="D87" i="12"/>
  <c r="F85" i="12"/>
  <c r="B85" i="12"/>
  <c r="E85" i="12" s="1"/>
  <c r="G84" i="12"/>
  <c r="C84" i="12"/>
  <c r="L83" i="12"/>
  <c r="D83" i="12"/>
  <c r="F81" i="12"/>
  <c r="B81" i="12"/>
  <c r="E81" i="12" s="1"/>
  <c r="G80" i="12"/>
  <c r="C80" i="12"/>
  <c r="L79" i="12"/>
  <c r="D79" i="12"/>
  <c r="F77" i="12"/>
  <c r="B77" i="12"/>
  <c r="E77" i="12" s="1"/>
  <c r="G76" i="12"/>
  <c r="C76" i="12"/>
  <c r="L75" i="12"/>
  <c r="D75" i="12"/>
  <c r="F73" i="12"/>
  <c r="B73" i="12"/>
  <c r="E73" i="12" s="1"/>
  <c r="G72" i="12"/>
  <c r="C72" i="12"/>
  <c r="L71" i="12"/>
  <c r="D71" i="12"/>
  <c r="F69" i="12"/>
  <c r="B69" i="12"/>
  <c r="E69" i="12" s="1"/>
  <c r="G68" i="12"/>
  <c r="C68" i="12"/>
  <c r="L67" i="12"/>
  <c r="D67" i="12"/>
  <c r="F65" i="12"/>
  <c r="B65" i="12"/>
  <c r="E65" i="12" s="1"/>
  <c r="G64" i="12"/>
  <c r="C64" i="12"/>
  <c r="L63" i="12"/>
  <c r="D63" i="12"/>
  <c r="F61" i="12"/>
  <c r="B61" i="12"/>
  <c r="E61" i="12" s="1"/>
  <c r="G60" i="12"/>
  <c r="C60" i="12"/>
  <c r="L59" i="12"/>
  <c r="D59" i="12"/>
  <c r="F57" i="12"/>
  <c r="B57" i="12"/>
  <c r="E57" i="12" s="1"/>
  <c r="G56" i="12"/>
  <c r="C56" i="12"/>
  <c r="L55" i="12"/>
  <c r="D55" i="12"/>
  <c r="F53" i="12"/>
  <c r="B53" i="12"/>
  <c r="E53" i="12" s="1"/>
  <c r="G52" i="12"/>
  <c r="C52" i="12"/>
  <c r="L51" i="12"/>
  <c r="D51" i="12"/>
  <c r="F49" i="12"/>
  <c r="B49" i="12"/>
  <c r="E49" i="12" s="1"/>
  <c r="G48" i="12"/>
  <c r="C48" i="12"/>
  <c r="L47" i="12"/>
  <c r="D47" i="12"/>
  <c r="F45" i="12"/>
  <c r="B45" i="12"/>
  <c r="E45" i="12" s="1"/>
  <c r="G44" i="12"/>
  <c r="C44" i="12"/>
  <c r="L43" i="12"/>
  <c r="D43" i="12"/>
  <c r="F41" i="12"/>
  <c r="B41" i="12"/>
  <c r="E41" i="12" s="1"/>
  <c r="G40" i="12"/>
  <c r="C40" i="12"/>
  <c r="L39" i="12"/>
  <c r="D39" i="12"/>
  <c r="F37" i="12"/>
  <c r="B37" i="12"/>
  <c r="E37" i="12" s="1"/>
  <c r="G36" i="12"/>
  <c r="C36" i="12"/>
  <c r="L35" i="12"/>
  <c r="D35" i="12"/>
  <c r="F33" i="12"/>
  <c r="B33" i="12"/>
  <c r="E33" i="12" s="1"/>
  <c r="G32" i="12"/>
  <c r="C32" i="12"/>
  <c r="L31" i="12"/>
  <c r="D238" i="12"/>
  <c r="B232" i="12"/>
  <c r="E232" i="12" s="1"/>
  <c r="F228" i="12"/>
  <c r="F227" i="12"/>
  <c r="C226" i="12"/>
  <c r="G222" i="12"/>
  <c r="L221" i="12"/>
  <c r="D221" i="12"/>
  <c r="C218" i="12"/>
  <c r="B215" i="12"/>
  <c r="E215" i="12" s="1"/>
  <c r="L213" i="12"/>
  <c r="D213" i="12"/>
  <c r="F212" i="12"/>
  <c r="G211" i="12"/>
  <c r="C211" i="12"/>
  <c r="L210" i="12"/>
  <c r="D210" i="12"/>
  <c r="F208" i="12"/>
  <c r="B208" i="12"/>
  <c r="E208" i="12" s="1"/>
  <c r="C207" i="12"/>
  <c r="L206" i="12"/>
  <c r="H206" i="12"/>
  <c r="F204" i="12"/>
  <c r="B204" i="12"/>
  <c r="E204" i="12" s="1"/>
  <c r="G203" i="12"/>
  <c r="L202" i="12"/>
  <c r="H202" i="12"/>
  <c r="D202" i="12"/>
  <c r="B200" i="12"/>
  <c r="E200" i="12" s="1"/>
  <c r="G199" i="12"/>
  <c r="C199" i="12"/>
  <c r="H198" i="12"/>
  <c r="D198" i="12"/>
  <c r="F196" i="12"/>
  <c r="G195" i="12"/>
  <c r="C195" i="12"/>
  <c r="L194" i="12"/>
  <c r="H194" i="12"/>
  <c r="D194" i="12"/>
  <c r="F192" i="12"/>
  <c r="B192" i="12"/>
  <c r="E192" i="12" s="1"/>
  <c r="G191" i="12"/>
  <c r="C191" i="12"/>
  <c r="L190" i="12"/>
  <c r="H190" i="12"/>
  <c r="D190" i="12"/>
  <c r="F188" i="12"/>
  <c r="B188" i="12"/>
  <c r="E188" i="12" s="1"/>
  <c r="G187" i="12"/>
  <c r="C187" i="12"/>
  <c r="L186" i="12"/>
  <c r="H186" i="12"/>
  <c r="D186" i="12"/>
  <c r="F184" i="12"/>
  <c r="B184" i="12"/>
  <c r="E184" i="12" s="1"/>
  <c r="G183" i="12"/>
  <c r="C183" i="12"/>
  <c r="L182" i="12"/>
  <c r="H182" i="12"/>
  <c r="D182" i="12"/>
  <c r="F180" i="12"/>
  <c r="B180" i="12"/>
  <c r="E180" i="12" s="1"/>
  <c r="G179" i="12"/>
  <c r="C179" i="12"/>
  <c r="L178" i="12"/>
  <c r="D178" i="12"/>
  <c r="F176" i="12"/>
  <c r="B176" i="12"/>
  <c r="E176" i="12" s="1"/>
  <c r="G175" i="12"/>
  <c r="C175" i="12"/>
  <c r="L174" i="12"/>
  <c r="D174" i="12"/>
  <c r="F172" i="12"/>
  <c r="B172" i="12"/>
  <c r="E172" i="12" s="1"/>
  <c r="G171" i="12"/>
  <c r="C171" i="12"/>
  <c r="L170" i="12"/>
  <c r="D170" i="12"/>
  <c r="F168" i="12"/>
  <c r="B168" i="12"/>
  <c r="E168" i="12" s="1"/>
  <c r="G167" i="12"/>
  <c r="C167" i="12"/>
  <c r="L166" i="12"/>
  <c r="D166" i="12"/>
  <c r="F164" i="12"/>
  <c r="B164" i="12"/>
  <c r="E164" i="12" s="1"/>
  <c r="G163" i="12"/>
  <c r="C163" i="12"/>
  <c r="L162" i="12"/>
  <c r="D162" i="12"/>
  <c r="F160" i="12"/>
  <c r="B160" i="12"/>
  <c r="E160" i="12" s="1"/>
  <c r="G159" i="12"/>
  <c r="C159" i="12"/>
  <c r="L158" i="12"/>
  <c r="D158" i="12"/>
  <c r="F156" i="12"/>
  <c r="B156" i="12"/>
  <c r="E156" i="12" s="1"/>
  <c r="G155" i="12"/>
  <c r="C155" i="12"/>
  <c r="L154" i="12"/>
  <c r="D154" i="12"/>
  <c r="F152" i="12"/>
  <c r="B152" i="12"/>
  <c r="E152" i="12" s="1"/>
  <c r="G151" i="12"/>
  <c r="C151" i="12"/>
  <c r="L150" i="12"/>
  <c r="H150" i="12"/>
  <c r="D150" i="12"/>
  <c r="F148" i="12"/>
  <c r="B148" i="12"/>
  <c r="E148" i="12" s="1"/>
  <c r="G147" i="12"/>
  <c r="C147" i="12"/>
  <c r="L146" i="12"/>
  <c r="D146" i="12"/>
  <c r="F144" i="12"/>
  <c r="B144" i="12"/>
  <c r="E144" i="12" s="1"/>
  <c r="G143" i="12"/>
  <c r="C143" i="12"/>
  <c r="L142" i="12"/>
  <c r="D142" i="12"/>
  <c r="F140" i="12"/>
  <c r="B140" i="12"/>
  <c r="E140" i="12" s="1"/>
  <c r="G139" i="12"/>
  <c r="C139" i="12"/>
  <c r="L138" i="12"/>
  <c r="D138" i="12"/>
  <c r="F136" i="12"/>
  <c r="B136" i="12"/>
  <c r="E136" i="12" s="1"/>
  <c r="G135" i="12"/>
  <c r="C135" i="12"/>
  <c r="L134" i="12"/>
  <c r="D134" i="12"/>
  <c r="F132" i="12"/>
  <c r="B132" i="12"/>
  <c r="E132" i="12" s="1"/>
  <c r="G131" i="12"/>
  <c r="C131" i="12"/>
  <c r="L130" i="12"/>
  <c r="D130" i="12"/>
  <c r="F128" i="12"/>
  <c r="B128" i="12"/>
  <c r="E128" i="12" s="1"/>
  <c r="G127" i="12"/>
  <c r="C127" i="12"/>
  <c r="L126" i="12"/>
  <c r="D126" i="12"/>
  <c r="F124" i="12"/>
  <c r="B124" i="12"/>
  <c r="E124" i="12" s="1"/>
  <c r="G123" i="12"/>
  <c r="C123" i="12"/>
  <c r="L122" i="12"/>
  <c r="H122" i="12"/>
  <c r="D122" i="12"/>
  <c r="F120" i="12"/>
  <c r="B120" i="12"/>
  <c r="E120" i="12" s="1"/>
  <c r="G119" i="12"/>
  <c r="C119" i="12"/>
  <c r="L118" i="12"/>
  <c r="H118" i="12"/>
  <c r="D118" i="12"/>
  <c r="F116" i="12"/>
  <c r="B116" i="12"/>
  <c r="E116" i="12" s="1"/>
  <c r="G115" i="12"/>
  <c r="C115" i="12"/>
  <c r="L114" i="12"/>
  <c r="H114" i="12"/>
  <c r="D114" i="12"/>
  <c r="F112" i="12"/>
  <c r="B112" i="12"/>
  <c r="E112" i="12" s="1"/>
  <c r="G111" i="12"/>
  <c r="C111" i="12"/>
  <c r="L110" i="12"/>
  <c r="H110" i="12"/>
  <c r="D110" i="12"/>
  <c r="F108" i="12"/>
  <c r="B108" i="12"/>
  <c r="E108" i="12" s="1"/>
  <c r="G107" i="12"/>
  <c r="C107" i="12"/>
  <c r="L106" i="12"/>
  <c r="H106" i="12"/>
  <c r="D106" i="12"/>
  <c r="F104" i="12"/>
  <c r="B104" i="12"/>
  <c r="E104" i="12" s="1"/>
  <c r="G103" i="12"/>
  <c r="C103" i="12"/>
  <c r="L102" i="12"/>
  <c r="H102" i="12"/>
  <c r="D102" i="12"/>
  <c r="F100" i="12"/>
  <c r="B100" i="12"/>
  <c r="E100" i="12" s="1"/>
  <c r="G99" i="12"/>
  <c r="C99" i="12"/>
  <c r="L98" i="12"/>
  <c r="H98" i="12"/>
  <c r="D98" i="12"/>
  <c r="F96" i="12"/>
  <c r="B96" i="12"/>
  <c r="E96" i="12" s="1"/>
  <c r="G95" i="12"/>
  <c r="C95" i="12"/>
  <c r="L94" i="12"/>
  <c r="H94" i="12"/>
  <c r="D94" i="12"/>
  <c r="F92" i="12"/>
  <c r="B92" i="12"/>
  <c r="E92" i="12" s="1"/>
  <c r="G91" i="12"/>
  <c r="C91" i="12"/>
  <c r="L90" i="12"/>
  <c r="H90" i="12"/>
  <c r="D90" i="12"/>
  <c r="F88" i="12"/>
  <c r="B88" i="12"/>
  <c r="E88" i="12" s="1"/>
  <c r="G87" i="12"/>
  <c r="C87" i="12"/>
  <c r="L86" i="12"/>
  <c r="H86" i="12"/>
  <c r="D86" i="12"/>
  <c r="F84" i="12"/>
  <c r="B84" i="12"/>
  <c r="E84" i="12" s="1"/>
  <c r="G83" i="12"/>
  <c r="C83" i="12"/>
  <c r="L82" i="12"/>
  <c r="H82" i="12"/>
  <c r="D82" i="12"/>
  <c r="F80" i="12"/>
  <c r="B80" i="12"/>
  <c r="E80" i="12" s="1"/>
  <c r="G79" i="12"/>
  <c r="C79" i="12"/>
  <c r="L78" i="12"/>
  <c r="H78" i="12"/>
  <c r="D78" i="12"/>
  <c r="F76" i="12"/>
  <c r="B76" i="12"/>
  <c r="E76" i="12" s="1"/>
  <c r="G75" i="12"/>
  <c r="C75" i="12"/>
  <c r="L74" i="12"/>
  <c r="H74" i="12"/>
  <c r="D74" i="12"/>
  <c r="F72" i="12"/>
  <c r="B72" i="12"/>
  <c r="E72" i="12" s="1"/>
  <c r="G71" i="12"/>
  <c r="C71" i="12"/>
  <c r="L70" i="12"/>
  <c r="H70" i="12"/>
  <c r="D70" i="12"/>
  <c r="F68" i="12"/>
  <c r="B68" i="12"/>
  <c r="E68" i="12" s="1"/>
  <c r="G67" i="12"/>
  <c r="C67" i="12"/>
  <c r="L66" i="12"/>
  <c r="H66" i="12"/>
  <c r="D66" i="12"/>
  <c r="F64" i="12"/>
  <c r="B64" i="12"/>
  <c r="E64" i="12" s="1"/>
  <c r="G63" i="12"/>
  <c r="C63" i="12"/>
  <c r="L62" i="12"/>
  <c r="H62" i="12"/>
  <c r="D62" i="12"/>
  <c r="F60" i="12"/>
  <c r="B60" i="12"/>
  <c r="E60" i="12" s="1"/>
  <c r="G59" i="12"/>
  <c r="C59" i="12"/>
  <c r="L58" i="12"/>
  <c r="H58" i="12"/>
  <c r="D58" i="12"/>
  <c r="F56" i="12"/>
  <c r="B56" i="12"/>
  <c r="E56" i="12" s="1"/>
  <c r="G55" i="12"/>
  <c r="C55" i="12"/>
  <c r="L54" i="12"/>
  <c r="H54" i="12"/>
  <c r="D54" i="12"/>
  <c r="F52" i="12"/>
  <c r="B52" i="12"/>
  <c r="E52" i="12" s="1"/>
  <c r="G51" i="12"/>
  <c r="C51" i="12"/>
  <c r="L50" i="12"/>
  <c r="H50" i="12"/>
  <c r="D50" i="12"/>
  <c r="F48" i="12"/>
  <c r="B48" i="12"/>
  <c r="E48" i="12" s="1"/>
  <c r="G47" i="12"/>
  <c r="C47" i="12"/>
  <c r="L46" i="12"/>
  <c r="H46" i="12"/>
  <c r="D46" i="12"/>
  <c r="F44" i="12"/>
  <c r="B44" i="12"/>
  <c r="E44" i="12" s="1"/>
  <c r="G43" i="12"/>
  <c r="C43" i="12"/>
  <c r="L42" i="12"/>
  <c r="D42" i="12"/>
  <c r="F40" i="12"/>
  <c r="B40" i="12"/>
  <c r="E40" i="12" s="1"/>
  <c r="G39" i="12"/>
  <c r="C39" i="12"/>
  <c r="L38" i="12"/>
  <c r="D38" i="12"/>
  <c r="F36" i="12"/>
  <c r="B36" i="12"/>
  <c r="E36" i="12" s="1"/>
  <c r="G35" i="12"/>
  <c r="C35" i="12"/>
  <c r="L34" i="12"/>
  <c r="D34" i="12"/>
  <c r="F32" i="12"/>
  <c r="B32" i="12"/>
  <c r="E32" i="12" s="1"/>
  <c r="G31" i="12"/>
  <c r="C31" i="12"/>
  <c r="L30" i="12"/>
  <c r="D30" i="12"/>
  <c r="F28" i="12"/>
  <c r="B28" i="12"/>
  <c r="E28" i="12" s="1"/>
  <c r="G27" i="12"/>
  <c r="C27" i="12"/>
  <c r="L26" i="12"/>
  <c r="D26" i="12"/>
  <c r="F24" i="12"/>
  <c r="B24" i="12"/>
  <c r="E24" i="12" s="1"/>
  <c r="G23" i="12"/>
  <c r="C23" i="12"/>
  <c r="L22" i="12"/>
  <c r="D22" i="12"/>
  <c r="F20" i="12"/>
  <c r="B20" i="12"/>
  <c r="E20" i="12" s="1"/>
  <c r="G19" i="12"/>
  <c r="C19" i="12"/>
  <c r="L18" i="12"/>
  <c r="D18" i="12"/>
  <c r="F16" i="12"/>
  <c r="B16" i="12"/>
  <c r="E16" i="12" s="1"/>
  <c r="G15" i="12"/>
  <c r="C15" i="12"/>
  <c r="L14" i="12"/>
  <c r="D14" i="12"/>
  <c r="B29" i="12"/>
  <c r="E29" i="12" s="1"/>
  <c r="G28" i="12"/>
  <c r="L27" i="12"/>
  <c r="D27" i="12"/>
  <c r="F25" i="12"/>
  <c r="C24" i="12"/>
  <c r="B21" i="12"/>
  <c r="E21" i="12" s="1"/>
  <c r="G20" i="12"/>
  <c r="L19" i="12"/>
  <c r="D19" i="12"/>
  <c r="F17" i="12"/>
  <c r="C16" i="12"/>
  <c r="B13" i="12"/>
  <c r="E13" i="12" s="1"/>
  <c r="G12" i="12"/>
  <c r="C12" i="12"/>
  <c r="L11" i="12"/>
  <c r="D11" i="12"/>
  <c r="F9" i="12"/>
  <c r="B9" i="12"/>
  <c r="E9" i="12" s="1"/>
  <c r="G8" i="12"/>
  <c r="C8" i="12"/>
  <c r="L7" i="12"/>
  <c r="D7" i="12"/>
  <c r="F5" i="12"/>
  <c r="B5" i="12"/>
  <c r="E5" i="12" s="1"/>
  <c r="G4" i="12"/>
  <c r="C4" i="12"/>
  <c r="B30" i="12"/>
  <c r="E30" i="12" s="1"/>
  <c r="G29" i="12"/>
  <c r="L28" i="12"/>
  <c r="D28" i="12"/>
  <c r="F26" i="12"/>
  <c r="C25" i="12"/>
  <c r="B22" i="12"/>
  <c r="E22" i="12" s="1"/>
  <c r="G21" i="12"/>
  <c r="L20" i="12"/>
  <c r="D20" i="12"/>
  <c r="F18" i="12"/>
  <c r="C17" i="12"/>
  <c r="B14" i="12"/>
  <c r="E14" i="12" s="1"/>
  <c r="G13" i="12"/>
  <c r="F12" i="12"/>
  <c r="B12" i="12"/>
  <c r="E12" i="12" s="1"/>
  <c r="G11" i="12"/>
  <c r="C11" i="12"/>
  <c r="L10" i="12"/>
  <c r="D10" i="12"/>
  <c r="F8" i="12"/>
  <c r="B8" i="12"/>
  <c r="E8" i="12" s="1"/>
  <c r="G7" i="12"/>
  <c r="C7" i="12"/>
  <c r="L6" i="12"/>
  <c r="D6" i="12"/>
  <c r="F4" i="12"/>
  <c r="B4" i="12"/>
  <c r="E4" i="12" s="1"/>
  <c r="D31" i="12"/>
  <c r="F29" i="12"/>
  <c r="C28" i="12"/>
  <c r="B25" i="12"/>
  <c r="E25" i="12" s="1"/>
  <c r="G24" i="12"/>
  <c r="L23" i="12"/>
  <c r="D23" i="12"/>
  <c r="F21" i="12"/>
  <c r="C20" i="12"/>
  <c r="B17" i="12"/>
  <c r="E17" i="12" s="1"/>
  <c r="G16" i="12"/>
  <c r="L15" i="12"/>
  <c r="D15" i="12"/>
  <c r="F13" i="12"/>
  <c r="F11" i="12"/>
  <c r="B11" i="12"/>
  <c r="E11" i="12" s="1"/>
  <c r="G10" i="12"/>
  <c r="C10" i="12"/>
  <c r="L9" i="12"/>
  <c r="D9" i="12"/>
  <c r="F7" i="12"/>
  <c r="B7" i="12"/>
  <c r="E7" i="12" s="1"/>
  <c r="G6" i="12"/>
  <c r="C6" i="12"/>
  <c r="L5" i="12"/>
  <c r="D5" i="12"/>
  <c r="F30" i="12"/>
  <c r="C29" i="12"/>
  <c r="B26" i="12"/>
  <c r="E26" i="12" s="1"/>
  <c r="G25" i="12"/>
  <c r="L24" i="12"/>
  <c r="D24" i="12"/>
  <c r="F22" i="12"/>
  <c r="C21" i="12"/>
  <c r="B18" i="12"/>
  <c r="E18" i="12" s="1"/>
  <c r="G17" i="12"/>
  <c r="L16" i="12"/>
  <c r="D16" i="12"/>
  <c r="F14" i="12"/>
  <c r="C13" i="12"/>
  <c r="L12" i="12"/>
  <c r="D12" i="12"/>
  <c r="F10" i="12"/>
  <c r="B10" i="12"/>
  <c r="E10" i="12" s="1"/>
  <c r="G9" i="12"/>
  <c r="C9" i="12"/>
  <c r="L8" i="12"/>
  <c r="D8" i="12"/>
  <c r="F6" i="12"/>
  <c r="B6" i="12"/>
  <c r="E6" i="12" s="1"/>
  <c r="G5" i="12"/>
  <c r="C5" i="12"/>
  <c r="L4" i="12"/>
  <c r="D4" i="12"/>
  <c r="Z7" i="4"/>
  <c r="Z15" i="4"/>
  <c r="Z27" i="4"/>
  <c r="Z35" i="4"/>
  <c r="Z3" i="4"/>
  <c r="Z11" i="4"/>
  <c r="Z19" i="4"/>
  <c r="Z23" i="4"/>
  <c r="Z31" i="4"/>
  <c r="Z39" i="4"/>
  <c r="Z43" i="4"/>
  <c r="Z4" i="4"/>
  <c r="Z8" i="4"/>
  <c r="Z12" i="4"/>
  <c r="Z16" i="4"/>
  <c r="Z20" i="4"/>
  <c r="Z24" i="4"/>
  <c r="Z28" i="4"/>
  <c r="Z32" i="4"/>
  <c r="Z36" i="4"/>
  <c r="Z40" i="4"/>
  <c r="B22" i="3"/>
  <c r="P433" i="4"/>
  <c r="P417" i="4"/>
  <c r="V397" i="4"/>
  <c r="P397" i="4"/>
  <c r="V371" i="4"/>
  <c r="P371" i="4"/>
  <c r="V341" i="4"/>
  <c r="P341" i="4"/>
  <c r="V339" i="4"/>
  <c r="P339" i="4"/>
  <c r="V337" i="4"/>
  <c r="P337" i="4"/>
  <c r="V327" i="4"/>
  <c r="P327" i="4"/>
  <c r="V325" i="4"/>
  <c r="P325" i="4"/>
  <c r="V398" i="4"/>
  <c r="P398" i="4"/>
  <c r="V370" i="4"/>
  <c r="P370" i="4"/>
  <c r="V340" i="4"/>
  <c r="P340" i="4"/>
  <c r="V338" i="4"/>
  <c r="P338" i="4"/>
  <c r="V328" i="4"/>
  <c r="P328" i="4"/>
  <c r="V326" i="4"/>
  <c r="P326" i="4"/>
  <c r="V324" i="4"/>
  <c r="P324" i="4"/>
  <c r="P429" i="4"/>
  <c r="V411" i="4"/>
  <c r="P411" i="4"/>
  <c r="V395" i="4"/>
  <c r="P395" i="4"/>
  <c r="V393" i="4"/>
  <c r="P393" i="4"/>
  <c r="V391" i="4"/>
  <c r="P391" i="4"/>
  <c r="V389" i="4"/>
  <c r="P389" i="4"/>
  <c r="V377" i="4"/>
  <c r="P377" i="4"/>
  <c r="V375" i="4"/>
  <c r="P375" i="4"/>
  <c r="V369" i="4"/>
  <c r="P369" i="4"/>
  <c r="V367" i="4"/>
  <c r="P367" i="4"/>
  <c r="V365" i="4"/>
  <c r="P365" i="4"/>
  <c r="V355" i="4"/>
  <c r="P355" i="4"/>
  <c r="V353" i="4"/>
  <c r="P353" i="4"/>
  <c r="V351" i="4"/>
  <c r="P351" i="4"/>
  <c r="V335" i="4"/>
  <c r="P335" i="4"/>
  <c r="V323" i="4"/>
  <c r="P323" i="4"/>
  <c r="V321" i="4"/>
  <c r="P321" i="4"/>
  <c r="V319" i="4"/>
  <c r="P319" i="4"/>
  <c r="P430" i="4"/>
  <c r="P426" i="4"/>
  <c r="P414" i="4"/>
  <c r="V396" i="4"/>
  <c r="P396" i="4"/>
  <c r="V394" i="4"/>
  <c r="P394" i="4"/>
  <c r="V392" i="4"/>
  <c r="P392" i="4"/>
  <c r="V390" i="4"/>
  <c r="P390" i="4"/>
  <c r="V378" i="4"/>
  <c r="P378" i="4"/>
  <c r="V376" i="4"/>
  <c r="P376" i="4"/>
  <c r="V368" i="4"/>
  <c r="P368" i="4"/>
  <c r="V366" i="4"/>
  <c r="P366" i="4"/>
  <c r="V354" i="4"/>
  <c r="P354" i="4"/>
  <c r="V352" i="4"/>
  <c r="P352" i="4"/>
  <c r="V336" i="4"/>
  <c r="P336" i="4"/>
  <c r="V322" i="4"/>
  <c r="P322" i="4"/>
  <c r="V320" i="4"/>
  <c r="P320" i="4"/>
  <c r="V318" i="4"/>
  <c r="P318" i="4"/>
  <c r="P469" i="4"/>
  <c r="P465" i="4"/>
  <c r="P461" i="4"/>
  <c r="P457" i="4"/>
  <c r="P453" i="4"/>
  <c r="P449" i="4"/>
  <c r="P445" i="4"/>
  <c r="P441" i="4"/>
  <c r="V379" i="4"/>
  <c r="P379" i="4"/>
  <c r="V343" i="4"/>
  <c r="P343" i="4"/>
  <c r="P470" i="4"/>
  <c r="P466" i="4"/>
  <c r="P462" i="4"/>
  <c r="P458" i="4"/>
  <c r="P454" i="4"/>
  <c r="P450" i="4"/>
  <c r="P446" i="4"/>
  <c r="P442" i="4"/>
  <c r="P418" i="4"/>
  <c r="V380" i="4"/>
  <c r="P380" i="4"/>
  <c r="V342" i="4"/>
  <c r="P342" i="4"/>
  <c r="V45" i="4"/>
  <c r="V47" i="4"/>
  <c r="V49" i="4"/>
  <c r="V51" i="4"/>
  <c r="V53" i="4"/>
  <c r="V55" i="4"/>
  <c r="V57" i="4"/>
  <c r="V59" i="4"/>
  <c r="V61" i="4"/>
  <c r="V63" i="4"/>
  <c r="V65" i="4"/>
  <c r="V67" i="4"/>
  <c r="V69" i="4"/>
  <c r="V71" i="4"/>
  <c r="V73" i="4"/>
  <c r="V75" i="4"/>
  <c r="V77" i="4"/>
  <c r="V79" i="4"/>
  <c r="V81" i="4"/>
  <c r="V83" i="4"/>
  <c r="V85" i="4"/>
  <c r="V87" i="4"/>
  <c r="V89" i="4"/>
  <c r="V91" i="4"/>
  <c r="V93" i="4"/>
  <c r="V95" i="4"/>
  <c r="V97" i="4"/>
  <c r="V99" i="4"/>
  <c r="V101" i="4"/>
  <c r="V103" i="4"/>
  <c r="V105" i="4"/>
  <c r="V107" i="4"/>
  <c r="V109" i="4"/>
  <c r="V111" i="4"/>
  <c r="V113" i="4"/>
  <c r="V115" i="4"/>
  <c r="V117" i="4"/>
  <c r="V119" i="4"/>
  <c r="V121" i="4"/>
  <c r="V122" i="4"/>
  <c r="V124" i="4"/>
  <c r="V126" i="4"/>
  <c r="V128" i="4"/>
  <c r="V130" i="4"/>
  <c r="V132" i="4"/>
  <c r="V134" i="4"/>
  <c r="V136" i="4"/>
  <c r="V138" i="4"/>
  <c r="V140" i="4"/>
  <c r="V142" i="4"/>
  <c r="V144" i="4"/>
  <c r="V145" i="4"/>
  <c r="V147" i="4"/>
  <c r="V149" i="4"/>
  <c r="V151" i="4"/>
  <c r="V152" i="4"/>
  <c r="V154" i="4"/>
  <c r="V156" i="4"/>
  <c r="V158" i="4"/>
  <c r="V160" i="4"/>
  <c r="V162" i="4"/>
  <c r="V164" i="4"/>
  <c r="V166" i="4"/>
  <c r="V168" i="4"/>
  <c r="V170" i="4"/>
  <c r="V172" i="4"/>
  <c r="V174" i="4"/>
  <c r="V176" i="4"/>
  <c r="V178" i="4"/>
  <c r="V179" i="4"/>
  <c r="P2" i="4"/>
  <c r="B22" i="8"/>
  <c r="P3" i="4"/>
  <c r="H5" i="12" s="1"/>
  <c r="P4" i="4"/>
  <c r="H6" i="12" s="1"/>
  <c r="P5" i="4"/>
  <c r="P6" i="4"/>
  <c r="B20" i="8"/>
  <c r="P7" i="4"/>
  <c r="B21" i="8"/>
  <c r="P8" i="4"/>
  <c r="P9" i="4"/>
  <c r="P10" i="4"/>
  <c r="H12" i="12" s="1"/>
  <c r="P11" i="4"/>
  <c r="P12" i="4"/>
  <c r="H14" i="12" s="1"/>
  <c r="P13" i="4"/>
  <c r="P14" i="4"/>
  <c r="H16" i="12" s="1"/>
  <c r="P15" i="4"/>
  <c r="H17" i="12" s="1"/>
  <c r="P16" i="4"/>
  <c r="H18" i="12" s="1"/>
  <c r="P17" i="4"/>
  <c r="H19" i="12" s="1"/>
  <c r="P18" i="4"/>
  <c r="P19" i="4"/>
  <c r="H21" i="12" s="1"/>
  <c r="P20" i="4"/>
  <c r="H22" i="12" s="1"/>
  <c r="P21" i="4"/>
  <c r="P22" i="4"/>
  <c r="H24" i="12" s="1"/>
  <c r="P23" i="4"/>
  <c r="H25" i="12" s="1"/>
  <c r="P24" i="4"/>
  <c r="H26" i="12" s="1"/>
  <c r="P25" i="4"/>
  <c r="P26" i="4"/>
  <c r="P27" i="4"/>
  <c r="P28" i="4"/>
  <c r="H30" i="12" s="1"/>
  <c r="P29" i="4"/>
  <c r="P30" i="4"/>
  <c r="H32" i="12" s="1"/>
  <c r="P31" i="4"/>
  <c r="H33" i="12" s="1"/>
  <c r="P32" i="4"/>
  <c r="H34" i="12" s="1"/>
  <c r="P33" i="4"/>
  <c r="P34" i="4"/>
  <c r="H36" i="12" s="1"/>
  <c r="P35" i="4"/>
  <c r="H37" i="12" s="1"/>
  <c r="P36" i="4"/>
  <c r="H38" i="12" s="1"/>
  <c r="P37" i="4"/>
  <c r="P38" i="4"/>
  <c r="H40" i="12" s="1"/>
  <c r="P39" i="4"/>
  <c r="H41" i="12" s="1"/>
  <c r="P40" i="4"/>
  <c r="H42" i="12" s="1"/>
  <c r="P41" i="4"/>
  <c r="H43" i="12" s="1"/>
  <c r="B19" i="8"/>
  <c r="P42" i="4"/>
  <c r="H44" i="12" s="1"/>
  <c r="P43" i="4"/>
  <c r="P45" i="4"/>
  <c r="P47" i="4"/>
  <c r="P49" i="4"/>
  <c r="H51" i="12" s="1"/>
  <c r="P51" i="4"/>
  <c r="P53" i="4"/>
  <c r="P55" i="4"/>
  <c r="P57" i="4"/>
  <c r="H59" i="12" s="1"/>
  <c r="P59" i="4"/>
  <c r="P61" i="4"/>
  <c r="P63" i="4"/>
  <c r="P65" i="4"/>
  <c r="H67" i="12" s="1"/>
  <c r="P67" i="4"/>
  <c r="P69" i="4"/>
  <c r="P71" i="4"/>
  <c r="P73" i="4"/>
  <c r="H75" i="12" s="1"/>
  <c r="P75" i="4"/>
  <c r="P77" i="4"/>
  <c r="P79" i="4"/>
  <c r="P81" i="4"/>
  <c r="H83" i="12" s="1"/>
  <c r="P83" i="4"/>
  <c r="P85" i="4"/>
  <c r="P87" i="4"/>
  <c r="P89" i="4"/>
  <c r="H91" i="12" s="1"/>
  <c r="P91" i="4"/>
  <c r="P93" i="4"/>
  <c r="P95" i="4"/>
  <c r="P97" i="4"/>
  <c r="H99" i="12" s="1"/>
  <c r="P99" i="4"/>
  <c r="P101" i="4"/>
  <c r="P103" i="4"/>
  <c r="P105" i="4"/>
  <c r="H107" i="12" s="1"/>
  <c r="P107" i="4"/>
  <c r="P109" i="4"/>
  <c r="P111" i="4"/>
  <c r="P113" i="4"/>
  <c r="H115" i="12" s="1"/>
  <c r="P115" i="4"/>
  <c r="P117" i="4"/>
  <c r="P119" i="4"/>
  <c r="P121" i="4"/>
  <c r="H123" i="12" s="1"/>
  <c r="P122" i="4"/>
  <c r="P124" i="4"/>
  <c r="P126" i="4"/>
  <c r="P128" i="4"/>
  <c r="P130" i="4"/>
  <c r="P132" i="4"/>
  <c r="P134" i="4"/>
  <c r="P136" i="4"/>
  <c r="P138" i="4"/>
  <c r="P140" i="4"/>
  <c r="P142" i="4"/>
  <c r="P144" i="4"/>
  <c r="P145" i="4"/>
  <c r="H147" i="12" s="1"/>
  <c r="P147" i="4"/>
  <c r="P149" i="4"/>
  <c r="P151" i="4"/>
  <c r="H153" i="12" s="1"/>
  <c r="P152" i="4"/>
  <c r="P154" i="4"/>
  <c r="P156" i="4"/>
  <c r="P158" i="4"/>
  <c r="P160" i="4"/>
  <c r="P162" i="4"/>
  <c r="P164" i="4"/>
  <c r="P166" i="4"/>
  <c r="P168" i="4"/>
  <c r="P170" i="4"/>
  <c r="P172" i="4"/>
  <c r="P174" i="4"/>
  <c r="P176" i="4"/>
  <c r="P178" i="4"/>
  <c r="P179" i="4"/>
  <c r="V222" i="4"/>
  <c r="P222" i="4"/>
  <c r="H224" i="12" s="1"/>
  <c r="V223" i="4"/>
  <c r="P223" i="4"/>
  <c r="V224" i="4"/>
  <c r="P224" i="4"/>
  <c r="H226" i="12" s="1"/>
  <c r="V225" i="4"/>
  <c r="P225" i="4"/>
  <c r="V226" i="4"/>
  <c r="P226" i="4"/>
  <c r="H228" i="12" s="1"/>
  <c r="V227" i="4"/>
  <c r="P227" i="4"/>
  <c r="V228" i="4"/>
  <c r="P228" i="4"/>
  <c r="V229" i="4"/>
  <c r="P229" i="4"/>
  <c r="V230" i="4"/>
  <c r="P230" i="4"/>
  <c r="H232" i="12" s="1"/>
  <c r="V231" i="4"/>
  <c r="P231" i="4"/>
  <c r="V232" i="4"/>
  <c r="P232" i="4"/>
  <c r="H234" i="12" s="1"/>
  <c r="V233" i="4"/>
  <c r="P233" i="4"/>
  <c r="V234" i="4"/>
  <c r="P234" i="4"/>
  <c r="H236" i="12" s="1"/>
  <c r="V235" i="4"/>
  <c r="P235" i="4"/>
  <c r="V236" i="4"/>
  <c r="P236" i="4"/>
  <c r="V237" i="4"/>
  <c r="P237" i="4"/>
  <c r="V238" i="4"/>
  <c r="P238" i="4"/>
  <c r="H240" i="12" s="1"/>
  <c r="V239" i="4"/>
  <c r="P239" i="4"/>
  <c r="V240" i="4"/>
  <c r="P240" i="4"/>
  <c r="H242" i="12" s="1"/>
  <c r="V241" i="4"/>
  <c r="P241" i="4"/>
  <c r="V242" i="4"/>
  <c r="P242" i="4"/>
  <c r="H244" i="12" s="1"/>
  <c r="V243" i="4"/>
  <c r="P243" i="4"/>
  <c r="V244" i="4"/>
  <c r="P244" i="4"/>
  <c r="V245" i="4"/>
  <c r="P245" i="4"/>
  <c r="V246" i="4"/>
  <c r="P246" i="4"/>
  <c r="V247" i="4"/>
  <c r="P247" i="4"/>
  <c r="V248" i="4"/>
  <c r="P248" i="4"/>
  <c r="V249" i="4"/>
  <c r="P249" i="4"/>
  <c r="V250" i="4"/>
  <c r="P250" i="4"/>
  <c r="V251" i="4"/>
  <c r="P251" i="4"/>
  <c r="V252" i="4"/>
  <c r="P252" i="4"/>
  <c r="V253" i="4"/>
  <c r="P253" i="4"/>
  <c r="V254" i="4"/>
  <c r="P254" i="4"/>
  <c r="V255" i="4"/>
  <c r="P255" i="4"/>
  <c r="V256" i="4"/>
  <c r="P256" i="4"/>
  <c r="V257" i="4"/>
  <c r="P257" i="4"/>
  <c r="V258" i="4"/>
  <c r="P258" i="4"/>
  <c r="V259" i="4"/>
  <c r="P259" i="4"/>
  <c r="V260" i="4"/>
  <c r="P260" i="4"/>
  <c r="V261" i="4"/>
  <c r="P261" i="4"/>
  <c r="V262" i="4"/>
  <c r="P262" i="4"/>
  <c r="V263" i="4"/>
  <c r="P263" i="4"/>
  <c r="V264" i="4"/>
  <c r="P264" i="4"/>
  <c r="V265" i="4"/>
  <c r="P265" i="4"/>
  <c r="V266" i="4"/>
  <c r="P266" i="4"/>
  <c r="V267" i="4"/>
  <c r="P267" i="4"/>
  <c r="V268" i="4"/>
  <c r="P268" i="4"/>
  <c r="V269" i="4"/>
  <c r="P269" i="4"/>
  <c r="V270" i="4"/>
  <c r="P270" i="4"/>
  <c r="V271" i="4"/>
  <c r="P271" i="4"/>
  <c r="V272" i="4"/>
  <c r="P272" i="4"/>
  <c r="V273" i="4"/>
  <c r="P273" i="4"/>
  <c r="V274" i="4"/>
  <c r="P274" i="4"/>
  <c r="V275" i="4"/>
  <c r="P275" i="4"/>
  <c r="V276" i="4"/>
  <c r="P276" i="4"/>
  <c r="V277" i="4"/>
  <c r="P277" i="4"/>
  <c r="V278" i="4"/>
  <c r="P278" i="4"/>
  <c r="V279" i="4"/>
  <c r="P279" i="4"/>
  <c r="V280" i="4"/>
  <c r="P280" i="4"/>
  <c r="V281" i="4"/>
  <c r="P281" i="4"/>
  <c r="V282" i="4"/>
  <c r="P282" i="4"/>
  <c r="V283" i="4"/>
  <c r="P283" i="4"/>
  <c r="V284" i="4"/>
  <c r="P284" i="4"/>
  <c r="V285" i="4"/>
  <c r="P285" i="4"/>
  <c r="V286" i="4"/>
  <c r="P286" i="4"/>
  <c r="V287" i="4"/>
  <c r="P287" i="4"/>
  <c r="V288" i="4"/>
  <c r="P288" i="4"/>
  <c r="V289" i="4"/>
  <c r="P289" i="4"/>
  <c r="V290" i="4"/>
  <c r="P290" i="4"/>
  <c r="V291" i="4"/>
  <c r="P291" i="4"/>
  <c r="V292" i="4"/>
  <c r="P292" i="4"/>
  <c r="V293" i="4"/>
  <c r="P293" i="4"/>
  <c r="V294" i="4"/>
  <c r="P294" i="4"/>
  <c r="V295" i="4"/>
  <c r="P295" i="4"/>
  <c r="P296" i="4"/>
  <c r="AD298" i="4"/>
  <c r="J298" i="4"/>
  <c r="AD300" i="4"/>
  <c r="J300" i="4"/>
  <c r="AD302" i="4"/>
  <c r="J302" i="4"/>
  <c r="AD304" i="4"/>
  <c r="J304" i="4"/>
  <c r="AD306" i="4"/>
  <c r="J306" i="4"/>
  <c r="AD308" i="4"/>
  <c r="J308" i="4"/>
  <c r="AD310" i="4"/>
  <c r="J310" i="4"/>
  <c r="AD312" i="4"/>
  <c r="J312" i="4"/>
  <c r="AD314" i="4"/>
  <c r="J314" i="4"/>
  <c r="P420" i="4"/>
  <c r="P424"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V296" i="4"/>
  <c r="Q297" i="4"/>
  <c r="P298" i="4"/>
  <c r="V298" i="4"/>
  <c r="Q299" i="4"/>
  <c r="P300" i="4"/>
  <c r="V300" i="4"/>
  <c r="Q301" i="4"/>
  <c r="P302" i="4"/>
  <c r="V302" i="4"/>
  <c r="Q303" i="4"/>
  <c r="P304" i="4"/>
  <c r="V304" i="4"/>
  <c r="Q305" i="4"/>
  <c r="P306" i="4"/>
  <c r="V306" i="4"/>
  <c r="Q307" i="4"/>
  <c r="P308" i="4"/>
  <c r="V308" i="4"/>
  <c r="Q309" i="4"/>
  <c r="P310" i="4"/>
  <c r="V310" i="4"/>
  <c r="Q311" i="4"/>
  <c r="P312" i="4"/>
  <c r="V312" i="4"/>
  <c r="Q313" i="4"/>
  <c r="P314" i="4"/>
  <c r="V314" i="4"/>
  <c r="Q316" i="4"/>
  <c r="V408" i="4"/>
  <c r="P416" i="4"/>
  <c r="X494" i="13"/>
  <c r="K494" i="13"/>
  <c r="G494" i="13"/>
  <c r="C494" i="13"/>
  <c r="V493" i="13"/>
  <c r="I493" i="13"/>
  <c r="X492" i="13"/>
  <c r="K492" i="13"/>
  <c r="G492" i="13"/>
  <c r="C492" i="13"/>
  <c r="V491" i="13"/>
  <c r="I491" i="13"/>
  <c r="X490" i="13"/>
  <c r="K490" i="13"/>
  <c r="G490" i="13"/>
  <c r="C490" i="13"/>
  <c r="V489" i="13"/>
  <c r="I489" i="13"/>
  <c r="X488" i="13"/>
  <c r="K488" i="13"/>
  <c r="G488" i="13"/>
  <c r="C488" i="13"/>
  <c r="V487" i="13"/>
  <c r="I487" i="13"/>
  <c r="X486" i="13"/>
  <c r="K486" i="13"/>
  <c r="G486" i="13"/>
  <c r="C486" i="13"/>
  <c r="V485" i="13"/>
  <c r="I485" i="13"/>
  <c r="X484" i="13"/>
  <c r="K484" i="13"/>
  <c r="G484" i="13"/>
  <c r="C484" i="13"/>
  <c r="V483" i="13"/>
  <c r="I483" i="13"/>
  <c r="X482" i="13"/>
  <c r="K482" i="13"/>
  <c r="G482" i="13"/>
  <c r="C482" i="13"/>
  <c r="V481" i="13"/>
  <c r="I481" i="13"/>
  <c r="X480" i="13"/>
  <c r="K480" i="13"/>
  <c r="G480" i="13"/>
  <c r="C480" i="13"/>
  <c r="V479" i="13"/>
  <c r="I479" i="13"/>
  <c r="X478" i="13"/>
  <c r="K478" i="13"/>
  <c r="G478" i="13"/>
  <c r="C478" i="13"/>
  <c r="V477" i="13"/>
  <c r="I477" i="13"/>
  <c r="X476" i="13"/>
  <c r="K476" i="13"/>
  <c r="G476" i="13"/>
  <c r="C476" i="13"/>
  <c r="V475" i="13"/>
  <c r="I475" i="13"/>
  <c r="X474" i="13"/>
  <c r="K474" i="13"/>
  <c r="G474" i="13"/>
  <c r="C474" i="13"/>
  <c r="V473" i="13"/>
  <c r="I473" i="13"/>
  <c r="X472" i="13"/>
  <c r="K472" i="13"/>
  <c r="G472" i="13"/>
  <c r="C472" i="13"/>
  <c r="V471" i="13"/>
  <c r="I471" i="13"/>
  <c r="X470" i="13"/>
  <c r="J494" i="13"/>
  <c r="F494" i="13"/>
  <c r="B494" i="13"/>
  <c r="E494" i="13" s="1"/>
  <c r="L493" i="13"/>
  <c r="H493" i="13"/>
  <c r="D493" i="13"/>
  <c r="J492" i="13"/>
  <c r="F492" i="13"/>
  <c r="B492" i="13"/>
  <c r="E492" i="13" s="1"/>
  <c r="L491" i="13"/>
  <c r="H491" i="13"/>
  <c r="D491" i="13"/>
  <c r="J490" i="13"/>
  <c r="F490" i="13"/>
  <c r="B490" i="13"/>
  <c r="E490" i="13" s="1"/>
  <c r="L489" i="13"/>
  <c r="H489" i="13"/>
  <c r="D489" i="13"/>
  <c r="J488" i="13"/>
  <c r="F488" i="13"/>
  <c r="B488" i="13"/>
  <c r="E488" i="13" s="1"/>
  <c r="L487" i="13"/>
  <c r="H487" i="13"/>
  <c r="D487" i="13"/>
  <c r="J486" i="13"/>
  <c r="F486" i="13"/>
  <c r="B486" i="13"/>
  <c r="E486" i="13" s="1"/>
  <c r="L485" i="13"/>
  <c r="H485" i="13"/>
  <c r="D485" i="13"/>
  <c r="J484" i="13"/>
  <c r="F484" i="13"/>
  <c r="B484" i="13"/>
  <c r="E484" i="13" s="1"/>
  <c r="L483" i="13"/>
  <c r="H483" i="13"/>
  <c r="D483" i="13"/>
  <c r="J482" i="13"/>
  <c r="F482" i="13"/>
  <c r="B482" i="13"/>
  <c r="E482" i="13" s="1"/>
  <c r="L481" i="13"/>
  <c r="H481" i="13"/>
  <c r="D481" i="13"/>
  <c r="J480" i="13"/>
  <c r="F480" i="13"/>
  <c r="B480" i="13"/>
  <c r="E480" i="13" s="1"/>
  <c r="L479" i="13"/>
  <c r="H479" i="13"/>
  <c r="D479" i="13"/>
  <c r="J478" i="13"/>
  <c r="F478" i="13"/>
  <c r="B478" i="13"/>
  <c r="E478" i="13" s="1"/>
  <c r="L477" i="13"/>
  <c r="H477" i="13"/>
  <c r="D477" i="13"/>
  <c r="J476" i="13"/>
  <c r="F476" i="13"/>
  <c r="B476" i="13"/>
  <c r="E476" i="13" s="1"/>
  <c r="L475" i="13"/>
  <c r="H475" i="13"/>
  <c r="D475" i="13"/>
  <c r="J474" i="13"/>
  <c r="F474" i="13"/>
  <c r="B474" i="13"/>
  <c r="E474" i="13" s="1"/>
  <c r="L473" i="13"/>
  <c r="H473" i="13"/>
  <c r="D473" i="13"/>
  <c r="J472" i="13"/>
  <c r="F472" i="13"/>
  <c r="B472" i="13"/>
  <c r="E472" i="13" s="1"/>
  <c r="L471" i="13"/>
  <c r="H471" i="13"/>
  <c r="D471" i="13"/>
  <c r="V494" i="13"/>
  <c r="K493" i="13"/>
  <c r="C493" i="13"/>
  <c r="I492" i="13"/>
  <c r="X491" i="13"/>
  <c r="G491" i="13"/>
  <c r="W491" i="13" s="1"/>
  <c r="V490" i="13"/>
  <c r="K489" i="13"/>
  <c r="C489" i="13"/>
  <c r="I488" i="13"/>
  <c r="X487" i="13"/>
  <c r="G487" i="13"/>
  <c r="V486" i="13"/>
  <c r="K485" i="13"/>
  <c r="C485" i="13"/>
  <c r="I484" i="13"/>
  <c r="X483" i="13"/>
  <c r="G483" i="13"/>
  <c r="W483" i="13" s="1"/>
  <c r="V482" i="13"/>
  <c r="K481" i="13"/>
  <c r="C481" i="13"/>
  <c r="I480" i="13"/>
  <c r="X479" i="13"/>
  <c r="G479" i="13"/>
  <c r="V478" i="13"/>
  <c r="K477" i="13"/>
  <c r="C477" i="13"/>
  <c r="I476" i="13"/>
  <c r="X475" i="13"/>
  <c r="G475" i="13"/>
  <c r="W475" i="13" s="1"/>
  <c r="V474" i="13"/>
  <c r="K473" i="13"/>
  <c r="C473" i="13"/>
  <c r="I472" i="13"/>
  <c r="X471" i="13"/>
  <c r="G471" i="13"/>
  <c r="V470" i="13"/>
  <c r="I470" i="13"/>
  <c r="X469" i="13"/>
  <c r="K469" i="13"/>
  <c r="G469" i="13"/>
  <c r="C469" i="13"/>
  <c r="V468" i="13"/>
  <c r="I468" i="13"/>
  <c r="X467" i="13"/>
  <c r="K467" i="13"/>
  <c r="G467" i="13"/>
  <c r="W467" i="13" s="1"/>
  <c r="C467" i="13"/>
  <c r="V466" i="13"/>
  <c r="I466" i="13"/>
  <c r="X465" i="13"/>
  <c r="K465" i="13"/>
  <c r="G465" i="13"/>
  <c r="W465" i="13" s="1"/>
  <c r="C465" i="13"/>
  <c r="V464" i="13"/>
  <c r="I464" i="13"/>
  <c r="X463" i="13"/>
  <c r="K463" i="13"/>
  <c r="G463" i="13"/>
  <c r="C463" i="13"/>
  <c r="V462" i="13"/>
  <c r="I462" i="13"/>
  <c r="X461" i="13"/>
  <c r="K461" i="13"/>
  <c r="G461" i="13"/>
  <c r="C461" i="13"/>
  <c r="V460" i="13"/>
  <c r="I460" i="13"/>
  <c r="X459" i="13"/>
  <c r="K459" i="13"/>
  <c r="G459" i="13"/>
  <c r="W459" i="13" s="1"/>
  <c r="C459" i="13"/>
  <c r="V458" i="13"/>
  <c r="I458" i="13"/>
  <c r="X457" i="13"/>
  <c r="K457" i="13"/>
  <c r="G457" i="13"/>
  <c r="W457" i="13" s="1"/>
  <c r="C457" i="13"/>
  <c r="V456" i="13"/>
  <c r="I456" i="13"/>
  <c r="X455" i="13"/>
  <c r="K455" i="13"/>
  <c r="G455" i="13"/>
  <c r="W455" i="13" s="1"/>
  <c r="C455" i="13"/>
  <c r="V454" i="13"/>
  <c r="I454" i="13"/>
  <c r="X453" i="13"/>
  <c r="K453" i="13"/>
  <c r="G453" i="13"/>
  <c r="C453" i="13"/>
  <c r="V452" i="13"/>
  <c r="I452" i="13"/>
  <c r="X451" i="13"/>
  <c r="K451" i="13"/>
  <c r="G451" i="13"/>
  <c r="W451" i="13" s="1"/>
  <c r="C451" i="13"/>
  <c r="V450" i="13"/>
  <c r="I450" i="13"/>
  <c r="X449" i="13"/>
  <c r="K449" i="13"/>
  <c r="G449" i="13"/>
  <c r="W449" i="13" s="1"/>
  <c r="C449" i="13"/>
  <c r="V448" i="13"/>
  <c r="I448" i="13"/>
  <c r="X447" i="13"/>
  <c r="K447" i="13"/>
  <c r="G447" i="13"/>
  <c r="C447" i="13"/>
  <c r="V446" i="13"/>
  <c r="I446" i="13"/>
  <c r="X445" i="13"/>
  <c r="K445" i="13"/>
  <c r="G445" i="13"/>
  <c r="C445" i="13"/>
  <c r="V444" i="13"/>
  <c r="I444" i="13"/>
  <c r="X443" i="13"/>
  <c r="K443" i="13"/>
  <c r="G443" i="13"/>
  <c r="W443" i="13" s="1"/>
  <c r="C443" i="13"/>
  <c r="V442" i="13"/>
  <c r="I442" i="13"/>
  <c r="X441" i="13"/>
  <c r="K441" i="13"/>
  <c r="G441" i="13"/>
  <c r="W441" i="13" s="1"/>
  <c r="C441" i="13"/>
  <c r="V440" i="13"/>
  <c r="I440" i="13"/>
  <c r="X439" i="13"/>
  <c r="K439" i="13"/>
  <c r="G439" i="13"/>
  <c r="W439" i="13" s="1"/>
  <c r="C439" i="13"/>
  <c r="V438" i="13"/>
  <c r="I438" i="13"/>
  <c r="X437" i="13"/>
  <c r="K437" i="13"/>
  <c r="G437" i="13"/>
  <c r="C437" i="13"/>
  <c r="V436" i="13"/>
  <c r="I436" i="13"/>
  <c r="X435" i="13"/>
  <c r="K435" i="13"/>
  <c r="G435" i="13"/>
  <c r="W435" i="13" s="1"/>
  <c r="C435" i="13"/>
  <c r="V434" i="13"/>
  <c r="I434" i="13"/>
  <c r="L494" i="13"/>
  <c r="I494" i="13"/>
  <c r="B493" i="13"/>
  <c r="E493" i="13" s="1"/>
  <c r="J491" i="13"/>
  <c r="L490" i="13"/>
  <c r="X489" i="13"/>
  <c r="F489" i="13"/>
  <c r="H488" i="13"/>
  <c r="K487" i="13"/>
  <c r="B487" i="13"/>
  <c r="E487" i="13" s="1"/>
  <c r="D486" i="13"/>
  <c r="G485" i="13"/>
  <c r="W485" i="13" s="1"/>
  <c r="L484" i="13"/>
  <c r="C483" i="13"/>
  <c r="H482" i="13"/>
  <c r="J481" i="13"/>
  <c r="V480" i="13"/>
  <c r="D480" i="13"/>
  <c r="F479" i="13"/>
  <c r="I478" i="13"/>
  <c r="B477" i="13"/>
  <c r="E477" i="13" s="1"/>
  <c r="J475" i="13"/>
  <c r="L474" i="13"/>
  <c r="X473" i="13"/>
  <c r="F473" i="13"/>
  <c r="H472" i="13"/>
  <c r="K471" i="13"/>
  <c r="B471" i="13"/>
  <c r="E471" i="13" s="1"/>
  <c r="H470" i="13"/>
  <c r="C470" i="13"/>
  <c r="L469" i="13"/>
  <c r="F469" i="13"/>
  <c r="X468" i="13"/>
  <c r="J468" i="13"/>
  <c r="D468" i="13"/>
  <c r="V467" i="13"/>
  <c r="H467" i="13"/>
  <c r="B467" i="13"/>
  <c r="E467" i="13" s="1"/>
  <c r="K466" i="13"/>
  <c r="F466" i="13"/>
  <c r="I465" i="13"/>
  <c r="D465" i="13"/>
  <c r="L464" i="13"/>
  <c r="G464" i="13"/>
  <c r="B464" i="13"/>
  <c r="E464" i="13" s="1"/>
  <c r="J463" i="13"/>
  <c r="H462" i="13"/>
  <c r="C462" i="13"/>
  <c r="L461" i="13"/>
  <c r="F461" i="13"/>
  <c r="X460" i="13"/>
  <c r="J460" i="13"/>
  <c r="D460" i="13"/>
  <c r="V459" i="13"/>
  <c r="H459" i="13"/>
  <c r="B459" i="13"/>
  <c r="E459" i="13" s="1"/>
  <c r="K458" i="13"/>
  <c r="F458" i="13"/>
  <c r="I457" i="13"/>
  <c r="D457" i="13"/>
  <c r="L456" i="13"/>
  <c r="G456" i="13"/>
  <c r="B456" i="13"/>
  <c r="E456" i="13" s="1"/>
  <c r="J455" i="13"/>
  <c r="H454" i="13"/>
  <c r="C454" i="13"/>
  <c r="L453" i="13"/>
  <c r="F453" i="13"/>
  <c r="X452" i="13"/>
  <c r="J452" i="13"/>
  <c r="D452" i="13"/>
  <c r="V451" i="13"/>
  <c r="H451" i="13"/>
  <c r="B451" i="13"/>
  <c r="E451" i="13" s="1"/>
  <c r="K450" i="13"/>
  <c r="F450" i="13"/>
  <c r="I449" i="13"/>
  <c r="D449" i="13"/>
  <c r="L448" i="13"/>
  <c r="G448" i="13"/>
  <c r="B448" i="13"/>
  <c r="E448" i="13" s="1"/>
  <c r="J447" i="13"/>
  <c r="H446" i="13"/>
  <c r="C446" i="13"/>
  <c r="L445" i="13"/>
  <c r="F445" i="13"/>
  <c r="X444" i="13"/>
  <c r="J444" i="13"/>
  <c r="D444" i="13"/>
  <c r="V443" i="13"/>
  <c r="H443" i="13"/>
  <c r="B443" i="13"/>
  <c r="E443" i="13" s="1"/>
  <c r="K442" i="13"/>
  <c r="F442" i="13"/>
  <c r="I441" i="13"/>
  <c r="D441" i="13"/>
  <c r="L440" i="13"/>
  <c r="G440" i="13"/>
  <c r="B440" i="13"/>
  <c r="E440" i="13" s="1"/>
  <c r="J439" i="13"/>
  <c r="H438" i="13"/>
  <c r="C438" i="13"/>
  <c r="L437" i="13"/>
  <c r="F437" i="13"/>
  <c r="X436" i="13"/>
  <c r="J436" i="13"/>
  <c r="D436" i="13"/>
  <c r="V435" i="13"/>
  <c r="H435" i="13"/>
  <c r="B435" i="13"/>
  <c r="E435" i="13" s="1"/>
  <c r="K434" i="13"/>
  <c r="F434" i="13"/>
  <c r="B434" i="13"/>
  <c r="E434" i="13" s="1"/>
  <c r="L433" i="13"/>
  <c r="H433" i="13"/>
  <c r="D433" i="13"/>
  <c r="J432" i="13"/>
  <c r="F432" i="13"/>
  <c r="B432" i="13"/>
  <c r="E432" i="13" s="1"/>
  <c r="L431" i="13"/>
  <c r="H431" i="13"/>
  <c r="D431" i="13"/>
  <c r="J430" i="13"/>
  <c r="F430" i="13"/>
  <c r="B430" i="13"/>
  <c r="E430" i="13" s="1"/>
  <c r="L429" i="13"/>
  <c r="H429" i="13"/>
  <c r="D429" i="13"/>
  <c r="J428" i="13"/>
  <c r="F428" i="13"/>
  <c r="B428" i="13"/>
  <c r="E428" i="13" s="1"/>
  <c r="L427" i="13"/>
  <c r="H427" i="13"/>
  <c r="D427" i="13"/>
  <c r="J426" i="13"/>
  <c r="F426" i="13"/>
  <c r="B426" i="13"/>
  <c r="E426" i="13" s="1"/>
  <c r="L425" i="13"/>
  <c r="H425" i="13"/>
  <c r="D425" i="13"/>
  <c r="J424" i="13"/>
  <c r="F424" i="13"/>
  <c r="B424" i="13"/>
  <c r="E424" i="13" s="1"/>
  <c r="L423" i="13"/>
  <c r="H423" i="13"/>
  <c r="D423" i="13"/>
  <c r="J422" i="13"/>
  <c r="F422" i="13"/>
  <c r="H494" i="13"/>
  <c r="J493" i="13"/>
  <c r="V492" i="13"/>
  <c r="D492" i="13"/>
  <c r="F491" i="13"/>
  <c r="I490" i="13"/>
  <c r="B489" i="13"/>
  <c r="E489" i="13" s="1"/>
  <c r="J487" i="13"/>
  <c r="L486" i="13"/>
  <c r="X485" i="13"/>
  <c r="F485" i="13"/>
  <c r="H484" i="13"/>
  <c r="K483" i="13"/>
  <c r="B483" i="13"/>
  <c r="E483" i="13" s="1"/>
  <c r="D482" i="13"/>
  <c r="G481" i="13"/>
  <c r="L480" i="13"/>
  <c r="C479" i="13"/>
  <c r="H478" i="13"/>
  <c r="J477" i="13"/>
  <c r="V476" i="13"/>
  <c r="D476" i="13"/>
  <c r="F475" i="13"/>
  <c r="I474" i="13"/>
  <c r="B473" i="13"/>
  <c r="E473" i="13" s="1"/>
  <c r="J471" i="13"/>
  <c r="L470" i="13"/>
  <c r="G470" i="13"/>
  <c r="B470" i="13"/>
  <c r="E470" i="13" s="1"/>
  <c r="J469" i="13"/>
  <c r="H468" i="13"/>
  <c r="C468" i="13"/>
  <c r="L467" i="13"/>
  <c r="F467" i="13"/>
  <c r="X466" i="13"/>
  <c r="J466" i="13"/>
  <c r="D466" i="13"/>
  <c r="V465" i="13"/>
  <c r="H465" i="13"/>
  <c r="B465" i="13"/>
  <c r="E465" i="13" s="1"/>
  <c r="K464" i="13"/>
  <c r="F464" i="13"/>
  <c r="I463" i="13"/>
  <c r="D463" i="13"/>
  <c r="L462" i="13"/>
  <c r="G462" i="13"/>
  <c r="B462" i="13"/>
  <c r="E462" i="13" s="1"/>
  <c r="J461" i="13"/>
  <c r="H460" i="13"/>
  <c r="C460" i="13"/>
  <c r="L459" i="13"/>
  <c r="F459" i="13"/>
  <c r="X458" i="13"/>
  <c r="J458" i="13"/>
  <c r="D458" i="13"/>
  <c r="V457" i="13"/>
  <c r="H457" i="13"/>
  <c r="B457" i="13"/>
  <c r="E457" i="13" s="1"/>
  <c r="K456" i="13"/>
  <c r="F456" i="13"/>
  <c r="I455" i="13"/>
  <c r="D455" i="13"/>
  <c r="L454" i="13"/>
  <c r="G454" i="13"/>
  <c r="B454" i="13"/>
  <c r="E454" i="13" s="1"/>
  <c r="J453" i="13"/>
  <c r="H452" i="13"/>
  <c r="C452" i="13"/>
  <c r="L451" i="13"/>
  <c r="F451" i="13"/>
  <c r="X450" i="13"/>
  <c r="J450" i="13"/>
  <c r="D450" i="13"/>
  <c r="V449" i="13"/>
  <c r="H449" i="13"/>
  <c r="B449" i="13"/>
  <c r="E449" i="13" s="1"/>
  <c r="K448" i="13"/>
  <c r="F448" i="13"/>
  <c r="I447" i="13"/>
  <c r="D447" i="13"/>
  <c r="L446" i="13"/>
  <c r="G446" i="13"/>
  <c r="B446" i="13"/>
  <c r="E446" i="13" s="1"/>
  <c r="J445" i="13"/>
  <c r="H444" i="13"/>
  <c r="C444" i="13"/>
  <c r="L443" i="13"/>
  <c r="F443" i="13"/>
  <c r="X442" i="13"/>
  <c r="J442" i="13"/>
  <c r="D442" i="13"/>
  <c r="V441" i="13"/>
  <c r="H441" i="13"/>
  <c r="B441" i="13"/>
  <c r="E441" i="13" s="1"/>
  <c r="K440" i="13"/>
  <c r="F440" i="13"/>
  <c r="I439" i="13"/>
  <c r="D439" i="13"/>
  <c r="L438" i="13"/>
  <c r="G438" i="13"/>
  <c r="B438" i="13"/>
  <c r="E438" i="13" s="1"/>
  <c r="J437" i="13"/>
  <c r="H436" i="13"/>
  <c r="C436" i="13"/>
  <c r="L435" i="13"/>
  <c r="F435" i="13"/>
  <c r="X434" i="13"/>
  <c r="J434" i="13"/>
  <c r="X433" i="13"/>
  <c r="K433" i="13"/>
  <c r="G433" i="13"/>
  <c r="C433" i="13"/>
  <c r="V432" i="13"/>
  <c r="I432" i="13"/>
  <c r="X431" i="13"/>
  <c r="K431" i="13"/>
  <c r="G431" i="13"/>
  <c r="C431" i="13"/>
  <c r="V430" i="13"/>
  <c r="I430" i="13"/>
  <c r="X429" i="13"/>
  <c r="K429" i="13"/>
  <c r="G429" i="13"/>
  <c r="C429" i="13"/>
  <c r="V428" i="13"/>
  <c r="I428" i="13"/>
  <c r="X427" i="13"/>
  <c r="K427" i="13"/>
  <c r="G427" i="13"/>
  <c r="C427" i="13"/>
  <c r="V426" i="13"/>
  <c r="I426" i="13"/>
  <c r="X425" i="13"/>
  <c r="K425" i="13"/>
  <c r="G425" i="13"/>
  <c r="C425" i="13"/>
  <c r="V424" i="13"/>
  <c r="I424" i="13"/>
  <c r="X423" i="13"/>
  <c r="K423" i="13"/>
  <c r="G423" i="13"/>
  <c r="W423" i="13" s="1"/>
  <c r="C423" i="13"/>
  <c r="V422" i="13"/>
  <c r="I422" i="13"/>
  <c r="D494" i="13"/>
  <c r="L492" i="13"/>
  <c r="C491" i="13"/>
  <c r="J489" i="13"/>
  <c r="D488" i="13"/>
  <c r="I486" i="13"/>
  <c r="B485" i="13"/>
  <c r="E485" i="13" s="1"/>
  <c r="J483" i="13"/>
  <c r="X481" i="13"/>
  <c r="H480" i="13"/>
  <c r="B479" i="13"/>
  <c r="E479" i="13" s="1"/>
  <c r="G477" i="13"/>
  <c r="H474" i="13"/>
  <c r="V472" i="13"/>
  <c r="F471" i="13"/>
  <c r="F470" i="13"/>
  <c r="I469" i="13"/>
  <c r="L468" i="13"/>
  <c r="B468" i="13"/>
  <c r="E468" i="13" s="1"/>
  <c r="H466" i="13"/>
  <c r="L465" i="13"/>
  <c r="X464" i="13"/>
  <c r="D464" i="13"/>
  <c r="H463" i="13"/>
  <c r="K462" i="13"/>
  <c r="D461" i="13"/>
  <c r="G460" i="13"/>
  <c r="J459" i="13"/>
  <c r="C458" i="13"/>
  <c r="F457" i="13"/>
  <c r="J456" i="13"/>
  <c r="V455" i="13"/>
  <c r="B455" i="13"/>
  <c r="E455" i="13" s="1"/>
  <c r="F454" i="13"/>
  <c r="I453" i="13"/>
  <c r="L452" i="13"/>
  <c r="B452" i="13"/>
  <c r="E452" i="13" s="1"/>
  <c r="H450" i="13"/>
  <c r="L449" i="13"/>
  <c r="X448" i="13"/>
  <c r="D448" i="13"/>
  <c r="H447" i="13"/>
  <c r="K446" i="13"/>
  <c r="D445" i="13"/>
  <c r="G444" i="13"/>
  <c r="W444" i="13" s="1"/>
  <c r="J443" i="13"/>
  <c r="C442" i="13"/>
  <c r="F441" i="13"/>
  <c r="J440" i="13"/>
  <c r="V439" i="13"/>
  <c r="B439" i="13"/>
  <c r="E439" i="13" s="1"/>
  <c r="F438" i="13"/>
  <c r="I437" i="13"/>
  <c r="L436" i="13"/>
  <c r="B436" i="13"/>
  <c r="E436" i="13" s="1"/>
  <c r="H434" i="13"/>
  <c r="F433" i="13"/>
  <c r="L432" i="13"/>
  <c r="D432" i="13"/>
  <c r="J431" i="13"/>
  <c r="B431" i="13"/>
  <c r="E431" i="13" s="1"/>
  <c r="H430" i="13"/>
  <c r="F429" i="13"/>
  <c r="L428" i="13"/>
  <c r="D428" i="13"/>
  <c r="J427" i="13"/>
  <c r="B427" i="13"/>
  <c r="E427" i="13" s="1"/>
  <c r="H426" i="13"/>
  <c r="F425" i="13"/>
  <c r="L424" i="13"/>
  <c r="D424" i="13"/>
  <c r="J423" i="13"/>
  <c r="B423" i="13"/>
  <c r="E423" i="13" s="1"/>
  <c r="H422" i="13"/>
  <c r="B422" i="13"/>
  <c r="E422" i="13" s="1"/>
  <c r="L421" i="13"/>
  <c r="H421" i="13"/>
  <c r="D421" i="13"/>
  <c r="J420" i="13"/>
  <c r="F420" i="13"/>
  <c r="B420" i="13"/>
  <c r="E420" i="13" s="1"/>
  <c r="L419" i="13"/>
  <c r="H419" i="13"/>
  <c r="D419" i="13"/>
  <c r="J418" i="13"/>
  <c r="F418" i="13"/>
  <c r="B418" i="13"/>
  <c r="E418" i="13" s="1"/>
  <c r="L417" i="13"/>
  <c r="H417" i="13"/>
  <c r="D417" i="13"/>
  <c r="J416" i="13"/>
  <c r="F416" i="13"/>
  <c r="B416" i="13"/>
  <c r="E416" i="13" s="1"/>
  <c r="L415" i="13"/>
  <c r="H415" i="13"/>
  <c r="D415" i="13"/>
  <c r="J414" i="13"/>
  <c r="F414" i="13"/>
  <c r="B414" i="13"/>
  <c r="E414" i="13" s="1"/>
  <c r="L413" i="13"/>
  <c r="H413" i="13"/>
  <c r="D413" i="13"/>
  <c r="J412" i="13"/>
  <c r="F412" i="13"/>
  <c r="B412" i="13"/>
  <c r="E412" i="13" s="1"/>
  <c r="L411" i="13"/>
  <c r="H411" i="13"/>
  <c r="D411" i="13"/>
  <c r="J410" i="13"/>
  <c r="F410" i="13"/>
  <c r="B410" i="13"/>
  <c r="E410" i="13" s="1"/>
  <c r="L409" i="13"/>
  <c r="H409" i="13"/>
  <c r="D409" i="13"/>
  <c r="J408" i="13"/>
  <c r="F408" i="13"/>
  <c r="B408" i="13"/>
  <c r="E408" i="13" s="1"/>
  <c r="L407" i="13"/>
  <c r="H407" i="13"/>
  <c r="D407" i="13"/>
  <c r="J406" i="13"/>
  <c r="F406" i="13"/>
  <c r="B406" i="13"/>
  <c r="E406" i="13" s="1"/>
  <c r="L405" i="13"/>
  <c r="H405" i="13"/>
  <c r="D405" i="13"/>
  <c r="J404" i="13"/>
  <c r="F404" i="13"/>
  <c r="B404" i="13"/>
  <c r="E404" i="13" s="1"/>
  <c r="L403" i="13"/>
  <c r="H403" i="13"/>
  <c r="D403" i="13"/>
  <c r="J402" i="13"/>
  <c r="F402" i="13"/>
  <c r="B402" i="13"/>
  <c r="E402" i="13" s="1"/>
  <c r="L401" i="13"/>
  <c r="H401" i="13"/>
  <c r="D401" i="13"/>
  <c r="J400" i="13"/>
  <c r="F400" i="13"/>
  <c r="B400" i="13"/>
  <c r="E400" i="13" s="1"/>
  <c r="L399" i="13"/>
  <c r="H399" i="13"/>
  <c r="D399" i="13"/>
  <c r="J398" i="13"/>
  <c r="F398" i="13"/>
  <c r="B398" i="13"/>
  <c r="E398" i="13" s="1"/>
  <c r="L397" i="13"/>
  <c r="H397" i="13"/>
  <c r="D397" i="13"/>
  <c r="J396" i="13"/>
  <c r="F396" i="13"/>
  <c r="B396" i="13"/>
  <c r="E396" i="13" s="1"/>
  <c r="L395" i="13"/>
  <c r="H395" i="13"/>
  <c r="D395" i="13"/>
  <c r="J394" i="13"/>
  <c r="F394" i="13"/>
  <c r="B394" i="13"/>
  <c r="E394" i="13" s="1"/>
  <c r="L393" i="13"/>
  <c r="H393" i="13"/>
  <c r="D393" i="13"/>
  <c r="J392" i="13"/>
  <c r="F392" i="13"/>
  <c r="B392" i="13"/>
  <c r="E392" i="13" s="1"/>
  <c r="L391" i="13"/>
  <c r="H391" i="13"/>
  <c r="D391" i="13"/>
  <c r="X493" i="13"/>
  <c r="H492" i="13"/>
  <c r="B491" i="13"/>
  <c r="E491" i="13" s="1"/>
  <c r="G489" i="13"/>
  <c r="W489" i="13" s="1"/>
  <c r="H486" i="13"/>
  <c r="V484" i="13"/>
  <c r="F483" i="13"/>
  <c r="L478" i="13"/>
  <c r="F477" i="13"/>
  <c r="K475" i="13"/>
  <c r="D474" i="13"/>
  <c r="L472" i="13"/>
  <c r="C471" i="13"/>
  <c r="D470" i="13"/>
  <c r="H469" i="13"/>
  <c r="K468" i="13"/>
  <c r="D467" i="13"/>
  <c r="G466" i="13"/>
  <c r="J465" i="13"/>
  <c r="C464" i="13"/>
  <c r="F463" i="13"/>
  <c r="J462" i="13"/>
  <c r="V461" i="13"/>
  <c r="B461" i="13"/>
  <c r="E461" i="13" s="1"/>
  <c r="F460" i="13"/>
  <c r="I459" i="13"/>
  <c r="L458" i="13"/>
  <c r="B458" i="13"/>
  <c r="E458" i="13" s="1"/>
  <c r="H456" i="13"/>
  <c r="L455" i="13"/>
  <c r="X454" i="13"/>
  <c r="D454" i="13"/>
  <c r="H453" i="13"/>
  <c r="K452" i="13"/>
  <c r="D451" i="13"/>
  <c r="G450" i="13"/>
  <c r="J449" i="13"/>
  <c r="C448" i="13"/>
  <c r="F447" i="13"/>
  <c r="J446" i="13"/>
  <c r="V445" i="13"/>
  <c r="B445" i="13"/>
  <c r="E445" i="13" s="1"/>
  <c r="F444" i="13"/>
  <c r="I443" i="13"/>
  <c r="L442" i="13"/>
  <c r="B442" i="13"/>
  <c r="E442" i="13" s="1"/>
  <c r="H440" i="13"/>
  <c r="L439" i="13"/>
  <c r="X438" i="13"/>
  <c r="D438" i="13"/>
  <c r="H437" i="13"/>
  <c r="K436" i="13"/>
  <c r="D435" i="13"/>
  <c r="G434" i="13"/>
  <c r="V433" i="13"/>
  <c r="K432" i="13"/>
  <c r="C432" i="13"/>
  <c r="I431" i="13"/>
  <c r="X430" i="13"/>
  <c r="G430" i="13"/>
  <c r="V429" i="13"/>
  <c r="K428" i="13"/>
  <c r="C428" i="13"/>
  <c r="I427" i="13"/>
  <c r="X426" i="13"/>
  <c r="G426" i="13"/>
  <c r="V425" i="13"/>
  <c r="K424" i="13"/>
  <c r="C424" i="13"/>
  <c r="I423" i="13"/>
  <c r="X422" i="13"/>
  <c r="G422" i="13"/>
  <c r="X421" i="13"/>
  <c r="K421" i="13"/>
  <c r="G421" i="13"/>
  <c r="C421" i="13"/>
  <c r="V420" i="13"/>
  <c r="I420" i="13"/>
  <c r="X419" i="13"/>
  <c r="K419" i="13"/>
  <c r="G419" i="13"/>
  <c r="C419" i="13"/>
  <c r="V418" i="13"/>
  <c r="I418" i="13"/>
  <c r="X417" i="13"/>
  <c r="K417" i="13"/>
  <c r="G417" i="13"/>
  <c r="C417" i="13"/>
  <c r="V416" i="13"/>
  <c r="I416" i="13"/>
  <c r="X415" i="13"/>
  <c r="K415" i="13"/>
  <c r="G415" i="13"/>
  <c r="C415" i="13"/>
  <c r="V414" i="13"/>
  <c r="I414" i="13"/>
  <c r="X413" i="13"/>
  <c r="K413" i="13"/>
  <c r="G413" i="13"/>
  <c r="C413" i="13"/>
  <c r="V412" i="13"/>
  <c r="I412" i="13"/>
  <c r="X411" i="13"/>
  <c r="K411" i="13"/>
  <c r="G411" i="13"/>
  <c r="C411" i="13"/>
  <c r="V410" i="13"/>
  <c r="I410" i="13"/>
  <c r="X409" i="13"/>
  <c r="K409" i="13"/>
  <c r="G409" i="13"/>
  <c r="C409" i="13"/>
  <c r="V408" i="13"/>
  <c r="I408" i="13"/>
  <c r="X407" i="13"/>
  <c r="K407" i="13"/>
  <c r="G407" i="13"/>
  <c r="C407" i="13"/>
  <c r="V406" i="13"/>
  <c r="I406" i="13"/>
  <c r="X405" i="13"/>
  <c r="K405" i="13"/>
  <c r="G405" i="13"/>
  <c r="C405" i="13"/>
  <c r="V404" i="13"/>
  <c r="I404" i="13"/>
  <c r="X403" i="13"/>
  <c r="K403" i="13"/>
  <c r="G403" i="13"/>
  <c r="C403" i="13"/>
  <c r="V402" i="13"/>
  <c r="I402" i="13"/>
  <c r="X401" i="13"/>
  <c r="K401" i="13"/>
  <c r="G401" i="13"/>
  <c r="C401" i="13"/>
  <c r="V400" i="13"/>
  <c r="I400" i="13"/>
  <c r="X399" i="13"/>
  <c r="K399" i="13"/>
  <c r="G399" i="13"/>
  <c r="C399" i="13"/>
  <c r="V398" i="13"/>
  <c r="I398" i="13"/>
  <c r="X397" i="13"/>
  <c r="K397" i="13"/>
  <c r="G397" i="13"/>
  <c r="C397" i="13"/>
  <c r="V396" i="13"/>
  <c r="I396" i="13"/>
  <c r="X395" i="13"/>
  <c r="K395" i="13"/>
  <c r="G395" i="13"/>
  <c r="C395" i="13"/>
  <c r="V394" i="13"/>
  <c r="I394" i="13"/>
  <c r="X393" i="13"/>
  <c r="K393" i="13"/>
  <c r="G393" i="13"/>
  <c r="C393" i="13"/>
  <c r="V392" i="13"/>
  <c r="I392" i="13"/>
  <c r="X391" i="13"/>
  <c r="K391" i="13"/>
  <c r="G391" i="13"/>
  <c r="C391" i="13"/>
  <c r="V390" i="13"/>
  <c r="G493" i="13"/>
  <c r="W493" i="13" s="1"/>
  <c r="H490" i="13"/>
  <c r="V488" i="13"/>
  <c r="F487" i="13"/>
  <c r="L482" i="13"/>
  <c r="F481" i="13"/>
  <c r="K479" i="13"/>
  <c r="D478" i="13"/>
  <c r="L476" i="13"/>
  <c r="C475" i="13"/>
  <c r="J473" i="13"/>
  <c r="D472" i="13"/>
  <c r="K470" i="13"/>
  <c r="D469" i="13"/>
  <c r="G468" i="13"/>
  <c r="J467" i="13"/>
  <c r="C466" i="13"/>
  <c r="F465" i="13"/>
  <c r="J464" i="13"/>
  <c r="V463" i="13"/>
  <c r="B463" i="13"/>
  <c r="E463" i="13" s="1"/>
  <c r="F462" i="13"/>
  <c r="I461" i="13"/>
  <c r="L460" i="13"/>
  <c r="B460" i="13"/>
  <c r="E460" i="13" s="1"/>
  <c r="H458" i="13"/>
  <c r="L457" i="13"/>
  <c r="X456" i="13"/>
  <c r="D456" i="13"/>
  <c r="H455" i="13"/>
  <c r="K454" i="13"/>
  <c r="D453" i="13"/>
  <c r="G452" i="13"/>
  <c r="J451" i="13"/>
  <c r="C450" i="13"/>
  <c r="F449" i="13"/>
  <c r="J448" i="13"/>
  <c r="V447" i="13"/>
  <c r="B447" i="13"/>
  <c r="E447" i="13" s="1"/>
  <c r="F446" i="13"/>
  <c r="I445" i="13"/>
  <c r="L444" i="13"/>
  <c r="B444" i="13"/>
  <c r="E444" i="13" s="1"/>
  <c r="H442" i="13"/>
  <c r="L441" i="13"/>
  <c r="X440" i="13"/>
  <c r="D440" i="13"/>
  <c r="H439" i="13"/>
  <c r="K438" i="13"/>
  <c r="D437" i="13"/>
  <c r="G436" i="13"/>
  <c r="J435" i="13"/>
  <c r="D434" i="13"/>
  <c r="J433" i="13"/>
  <c r="B433" i="13"/>
  <c r="E433" i="13" s="1"/>
  <c r="H432" i="13"/>
  <c r="F431" i="13"/>
  <c r="L430" i="13"/>
  <c r="D430" i="13"/>
  <c r="J429" i="13"/>
  <c r="B429" i="13"/>
  <c r="E429" i="13" s="1"/>
  <c r="H428" i="13"/>
  <c r="F427" i="13"/>
  <c r="L426" i="13"/>
  <c r="D426" i="13"/>
  <c r="J425" i="13"/>
  <c r="B425" i="13"/>
  <c r="E425" i="13" s="1"/>
  <c r="H424" i="13"/>
  <c r="F423" i="13"/>
  <c r="L422" i="13"/>
  <c r="D422" i="13"/>
  <c r="F493" i="13"/>
  <c r="C487" i="13"/>
  <c r="B481" i="13"/>
  <c r="E481" i="13" s="1"/>
  <c r="B475" i="13"/>
  <c r="E475" i="13" s="1"/>
  <c r="V469" i="13"/>
  <c r="L466" i="13"/>
  <c r="L463" i="13"/>
  <c r="K460" i="13"/>
  <c r="J457" i="13"/>
  <c r="J454" i="13"/>
  <c r="I451" i="13"/>
  <c r="H448" i="13"/>
  <c r="H445" i="13"/>
  <c r="G442" i="13"/>
  <c r="F439" i="13"/>
  <c r="F436" i="13"/>
  <c r="I433" i="13"/>
  <c r="X428" i="13"/>
  <c r="K426" i="13"/>
  <c r="G424" i="13"/>
  <c r="C422" i="13"/>
  <c r="I421" i="13"/>
  <c r="X420" i="13"/>
  <c r="G420" i="13"/>
  <c r="V419" i="13"/>
  <c r="K418" i="13"/>
  <c r="C418" i="13"/>
  <c r="I417" i="13"/>
  <c r="X416" i="13"/>
  <c r="G416" i="13"/>
  <c r="V415" i="13"/>
  <c r="K414" i="13"/>
  <c r="C414" i="13"/>
  <c r="I413" i="13"/>
  <c r="X412" i="13"/>
  <c r="G412" i="13"/>
  <c r="V411" i="13"/>
  <c r="K410" i="13"/>
  <c r="C410" i="13"/>
  <c r="I409" i="13"/>
  <c r="X408" i="13"/>
  <c r="G408" i="13"/>
  <c r="V407" i="13"/>
  <c r="K406" i="13"/>
  <c r="C406" i="13"/>
  <c r="I405" i="13"/>
  <c r="X404" i="13"/>
  <c r="G404" i="13"/>
  <c r="V403" i="13"/>
  <c r="K402" i="13"/>
  <c r="C402" i="13"/>
  <c r="I401" i="13"/>
  <c r="X400" i="13"/>
  <c r="G400" i="13"/>
  <c r="V399" i="13"/>
  <c r="K398" i="13"/>
  <c r="C398" i="13"/>
  <c r="I397" i="13"/>
  <c r="X396" i="13"/>
  <c r="G396" i="13"/>
  <c r="V395" i="13"/>
  <c r="K394" i="13"/>
  <c r="C394" i="13"/>
  <c r="I393" i="13"/>
  <c r="X392" i="13"/>
  <c r="G392" i="13"/>
  <c r="V391" i="13"/>
  <c r="K390" i="13"/>
  <c r="G390" i="13"/>
  <c r="W390" i="13" s="1"/>
  <c r="C390" i="13"/>
  <c r="V389" i="13"/>
  <c r="I389" i="13"/>
  <c r="X388" i="13"/>
  <c r="K388" i="13"/>
  <c r="G388" i="13"/>
  <c r="C388" i="13"/>
  <c r="V387" i="13"/>
  <c r="I387" i="13"/>
  <c r="X386" i="13"/>
  <c r="K386" i="13"/>
  <c r="G386" i="13"/>
  <c r="C386" i="13"/>
  <c r="V385" i="13"/>
  <c r="I385" i="13"/>
  <c r="X384" i="13"/>
  <c r="K384" i="13"/>
  <c r="G384" i="13"/>
  <c r="C384" i="13"/>
  <c r="V383" i="13"/>
  <c r="I383" i="13"/>
  <c r="X382" i="13"/>
  <c r="K382" i="13"/>
  <c r="G382" i="13"/>
  <c r="C382" i="13"/>
  <c r="V381" i="13"/>
  <c r="I381" i="13"/>
  <c r="X380" i="13"/>
  <c r="K380" i="13"/>
  <c r="G380" i="13"/>
  <c r="C380" i="13"/>
  <c r="V379" i="13"/>
  <c r="I379" i="13"/>
  <c r="X378" i="13"/>
  <c r="K378" i="13"/>
  <c r="G378" i="13"/>
  <c r="C378" i="13"/>
  <c r="V377" i="13"/>
  <c r="I377" i="13"/>
  <c r="X376" i="13"/>
  <c r="K376" i="13"/>
  <c r="G376" i="13"/>
  <c r="C376" i="13"/>
  <c r="V375" i="13"/>
  <c r="I375" i="13"/>
  <c r="X374" i="13"/>
  <c r="K374" i="13"/>
  <c r="G374" i="13"/>
  <c r="C374" i="13"/>
  <c r="V373" i="13"/>
  <c r="I373" i="13"/>
  <c r="X372" i="13"/>
  <c r="K372" i="13"/>
  <c r="G372" i="13"/>
  <c r="C372" i="13"/>
  <c r="V371" i="13"/>
  <c r="I371" i="13"/>
  <c r="X370" i="13"/>
  <c r="K370" i="13"/>
  <c r="G370" i="13"/>
  <c r="C370" i="13"/>
  <c r="V369" i="13"/>
  <c r="I369" i="13"/>
  <c r="X368" i="13"/>
  <c r="K368" i="13"/>
  <c r="G368" i="13"/>
  <c r="C368" i="13"/>
  <c r="V367" i="13"/>
  <c r="I367" i="13"/>
  <c r="X366" i="13"/>
  <c r="K366" i="13"/>
  <c r="G366" i="13"/>
  <c r="K491" i="13"/>
  <c r="J485" i="13"/>
  <c r="J479" i="13"/>
  <c r="G473" i="13"/>
  <c r="W473" i="13" s="1"/>
  <c r="B469" i="13"/>
  <c r="E469" i="13" s="1"/>
  <c r="B466" i="13"/>
  <c r="E466" i="13" s="1"/>
  <c r="X462" i="13"/>
  <c r="V453" i="13"/>
  <c r="L450" i="13"/>
  <c r="L447" i="13"/>
  <c r="K444" i="13"/>
  <c r="J441" i="13"/>
  <c r="J438" i="13"/>
  <c r="I435" i="13"/>
  <c r="X432" i="13"/>
  <c r="K430" i="13"/>
  <c r="G428" i="13"/>
  <c r="C426" i="13"/>
  <c r="V423" i="13"/>
  <c r="F421" i="13"/>
  <c r="L420" i="13"/>
  <c r="D420" i="13"/>
  <c r="J419" i="13"/>
  <c r="B419" i="13"/>
  <c r="E419" i="13" s="1"/>
  <c r="H418" i="13"/>
  <c r="F417" i="13"/>
  <c r="L416" i="13"/>
  <c r="D416" i="13"/>
  <c r="J415" i="13"/>
  <c r="B415" i="13"/>
  <c r="E415" i="13" s="1"/>
  <c r="H414" i="13"/>
  <c r="F413" i="13"/>
  <c r="L412" i="13"/>
  <c r="D412" i="13"/>
  <c r="J411" i="13"/>
  <c r="B411" i="13"/>
  <c r="E411" i="13" s="1"/>
  <c r="H410" i="13"/>
  <c r="F409" i="13"/>
  <c r="L408" i="13"/>
  <c r="D408" i="13"/>
  <c r="J407" i="13"/>
  <c r="B407" i="13"/>
  <c r="E407" i="13" s="1"/>
  <c r="H406" i="13"/>
  <c r="F405" i="13"/>
  <c r="L404" i="13"/>
  <c r="D404" i="13"/>
  <c r="J403" i="13"/>
  <c r="B403" i="13"/>
  <c r="E403" i="13" s="1"/>
  <c r="H402" i="13"/>
  <c r="F401" i="13"/>
  <c r="L400" i="13"/>
  <c r="D400" i="13"/>
  <c r="J399" i="13"/>
  <c r="B399" i="13"/>
  <c r="E399" i="13" s="1"/>
  <c r="H398" i="13"/>
  <c r="F397" i="13"/>
  <c r="L396" i="13"/>
  <c r="D396" i="13"/>
  <c r="J395" i="13"/>
  <c r="B395" i="13"/>
  <c r="E395" i="13" s="1"/>
  <c r="H394" i="13"/>
  <c r="F393" i="13"/>
  <c r="L392" i="13"/>
  <c r="D392" i="13"/>
  <c r="J391" i="13"/>
  <c r="B391" i="13"/>
  <c r="E391" i="13" s="1"/>
  <c r="J390" i="13"/>
  <c r="F390" i="13"/>
  <c r="B390" i="13"/>
  <c r="E390" i="13" s="1"/>
  <c r="L389" i="13"/>
  <c r="H389" i="13"/>
  <c r="D389" i="13"/>
  <c r="J388" i="13"/>
  <c r="F388" i="13"/>
  <c r="B388" i="13"/>
  <c r="E388" i="13" s="1"/>
  <c r="L387" i="13"/>
  <c r="H387" i="13"/>
  <c r="D387" i="13"/>
  <c r="J386" i="13"/>
  <c r="F386" i="13"/>
  <c r="B386" i="13"/>
  <c r="E386" i="13" s="1"/>
  <c r="L385" i="13"/>
  <c r="H385" i="13"/>
  <c r="D385" i="13"/>
  <c r="J384" i="13"/>
  <c r="F384" i="13"/>
  <c r="B384" i="13"/>
  <c r="E384" i="13" s="1"/>
  <c r="L383" i="13"/>
  <c r="H383" i="13"/>
  <c r="D383" i="13"/>
  <c r="J382" i="13"/>
  <c r="F382" i="13"/>
  <c r="B382" i="13"/>
  <c r="E382" i="13" s="1"/>
  <c r="L381" i="13"/>
  <c r="H381" i="13"/>
  <c r="D381" i="13"/>
  <c r="J380" i="13"/>
  <c r="F380" i="13"/>
  <c r="B380" i="13"/>
  <c r="E380" i="13" s="1"/>
  <c r="L379" i="13"/>
  <c r="H379" i="13"/>
  <c r="D379" i="13"/>
  <c r="J378" i="13"/>
  <c r="F378" i="13"/>
  <c r="B378" i="13"/>
  <c r="E378" i="13" s="1"/>
  <c r="L377" i="13"/>
  <c r="H377" i="13"/>
  <c r="D377" i="13"/>
  <c r="J376" i="13"/>
  <c r="F376" i="13"/>
  <c r="B376" i="13"/>
  <c r="E376" i="13" s="1"/>
  <c r="L375" i="13"/>
  <c r="H375" i="13"/>
  <c r="D375" i="13"/>
  <c r="J374" i="13"/>
  <c r="F374" i="13"/>
  <c r="B374" i="13"/>
  <c r="E374" i="13" s="1"/>
  <c r="L373" i="13"/>
  <c r="H373" i="13"/>
  <c r="D373" i="13"/>
  <c r="J372" i="13"/>
  <c r="F372" i="13"/>
  <c r="B372" i="13"/>
  <c r="E372" i="13" s="1"/>
  <c r="L371" i="13"/>
  <c r="H371" i="13"/>
  <c r="D371" i="13"/>
  <c r="J370" i="13"/>
  <c r="F370" i="13"/>
  <c r="B370" i="13"/>
  <c r="E370" i="13" s="1"/>
  <c r="L369" i="13"/>
  <c r="H369" i="13"/>
  <c r="D369" i="13"/>
  <c r="J368" i="13"/>
  <c r="F368" i="13"/>
  <c r="B368" i="13"/>
  <c r="E368" i="13" s="1"/>
  <c r="L367" i="13"/>
  <c r="H367" i="13"/>
  <c r="D367" i="13"/>
  <c r="J366" i="13"/>
  <c r="D490" i="13"/>
  <c r="D484" i="13"/>
  <c r="X477" i="13"/>
  <c r="F468" i="13"/>
  <c r="D462" i="13"/>
  <c r="D459" i="13"/>
  <c r="C456" i="13"/>
  <c r="B453" i="13"/>
  <c r="E453" i="13" s="1"/>
  <c r="B450" i="13"/>
  <c r="E450" i="13" s="1"/>
  <c r="X446" i="13"/>
  <c r="V437" i="13"/>
  <c r="L434" i="13"/>
  <c r="G432" i="13"/>
  <c r="W432" i="13" s="1"/>
  <c r="C430" i="13"/>
  <c r="V427" i="13"/>
  <c r="I425" i="13"/>
  <c r="V421" i="13"/>
  <c r="K420" i="13"/>
  <c r="C420" i="13"/>
  <c r="I419" i="13"/>
  <c r="X418" i="13"/>
  <c r="G418" i="13"/>
  <c r="V417" i="13"/>
  <c r="K416" i="13"/>
  <c r="C416" i="13"/>
  <c r="I415" i="13"/>
  <c r="X414" i="13"/>
  <c r="G414" i="13"/>
  <c r="V413" i="13"/>
  <c r="K412" i="13"/>
  <c r="C412" i="13"/>
  <c r="I411" i="13"/>
  <c r="X410" i="13"/>
  <c r="G410" i="13"/>
  <c r="V409" i="13"/>
  <c r="K408" i="13"/>
  <c r="C408" i="13"/>
  <c r="I407" i="13"/>
  <c r="X406" i="13"/>
  <c r="G406" i="13"/>
  <c r="V405" i="13"/>
  <c r="K404" i="13"/>
  <c r="C404" i="13"/>
  <c r="I403" i="13"/>
  <c r="X402" i="13"/>
  <c r="G402" i="13"/>
  <c r="V401" i="13"/>
  <c r="K400" i="13"/>
  <c r="C400" i="13"/>
  <c r="I399" i="13"/>
  <c r="X398" i="13"/>
  <c r="G398" i="13"/>
  <c r="V397" i="13"/>
  <c r="K396" i="13"/>
  <c r="C396" i="13"/>
  <c r="I395" i="13"/>
  <c r="X394" i="13"/>
  <c r="G394" i="13"/>
  <c r="V393" i="13"/>
  <c r="K392" i="13"/>
  <c r="C392" i="13"/>
  <c r="I391" i="13"/>
  <c r="X390" i="13"/>
  <c r="I390" i="13"/>
  <c r="X389" i="13"/>
  <c r="K389" i="13"/>
  <c r="G389" i="13"/>
  <c r="W389" i="13" s="1"/>
  <c r="C389" i="13"/>
  <c r="V388" i="13"/>
  <c r="I388" i="13"/>
  <c r="X387" i="13"/>
  <c r="K387" i="13"/>
  <c r="G387" i="13"/>
  <c r="W387" i="13" s="1"/>
  <c r="C387" i="13"/>
  <c r="V386" i="13"/>
  <c r="I386" i="13"/>
  <c r="X385" i="13"/>
  <c r="K385" i="13"/>
  <c r="G385" i="13"/>
  <c r="W385" i="13" s="1"/>
  <c r="C385" i="13"/>
  <c r="V384" i="13"/>
  <c r="I384" i="13"/>
  <c r="X383" i="13"/>
  <c r="K383" i="13"/>
  <c r="G383" i="13"/>
  <c r="W383" i="13" s="1"/>
  <c r="C383" i="13"/>
  <c r="V382" i="13"/>
  <c r="I382" i="13"/>
  <c r="X381" i="13"/>
  <c r="K381" i="13"/>
  <c r="G381" i="13"/>
  <c r="W381" i="13" s="1"/>
  <c r="C381" i="13"/>
  <c r="V380" i="13"/>
  <c r="I380" i="13"/>
  <c r="X379" i="13"/>
  <c r="K379" i="13"/>
  <c r="G379" i="13"/>
  <c r="W379" i="13" s="1"/>
  <c r="C379" i="13"/>
  <c r="V378" i="13"/>
  <c r="I378" i="13"/>
  <c r="X377" i="13"/>
  <c r="K377" i="13"/>
  <c r="G377" i="13"/>
  <c r="W377" i="13" s="1"/>
  <c r="C377" i="13"/>
  <c r="V376" i="13"/>
  <c r="I376" i="13"/>
  <c r="X375" i="13"/>
  <c r="K375" i="13"/>
  <c r="G375" i="13"/>
  <c r="W375" i="13" s="1"/>
  <c r="C375" i="13"/>
  <c r="V374" i="13"/>
  <c r="I374" i="13"/>
  <c r="X373" i="13"/>
  <c r="K373" i="13"/>
  <c r="G373" i="13"/>
  <c r="W373" i="13" s="1"/>
  <c r="C373" i="13"/>
  <c r="V372" i="13"/>
  <c r="I372" i="13"/>
  <c r="X371" i="13"/>
  <c r="K371" i="13"/>
  <c r="G371" i="13"/>
  <c r="W371" i="13" s="1"/>
  <c r="C371" i="13"/>
  <c r="V370" i="13"/>
  <c r="I370" i="13"/>
  <c r="X369" i="13"/>
  <c r="K369" i="13"/>
  <c r="G369" i="13"/>
  <c r="W369" i="13" s="1"/>
  <c r="C369" i="13"/>
  <c r="V368" i="13"/>
  <c r="I368" i="13"/>
  <c r="X367" i="13"/>
  <c r="K367" i="13"/>
  <c r="G367" i="13"/>
  <c r="W367" i="13" s="1"/>
  <c r="C367" i="13"/>
  <c r="V366" i="13"/>
  <c r="I366" i="13"/>
  <c r="X365" i="13"/>
  <c r="K365" i="13"/>
  <c r="G365" i="13"/>
  <c r="C365" i="13"/>
  <c r="V364" i="13"/>
  <c r="I364" i="13"/>
  <c r="X363" i="13"/>
  <c r="L488" i="13"/>
  <c r="I467" i="13"/>
  <c r="F455" i="13"/>
  <c r="D443" i="13"/>
  <c r="V431" i="13"/>
  <c r="K422" i="13"/>
  <c r="J417" i="13"/>
  <c r="F415" i="13"/>
  <c r="B413" i="13"/>
  <c r="E413" i="13" s="1"/>
  <c r="L410" i="13"/>
  <c r="H408" i="13"/>
  <c r="D406" i="13"/>
  <c r="J401" i="13"/>
  <c r="F399" i="13"/>
  <c r="B397" i="13"/>
  <c r="E397" i="13" s="1"/>
  <c r="L394" i="13"/>
  <c r="H392" i="13"/>
  <c r="H390" i="13"/>
  <c r="F389" i="13"/>
  <c r="D388" i="13"/>
  <c r="B387" i="13"/>
  <c r="E387" i="13" s="1"/>
  <c r="L384" i="13"/>
  <c r="J383" i="13"/>
  <c r="H382" i="13"/>
  <c r="F381" i="13"/>
  <c r="D380" i="13"/>
  <c r="B379" i="13"/>
  <c r="E379" i="13" s="1"/>
  <c r="L376" i="13"/>
  <c r="J375" i="13"/>
  <c r="H374" i="13"/>
  <c r="F373" i="13"/>
  <c r="D372" i="13"/>
  <c r="B371" i="13"/>
  <c r="E371" i="13" s="1"/>
  <c r="L368" i="13"/>
  <c r="J367" i="13"/>
  <c r="H366" i="13"/>
  <c r="B366" i="13"/>
  <c r="E366" i="13" s="1"/>
  <c r="J365" i="13"/>
  <c r="H364" i="13"/>
  <c r="C364" i="13"/>
  <c r="L363" i="13"/>
  <c r="H363" i="13"/>
  <c r="D363" i="13"/>
  <c r="J362" i="13"/>
  <c r="F362" i="13"/>
  <c r="B362" i="13"/>
  <c r="E362" i="13" s="1"/>
  <c r="L361" i="13"/>
  <c r="H361" i="13"/>
  <c r="D361" i="13"/>
  <c r="J360" i="13"/>
  <c r="F360" i="13"/>
  <c r="B360" i="13"/>
  <c r="E360" i="13" s="1"/>
  <c r="L359" i="13"/>
  <c r="H359" i="13"/>
  <c r="D359" i="13"/>
  <c r="J358" i="13"/>
  <c r="F358" i="13"/>
  <c r="B358" i="13"/>
  <c r="E358" i="13" s="1"/>
  <c r="L357" i="13"/>
  <c r="H357" i="13"/>
  <c r="D357" i="13"/>
  <c r="J356" i="13"/>
  <c r="F356" i="13"/>
  <c r="B356" i="13"/>
  <c r="E356" i="13" s="1"/>
  <c r="L355" i="13"/>
  <c r="H355" i="13"/>
  <c r="D355" i="13"/>
  <c r="J354" i="13"/>
  <c r="F354" i="13"/>
  <c r="B354" i="13"/>
  <c r="E354" i="13" s="1"/>
  <c r="L353" i="13"/>
  <c r="H353" i="13"/>
  <c r="D353" i="13"/>
  <c r="J352" i="13"/>
  <c r="F352" i="13"/>
  <c r="B352" i="13"/>
  <c r="E352" i="13" s="1"/>
  <c r="L351" i="13"/>
  <c r="H351" i="13"/>
  <c r="D351" i="13"/>
  <c r="J350" i="13"/>
  <c r="F350" i="13"/>
  <c r="B350" i="13"/>
  <c r="E350" i="13" s="1"/>
  <c r="L349" i="13"/>
  <c r="H349" i="13"/>
  <c r="D349" i="13"/>
  <c r="J348" i="13"/>
  <c r="F348" i="13"/>
  <c r="B348" i="13"/>
  <c r="E348" i="13" s="1"/>
  <c r="L347" i="13"/>
  <c r="H347" i="13"/>
  <c r="D347" i="13"/>
  <c r="J346" i="13"/>
  <c r="F346" i="13"/>
  <c r="B346" i="13"/>
  <c r="E346" i="13" s="1"/>
  <c r="L345" i="13"/>
  <c r="H345" i="13"/>
  <c r="D345" i="13"/>
  <c r="J344" i="13"/>
  <c r="F344" i="13"/>
  <c r="B344" i="13"/>
  <c r="E344" i="13" s="1"/>
  <c r="L343" i="13"/>
  <c r="H343" i="13"/>
  <c r="D343" i="13"/>
  <c r="J342" i="13"/>
  <c r="F342" i="13"/>
  <c r="B342" i="13"/>
  <c r="E342" i="13" s="1"/>
  <c r="L341" i="13"/>
  <c r="H341" i="13"/>
  <c r="D341" i="13"/>
  <c r="J340" i="13"/>
  <c r="F340" i="13"/>
  <c r="B340" i="13"/>
  <c r="E340" i="13" s="1"/>
  <c r="L339" i="13"/>
  <c r="H339" i="13"/>
  <c r="D339" i="13"/>
  <c r="J338" i="13"/>
  <c r="F338" i="13"/>
  <c r="B338" i="13"/>
  <c r="E338" i="13" s="1"/>
  <c r="L337" i="13"/>
  <c r="H337" i="13"/>
  <c r="D337" i="13"/>
  <c r="J336" i="13"/>
  <c r="F336" i="13"/>
  <c r="B336" i="13"/>
  <c r="E336" i="13" s="1"/>
  <c r="L335" i="13"/>
  <c r="H335" i="13"/>
  <c r="D335" i="13"/>
  <c r="J334" i="13"/>
  <c r="F334" i="13"/>
  <c r="B334" i="13"/>
  <c r="E334" i="13" s="1"/>
  <c r="L333" i="13"/>
  <c r="H333" i="13"/>
  <c r="D333" i="13"/>
  <c r="J332" i="13"/>
  <c r="F332" i="13"/>
  <c r="B332" i="13"/>
  <c r="E332" i="13" s="1"/>
  <c r="L331" i="13"/>
  <c r="H331" i="13"/>
  <c r="D331" i="13"/>
  <c r="J330" i="13"/>
  <c r="F330" i="13"/>
  <c r="B330" i="13"/>
  <c r="E330" i="13" s="1"/>
  <c r="L329" i="13"/>
  <c r="H329" i="13"/>
  <c r="D329" i="13"/>
  <c r="J328" i="13"/>
  <c r="F328" i="13"/>
  <c r="B328" i="13"/>
  <c r="E328" i="13" s="1"/>
  <c r="L327" i="13"/>
  <c r="H327" i="13"/>
  <c r="D327" i="13"/>
  <c r="J326" i="13"/>
  <c r="F326" i="13"/>
  <c r="B326" i="13"/>
  <c r="E326" i="13" s="1"/>
  <c r="L325" i="13"/>
  <c r="H325" i="13"/>
  <c r="D325" i="13"/>
  <c r="J324" i="13"/>
  <c r="F324" i="13"/>
  <c r="B324" i="13"/>
  <c r="E324" i="13" s="1"/>
  <c r="L323" i="13"/>
  <c r="H323" i="13"/>
  <c r="D323" i="13"/>
  <c r="J322" i="13"/>
  <c r="F322" i="13"/>
  <c r="B322" i="13"/>
  <c r="E322" i="13" s="1"/>
  <c r="L321" i="13"/>
  <c r="H321" i="13"/>
  <c r="D321" i="13"/>
  <c r="J320" i="13"/>
  <c r="F320" i="13"/>
  <c r="B320" i="13"/>
  <c r="E320" i="13" s="1"/>
  <c r="L319" i="13"/>
  <c r="H319" i="13"/>
  <c r="D319" i="13"/>
  <c r="J318" i="13"/>
  <c r="F318" i="13"/>
  <c r="B318" i="13"/>
  <c r="E318" i="13" s="1"/>
  <c r="L317" i="13"/>
  <c r="H317" i="13"/>
  <c r="D317" i="13"/>
  <c r="J316" i="13"/>
  <c r="F316" i="13"/>
  <c r="B316" i="13"/>
  <c r="E316" i="13" s="1"/>
  <c r="L315" i="13"/>
  <c r="H315" i="13"/>
  <c r="D315" i="13"/>
  <c r="J314" i="13"/>
  <c r="F314" i="13"/>
  <c r="B314" i="13"/>
  <c r="E314" i="13" s="1"/>
  <c r="L313" i="13"/>
  <c r="H313" i="13"/>
  <c r="D313" i="13"/>
  <c r="J312" i="13"/>
  <c r="F312" i="13"/>
  <c r="B312" i="13"/>
  <c r="E312" i="13" s="1"/>
  <c r="L311" i="13"/>
  <c r="H311" i="13"/>
  <c r="D311" i="13"/>
  <c r="J310" i="13"/>
  <c r="F310" i="13"/>
  <c r="B310" i="13"/>
  <c r="E310" i="13" s="1"/>
  <c r="L309" i="13"/>
  <c r="H309" i="13"/>
  <c r="D309" i="13"/>
  <c r="J308" i="13"/>
  <c r="F308" i="13"/>
  <c r="B308" i="13"/>
  <c r="E308" i="13" s="1"/>
  <c r="L307" i="13"/>
  <c r="H307" i="13"/>
  <c r="D307" i="13"/>
  <c r="J306" i="13"/>
  <c r="F306" i="13"/>
  <c r="B306" i="13"/>
  <c r="E306" i="13" s="1"/>
  <c r="L305" i="13"/>
  <c r="H305" i="13"/>
  <c r="D305" i="13"/>
  <c r="J304" i="13"/>
  <c r="F304" i="13"/>
  <c r="B304" i="13"/>
  <c r="E304" i="13" s="1"/>
  <c r="L303" i="13"/>
  <c r="H303" i="13"/>
  <c r="D303" i="13"/>
  <c r="J302" i="13"/>
  <c r="F302" i="13"/>
  <c r="B302" i="13"/>
  <c r="E302" i="13" s="1"/>
  <c r="L301" i="13"/>
  <c r="H301" i="13"/>
  <c r="D301" i="13"/>
  <c r="J300" i="13"/>
  <c r="F300" i="13"/>
  <c r="B300" i="13"/>
  <c r="E300" i="13" s="1"/>
  <c r="L299" i="13"/>
  <c r="H299" i="13"/>
  <c r="D299" i="13"/>
  <c r="J298" i="13"/>
  <c r="F298" i="13"/>
  <c r="B298" i="13"/>
  <c r="E298" i="13" s="1"/>
  <c r="L297" i="13"/>
  <c r="H297" i="13"/>
  <c r="D297" i="13"/>
  <c r="J296" i="13"/>
  <c r="F296" i="13"/>
  <c r="B296" i="13"/>
  <c r="E296" i="13" s="1"/>
  <c r="L295" i="13"/>
  <c r="H295" i="13"/>
  <c r="D295" i="13"/>
  <c r="J294" i="13"/>
  <c r="F294" i="13"/>
  <c r="B294" i="13"/>
  <c r="E294" i="13" s="1"/>
  <c r="L293" i="13"/>
  <c r="H293" i="13"/>
  <c r="D293" i="13"/>
  <c r="J292" i="13"/>
  <c r="F292" i="13"/>
  <c r="B292" i="13"/>
  <c r="E292" i="13" s="1"/>
  <c r="L291" i="13"/>
  <c r="H291" i="13"/>
  <c r="D291" i="13"/>
  <c r="J290" i="13"/>
  <c r="F290" i="13"/>
  <c r="B290" i="13"/>
  <c r="E290" i="13" s="1"/>
  <c r="L289" i="13"/>
  <c r="H289" i="13"/>
  <c r="D289" i="13"/>
  <c r="J288" i="13"/>
  <c r="I482" i="13"/>
  <c r="H464" i="13"/>
  <c r="F452" i="13"/>
  <c r="C440" i="13"/>
  <c r="I429" i="13"/>
  <c r="J421" i="13"/>
  <c r="F419" i="13"/>
  <c r="B417" i="13"/>
  <c r="E417" i="13" s="1"/>
  <c r="L414" i="13"/>
  <c r="H412" i="13"/>
  <c r="D410" i="13"/>
  <c r="J405" i="13"/>
  <c r="F403" i="13"/>
  <c r="B401" i="13"/>
  <c r="E401" i="13" s="1"/>
  <c r="L398" i="13"/>
  <c r="H396" i="13"/>
  <c r="D394" i="13"/>
  <c r="D390" i="13"/>
  <c r="B389" i="13"/>
  <c r="E389" i="13" s="1"/>
  <c r="L386" i="13"/>
  <c r="J385" i="13"/>
  <c r="H384" i="13"/>
  <c r="F383" i="13"/>
  <c r="D382" i="13"/>
  <c r="B381" i="13"/>
  <c r="E381" i="13" s="1"/>
  <c r="L378" i="13"/>
  <c r="J377" i="13"/>
  <c r="H376" i="13"/>
  <c r="F375" i="13"/>
  <c r="D374" i="13"/>
  <c r="B373" i="13"/>
  <c r="E373" i="13" s="1"/>
  <c r="L370" i="13"/>
  <c r="J369" i="13"/>
  <c r="H368" i="13"/>
  <c r="F367" i="13"/>
  <c r="F366" i="13"/>
  <c r="I365" i="13"/>
  <c r="D365" i="13"/>
  <c r="L364" i="13"/>
  <c r="G364" i="13"/>
  <c r="W364" i="13" s="1"/>
  <c r="B364" i="13"/>
  <c r="E364" i="13" s="1"/>
  <c r="K363" i="13"/>
  <c r="G363" i="13"/>
  <c r="C363" i="13"/>
  <c r="V362" i="13"/>
  <c r="I362" i="13"/>
  <c r="X361" i="13"/>
  <c r="K361" i="13"/>
  <c r="G361" i="13"/>
  <c r="C361" i="13"/>
  <c r="V360" i="13"/>
  <c r="I360" i="13"/>
  <c r="X359" i="13"/>
  <c r="K359" i="13"/>
  <c r="G359" i="13"/>
  <c r="C359" i="13"/>
  <c r="V358" i="13"/>
  <c r="I358" i="13"/>
  <c r="X357" i="13"/>
  <c r="K357" i="13"/>
  <c r="G357" i="13"/>
  <c r="C357" i="13"/>
  <c r="V356" i="13"/>
  <c r="I356" i="13"/>
  <c r="X355" i="13"/>
  <c r="K355" i="13"/>
  <c r="G355" i="13"/>
  <c r="C355" i="13"/>
  <c r="V354" i="13"/>
  <c r="I354" i="13"/>
  <c r="X353" i="13"/>
  <c r="K353" i="13"/>
  <c r="G353" i="13"/>
  <c r="C353" i="13"/>
  <c r="V352" i="13"/>
  <c r="I352" i="13"/>
  <c r="X351" i="13"/>
  <c r="K351" i="13"/>
  <c r="G351" i="13"/>
  <c r="C351" i="13"/>
  <c r="V350" i="13"/>
  <c r="I350" i="13"/>
  <c r="X349" i="13"/>
  <c r="K349" i="13"/>
  <c r="G349" i="13"/>
  <c r="C349" i="13"/>
  <c r="V348" i="13"/>
  <c r="I348" i="13"/>
  <c r="X347" i="13"/>
  <c r="K347" i="13"/>
  <c r="G347" i="13"/>
  <c r="C347" i="13"/>
  <c r="V346" i="13"/>
  <c r="I346" i="13"/>
  <c r="X345" i="13"/>
  <c r="K345" i="13"/>
  <c r="G345" i="13"/>
  <c r="C345" i="13"/>
  <c r="V344" i="13"/>
  <c r="I344" i="13"/>
  <c r="X343" i="13"/>
  <c r="K343" i="13"/>
  <c r="G343" i="13"/>
  <c r="C343" i="13"/>
  <c r="V342" i="13"/>
  <c r="I342" i="13"/>
  <c r="X341" i="13"/>
  <c r="K341" i="13"/>
  <c r="G341" i="13"/>
  <c r="C341" i="13"/>
  <c r="V340" i="13"/>
  <c r="I340" i="13"/>
  <c r="X339" i="13"/>
  <c r="K339" i="13"/>
  <c r="G339" i="13"/>
  <c r="C339" i="13"/>
  <c r="V338" i="13"/>
  <c r="I338" i="13"/>
  <c r="X337" i="13"/>
  <c r="K337" i="13"/>
  <c r="G337" i="13"/>
  <c r="C337" i="13"/>
  <c r="V336" i="13"/>
  <c r="I336" i="13"/>
  <c r="X335" i="13"/>
  <c r="K335" i="13"/>
  <c r="G335" i="13"/>
  <c r="C335" i="13"/>
  <c r="V334" i="13"/>
  <c r="I334" i="13"/>
  <c r="X333" i="13"/>
  <c r="K333" i="13"/>
  <c r="G333" i="13"/>
  <c r="C333" i="13"/>
  <c r="V332" i="13"/>
  <c r="I332" i="13"/>
  <c r="X331" i="13"/>
  <c r="K331" i="13"/>
  <c r="G331" i="13"/>
  <c r="C331" i="13"/>
  <c r="V330" i="13"/>
  <c r="I330" i="13"/>
  <c r="X329" i="13"/>
  <c r="K329" i="13"/>
  <c r="G329" i="13"/>
  <c r="C329" i="13"/>
  <c r="V328" i="13"/>
  <c r="I328" i="13"/>
  <c r="X327" i="13"/>
  <c r="K327" i="13"/>
  <c r="G327" i="13"/>
  <c r="C327" i="13"/>
  <c r="V326" i="13"/>
  <c r="I326" i="13"/>
  <c r="X325" i="13"/>
  <c r="K325" i="13"/>
  <c r="G325" i="13"/>
  <c r="C325" i="13"/>
  <c r="V324" i="13"/>
  <c r="I324" i="13"/>
  <c r="X323" i="13"/>
  <c r="K323" i="13"/>
  <c r="G323" i="13"/>
  <c r="C323" i="13"/>
  <c r="V322" i="13"/>
  <c r="I322" i="13"/>
  <c r="X321" i="13"/>
  <c r="K321" i="13"/>
  <c r="G321" i="13"/>
  <c r="C321" i="13"/>
  <c r="V320" i="13"/>
  <c r="I320" i="13"/>
  <c r="X319" i="13"/>
  <c r="K319" i="13"/>
  <c r="G319" i="13"/>
  <c r="C319" i="13"/>
  <c r="V318" i="13"/>
  <c r="I318" i="13"/>
  <c r="X317" i="13"/>
  <c r="K317" i="13"/>
  <c r="G317" i="13"/>
  <c r="C317" i="13"/>
  <c r="V316" i="13"/>
  <c r="I316" i="13"/>
  <c r="X315" i="13"/>
  <c r="K315" i="13"/>
  <c r="G315" i="13"/>
  <c r="C315" i="13"/>
  <c r="V314" i="13"/>
  <c r="I314" i="13"/>
  <c r="X313" i="13"/>
  <c r="K313" i="13"/>
  <c r="G313" i="13"/>
  <c r="C313" i="13"/>
  <c r="V312" i="13"/>
  <c r="I312" i="13"/>
  <c r="X311" i="13"/>
  <c r="K311" i="13"/>
  <c r="G311" i="13"/>
  <c r="C311" i="13"/>
  <c r="V310" i="13"/>
  <c r="I310" i="13"/>
  <c r="X309" i="13"/>
  <c r="K309" i="13"/>
  <c r="G309" i="13"/>
  <c r="C309" i="13"/>
  <c r="V308" i="13"/>
  <c r="I308" i="13"/>
  <c r="X307" i="13"/>
  <c r="K307" i="13"/>
  <c r="G307" i="13"/>
  <c r="C307" i="13"/>
  <c r="V306" i="13"/>
  <c r="I306" i="13"/>
  <c r="X305" i="13"/>
  <c r="K305" i="13"/>
  <c r="G305" i="13"/>
  <c r="C305" i="13"/>
  <c r="V304" i="13"/>
  <c r="I304" i="13"/>
  <c r="X303" i="13"/>
  <c r="K303" i="13"/>
  <c r="G303" i="13"/>
  <c r="C303" i="13"/>
  <c r="V302" i="13"/>
  <c r="I302" i="13"/>
  <c r="X301" i="13"/>
  <c r="K301" i="13"/>
  <c r="G301" i="13"/>
  <c r="C301" i="13"/>
  <c r="V300" i="13"/>
  <c r="I300" i="13"/>
  <c r="X299" i="13"/>
  <c r="K299" i="13"/>
  <c r="G299" i="13"/>
  <c r="C299" i="13"/>
  <c r="V298" i="13"/>
  <c r="I298" i="13"/>
  <c r="X297" i="13"/>
  <c r="K297" i="13"/>
  <c r="G297" i="13"/>
  <c r="C297" i="13"/>
  <c r="V296" i="13"/>
  <c r="I296" i="13"/>
  <c r="X295" i="13"/>
  <c r="K295" i="13"/>
  <c r="G295" i="13"/>
  <c r="C295" i="13"/>
  <c r="V294" i="13"/>
  <c r="I294" i="13"/>
  <c r="X293" i="13"/>
  <c r="K293" i="13"/>
  <c r="G293" i="13"/>
  <c r="C293" i="13"/>
  <c r="V292" i="13"/>
  <c r="I292" i="13"/>
  <c r="X291" i="13"/>
  <c r="K291" i="13"/>
  <c r="G291" i="13"/>
  <c r="C291" i="13"/>
  <c r="V290" i="13"/>
  <c r="I290" i="13"/>
  <c r="X289" i="13"/>
  <c r="K289" i="13"/>
  <c r="G289" i="13"/>
  <c r="C289" i="13"/>
  <c r="V288" i="13"/>
  <c r="I288" i="13"/>
  <c r="X287" i="13"/>
  <c r="K287" i="13"/>
  <c r="G287" i="13"/>
  <c r="C287" i="13"/>
  <c r="V286" i="13"/>
  <c r="I286" i="13"/>
  <c r="X285" i="13"/>
  <c r="K285" i="13"/>
  <c r="G285" i="13"/>
  <c r="C285" i="13"/>
  <c r="V284" i="13"/>
  <c r="I284" i="13"/>
  <c r="X283" i="13"/>
  <c r="K283" i="13"/>
  <c r="G283" i="13"/>
  <c r="C283" i="13"/>
  <c r="V282" i="13"/>
  <c r="I282" i="13"/>
  <c r="X281" i="13"/>
  <c r="K281" i="13"/>
  <c r="G281" i="13"/>
  <c r="C281" i="13"/>
  <c r="V280" i="13"/>
  <c r="I280" i="13"/>
  <c r="X279" i="13"/>
  <c r="H476" i="13"/>
  <c r="H461" i="13"/>
  <c r="B437" i="13"/>
  <c r="E437" i="13" s="1"/>
  <c r="B421" i="13"/>
  <c r="E421" i="13" s="1"/>
  <c r="L418" i="13"/>
  <c r="H416" i="13"/>
  <c r="D414" i="13"/>
  <c r="J409" i="13"/>
  <c r="F407" i="13"/>
  <c r="B405" i="13"/>
  <c r="E405" i="13" s="1"/>
  <c r="L402" i="13"/>
  <c r="H400" i="13"/>
  <c r="D398" i="13"/>
  <c r="J393" i="13"/>
  <c r="F391" i="13"/>
  <c r="L388" i="13"/>
  <c r="J387" i="13"/>
  <c r="H386" i="13"/>
  <c r="F385" i="13"/>
  <c r="D384" i="13"/>
  <c r="B383" i="13"/>
  <c r="E383" i="13" s="1"/>
  <c r="L380" i="13"/>
  <c r="J379" i="13"/>
  <c r="H378" i="13"/>
  <c r="F377" i="13"/>
  <c r="D376" i="13"/>
  <c r="B375" i="13"/>
  <c r="E375" i="13" s="1"/>
  <c r="L372" i="13"/>
  <c r="J371" i="13"/>
  <c r="H370" i="13"/>
  <c r="F369" i="13"/>
  <c r="D368" i="13"/>
  <c r="B367" i="13"/>
  <c r="E367" i="13" s="1"/>
  <c r="D366" i="13"/>
  <c r="V365" i="13"/>
  <c r="H365" i="13"/>
  <c r="B365" i="13"/>
  <c r="E365" i="13" s="1"/>
  <c r="K364" i="13"/>
  <c r="F364" i="13"/>
  <c r="J363" i="13"/>
  <c r="F363" i="13"/>
  <c r="B363" i="13"/>
  <c r="E363" i="13" s="1"/>
  <c r="L362" i="13"/>
  <c r="H362" i="13"/>
  <c r="D362" i="13"/>
  <c r="J361" i="13"/>
  <c r="F361" i="13"/>
  <c r="B361" i="13"/>
  <c r="E361" i="13" s="1"/>
  <c r="L360" i="13"/>
  <c r="H360" i="13"/>
  <c r="D360" i="13"/>
  <c r="J359" i="13"/>
  <c r="F359" i="13"/>
  <c r="B359" i="13"/>
  <c r="E359" i="13" s="1"/>
  <c r="L358" i="13"/>
  <c r="H358" i="13"/>
  <c r="D358" i="13"/>
  <c r="J357" i="13"/>
  <c r="F357" i="13"/>
  <c r="B357" i="13"/>
  <c r="E357" i="13" s="1"/>
  <c r="L356" i="13"/>
  <c r="H356" i="13"/>
  <c r="D356" i="13"/>
  <c r="J355" i="13"/>
  <c r="F355" i="13"/>
  <c r="B355" i="13"/>
  <c r="E355" i="13" s="1"/>
  <c r="L354" i="13"/>
  <c r="H354" i="13"/>
  <c r="D354" i="13"/>
  <c r="J353" i="13"/>
  <c r="F353" i="13"/>
  <c r="B353" i="13"/>
  <c r="E353" i="13" s="1"/>
  <c r="L352" i="13"/>
  <c r="H352" i="13"/>
  <c r="D352" i="13"/>
  <c r="J351" i="13"/>
  <c r="F351" i="13"/>
  <c r="B351" i="13"/>
  <c r="E351" i="13" s="1"/>
  <c r="L350" i="13"/>
  <c r="H350" i="13"/>
  <c r="D350" i="13"/>
  <c r="J349" i="13"/>
  <c r="F349" i="13"/>
  <c r="B349" i="13"/>
  <c r="E349" i="13" s="1"/>
  <c r="L348" i="13"/>
  <c r="H348" i="13"/>
  <c r="D348" i="13"/>
  <c r="J347" i="13"/>
  <c r="F347" i="13"/>
  <c r="B347" i="13"/>
  <c r="E347" i="13" s="1"/>
  <c r="L346" i="13"/>
  <c r="H346" i="13"/>
  <c r="D346" i="13"/>
  <c r="J345" i="13"/>
  <c r="F345" i="13"/>
  <c r="B345" i="13"/>
  <c r="E345" i="13" s="1"/>
  <c r="L344" i="13"/>
  <c r="H344" i="13"/>
  <c r="D344" i="13"/>
  <c r="J343" i="13"/>
  <c r="F343" i="13"/>
  <c r="B343" i="13"/>
  <c r="E343" i="13" s="1"/>
  <c r="L342" i="13"/>
  <c r="H342" i="13"/>
  <c r="D342" i="13"/>
  <c r="J341" i="13"/>
  <c r="F341" i="13"/>
  <c r="B341" i="13"/>
  <c r="E341" i="13" s="1"/>
  <c r="L340" i="13"/>
  <c r="H340" i="13"/>
  <c r="D340" i="13"/>
  <c r="J339" i="13"/>
  <c r="F339" i="13"/>
  <c r="B339" i="13"/>
  <c r="E339" i="13" s="1"/>
  <c r="L338" i="13"/>
  <c r="H338" i="13"/>
  <c r="D338" i="13"/>
  <c r="J337" i="13"/>
  <c r="F337" i="13"/>
  <c r="B337" i="13"/>
  <c r="E337" i="13" s="1"/>
  <c r="L336" i="13"/>
  <c r="H336" i="13"/>
  <c r="D336" i="13"/>
  <c r="J335" i="13"/>
  <c r="F335" i="13"/>
  <c r="B335" i="13"/>
  <c r="E335" i="13" s="1"/>
  <c r="L334" i="13"/>
  <c r="H334" i="13"/>
  <c r="D334" i="13"/>
  <c r="J333" i="13"/>
  <c r="F333" i="13"/>
  <c r="B333" i="13"/>
  <c r="E333" i="13" s="1"/>
  <c r="L332" i="13"/>
  <c r="H332" i="13"/>
  <c r="D332" i="13"/>
  <c r="J331" i="13"/>
  <c r="F331" i="13"/>
  <c r="B331" i="13"/>
  <c r="E331" i="13" s="1"/>
  <c r="L330" i="13"/>
  <c r="H330" i="13"/>
  <c r="D330" i="13"/>
  <c r="J329" i="13"/>
  <c r="F329" i="13"/>
  <c r="B329" i="13"/>
  <c r="E329" i="13" s="1"/>
  <c r="L328" i="13"/>
  <c r="H328" i="13"/>
  <c r="D328" i="13"/>
  <c r="J327" i="13"/>
  <c r="F327" i="13"/>
  <c r="B327" i="13"/>
  <c r="E327" i="13" s="1"/>
  <c r="L326" i="13"/>
  <c r="H326" i="13"/>
  <c r="D326" i="13"/>
  <c r="J325" i="13"/>
  <c r="F325" i="13"/>
  <c r="B325" i="13"/>
  <c r="E325" i="13" s="1"/>
  <c r="L324" i="13"/>
  <c r="H324" i="13"/>
  <c r="D324" i="13"/>
  <c r="J323" i="13"/>
  <c r="F323" i="13"/>
  <c r="B323" i="13"/>
  <c r="E323" i="13" s="1"/>
  <c r="L322" i="13"/>
  <c r="H322" i="13"/>
  <c r="D322" i="13"/>
  <c r="J321" i="13"/>
  <c r="F321" i="13"/>
  <c r="B321" i="13"/>
  <c r="E321" i="13" s="1"/>
  <c r="L320" i="13"/>
  <c r="H320" i="13"/>
  <c r="D320" i="13"/>
  <c r="J319" i="13"/>
  <c r="F319" i="13"/>
  <c r="B319" i="13"/>
  <c r="E319" i="13" s="1"/>
  <c r="L318" i="13"/>
  <c r="H318" i="13"/>
  <c r="D318" i="13"/>
  <c r="J317" i="13"/>
  <c r="F317" i="13"/>
  <c r="B317" i="13"/>
  <c r="E317" i="13" s="1"/>
  <c r="L316" i="13"/>
  <c r="H316" i="13"/>
  <c r="D316" i="13"/>
  <c r="J315" i="13"/>
  <c r="F315" i="13"/>
  <c r="B315" i="13"/>
  <c r="E315" i="13" s="1"/>
  <c r="L314" i="13"/>
  <c r="H314" i="13"/>
  <c r="D314" i="13"/>
  <c r="J313" i="13"/>
  <c r="F313" i="13"/>
  <c r="B313" i="13"/>
  <c r="E313" i="13" s="1"/>
  <c r="L312" i="13"/>
  <c r="H312" i="13"/>
  <c r="D312" i="13"/>
  <c r="J311" i="13"/>
  <c r="F311" i="13"/>
  <c r="B311" i="13"/>
  <c r="E311" i="13" s="1"/>
  <c r="L310" i="13"/>
  <c r="H310" i="13"/>
  <c r="D310" i="13"/>
  <c r="J309" i="13"/>
  <c r="F309" i="13"/>
  <c r="B309" i="13"/>
  <c r="E309" i="13" s="1"/>
  <c r="L308" i="13"/>
  <c r="H308" i="13"/>
  <c r="D308" i="13"/>
  <c r="J307" i="13"/>
  <c r="F307" i="13"/>
  <c r="B307" i="13"/>
  <c r="E307" i="13" s="1"/>
  <c r="L306" i="13"/>
  <c r="H306" i="13"/>
  <c r="D306" i="13"/>
  <c r="J305" i="13"/>
  <c r="F305" i="13"/>
  <c r="B305" i="13"/>
  <c r="E305" i="13" s="1"/>
  <c r="L304" i="13"/>
  <c r="H304" i="13"/>
  <c r="D304" i="13"/>
  <c r="J303" i="13"/>
  <c r="F303" i="13"/>
  <c r="B303" i="13"/>
  <c r="E303" i="13" s="1"/>
  <c r="L302" i="13"/>
  <c r="H302" i="13"/>
  <c r="D302" i="13"/>
  <c r="J301" i="13"/>
  <c r="F301" i="13"/>
  <c r="B301" i="13"/>
  <c r="E301" i="13" s="1"/>
  <c r="L300" i="13"/>
  <c r="H300" i="13"/>
  <c r="D300" i="13"/>
  <c r="J299" i="13"/>
  <c r="F299" i="13"/>
  <c r="B299" i="13"/>
  <c r="E299" i="13" s="1"/>
  <c r="L298" i="13"/>
  <c r="H298" i="13"/>
  <c r="D298" i="13"/>
  <c r="J297" i="13"/>
  <c r="F297" i="13"/>
  <c r="B297" i="13"/>
  <c r="E297" i="13" s="1"/>
  <c r="L296" i="13"/>
  <c r="H296" i="13"/>
  <c r="D296" i="13"/>
  <c r="J295" i="13"/>
  <c r="F295" i="13"/>
  <c r="B295" i="13"/>
  <c r="E295" i="13" s="1"/>
  <c r="L294" i="13"/>
  <c r="H294" i="13"/>
  <c r="D294" i="13"/>
  <c r="J293" i="13"/>
  <c r="F293" i="13"/>
  <c r="B293" i="13"/>
  <c r="E293" i="13" s="1"/>
  <c r="L292" i="13"/>
  <c r="H292" i="13"/>
  <c r="D292" i="13"/>
  <c r="J291" i="13"/>
  <c r="F291" i="13"/>
  <c r="B291" i="13"/>
  <c r="E291" i="13" s="1"/>
  <c r="L290" i="13"/>
  <c r="H290" i="13"/>
  <c r="D290" i="13"/>
  <c r="J289" i="13"/>
  <c r="F289" i="13"/>
  <c r="B289" i="13"/>
  <c r="E289" i="13" s="1"/>
  <c r="L288" i="13"/>
  <c r="H288" i="13"/>
  <c r="D288" i="13"/>
  <c r="J287" i="13"/>
  <c r="F287" i="13"/>
  <c r="B287" i="13"/>
  <c r="E287" i="13" s="1"/>
  <c r="L286" i="13"/>
  <c r="H286" i="13"/>
  <c r="D286" i="13"/>
  <c r="J285" i="13"/>
  <c r="F285" i="13"/>
  <c r="B285" i="13"/>
  <c r="E285" i="13" s="1"/>
  <c r="L284" i="13"/>
  <c r="H284" i="13"/>
  <c r="D284" i="13"/>
  <c r="J283" i="13"/>
  <c r="F283" i="13"/>
  <c r="B283" i="13"/>
  <c r="E283" i="13" s="1"/>
  <c r="L282" i="13"/>
  <c r="H282" i="13"/>
  <c r="D282" i="13"/>
  <c r="J281" i="13"/>
  <c r="F281" i="13"/>
  <c r="B281" i="13"/>
  <c r="E281" i="13" s="1"/>
  <c r="L280" i="13"/>
  <c r="H280" i="13"/>
  <c r="D280" i="13"/>
  <c r="J470" i="13"/>
  <c r="X424" i="13"/>
  <c r="J413" i="13"/>
  <c r="H404" i="13"/>
  <c r="F395" i="13"/>
  <c r="H388" i="13"/>
  <c r="F379" i="13"/>
  <c r="L374" i="13"/>
  <c r="D370" i="13"/>
  <c r="C366" i="13"/>
  <c r="J364" i="13"/>
  <c r="C362" i="13"/>
  <c r="X360" i="13"/>
  <c r="V359" i="13"/>
  <c r="K358" i="13"/>
  <c r="I357" i="13"/>
  <c r="G356" i="13"/>
  <c r="C354" i="13"/>
  <c r="X352" i="13"/>
  <c r="V351" i="13"/>
  <c r="K350" i="13"/>
  <c r="I349" i="13"/>
  <c r="G348" i="13"/>
  <c r="W348" i="13" s="1"/>
  <c r="C346" i="13"/>
  <c r="X344" i="13"/>
  <c r="V343" i="13"/>
  <c r="K342" i="13"/>
  <c r="I341" i="13"/>
  <c r="G340" i="13"/>
  <c r="C338" i="13"/>
  <c r="X336" i="13"/>
  <c r="V335" i="13"/>
  <c r="K334" i="13"/>
  <c r="I333" i="13"/>
  <c r="G332" i="13"/>
  <c r="W332" i="13" s="1"/>
  <c r="C330" i="13"/>
  <c r="X328" i="13"/>
  <c r="V327" i="13"/>
  <c r="K326" i="13"/>
  <c r="I325" i="13"/>
  <c r="G324" i="13"/>
  <c r="C322" i="13"/>
  <c r="X320" i="13"/>
  <c r="V319" i="13"/>
  <c r="K318" i="13"/>
  <c r="I317" i="13"/>
  <c r="G316" i="13"/>
  <c r="W316" i="13" s="1"/>
  <c r="C314" i="13"/>
  <c r="X312" i="13"/>
  <c r="V311" i="13"/>
  <c r="K310" i="13"/>
  <c r="I309" i="13"/>
  <c r="G308" i="13"/>
  <c r="C306" i="13"/>
  <c r="X304" i="13"/>
  <c r="V303" i="13"/>
  <c r="K302" i="13"/>
  <c r="I301" i="13"/>
  <c r="G300" i="13"/>
  <c r="W300" i="13" s="1"/>
  <c r="C298" i="13"/>
  <c r="X296" i="13"/>
  <c r="V295" i="13"/>
  <c r="K294" i="13"/>
  <c r="I293" i="13"/>
  <c r="G292" i="13"/>
  <c r="C290" i="13"/>
  <c r="X288" i="13"/>
  <c r="C288" i="13"/>
  <c r="I287" i="13"/>
  <c r="X286" i="13"/>
  <c r="G286" i="13"/>
  <c r="V285" i="13"/>
  <c r="K284" i="13"/>
  <c r="C284" i="13"/>
  <c r="I283" i="13"/>
  <c r="X282" i="13"/>
  <c r="G282" i="13"/>
  <c r="W282" i="13" s="1"/>
  <c r="V281" i="13"/>
  <c r="K280" i="13"/>
  <c r="C280" i="13"/>
  <c r="K279" i="13"/>
  <c r="G279" i="13"/>
  <c r="C279" i="13"/>
  <c r="V278" i="13"/>
  <c r="I278" i="13"/>
  <c r="X277" i="13"/>
  <c r="K277" i="13"/>
  <c r="G277" i="13"/>
  <c r="C277" i="13"/>
  <c r="V276" i="13"/>
  <c r="I276" i="13"/>
  <c r="X275" i="13"/>
  <c r="K275" i="13"/>
  <c r="G275" i="13"/>
  <c r="C275" i="13"/>
  <c r="V274" i="13"/>
  <c r="I274" i="13"/>
  <c r="X273" i="13"/>
  <c r="K273" i="13"/>
  <c r="G273" i="13"/>
  <c r="C273" i="13"/>
  <c r="V272" i="13"/>
  <c r="I272" i="13"/>
  <c r="X271" i="13"/>
  <c r="K271" i="13"/>
  <c r="G271" i="13"/>
  <c r="C271" i="13"/>
  <c r="V270" i="13"/>
  <c r="I270" i="13"/>
  <c r="X269" i="13"/>
  <c r="K269" i="13"/>
  <c r="G269" i="13"/>
  <c r="C269" i="13"/>
  <c r="V268" i="13"/>
  <c r="I268" i="13"/>
  <c r="X267" i="13"/>
  <c r="K267" i="13"/>
  <c r="G267" i="13"/>
  <c r="C267" i="13"/>
  <c r="V266" i="13"/>
  <c r="I266" i="13"/>
  <c r="X265" i="13"/>
  <c r="K265" i="13"/>
  <c r="G265" i="13"/>
  <c r="C265" i="13"/>
  <c r="V264" i="13"/>
  <c r="I264" i="13"/>
  <c r="X263" i="13"/>
  <c r="K263" i="13"/>
  <c r="G263" i="13"/>
  <c r="C263" i="13"/>
  <c r="V262" i="13"/>
  <c r="I262" i="13"/>
  <c r="X261" i="13"/>
  <c r="K261" i="13"/>
  <c r="G261" i="13"/>
  <c r="C261" i="13"/>
  <c r="V260" i="13"/>
  <c r="I260" i="13"/>
  <c r="X259" i="13"/>
  <c r="K259" i="13"/>
  <c r="G259" i="13"/>
  <c r="C259" i="13"/>
  <c r="V258" i="13"/>
  <c r="I258" i="13"/>
  <c r="X257" i="13"/>
  <c r="K257" i="13"/>
  <c r="G257" i="13"/>
  <c r="C257" i="13"/>
  <c r="V256" i="13"/>
  <c r="I256" i="13"/>
  <c r="X255" i="13"/>
  <c r="K255" i="13"/>
  <c r="G255" i="13"/>
  <c r="C255" i="13"/>
  <c r="V254" i="13"/>
  <c r="I254" i="13"/>
  <c r="X253" i="13"/>
  <c r="K253" i="13"/>
  <c r="G253" i="13"/>
  <c r="C253" i="13"/>
  <c r="V252" i="13"/>
  <c r="I252" i="13"/>
  <c r="X251" i="13"/>
  <c r="K251" i="13"/>
  <c r="G251" i="13"/>
  <c r="C251" i="13"/>
  <c r="V250" i="13"/>
  <c r="I250" i="13"/>
  <c r="X249" i="13"/>
  <c r="K249" i="13"/>
  <c r="G249" i="13"/>
  <c r="C249" i="13"/>
  <c r="V248" i="13"/>
  <c r="I248" i="13"/>
  <c r="X247" i="13"/>
  <c r="K247" i="13"/>
  <c r="G247" i="13"/>
  <c r="C247" i="13"/>
  <c r="V246" i="13"/>
  <c r="I246" i="13"/>
  <c r="X245" i="13"/>
  <c r="K245" i="13"/>
  <c r="G245" i="13"/>
  <c r="C245" i="13"/>
  <c r="V244" i="13"/>
  <c r="I244" i="13"/>
  <c r="X243" i="13"/>
  <c r="K243" i="13"/>
  <c r="G243" i="13"/>
  <c r="C243" i="13"/>
  <c r="V242" i="13"/>
  <c r="I242" i="13"/>
  <c r="X241" i="13"/>
  <c r="K241" i="13"/>
  <c r="G241" i="13"/>
  <c r="C241" i="13"/>
  <c r="V240" i="13"/>
  <c r="I240" i="13"/>
  <c r="X239" i="13"/>
  <c r="K239" i="13"/>
  <c r="G239" i="13"/>
  <c r="C239" i="13"/>
  <c r="V238" i="13"/>
  <c r="I238" i="13"/>
  <c r="X237" i="13"/>
  <c r="K237" i="13"/>
  <c r="G237" i="13"/>
  <c r="C237" i="13"/>
  <c r="V236" i="13"/>
  <c r="I236" i="13"/>
  <c r="X235" i="13"/>
  <c r="K235" i="13"/>
  <c r="G235" i="13"/>
  <c r="C235" i="13"/>
  <c r="V234" i="13"/>
  <c r="I234" i="13"/>
  <c r="X233" i="13"/>
  <c r="K233" i="13"/>
  <c r="G233" i="13"/>
  <c r="C233" i="13"/>
  <c r="V232" i="13"/>
  <c r="I232" i="13"/>
  <c r="X231" i="13"/>
  <c r="K231" i="13"/>
  <c r="G231" i="13"/>
  <c r="C231" i="13"/>
  <c r="V230" i="13"/>
  <c r="I230" i="13"/>
  <c r="X229" i="13"/>
  <c r="K229" i="13"/>
  <c r="G229" i="13"/>
  <c r="C229" i="13"/>
  <c r="V228" i="13"/>
  <c r="I228" i="13"/>
  <c r="X227" i="13"/>
  <c r="K227" i="13"/>
  <c r="G227" i="13"/>
  <c r="C227" i="13"/>
  <c r="V226" i="13"/>
  <c r="I226" i="13"/>
  <c r="X225" i="13"/>
  <c r="K225" i="13"/>
  <c r="G225" i="13"/>
  <c r="C225" i="13"/>
  <c r="V224" i="13"/>
  <c r="I224" i="13"/>
  <c r="X223" i="13"/>
  <c r="K223" i="13"/>
  <c r="G223" i="13"/>
  <c r="C223" i="13"/>
  <c r="V222" i="13"/>
  <c r="I222" i="13"/>
  <c r="X221" i="13"/>
  <c r="K221" i="13"/>
  <c r="G221" i="13"/>
  <c r="C221" i="13"/>
  <c r="V220" i="13"/>
  <c r="I220" i="13"/>
  <c r="X219" i="13"/>
  <c r="K219" i="13"/>
  <c r="G219" i="13"/>
  <c r="C219" i="13"/>
  <c r="V218" i="13"/>
  <c r="I218" i="13"/>
  <c r="X217" i="13"/>
  <c r="K217" i="13"/>
  <c r="G217" i="13"/>
  <c r="C217" i="13"/>
  <c r="V216" i="13"/>
  <c r="I216" i="13"/>
  <c r="G458" i="13"/>
  <c r="W458" i="13" s="1"/>
  <c r="H420" i="13"/>
  <c r="F411" i="13"/>
  <c r="D402" i="13"/>
  <c r="B393" i="13"/>
  <c r="E393" i="13" s="1"/>
  <c r="F387" i="13"/>
  <c r="L382" i="13"/>
  <c r="D378" i="13"/>
  <c r="J373" i="13"/>
  <c r="B369" i="13"/>
  <c r="E369" i="13" s="1"/>
  <c r="L365" i="13"/>
  <c r="D364" i="13"/>
  <c r="X362" i="13"/>
  <c r="V361" i="13"/>
  <c r="K360" i="13"/>
  <c r="I359" i="13"/>
  <c r="G358" i="13"/>
  <c r="W358" i="13" s="1"/>
  <c r="C356" i="13"/>
  <c r="X354" i="13"/>
  <c r="V353" i="13"/>
  <c r="K352" i="13"/>
  <c r="I351" i="13"/>
  <c r="G350" i="13"/>
  <c r="W350" i="13" s="1"/>
  <c r="C348" i="13"/>
  <c r="X346" i="13"/>
  <c r="V345" i="13"/>
  <c r="K344" i="13"/>
  <c r="I343" i="13"/>
  <c r="G342" i="13"/>
  <c r="W342" i="13" s="1"/>
  <c r="C340" i="13"/>
  <c r="X338" i="13"/>
  <c r="V337" i="13"/>
  <c r="K336" i="13"/>
  <c r="I335" i="13"/>
  <c r="G334" i="13"/>
  <c r="W334" i="13" s="1"/>
  <c r="C332" i="13"/>
  <c r="X330" i="13"/>
  <c r="V329" i="13"/>
  <c r="K328" i="13"/>
  <c r="I327" i="13"/>
  <c r="G326" i="13"/>
  <c r="W326" i="13" s="1"/>
  <c r="C324" i="13"/>
  <c r="X322" i="13"/>
  <c r="V321" i="13"/>
  <c r="K320" i="13"/>
  <c r="I319" i="13"/>
  <c r="G318" i="13"/>
  <c r="W318" i="13" s="1"/>
  <c r="C316" i="13"/>
  <c r="X314" i="13"/>
  <c r="V313" i="13"/>
  <c r="K312" i="13"/>
  <c r="I311" i="13"/>
  <c r="G310" i="13"/>
  <c r="W310" i="13" s="1"/>
  <c r="C308" i="13"/>
  <c r="X306" i="13"/>
  <c r="V305" i="13"/>
  <c r="K304" i="13"/>
  <c r="I303" i="13"/>
  <c r="G302" i="13"/>
  <c r="W302" i="13" s="1"/>
  <c r="C300" i="13"/>
  <c r="X298" i="13"/>
  <c r="V297" i="13"/>
  <c r="K296" i="13"/>
  <c r="I295" i="13"/>
  <c r="G294" i="13"/>
  <c r="W294" i="13" s="1"/>
  <c r="C292" i="13"/>
  <c r="X290" i="13"/>
  <c r="V289" i="13"/>
  <c r="K288" i="13"/>
  <c r="B288" i="13"/>
  <c r="E288" i="13" s="1"/>
  <c r="H287" i="13"/>
  <c r="F286" i="13"/>
  <c r="L285" i="13"/>
  <c r="D285" i="13"/>
  <c r="J284" i="13"/>
  <c r="B284" i="13"/>
  <c r="E284" i="13" s="1"/>
  <c r="H283" i="13"/>
  <c r="F282" i="13"/>
  <c r="L281" i="13"/>
  <c r="D281" i="13"/>
  <c r="J280" i="13"/>
  <c r="B280" i="13"/>
  <c r="E280" i="13" s="1"/>
  <c r="J279" i="13"/>
  <c r="F279" i="13"/>
  <c r="B279" i="13"/>
  <c r="E279" i="13" s="1"/>
  <c r="L278" i="13"/>
  <c r="H278" i="13"/>
  <c r="D278" i="13"/>
  <c r="J277" i="13"/>
  <c r="F277" i="13"/>
  <c r="B277" i="13"/>
  <c r="E277" i="13" s="1"/>
  <c r="L276" i="13"/>
  <c r="H276" i="13"/>
  <c r="D276" i="13"/>
  <c r="J275" i="13"/>
  <c r="F275" i="13"/>
  <c r="B275" i="13"/>
  <c r="E275" i="13" s="1"/>
  <c r="L274" i="13"/>
  <c r="H274" i="13"/>
  <c r="D274" i="13"/>
  <c r="J273" i="13"/>
  <c r="F273" i="13"/>
  <c r="B273" i="13"/>
  <c r="E273" i="13" s="1"/>
  <c r="L272" i="13"/>
  <c r="H272" i="13"/>
  <c r="D272" i="13"/>
  <c r="J271" i="13"/>
  <c r="F271" i="13"/>
  <c r="B271" i="13"/>
  <c r="E271" i="13" s="1"/>
  <c r="L270" i="13"/>
  <c r="H270" i="13"/>
  <c r="D270" i="13"/>
  <c r="J269" i="13"/>
  <c r="F269" i="13"/>
  <c r="B269" i="13"/>
  <c r="E269" i="13" s="1"/>
  <c r="L268" i="13"/>
  <c r="H268" i="13"/>
  <c r="D268" i="13"/>
  <c r="J267" i="13"/>
  <c r="F267" i="13"/>
  <c r="B267" i="13"/>
  <c r="E267" i="13" s="1"/>
  <c r="L266" i="13"/>
  <c r="H266" i="13"/>
  <c r="D266" i="13"/>
  <c r="J265" i="13"/>
  <c r="F265" i="13"/>
  <c r="B265" i="13"/>
  <c r="E265" i="13" s="1"/>
  <c r="L264" i="13"/>
  <c r="H264" i="13"/>
  <c r="D264" i="13"/>
  <c r="J263" i="13"/>
  <c r="F263" i="13"/>
  <c r="B263" i="13"/>
  <c r="E263" i="13" s="1"/>
  <c r="L262" i="13"/>
  <c r="H262" i="13"/>
  <c r="D262" i="13"/>
  <c r="J261" i="13"/>
  <c r="F261" i="13"/>
  <c r="B261" i="13"/>
  <c r="E261" i="13" s="1"/>
  <c r="L260" i="13"/>
  <c r="H260" i="13"/>
  <c r="D260" i="13"/>
  <c r="J259" i="13"/>
  <c r="F259" i="13"/>
  <c r="B259" i="13"/>
  <c r="E259" i="13" s="1"/>
  <c r="L258" i="13"/>
  <c r="H258" i="13"/>
  <c r="D258" i="13"/>
  <c r="J257" i="13"/>
  <c r="F257" i="13"/>
  <c r="B257" i="13"/>
  <c r="E257" i="13" s="1"/>
  <c r="L256" i="13"/>
  <c r="H256" i="13"/>
  <c r="D256" i="13"/>
  <c r="J255" i="13"/>
  <c r="F255" i="13"/>
  <c r="B255" i="13"/>
  <c r="E255" i="13" s="1"/>
  <c r="L254" i="13"/>
  <c r="H254" i="13"/>
  <c r="D254" i="13"/>
  <c r="J253" i="13"/>
  <c r="F253" i="13"/>
  <c r="B253" i="13"/>
  <c r="E253" i="13" s="1"/>
  <c r="L252" i="13"/>
  <c r="H252" i="13"/>
  <c r="D252" i="13"/>
  <c r="J251" i="13"/>
  <c r="F251" i="13"/>
  <c r="B251" i="13"/>
  <c r="E251" i="13" s="1"/>
  <c r="L250" i="13"/>
  <c r="H250" i="13"/>
  <c r="D250" i="13"/>
  <c r="J249" i="13"/>
  <c r="F249" i="13"/>
  <c r="B249" i="13"/>
  <c r="E249" i="13" s="1"/>
  <c r="L248" i="13"/>
  <c r="H248" i="13"/>
  <c r="D248" i="13"/>
  <c r="J247" i="13"/>
  <c r="F247" i="13"/>
  <c r="B247" i="13"/>
  <c r="E247" i="13" s="1"/>
  <c r="L246" i="13"/>
  <c r="H246" i="13"/>
  <c r="D246" i="13"/>
  <c r="J245" i="13"/>
  <c r="F245" i="13"/>
  <c r="B245" i="13"/>
  <c r="E245" i="13" s="1"/>
  <c r="L244" i="13"/>
  <c r="H244" i="13"/>
  <c r="D244" i="13"/>
  <c r="J243" i="13"/>
  <c r="F243" i="13"/>
  <c r="B243" i="13"/>
  <c r="E243" i="13" s="1"/>
  <c r="L242" i="13"/>
  <c r="H242" i="13"/>
  <c r="D242" i="13"/>
  <c r="J241" i="13"/>
  <c r="F241" i="13"/>
  <c r="B241" i="13"/>
  <c r="E241" i="13" s="1"/>
  <c r="L240" i="13"/>
  <c r="H240" i="13"/>
  <c r="D240" i="13"/>
  <c r="J239" i="13"/>
  <c r="F239" i="13"/>
  <c r="B239" i="13"/>
  <c r="E239" i="13" s="1"/>
  <c r="L238" i="13"/>
  <c r="H238" i="13"/>
  <c r="D238" i="13"/>
  <c r="J237" i="13"/>
  <c r="F237" i="13"/>
  <c r="B237" i="13"/>
  <c r="E237" i="13" s="1"/>
  <c r="L236" i="13"/>
  <c r="H236" i="13"/>
  <c r="D236" i="13"/>
  <c r="J235" i="13"/>
  <c r="F235" i="13"/>
  <c r="B235" i="13"/>
  <c r="E235" i="13" s="1"/>
  <c r="L234" i="13"/>
  <c r="H234" i="13"/>
  <c r="D234" i="13"/>
  <c r="J233" i="13"/>
  <c r="F233" i="13"/>
  <c r="B233" i="13"/>
  <c r="E233" i="13" s="1"/>
  <c r="L232" i="13"/>
  <c r="H232" i="13"/>
  <c r="D232" i="13"/>
  <c r="J231" i="13"/>
  <c r="F231" i="13"/>
  <c r="B231" i="13"/>
  <c r="E231" i="13" s="1"/>
  <c r="L230" i="13"/>
  <c r="H230" i="13"/>
  <c r="D230" i="13"/>
  <c r="J229" i="13"/>
  <c r="F229" i="13"/>
  <c r="B229" i="13"/>
  <c r="E229" i="13" s="1"/>
  <c r="L228" i="13"/>
  <c r="H228" i="13"/>
  <c r="D228" i="13"/>
  <c r="J227" i="13"/>
  <c r="F227" i="13"/>
  <c r="B227" i="13"/>
  <c r="E227" i="13" s="1"/>
  <c r="L226" i="13"/>
  <c r="H226" i="13"/>
  <c r="D226" i="13"/>
  <c r="J225" i="13"/>
  <c r="F225" i="13"/>
  <c r="B225" i="13"/>
  <c r="E225" i="13" s="1"/>
  <c r="L224" i="13"/>
  <c r="H224" i="13"/>
  <c r="D224" i="13"/>
  <c r="J223" i="13"/>
  <c r="F223" i="13"/>
  <c r="B223" i="13"/>
  <c r="E223" i="13" s="1"/>
  <c r="L222" i="13"/>
  <c r="H222" i="13"/>
  <c r="D222" i="13"/>
  <c r="J221" i="13"/>
  <c r="F221" i="13"/>
  <c r="B221" i="13"/>
  <c r="E221" i="13" s="1"/>
  <c r="L220" i="13"/>
  <c r="H220" i="13"/>
  <c r="D220" i="13"/>
  <c r="J219" i="13"/>
  <c r="F219" i="13"/>
  <c r="B219" i="13"/>
  <c r="E219" i="13" s="1"/>
  <c r="L218" i="13"/>
  <c r="H218" i="13"/>
  <c r="D218" i="13"/>
  <c r="J217" i="13"/>
  <c r="F217" i="13"/>
  <c r="B217" i="13"/>
  <c r="E217" i="13" s="1"/>
  <c r="L216" i="13"/>
  <c r="H216" i="13"/>
  <c r="D216" i="13"/>
  <c r="J215" i="13"/>
  <c r="F215" i="13"/>
  <c r="B215" i="13"/>
  <c r="E215" i="13" s="1"/>
  <c r="L214" i="13"/>
  <c r="H214" i="13"/>
  <c r="D214" i="13"/>
  <c r="J213" i="13"/>
  <c r="F213" i="13"/>
  <c r="B213" i="13"/>
  <c r="E213" i="13" s="1"/>
  <c r="L212" i="13"/>
  <c r="H212" i="13"/>
  <c r="D212" i="13"/>
  <c r="J211" i="13"/>
  <c r="F211" i="13"/>
  <c r="B211" i="13"/>
  <c r="E211" i="13" s="1"/>
  <c r="L210" i="13"/>
  <c r="H210" i="13"/>
  <c r="D210" i="13"/>
  <c r="J209" i="13"/>
  <c r="F209" i="13"/>
  <c r="B209" i="13"/>
  <c r="E209" i="13" s="1"/>
  <c r="D446" i="13"/>
  <c r="D418" i="13"/>
  <c r="B409" i="13"/>
  <c r="E409" i="13" s="1"/>
  <c r="L390" i="13"/>
  <c r="D386" i="13"/>
  <c r="J381" i="13"/>
  <c r="B377" i="13"/>
  <c r="E377" i="13" s="1"/>
  <c r="H372" i="13"/>
  <c r="F365" i="13"/>
  <c r="V363" i="13"/>
  <c r="K362" i="13"/>
  <c r="I361" i="13"/>
  <c r="G360" i="13"/>
  <c r="W360" i="13" s="1"/>
  <c r="C358" i="13"/>
  <c r="X356" i="13"/>
  <c r="V355" i="13"/>
  <c r="K354" i="13"/>
  <c r="I353" i="13"/>
  <c r="G352" i="13"/>
  <c r="W352" i="13" s="1"/>
  <c r="C350" i="13"/>
  <c r="X348" i="13"/>
  <c r="V347" i="13"/>
  <c r="K346" i="13"/>
  <c r="I345" i="13"/>
  <c r="G344" i="13"/>
  <c r="W344" i="13" s="1"/>
  <c r="C342" i="13"/>
  <c r="X340" i="13"/>
  <c r="V339" i="13"/>
  <c r="K338" i="13"/>
  <c r="I337" i="13"/>
  <c r="G336" i="13"/>
  <c r="W336" i="13" s="1"/>
  <c r="C334" i="13"/>
  <c r="X332" i="13"/>
  <c r="V331" i="13"/>
  <c r="K330" i="13"/>
  <c r="I329" i="13"/>
  <c r="G328" i="13"/>
  <c r="W328" i="13" s="1"/>
  <c r="C326" i="13"/>
  <c r="X324" i="13"/>
  <c r="V323" i="13"/>
  <c r="K322" i="13"/>
  <c r="I321" i="13"/>
  <c r="G320" i="13"/>
  <c r="W320" i="13" s="1"/>
  <c r="C318" i="13"/>
  <c r="X316" i="13"/>
  <c r="V315" i="13"/>
  <c r="K314" i="13"/>
  <c r="I313" i="13"/>
  <c r="G312" i="13"/>
  <c r="W312" i="13" s="1"/>
  <c r="C310" i="13"/>
  <c r="X308" i="13"/>
  <c r="V307" i="13"/>
  <c r="K306" i="13"/>
  <c r="I305" i="13"/>
  <c r="G304" i="13"/>
  <c r="W304" i="13" s="1"/>
  <c r="C302" i="13"/>
  <c r="X300" i="13"/>
  <c r="V299" i="13"/>
  <c r="K298" i="13"/>
  <c r="I297" i="13"/>
  <c r="G296" i="13"/>
  <c r="W296" i="13" s="1"/>
  <c r="C294" i="13"/>
  <c r="X292" i="13"/>
  <c r="V291" i="13"/>
  <c r="K290" i="13"/>
  <c r="I289" i="13"/>
  <c r="G288" i="13"/>
  <c r="W288" i="13" s="1"/>
  <c r="V287" i="13"/>
  <c r="K286" i="13"/>
  <c r="C286" i="13"/>
  <c r="I285" i="13"/>
  <c r="X284" i="13"/>
  <c r="G284" i="13"/>
  <c r="W284" i="13" s="1"/>
  <c r="V283" i="13"/>
  <c r="K282" i="13"/>
  <c r="C282" i="13"/>
  <c r="I281" i="13"/>
  <c r="X280" i="13"/>
  <c r="G280" i="13"/>
  <c r="W280" i="13" s="1"/>
  <c r="V279" i="13"/>
  <c r="I279" i="13"/>
  <c r="X278" i="13"/>
  <c r="K278" i="13"/>
  <c r="G278" i="13"/>
  <c r="W278" i="13" s="1"/>
  <c r="C278" i="13"/>
  <c r="V277" i="13"/>
  <c r="I277" i="13"/>
  <c r="X276" i="13"/>
  <c r="K276" i="13"/>
  <c r="G276" i="13"/>
  <c r="W276" i="13" s="1"/>
  <c r="C276" i="13"/>
  <c r="V275" i="13"/>
  <c r="I275" i="13"/>
  <c r="X274" i="13"/>
  <c r="K274" i="13"/>
  <c r="G274" i="13"/>
  <c r="W274" i="13" s="1"/>
  <c r="C274" i="13"/>
  <c r="V273" i="13"/>
  <c r="I273" i="13"/>
  <c r="X272" i="13"/>
  <c r="K272" i="13"/>
  <c r="G272" i="13"/>
  <c r="W272" i="13" s="1"/>
  <c r="C272" i="13"/>
  <c r="V271" i="13"/>
  <c r="I271" i="13"/>
  <c r="X270" i="13"/>
  <c r="K270" i="13"/>
  <c r="G270" i="13"/>
  <c r="W270" i="13" s="1"/>
  <c r="C270" i="13"/>
  <c r="V269" i="13"/>
  <c r="I269" i="13"/>
  <c r="X268" i="13"/>
  <c r="K268" i="13"/>
  <c r="G268" i="13"/>
  <c r="W268" i="13" s="1"/>
  <c r="C268" i="13"/>
  <c r="V267" i="13"/>
  <c r="I267" i="13"/>
  <c r="X266" i="13"/>
  <c r="K266" i="13"/>
  <c r="G266" i="13"/>
  <c r="W266" i="13" s="1"/>
  <c r="C266" i="13"/>
  <c r="V265" i="13"/>
  <c r="I265" i="13"/>
  <c r="X264" i="13"/>
  <c r="K264" i="13"/>
  <c r="G264" i="13"/>
  <c r="C264" i="13"/>
  <c r="V263" i="13"/>
  <c r="I263" i="13"/>
  <c r="X262" i="13"/>
  <c r="K262" i="13"/>
  <c r="G262" i="13"/>
  <c r="W262" i="13" s="1"/>
  <c r="C262" i="13"/>
  <c r="V261" i="13"/>
  <c r="I261" i="13"/>
  <c r="X260" i="13"/>
  <c r="K260" i="13"/>
  <c r="G260" i="13"/>
  <c r="C260" i="13"/>
  <c r="V259" i="13"/>
  <c r="I259" i="13"/>
  <c r="X258" i="13"/>
  <c r="K258" i="13"/>
  <c r="G258" i="13"/>
  <c r="W258" i="13" s="1"/>
  <c r="C258" i="13"/>
  <c r="V257" i="13"/>
  <c r="I257" i="13"/>
  <c r="X256" i="13"/>
  <c r="K256" i="13"/>
  <c r="G256" i="13"/>
  <c r="C256" i="13"/>
  <c r="V255" i="13"/>
  <c r="I255" i="13"/>
  <c r="X254" i="13"/>
  <c r="K254" i="13"/>
  <c r="G254" i="13"/>
  <c r="W254" i="13" s="1"/>
  <c r="C254" i="13"/>
  <c r="V253" i="13"/>
  <c r="I253" i="13"/>
  <c r="X252" i="13"/>
  <c r="K252" i="13"/>
  <c r="G252" i="13"/>
  <c r="C252" i="13"/>
  <c r="V251" i="13"/>
  <c r="I251" i="13"/>
  <c r="X250" i="13"/>
  <c r="K250" i="13"/>
  <c r="G250" i="13"/>
  <c r="W250" i="13" s="1"/>
  <c r="C250" i="13"/>
  <c r="V249" i="13"/>
  <c r="I249" i="13"/>
  <c r="X248" i="13"/>
  <c r="K248" i="13"/>
  <c r="G248" i="13"/>
  <c r="C248" i="13"/>
  <c r="V247" i="13"/>
  <c r="I247" i="13"/>
  <c r="X246" i="13"/>
  <c r="K246" i="13"/>
  <c r="G246" i="13"/>
  <c r="W246" i="13" s="1"/>
  <c r="C246" i="13"/>
  <c r="V245" i="13"/>
  <c r="I245" i="13"/>
  <c r="X244" i="13"/>
  <c r="K244" i="13"/>
  <c r="G244" i="13"/>
  <c r="C244" i="13"/>
  <c r="V243" i="13"/>
  <c r="I243" i="13"/>
  <c r="X242" i="13"/>
  <c r="K242" i="13"/>
  <c r="G242" i="13"/>
  <c r="W242" i="13" s="1"/>
  <c r="C242" i="13"/>
  <c r="V241" i="13"/>
  <c r="I241" i="13"/>
  <c r="X240" i="13"/>
  <c r="K240" i="13"/>
  <c r="G240" i="13"/>
  <c r="C240" i="13"/>
  <c r="V239" i="13"/>
  <c r="I239" i="13"/>
  <c r="X238" i="13"/>
  <c r="K238" i="13"/>
  <c r="G238" i="13"/>
  <c r="W238" i="13" s="1"/>
  <c r="C238" i="13"/>
  <c r="V237" i="13"/>
  <c r="I237" i="13"/>
  <c r="X236" i="13"/>
  <c r="K236" i="13"/>
  <c r="G236" i="13"/>
  <c r="C236" i="13"/>
  <c r="V235" i="13"/>
  <c r="I235" i="13"/>
  <c r="X234" i="13"/>
  <c r="K234" i="13"/>
  <c r="G234" i="13"/>
  <c r="W234" i="13" s="1"/>
  <c r="C234" i="13"/>
  <c r="V233" i="13"/>
  <c r="I233" i="13"/>
  <c r="X232" i="13"/>
  <c r="K232" i="13"/>
  <c r="G232" i="13"/>
  <c r="C232" i="13"/>
  <c r="V231" i="13"/>
  <c r="I231" i="13"/>
  <c r="X230" i="13"/>
  <c r="K230" i="13"/>
  <c r="G230" i="13"/>
  <c r="W230" i="13" s="1"/>
  <c r="C230" i="13"/>
  <c r="V229" i="13"/>
  <c r="I229" i="13"/>
  <c r="X228" i="13"/>
  <c r="K228" i="13"/>
  <c r="G228" i="13"/>
  <c r="C228" i="13"/>
  <c r="V227" i="13"/>
  <c r="I227" i="13"/>
  <c r="X226" i="13"/>
  <c r="K226" i="13"/>
  <c r="G226" i="13"/>
  <c r="W226" i="13" s="1"/>
  <c r="C226" i="13"/>
  <c r="V225" i="13"/>
  <c r="I225" i="13"/>
  <c r="X224" i="13"/>
  <c r="K224" i="13"/>
  <c r="G224" i="13"/>
  <c r="C224" i="13"/>
  <c r="V223" i="13"/>
  <c r="I223" i="13"/>
  <c r="X222" i="13"/>
  <c r="K222" i="13"/>
  <c r="G222" i="13"/>
  <c r="W222" i="13" s="1"/>
  <c r="C222" i="13"/>
  <c r="V221" i="13"/>
  <c r="I221" i="13"/>
  <c r="X220" i="13"/>
  <c r="K220" i="13"/>
  <c r="G220" i="13"/>
  <c r="C220" i="13"/>
  <c r="V219" i="13"/>
  <c r="I219" i="13"/>
  <c r="X218" i="13"/>
  <c r="K218" i="13"/>
  <c r="G218" i="13"/>
  <c r="W218" i="13" s="1"/>
  <c r="C218" i="13"/>
  <c r="V217" i="13"/>
  <c r="I217" i="13"/>
  <c r="X216" i="13"/>
  <c r="K216" i="13"/>
  <c r="G216" i="13"/>
  <c r="C216" i="13"/>
  <c r="V215" i="13"/>
  <c r="I215" i="13"/>
  <c r="X214" i="13"/>
  <c r="K214" i="13"/>
  <c r="G214" i="13"/>
  <c r="W214" i="13" s="1"/>
  <c r="C214" i="13"/>
  <c r="V213" i="13"/>
  <c r="I213" i="13"/>
  <c r="X212" i="13"/>
  <c r="K212" i="13"/>
  <c r="G212" i="13"/>
  <c r="C212" i="13"/>
  <c r="V211" i="13"/>
  <c r="I211" i="13"/>
  <c r="X210" i="13"/>
  <c r="K210" i="13"/>
  <c r="G210" i="13"/>
  <c r="W210" i="13" s="1"/>
  <c r="C210" i="13"/>
  <c r="V209" i="13"/>
  <c r="I209" i="13"/>
  <c r="X208" i="13"/>
  <c r="K208" i="13"/>
  <c r="G208" i="13"/>
  <c r="C434" i="13"/>
  <c r="J389" i="13"/>
  <c r="F371" i="13"/>
  <c r="G362" i="13"/>
  <c r="W362" i="13" s="1"/>
  <c r="V357" i="13"/>
  <c r="K348" i="13"/>
  <c r="C344" i="13"/>
  <c r="I339" i="13"/>
  <c r="X334" i="13"/>
  <c r="G330" i="13"/>
  <c r="W330" i="13" s="1"/>
  <c r="V325" i="13"/>
  <c r="K316" i="13"/>
  <c r="C312" i="13"/>
  <c r="I307" i="13"/>
  <c r="X302" i="13"/>
  <c r="G298" i="13"/>
  <c r="W298" i="13" s="1"/>
  <c r="V293" i="13"/>
  <c r="J286" i="13"/>
  <c r="F284" i="13"/>
  <c r="B282" i="13"/>
  <c r="E282" i="13" s="1"/>
  <c r="L279" i="13"/>
  <c r="J278" i="13"/>
  <c r="H277" i="13"/>
  <c r="F276" i="13"/>
  <c r="D275" i="13"/>
  <c r="B274" i="13"/>
  <c r="E274" i="13" s="1"/>
  <c r="L271" i="13"/>
  <c r="J270" i="13"/>
  <c r="H269" i="13"/>
  <c r="F268" i="13"/>
  <c r="D267" i="13"/>
  <c r="B266" i="13"/>
  <c r="E266" i="13" s="1"/>
  <c r="L263" i="13"/>
  <c r="J262" i="13"/>
  <c r="H261" i="13"/>
  <c r="F260" i="13"/>
  <c r="D259" i="13"/>
  <c r="B258" i="13"/>
  <c r="E258" i="13" s="1"/>
  <c r="L255" i="13"/>
  <c r="J254" i="13"/>
  <c r="H253" i="13"/>
  <c r="F252" i="13"/>
  <c r="D251" i="13"/>
  <c r="B250" i="13"/>
  <c r="E250" i="13" s="1"/>
  <c r="L247" i="13"/>
  <c r="J246" i="13"/>
  <c r="H245" i="13"/>
  <c r="F244" i="13"/>
  <c r="D243" i="13"/>
  <c r="B242" i="13"/>
  <c r="E242" i="13" s="1"/>
  <c r="L239" i="13"/>
  <c r="J238" i="13"/>
  <c r="H237" i="13"/>
  <c r="F236" i="13"/>
  <c r="D235" i="13"/>
  <c r="B234" i="13"/>
  <c r="E234" i="13" s="1"/>
  <c r="L231" i="13"/>
  <c r="J230" i="13"/>
  <c r="H229" i="13"/>
  <c r="F228" i="13"/>
  <c r="D227" i="13"/>
  <c r="B226" i="13"/>
  <c r="E226" i="13" s="1"/>
  <c r="L223" i="13"/>
  <c r="J222" i="13"/>
  <c r="H221" i="13"/>
  <c r="F220" i="13"/>
  <c r="D219" i="13"/>
  <c r="B218" i="13"/>
  <c r="E218" i="13" s="1"/>
  <c r="B216" i="13"/>
  <c r="E216" i="13" s="1"/>
  <c r="H215" i="13"/>
  <c r="F214" i="13"/>
  <c r="L213" i="13"/>
  <c r="D213" i="13"/>
  <c r="J212" i="13"/>
  <c r="B212" i="13"/>
  <c r="E212" i="13" s="1"/>
  <c r="H211" i="13"/>
  <c r="F210" i="13"/>
  <c r="L209" i="13"/>
  <c r="D209" i="13"/>
  <c r="L208" i="13"/>
  <c r="F208" i="13"/>
  <c r="B208" i="13"/>
  <c r="E208" i="13" s="1"/>
  <c r="L207" i="13"/>
  <c r="H207" i="13"/>
  <c r="D207" i="13"/>
  <c r="J206" i="13"/>
  <c r="F206" i="13"/>
  <c r="B206" i="13"/>
  <c r="E206" i="13" s="1"/>
  <c r="L205" i="13"/>
  <c r="H205" i="13"/>
  <c r="D205" i="13"/>
  <c r="J204" i="13"/>
  <c r="F204" i="13"/>
  <c r="B204" i="13"/>
  <c r="E204" i="13" s="1"/>
  <c r="L203" i="13"/>
  <c r="H203" i="13"/>
  <c r="D203" i="13"/>
  <c r="J202" i="13"/>
  <c r="F202" i="13"/>
  <c r="B202" i="13"/>
  <c r="E202" i="13" s="1"/>
  <c r="L201" i="13"/>
  <c r="H201" i="13"/>
  <c r="D201" i="13"/>
  <c r="J200" i="13"/>
  <c r="F200" i="13"/>
  <c r="B200" i="13"/>
  <c r="E200" i="13" s="1"/>
  <c r="L199" i="13"/>
  <c r="H199" i="13"/>
  <c r="D199" i="13"/>
  <c r="J198" i="13"/>
  <c r="F198" i="13"/>
  <c r="B198" i="13"/>
  <c r="E198" i="13" s="1"/>
  <c r="L197" i="13"/>
  <c r="H197" i="13"/>
  <c r="D197" i="13"/>
  <c r="J196" i="13"/>
  <c r="F196" i="13"/>
  <c r="B196" i="13"/>
  <c r="E196" i="13" s="1"/>
  <c r="L195" i="13"/>
  <c r="H195" i="13"/>
  <c r="D195" i="13"/>
  <c r="J194" i="13"/>
  <c r="F194" i="13"/>
  <c r="B194" i="13"/>
  <c r="E194" i="13" s="1"/>
  <c r="L193" i="13"/>
  <c r="H193" i="13"/>
  <c r="D193" i="13"/>
  <c r="J192" i="13"/>
  <c r="F192" i="13"/>
  <c r="B192" i="13"/>
  <c r="E192" i="13" s="1"/>
  <c r="L191" i="13"/>
  <c r="H191" i="13"/>
  <c r="D191" i="13"/>
  <c r="J190" i="13"/>
  <c r="F190" i="13"/>
  <c r="B190" i="13"/>
  <c r="E190" i="13" s="1"/>
  <c r="L189" i="13"/>
  <c r="H189" i="13"/>
  <c r="D189" i="13"/>
  <c r="J188" i="13"/>
  <c r="F188" i="13"/>
  <c r="B188" i="13"/>
  <c r="E188" i="13" s="1"/>
  <c r="L187" i="13"/>
  <c r="H187" i="13"/>
  <c r="D187" i="13"/>
  <c r="J186" i="13"/>
  <c r="F186" i="13"/>
  <c r="B186" i="13"/>
  <c r="E186" i="13" s="1"/>
  <c r="L185" i="13"/>
  <c r="H185" i="13"/>
  <c r="D185" i="13"/>
  <c r="J184" i="13"/>
  <c r="F184" i="13"/>
  <c r="B184" i="13"/>
  <c r="E184" i="13" s="1"/>
  <c r="L183" i="13"/>
  <c r="H183" i="13"/>
  <c r="D183" i="13"/>
  <c r="J182" i="13"/>
  <c r="F182" i="13"/>
  <c r="B182" i="13"/>
  <c r="E182" i="13" s="1"/>
  <c r="L181" i="13"/>
  <c r="H181" i="13"/>
  <c r="D181" i="13"/>
  <c r="J180" i="13"/>
  <c r="F180" i="13"/>
  <c r="B180" i="13"/>
  <c r="E180" i="13" s="1"/>
  <c r="L179" i="13"/>
  <c r="H179" i="13"/>
  <c r="D179" i="13"/>
  <c r="J178" i="13"/>
  <c r="F178" i="13"/>
  <c r="B178" i="13"/>
  <c r="E178" i="13" s="1"/>
  <c r="L177" i="13"/>
  <c r="H177" i="13"/>
  <c r="D177" i="13"/>
  <c r="J176" i="13"/>
  <c r="F176" i="13"/>
  <c r="B176" i="13"/>
  <c r="E176" i="13" s="1"/>
  <c r="L175" i="13"/>
  <c r="H175" i="13"/>
  <c r="D175" i="13"/>
  <c r="J174" i="13"/>
  <c r="F174" i="13"/>
  <c r="B174" i="13"/>
  <c r="E174" i="13" s="1"/>
  <c r="L173" i="13"/>
  <c r="H173" i="13"/>
  <c r="D173" i="13"/>
  <c r="J172" i="13"/>
  <c r="F172" i="13"/>
  <c r="B172" i="13"/>
  <c r="E172" i="13" s="1"/>
  <c r="L171" i="13"/>
  <c r="H171" i="13"/>
  <c r="D171" i="13"/>
  <c r="J170" i="13"/>
  <c r="F170" i="13"/>
  <c r="B170" i="13"/>
  <c r="E170" i="13" s="1"/>
  <c r="L169" i="13"/>
  <c r="H169" i="13"/>
  <c r="D169" i="13"/>
  <c r="J168" i="13"/>
  <c r="F168" i="13"/>
  <c r="B168" i="13"/>
  <c r="E168" i="13" s="1"/>
  <c r="L167" i="13"/>
  <c r="H167" i="13"/>
  <c r="D167" i="13"/>
  <c r="J166" i="13"/>
  <c r="F166" i="13"/>
  <c r="B166" i="13"/>
  <c r="E166" i="13" s="1"/>
  <c r="L165" i="13"/>
  <c r="H165" i="13"/>
  <c r="D165" i="13"/>
  <c r="J164" i="13"/>
  <c r="F164" i="13"/>
  <c r="B164" i="13"/>
  <c r="E164" i="13" s="1"/>
  <c r="L163" i="13"/>
  <c r="H163" i="13"/>
  <c r="D163" i="13"/>
  <c r="J162" i="13"/>
  <c r="F162" i="13"/>
  <c r="B162" i="13"/>
  <c r="E162" i="13" s="1"/>
  <c r="L161" i="13"/>
  <c r="H161" i="13"/>
  <c r="D161" i="13"/>
  <c r="J160" i="13"/>
  <c r="F160" i="13"/>
  <c r="B160" i="13"/>
  <c r="E160" i="13" s="1"/>
  <c r="L159" i="13"/>
  <c r="H159" i="13"/>
  <c r="D159" i="13"/>
  <c r="J158" i="13"/>
  <c r="F158" i="13"/>
  <c r="B158" i="13"/>
  <c r="E158" i="13" s="1"/>
  <c r="L157" i="13"/>
  <c r="H157" i="13"/>
  <c r="D157" i="13"/>
  <c r="J156" i="13"/>
  <c r="F156" i="13"/>
  <c r="B156" i="13"/>
  <c r="E156" i="13" s="1"/>
  <c r="L155" i="13"/>
  <c r="H155" i="13"/>
  <c r="D155" i="13"/>
  <c r="J154" i="13"/>
  <c r="F154" i="13"/>
  <c r="B154" i="13"/>
  <c r="E154" i="13" s="1"/>
  <c r="L153" i="13"/>
  <c r="H153" i="13"/>
  <c r="D153" i="13"/>
  <c r="J152" i="13"/>
  <c r="F152" i="13"/>
  <c r="B152" i="13"/>
  <c r="E152" i="13" s="1"/>
  <c r="L151" i="13"/>
  <c r="H151" i="13"/>
  <c r="D151" i="13"/>
  <c r="J150" i="13"/>
  <c r="F150" i="13"/>
  <c r="B150" i="13"/>
  <c r="E150" i="13" s="1"/>
  <c r="L149" i="13"/>
  <c r="H149" i="13"/>
  <c r="D149" i="13"/>
  <c r="J148" i="13"/>
  <c r="F148" i="13"/>
  <c r="B148" i="13"/>
  <c r="E148" i="13" s="1"/>
  <c r="L147" i="13"/>
  <c r="H147" i="13"/>
  <c r="D147" i="13"/>
  <c r="J146" i="13"/>
  <c r="F146" i="13"/>
  <c r="B146" i="13"/>
  <c r="E146" i="13" s="1"/>
  <c r="L145" i="13"/>
  <c r="H145" i="13"/>
  <c r="D145" i="13"/>
  <c r="J144" i="13"/>
  <c r="F144" i="13"/>
  <c r="B144" i="13"/>
  <c r="E144" i="13" s="1"/>
  <c r="L143" i="13"/>
  <c r="H143" i="13"/>
  <c r="D143" i="13"/>
  <c r="J142" i="13"/>
  <c r="F142" i="13"/>
  <c r="B142" i="13"/>
  <c r="E142" i="13" s="1"/>
  <c r="L141" i="13"/>
  <c r="H141" i="13"/>
  <c r="D141" i="13"/>
  <c r="J140" i="13"/>
  <c r="F140" i="13"/>
  <c r="B140" i="13"/>
  <c r="E140" i="13" s="1"/>
  <c r="L139" i="13"/>
  <c r="H139" i="13"/>
  <c r="D139" i="13"/>
  <c r="J138" i="13"/>
  <c r="F138" i="13"/>
  <c r="B138" i="13"/>
  <c r="E138" i="13" s="1"/>
  <c r="L137" i="13"/>
  <c r="B385" i="13"/>
  <c r="E385" i="13" s="1"/>
  <c r="L366" i="13"/>
  <c r="K356" i="13"/>
  <c r="C352" i="13"/>
  <c r="I347" i="13"/>
  <c r="X342" i="13"/>
  <c r="G338" i="13"/>
  <c r="W338" i="13" s="1"/>
  <c r="V333" i="13"/>
  <c r="K324" i="13"/>
  <c r="C320" i="13"/>
  <c r="I315" i="13"/>
  <c r="X310" i="13"/>
  <c r="G306" i="13"/>
  <c r="W306" i="13" s="1"/>
  <c r="V301" i="13"/>
  <c r="K292" i="13"/>
  <c r="F288" i="13"/>
  <c r="B286" i="13"/>
  <c r="E286" i="13" s="1"/>
  <c r="L283" i="13"/>
  <c r="H281" i="13"/>
  <c r="H279" i="13"/>
  <c r="F278" i="13"/>
  <c r="D277" i="13"/>
  <c r="B276" i="13"/>
  <c r="E276" i="13" s="1"/>
  <c r="L273" i="13"/>
  <c r="J272" i="13"/>
  <c r="H271" i="13"/>
  <c r="F270" i="13"/>
  <c r="D269" i="13"/>
  <c r="B268" i="13"/>
  <c r="E268" i="13" s="1"/>
  <c r="L265" i="13"/>
  <c r="J264" i="13"/>
  <c r="H263" i="13"/>
  <c r="F262" i="13"/>
  <c r="D261" i="13"/>
  <c r="B260" i="13"/>
  <c r="E260" i="13" s="1"/>
  <c r="L257" i="13"/>
  <c r="J256" i="13"/>
  <c r="H255" i="13"/>
  <c r="F254" i="13"/>
  <c r="D253" i="13"/>
  <c r="B252" i="13"/>
  <c r="E252" i="13" s="1"/>
  <c r="L249" i="13"/>
  <c r="J248" i="13"/>
  <c r="H247" i="13"/>
  <c r="F246" i="13"/>
  <c r="D245" i="13"/>
  <c r="B244" i="13"/>
  <c r="E244" i="13" s="1"/>
  <c r="L241" i="13"/>
  <c r="J240" i="13"/>
  <c r="H239" i="13"/>
  <c r="F238" i="13"/>
  <c r="D237" i="13"/>
  <c r="B236" i="13"/>
  <c r="E236" i="13" s="1"/>
  <c r="L233" i="13"/>
  <c r="J232" i="13"/>
  <c r="H231" i="13"/>
  <c r="F230" i="13"/>
  <c r="D229" i="13"/>
  <c r="B228" i="13"/>
  <c r="E228" i="13" s="1"/>
  <c r="L225" i="13"/>
  <c r="J224" i="13"/>
  <c r="H223" i="13"/>
  <c r="F222" i="13"/>
  <c r="D221" i="13"/>
  <c r="B220" i="13"/>
  <c r="E220" i="13" s="1"/>
  <c r="L217" i="13"/>
  <c r="J216" i="13"/>
  <c r="X215" i="13"/>
  <c r="G215" i="13"/>
  <c r="W215" i="13" s="1"/>
  <c r="V214" i="13"/>
  <c r="K213" i="13"/>
  <c r="C213" i="13"/>
  <c r="I212" i="13"/>
  <c r="X211" i="13"/>
  <c r="G211" i="13"/>
  <c r="V210" i="13"/>
  <c r="K209" i="13"/>
  <c r="C209" i="13"/>
  <c r="J208" i="13"/>
  <c r="X207" i="13"/>
  <c r="K207" i="13"/>
  <c r="G207" i="13"/>
  <c r="C207" i="13"/>
  <c r="V206" i="13"/>
  <c r="I206" i="13"/>
  <c r="X205" i="13"/>
  <c r="K205" i="13"/>
  <c r="G205" i="13"/>
  <c r="C205" i="13"/>
  <c r="V204" i="13"/>
  <c r="I204" i="13"/>
  <c r="X203" i="13"/>
  <c r="K203" i="13"/>
  <c r="G203" i="13"/>
  <c r="C203" i="13"/>
  <c r="V202" i="13"/>
  <c r="I202" i="13"/>
  <c r="X201" i="13"/>
  <c r="K201" i="13"/>
  <c r="G201" i="13"/>
  <c r="C201" i="13"/>
  <c r="V200" i="13"/>
  <c r="I200" i="13"/>
  <c r="X199" i="13"/>
  <c r="K199" i="13"/>
  <c r="G199" i="13"/>
  <c r="C199" i="13"/>
  <c r="V198" i="13"/>
  <c r="I198" i="13"/>
  <c r="X197" i="13"/>
  <c r="K197" i="13"/>
  <c r="G197" i="13"/>
  <c r="C197" i="13"/>
  <c r="V196" i="13"/>
  <c r="I196" i="13"/>
  <c r="X195" i="13"/>
  <c r="K195" i="13"/>
  <c r="G195" i="13"/>
  <c r="C195" i="13"/>
  <c r="V194" i="13"/>
  <c r="I194" i="13"/>
  <c r="X193" i="13"/>
  <c r="K193" i="13"/>
  <c r="G193" i="13"/>
  <c r="C193" i="13"/>
  <c r="V192" i="13"/>
  <c r="I192" i="13"/>
  <c r="X191" i="13"/>
  <c r="K191" i="13"/>
  <c r="G191" i="13"/>
  <c r="C191" i="13"/>
  <c r="V190" i="13"/>
  <c r="I190" i="13"/>
  <c r="X189" i="13"/>
  <c r="K189" i="13"/>
  <c r="G189" i="13"/>
  <c r="C189" i="13"/>
  <c r="V188" i="13"/>
  <c r="I188" i="13"/>
  <c r="X187" i="13"/>
  <c r="K187" i="13"/>
  <c r="G187" i="13"/>
  <c r="C187" i="13"/>
  <c r="V186" i="13"/>
  <c r="I186" i="13"/>
  <c r="X185" i="13"/>
  <c r="K185" i="13"/>
  <c r="G185" i="13"/>
  <c r="C185" i="13"/>
  <c r="V184" i="13"/>
  <c r="I184" i="13"/>
  <c r="X183" i="13"/>
  <c r="K183" i="13"/>
  <c r="G183" i="13"/>
  <c r="C183" i="13"/>
  <c r="V182" i="13"/>
  <c r="I182" i="13"/>
  <c r="X181" i="13"/>
  <c r="K181" i="13"/>
  <c r="G181" i="13"/>
  <c r="C181" i="13"/>
  <c r="V180" i="13"/>
  <c r="I180" i="13"/>
  <c r="X179" i="13"/>
  <c r="K179" i="13"/>
  <c r="G179" i="13"/>
  <c r="C179" i="13"/>
  <c r="V178" i="13"/>
  <c r="I178" i="13"/>
  <c r="X177" i="13"/>
  <c r="K177" i="13"/>
  <c r="G177" i="13"/>
  <c r="C177" i="13"/>
  <c r="V176" i="13"/>
  <c r="I176" i="13"/>
  <c r="X175" i="13"/>
  <c r="K175" i="13"/>
  <c r="G175" i="13"/>
  <c r="C175" i="13"/>
  <c r="V174" i="13"/>
  <c r="I174" i="13"/>
  <c r="X173" i="13"/>
  <c r="K173" i="13"/>
  <c r="G173" i="13"/>
  <c r="C173" i="13"/>
  <c r="V172" i="13"/>
  <c r="I172" i="13"/>
  <c r="X171" i="13"/>
  <c r="K171" i="13"/>
  <c r="G171" i="13"/>
  <c r="C171" i="13"/>
  <c r="V170" i="13"/>
  <c r="I170" i="13"/>
  <c r="X169" i="13"/>
  <c r="K169" i="13"/>
  <c r="G169" i="13"/>
  <c r="C169" i="13"/>
  <c r="V168" i="13"/>
  <c r="I168" i="13"/>
  <c r="X167" i="13"/>
  <c r="K167" i="13"/>
  <c r="G167" i="13"/>
  <c r="C167" i="13"/>
  <c r="V166" i="13"/>
  <c r="I166" i="13"/>
  <c r="X165" i="13"/>
  <c r="K165" i="13"/>
  <c r="G165" i="13"/>
  <c r="C165" i="13"/>
  <c r="V164" i="13"/>
  <c r="I164" i="13"/>
  <c r="X163" i="13"/>
  <c r="K163" i="13"/>
  <c r="G163" i="13"/>
  <c r="C163" i="13"/>
  <c r="V162" i="13"/>
  <c r="I162" i="13"/>
  <c r="X161" i="13"/>
  <c r="K161" i="13"/>
  <c r="G161" i="13"/>
  <c r="C161" i="13"/>
  <c r="V160" i="13"/>
  <c r="I160" i="13"/>
  <c r="X159" i="13"/>
  <c r="K159" i="13"/>
  <c r="G159" i="13"/>
  <c r="C159" i="13"/>
  <c r="V158" i="13"/>
  <c r="I158" i="13"/>
  <c r="X157" i="13"/>
  <c r="K157" i="13"/>
  <c r="G157" i="13"/>
  <c r="C157" i="13"/>
  <c r="V156" i="13"/>
  <c r="I156" i="13"/>
  <c r="X155" i="13"/>
  <c r="K155" i="13"/>
  <c r="G155" i="13"/>
  <c r="C155" i="13"/>
  <c r="V154" i="13"/>
  <c r="I154" i="13"/>
  <c r="X153" i="13"/>
  <c r="K153" i="13"/>
  <c r="G153" i="13"/>
  <c r="C153" i="13"/>
  <c r="V152" i="13"/>
  <c r="I152" i="13"/>
  <c r="X151" i="13"/>
  <c r="K151" i="13"/>
  <c r="G151" i="13"/>
  <c r="C151" i="13"/>
  <c r="V150" i="13"/>
  <c r="I150" i="13"/>
  <c r="X149" i="13"/>
  <c r="K149" i="13"/>
  <c r="G149" i="13"/>
  <c r="C149" i="13"/>
  <c r="V148" i="13"/>
  <c r="I148" i="13"/>
  <c r="X147" i="13"/>
  <c r="K147" i="13"/>
  <c r="G147" i="13"/>
  <c r="C147" i="13"/>
  <c r="V146" i="13"/>
  <c r="I146" i="13"/>
  <c r="X145" i="13"/>
  <c r="K145" i="13"/>
  <c r="G145" i="13"/>
  <c r="C145" i="13"/>
  <c r="V144" i="13"/>
  <c r="I144" i="13"/>
  <c r="X143" i="13"/>
  <c r="K143" i="13"/>
  <c r="G143" i="13"/>
  <c r="C143" i="13"/>
  <c r="V142" i="13"/>
  <c r="I142" i="13"/>
  <c r="X141" i="13"/>
  <c r="K141" i="13"/>
  <c r="G141" i="13"/>
  <c r="C141" i="13"/>
  <c r="V140" i="13"/>
  <c r="I140" i="13"/>
  <c r="X139" i="13"/>
  <c r="K139" i="13"/>
  <c r="G139" i="13"/>
  <c r="C139" i="13"/>
  <c r="V138" i="13"/>
  <c r="I138" i="13"/>
  <c r="X137" i="13"/>
  <c r="K137" i="13"/>
  <c r="G137" i="13"/>
  <c r="C137" i="13"/>
  <c r="V136" i="13"/>
  <c r="I136" i="13"/>
  <c r="L406" i="13"/>
  <c r="H380" i="13"/>
  <c r="X364" i="13"/>
  <c r="C360" i="13"/>
  <c r="I355" i="13"/>
  <c r="X350" i="13"/>
  <c r="G346" i="13"/>
  <c r="V341" i="13"/>
  <c r="K332" i="13"/>
  <c r="C328" i="13"/>
  <c r="I323" i="13"/>
  <c r="X318" i="13"/>
  <c r="G314" i="13"/>
  <c r="W314" i="13" s="1"/>
  <c r="V309" i="13"/>
  <c r="K300" i="13"/>
  <c r="C296" i="13"/>
  <c r="I291" i="13"/>
  <c r="L287" i="13"/>
  <c r="H285" i="13"/>
  <c r="D283" i="13"/>
  <c r="D279" i="13"/>
  <c r="B278" i="13"/>
  <c r="E278" i="13" s="1"/>
  <c r="L275" i="13"/>
  <c r="J274" i="13"/>
  <c r="H273" i="13"/>
  <c r="F272" i="13"/>
  <c r="D271" i="13"/>
  <c r="B270" i="13"/>
  <c r="E270" i="13" s="1"/>
  <c r="L267" i="13"/>
  <c r="J266" i="13"/>
  <c r="H265" i="13"/>
  <c r="F264" i="13"/>
  <c r="D263" i="13"/>
  <c r="B262" i="13"/>
  <c r="E262" i="13" s="1"/>
  <c r="L259" i="13"/>
  <c r="J258" i="13"/>
  <c r="H257" i="13"/>
  <c r="F256" i="13"/>
  <c r="D255" i="13"/>
  <c r="B254" i="13"/>
  <c r="E254" i="13" s="1"/>
  <c r="L251" i="13"/>
  <c r="J250" i="13"/>
  <c r="H249" i="13"/>
  <c r="F248" i="13"/>
  <c r="D247" i="13"/>
  <c r="B246" i="13"/>
  <c r="E246" i="13" s="1"/>
  <c r="L243" i="13"/>
  <c r="J242" i="13"/>
  <c r="H241" i="13"/>
  <c r="F240" i="13"/>
  <c r="D239" i="13"/>
  <c r="B238" i="13"/>
  <c r="E238" i="13" s="1"/>
  <c r="L235" i="13"/>
  <c r="J234" i="13"/>
  <c r="H233" i="13"/>
  <c r="F232" i="13"/>
  <c r="D231" i="13"/>
  <c r="B230" i="13"/>
  <c r="E230" i="13" s="1"/>
  <c r="L227" i="13"/>
  <c r="J226" i="13"/>
  <c r="H225" i="13"/>
  <c r="F224" i="13"/>
  <c r="D223" i="13"/>
  <c r="B222" i="13"/>
  <c r="E222" i="13" s="1"/>
  <c r="L219" i="13"/>
  <c r="J218" i="13"/>
  <c r="H217" i="13"/>
  <c r="F216" i="13"/>
  <c r="L215" i="13"/>
  <c r="D215" i="13"/>
  <c r="J214" i="13"/>
  <c r="B214" i="13"/>
  <c r="E214" i="13" s="1"/>
  <c r="H213" i="13"/>
  <c r="F212" i="13"/>
  <c r="L211" i="13"/>
  <c r="D211" i="13"/>
  <c r="J210" i="13"/>
  <c r="B210" i="13"/>
  <c r="E210" i="13" s="1"/>
  <c r="H209" i="13"/>
  <c r="I208" i="13"/>
  <c r="D208" i="13"/>
  <c r="J207" i="13"/>
  <c r="F207" i="13"/>
  <c r="B207" i="13"/>
  <c r="E207" i="13" s="1"/>
  <c r="L206" i="13"/>
  <c r="H206" i="13"/>
  <c r="D206" i="13"/>
  <c r="J205" i="13"/>
  <c r="F205" i="13"/>
  <c r="B205" i="13"/>
  <c r="E205" i="13" s="1"/>
  <c r="L204" i="13"/>
  <c r="H204" i="13"/>
  <c r="D204" i="13"/>
  <c r="J203" i="13"/>
  <c r="F203" i="13"/>
  <c r="B203" i="13"/>
  <c r="E203" i="13" s="1"/>
  <c r="L202" i="13"/>
  <c r="H202" i="13"/>
  <c r="D202" i="13"/>
  <c r="J201" i="13"/>
  <c r="F201" i="13"/>
  <c r="B201" i="13"/>
  <c r="E201" i="13" s="1"/>
  <c r="L200" i="13"/>
  <c r="H200" i="13"/>
  <c r="D200" i="13"/>
  <c r="J199" i="13"/>
  <c r="F199" i="13"/>
  <c r="B199" i="13"/>
  <c r="E199" i="13" s="1"/>
  <c r="L198" i="13"/>
  <c r="H198" i="13"/>
  <c r="D198" i="13"/>
  <c r="J197" i="13"/>
  <c r="F197" i="13"/>
  <c r="B197" i="13"/>
  <c r="E197" i="13" s="1"/>
  <c r="L196" i="13"/>
  <c r="H196" i="13"/>
  <c r="D196" i="13"/>
  <c r="J195" i="13"/>
  <c r="F195" i="13"/>
  <c r="B195" i="13"/>
  <c r="E195" i="13" s="1"/>
  <c r="L194" i="13"/>
  <c r="H194" i="13"/>
  <c r="D194" i="13"/>
  <c r="J193" i="13"/>
  <c r="F193" i="13"/>
  <c r="B193" i="13"/>
  <c r="E193" i="13" s="1"/>
  <c r="L192" i="13"/>
  <c r="H192" i="13"/>
  <c r="D192" i="13"/>
  <c r="J191" i="13"/>
  <c r="F191" i="13"/>
  <c r="B191" i="13"/>
  <c r="E191" i="13" s="1"/>
  <c r="L190" i="13"/>
  <c r="H190" i="13"/>
  <c r="D190" i="13"/>
  <c r="J189" i="13"/>
  <c r="F189" i="13"/>
  <c r="B189" i="13"/>
  <c r="E189" i="13" s="1"/>
  <c r="L188" i="13"/>
  <c r="H188" i="13"/>
  <c r="D188" i="13"/>
  <c r="J187" i="13"/>
  <c r="F187" i="13"/>
  <c r="B187" i="13"/>
  <c r="E187" i="13" s="1"/>
  <c r="L186" i="13"/>
  <c r="H186" i="13"/>
  <c r="D186" i="13"/>
  <c r="J185" i="13"/>
  <c r="F185" i="13"/>
  <c r="B185" i="13"/>
  <c r="E185" i="13" s="1"/>
  <c r="L184" i="13"/>
  <c r="H184" i="13"/>
  <c r="D184" i="13"/>
  <c r="J183" i="13"/>
  <c r="F183" i="13"/>
  <c r="B183" i="13"/>
  <c r="E183" i="13" s="1"/>
  <c r="L182" i="13"/>
  <c r="H182" i="13"/>
  <c r="D182" i="13"/>
  <c r="J181" i="13"/>
  <c r="F181" i="13"/>
  <c r="B181" i="13"/>
  <c r="E181" i="13" s="1"/>
  <c r="L180" i="13"/>
  <c r="H180" i="13"/>
  <c r="D180" i="13"/>
  <c r="J179" i="13"/>
  <c r="F179" i="13"/>
  <c r="B179" i="13"/>
  <c r="E179" i="13" s="1"/>
  <c r="L178" i="13"/>
  <c r="H178" i="13"/>
  <c r="D178" i="13"/>
  <c r="J177" i="13"/>
  <c r="F177" i="13"/>
  <c r="B177" i="13"/>
  <c r="E177" i="13" s="1"/>
  <c r="L176" i="13"/>
  <c r="H176" i="13"/>
  <c r="D176" i="13"/>
  <c r="J175" i="13"/>
  <c r="F175" i="13"/>
  <c r="B175" i="13"/>
  <c r="E175" i="13" s="1"/>
  <c r="L174" i="13"/>
  <c r="H174" i="13"/>
  <c r="D174" i="13"/>
  <c r="J173" i="13"/>
  <c r="F173" i="13"/>
  <c r="B173" i="13"/>
  <c r="E173" i="13" s="1"/>
  <c r="L172" i="13"/>
  <c r="H172" i="13"/>
  <c r="D172" i="13"/>
  <c r="J171" i="13"/>
  <c r="F171" i="13"/>
  <c r="B171" i="13"/>
  <c r="E171" i="13" s="1"/>
  <c r="L170" i="13"/>
  <c r="H170" i="13"/>
  <c r="D170" i="13"/>
  <c r="J169" i="13"/>
  <c r="F169" i="13"/>
  <c r="B169" i="13"/>
  <c r="E169" i="13" s="1"/>
  <c r="L168" i="13"/>
  <c r="H168" i="13"/>
  <c r="D168" i="13"/>
  <c r="J167" i="13"/>
  <c r="F167" i="13"/>
  <c r="J397" i="13"/>
  <c r="G354" i="13"/>
  <c r="W354" i="13" s="1"/>
  <c r="C336" i="13"/>
  <c r="V317" i="13"/>
  <c r="I299" i="13"/>
  <c r="L277" i="13"/>
  <c r="D273" i="13"/>
  <c r="J268" i="13"/>
  <c r="B264" i="13"/>
  <c r="E264" i="13" s="1"/>
  <c r="H259" i="13"/>
  <c r="F250" i="13"/>
  <c r="L245" i="13"/>
  <c r="D241" i="13"/>
  <c r="J236" i="13"/>
  <c r="B232" i="13"/>
  <c r="E232" i="13" s="1"/>
  <c r="H227" i="13"/>
  <c r="F218" i="13"/>
  <c r="C215" i="13"/>
  <c r="V212" i="13"/>
  <c r="I210" i="13"/>
  <c r="H208" i="13"/>
  <c r="C206" i="13"/>
  <c r="X204" i="13"/>
  <c r="V203" i="13"/>
  <c r="K202" i="13"/>
  <c r="I201" i="13"/>
  <c r="G200" i="13"/>
  <c r="W200" i="13" s="1"/>
  <c r="C198" i="13"/>
  <c r="X196" i="13"/>
  <c r="V195" i="13"/>
  <c r="K194" i="13"/>
  <c r="I193" i="13"/>
  <c r="G192" i="13"/>
  <c r="W192" i="13" s="1"/>
  <c r="C190" i="13"/>
  <c r="X188" i="13"/>
  <c r="V187" i="13"/>
  <c r="K186" i="13"/>
  <c r="I185" i="13"/>
  <c r="G184" i="13"/>
  <c r="W184" i="13" s="1"/>
  <c r="C182" i="13"/>
  <c r="X180" i="13"/>
  <c r="V179" i="13"/>
  <c r="K178" i="13"/>
  <c r="I177" i="13"/>
  <c r="G176" i="13"/>
  <c r="W176" i="13" s="1"/>
  <c r="C174" i="13"/>
  <c r="X172" i="13"/>
  <c r="V171" i="13"/>
  <c r="K170" i="13"/>
  <c r="I169" i="13"/>
  <c r="G168" i="13"/>
  <c r="W168" i="13" s="1"/>
  <c r="K166" i="13"/>
  <c r="C166" i="13"/>
  <c r="I165" i="13"/>
  <c r="X164" i="13"/>
  <c r="G164" i="13"/>
  <c r="W164" i="13" s="1"/>
  <c r="V163" i="13"/>
  <c r="K162" i="13"/>
  <c r="C162" i="13"/>
  <c r="I161" i="13"/>
  <c r="X160" i="13"/>
  <c r="G160" i="13"/>
  <c r="V159" i="13"/>
  <c r="K158" i="13"/>
  <c r="C158" i="13"/>
  <c r="I157" i="13"/>
  <c r="X156" i="13"/>
  <c r="G156" i="13"/>
  <c r="W156" i="13" s="1"/>
  <c r="V155" i="13"/>
  <c r="K154" i="13"/>
  <c r="C154" i="13"/>
  <c r="I153" i="13"/>
  <c r="X152" i="13"/>
  <c r="G152" i="13"/>
  <c r="V151" i="13"/>
  <c r="K150" i="13"/>
  <c r="C150" i="13"/>
  <c r="I149" i="13"/>
  <c r="X148" i="13"/>
  <c r="G148" i="13"/>
  <c r="W148" i="13" s="1"/>
  <c r="V147" i="13"/>
  <c r="K146" i="13"/>
  <c r="C146" i="13"/>
  <c r="I145" i="13"/>
  <c r="X144" i="13"/>
  <c r="G144" i="13"/>
  <c r="V143" i="13"/>
  <c r="K142" i="13"/>
  <c r="C142" i="13"/>
  <c r="I141" i="13"/>
  <c r="X140" i="13"/>
  <c r="G140" i="13"/>
  <c r="W140" i="13" s="1"/>
  <c r="V139" i="13"/>
  <c r="K138" i="13"/>
  <c r="C138" i="13"/>
  <c r="I137" i="13"/>
  <c r="D137" i="13"/>
  <c r="L136" i="13"/>
  <c r="G136" i="13"/>
  <c r="W136" i="13" s="1"/>
  <c r="C136" i="13"/>
  <c r="V135" i="13"/>
  <c r="I135" i="13"/>
  <c r="X134" i="13"/>
  <c r="K134" i="13"/>
  <c r="G134" i="13"/>
  <c r="W134" i="13" s="1"/>
  <c r="C134" i="13"/>
  <c r="V133" i="13"/>
  <c r="I133" i="13"/>
  <c r="X132" i="13"/>
  <c r="K132" i="13"/>
  <c r="G132" i="13"/>
  <c r="W132" i="13" s="1"/>
  <c r="C132" i="13"/>
  <c r="V131" i="13"/>
  <c r="I131" i="13"/>
  <c r="X130" i="13"/>
  <c r="K130" i="13"/>
  <c r="G130" i="13"/>
  <c r="W130" i="13" s="1"/>
  <c r="C130" i="13"/>
  <c r="V129" i="13"/>
  <c r="I129" i="13"/>
  <c r="X128" i="13"/>
  <c r="K128" i="13"/>
  <c r="G128" i="13"/>
  <c r="W128" i="13" s="1"/>
  <c r="C128" i="13"/>
  <c r="V127" i="13"/>
  <c r="I127" i="13"/>
  <c r="X126" i="13"/>
  <c r="K126" i="13"/>
  <c r="G126" i="13"/>
  <c r="W126" i="13" s="1"/>
  <c r="C126" i="13"/>
  <c r="V125" i="13"/>
  <c r="I125" i="13"/>
  <c r="X124" i="13"/>
  <c r="K124" i="13"/>
  <c r="G124" i="13"/>
  <c r="W124" i="13" s="1"/>
  <c r="C124" i="13"/>
  <c r="V123" i="13"/>
  <c r="I123" i="13"/>
  <c r="X122" i="13"/>
  <c r="K122" i="13"/>
  <c r="G122" i="13"/>
  <c r="W122" i="13" s="1"/>
  <c r="C122" i="13"/>
  <c r="V121" i="13"/>
  <c r="I121" i="13"/>
  <c r="X120" i="13"/>
  <c r="K120" i="13"/>
  <c r="G120" i="13"/>
  <c r="W120" i="13" s="1"/>
  <c r="C120" i="13"/>
  <c r="V119" i="13"/>
  <c r="I119" i="13"/>
  <c r="X118" i="13"/>
  <c r="K118" i="13"/>
  <c r="G118" i="13"/>
  <c r="W118" i="13" s="1"/>
  <c r="C118" i="13"/>
  <c r="V117" i="13"/>
  <c r="I117" i="13"/>
  <c r="X116" i="13"/>
  <c r="K116" i="13"/>
  <c r="G116" i="13"/>
  <c r="W116" i="13" s="1"/>
  <c r="C116" i="13"/>
  <c r="V115" i="13"/>
  <c r="I115" i="13"/>
  <c r="X114" i="13"/>
  <c r="K114" i="13"/>
  <c r="G114" i="13"/>
  <c r="W114" i="13" s="1"/>
  <c r="C114" i="13"/>
  <c r="V113" i="13"/>
  <c r="I113" i="13"/>
  <c r="X112" i="13"/>
  <c r="K112" i="13"/>
  <c r="G112" i="13"/>
  <c r="W112" i="13" s="1"/>
  <c r="C112" i="13"/>
  <c r="V111" i="13"/>
  <c r="I111" i="13"/>
  <c r="X110" i="13"/>
  <c r="K110" i="13"/>
  <c r="G110" i="13"/>
  <c r="W110" i="13" s="1"/>
  <c r="C110" i="13"/>
  <c r="V109" i="13"/>
  <c r="I109" i="13"/>
  <c r="X108" i="13"/>
  <c r="K108" i="13"/>
  <c r="G108" i="13"/>
  <c r="W108" i="13" s="1"/>
  <c r="C108" i="13"/>
  <c r="V107" i="13"/>
  <c r="I107" i="13"/>
  <c r="X106" i="13"/>
  <c r="K106" i="13"/>
  <c r="G106" i="13"/>
  <c r="W106" i="13" s="1"/>
  <c r="C106" i="13"/>
  <c r="V105" i="13"/>
  <c r="I105" i="13"/>
  <c r="X104" i="13"/>
  <c r="K104" i="13"/>
  <c r="G104" i="13"/>
  <c r="W104" i="13" s="1"/>
  <c r="C104" i="13"/>
  <c r="V103" i="13"/>
  <c r="I103" i="13"/>
  <c r="X102" i="13"/>
  <c r="K102" i="13"/>
  <c r="G102" i="13"/>
  <c r="W102" i="13" s="1"/>
  <c r="C102" i="13"/>
  <c r="V101" i="13"/>
  <c r="I101" i="13"/>
  <c r="X100" i="13"/>
  <c r="K100" i="13"/>
  <c r="G100" i="13"/>
  <c r="W100" i="13" s="1"/>
  <c r="C100" i="13"/>
  <c r="V99" i="13"/>
  <c r="I99" i="13"/>
  <c r="X98" i="13"/>
  <c r="K98" i="13"/>
  <c r="G98" i="13"/>
  <c r="W98" i="13" s="1"/>
  <c r="C98" i="13"/>
  <c r="V97" i="13"/>
  <c r="I97" i="13"/>
  <c r="X96" i="13"/>
  <c r="K96" i="13"/>
  <c r="G96" i="13"/>
  <c r="W96" i="13" s="1"/>
  <c r="C96" i="13"/>
  <c r="V95" i="13"/>
  <c r="I95" i="13"/>
  <c r="X94" i="13"/>
  <c r="K94" i="13"/>
  <c r="G94" i="13"/>
  <c r="W94" i="13" s="1"/>
  <c r="C94" i="13"/>
  <c r="V93" i="13"/>
  <c r="I93" i="13"/>
  <c r="X92" i="13"/>
  <c r="K92" i="13"/>
  <c r="G92" i="13"/>
  <c r="W92" i="13" s="1"/>
  <c r="C92" i="13"/>
  <c r="V91" i="13"/>
  <c r="I91" i="13"/>
  <c r="X90" i="13"/>
  <c r="K90" i="13"/>
  <c r="G90" i="13"/>
  <c r="W90" i="13" s="1"/>
  <c r="C90" i="13"/>
  <c r="V89" i="13"/>
  <c r="I89" i="13"/>
  <c r="X88" i="13"/>
  <c r="K88" i="13"/>
  <c r="G88" i="13"/>
  <c r="W88" i="13" s="1"/>
  <c r="C88" i="13"/>
  <c r="V87" i="13"/>
  <c r="I87" i="13"/>
  <c r="X86" i="13"/>
  <c r="K86" i="13"/>
  <c r="G86" i="13"/>
  <c r="W86" i="13" s="1"/>
  <c r="C86" i="13"/>
  <c r="V85" i="13"/>
  <c r="I85" i="13"/>
  <c r="X84" i="13"/>
  <c r="K84" i="13"/>
  <c r="G84" i="13"/>
  <c r="W84" i="13" s="1"/>
  <c r="C84" i="13"/>
  <c r="V83" i="13"/>
  <c r="I83" i="13"/>
  <c r="X82" i="13"/>
  <c r="K82" i="13"/>
  <c r="G82" i="13"/>
  <c r="W82" i="13" s="1"/>
  <c r="C82" i="13"/>
  <c r="V81" i="13"/>
  <c r="I81" i="13"/>
  <c r="X80" i="13"/>
  <c r="K80" i="13"/>
  <c r="G80" i="13"/>
  <c r="W80" i="13" s="1"/>
  <c r="C80" i="13"/>
  <c r="V79" i="13"/>
  <c r="I79" i="13"/>
  <c r="X78" i="13"/>
  <c r="K78" i="13"/>
  <c r="G78" i="13"/>
  <c r="W78" i="13" s="1"/>
  <c r="C78" i="13"/>
  <c r="V77" i="13"/>
  <c r="I77" i="13"/>
  <c r="X76" i="13"/>
  <c r="K76" i="13"/>
  <c r="G76" i="13"/>
  <c r="W76" i="13" s="1"/>
  <c r="C76" i="13"/>
  <c r="V75" i="13"/>
  <c r="I75" i="13"/>
  <c r="X74" i="13"/>
  <c r="K74" i="13"/>
  <c r="G74" i="13"/>
  <c r="W74" i="13" s="1"/>
  <c r="C74" i="13"/>
  <c r="V73" i="13"/>
  <c r="I73" i="13"/>
  <c r="X72" i="13"/>
  <c r="K72" i="13"/>
  <c r="G72" i="13"/>
  <c r="W72" i="13" s="1"/>
  <c r="C72" i="13"/>
  <c r="V71" i="13"/>
  <c r="I71" i="13"/>
  <c r="X70" i="13"/>
  <c r="K70" i="13"/>
  <c r="G70" i="13"/>
  <c r="W70" i="13" s="1"/>
  <c r="C70" i="13"/>
  <c r="V69" i="13"/>
  <c r="I69" i="13"/>
  <c r="X68" i="13"/>
  <c r="K68" i="13"/>
  <c r="G68" i="13"/>
  <c r="W68" i="13" s="1"/>
  <c r="C68" i="13"/>
  <c r="V67" i="13"/>
  <c r="I67" i="13"/>
  <c r="X66" i="13"/>
  <c r="K66" i="13"/>
  <c r="G66" i="13"/>
  <c r="W66" i="13" s="1"/>
  <c r="C66" i="13"/>
  <c r="V65" i="13"/>
  <c r="I65" i="13"/>
  <c r="X64" i="13"/>
  <c r="K64" i="13"/>
  <c r="G64" i="13"/>
  <c r="W64" i="13" s="1"/>
  <c r="C64" i="13"/>
  <c r="V63" i="13"/>
  <c r="I63" i="13"/>
  <c r="X62" i="13"/>
  <c r="K62" i="13"/>
  <c r="G62" i="13"/>
  <c r="W62" i="13" s="1"/>
  <c r="C62" i="13"/>
  <c r="V61" i="13"/>
  <c r="I61" i="13"/>
  <c r="X60" i="13"/>
  <c r="K60" i="13"/>
  <c r="G60" i="13"/>
  <c r="W60" i="13" s="1"/>
  <c r="C60" i="13"/>
  <c r="V59" i="13"/>
  <c r="I59" i="13"/>
  <c r="X58" i="13"/>
  <c r="K58" i="13"/>
  <c r="G58" i="13"/>
  <c r="W58" i="13" s="1"/>
  <c r="C58" i="13"/>
  <c r="V57" i="13"/>
  <c r="I57" i="13"/>
  <c r="X56" i="13"/>
  <c r="K56" i="13"/>
  <c r="G56" i="13"/>
  <c r="W56" i="13" s="1"/>
  <c r="C56" i="13"/>
  <c r="V55" i="13"/>
  <c r="I55" i="13"/>
  <c r="X54" i="13"/>
  <c r="K54" i="13"/>
  <c r="G54" i="13"/>
  <c r="W54" i="13" s="1"/>
  <c r="C54" i="13"/>
  <c r="V53" i="13"/>
  <c r="I53" i="13"/>
  <c r="X52" i="13"/>
  <c r="K52" i="13"/>
  <c r="G52" i="13"/>
  <c r="W52" i="13" s="1"/>
  <c r="C52" i="13"/>
  <c r="V51" i="13"/>
  <c r="I51" i="13"/>
  <c r="X50" i="13"/>
  <c r="K50" i="13"/>
  <c r="G50" i="13"/>
  <c r="W50" i="13" s="1"/>
  <c r="C50" i="13"/>
  <c r="V49" i="13"/>
  <c r="I49" i="13"/>
  <c r="X48" i="13"/>
  <c r="K48" i="13"/>
  <c r="G48" i="13"/>
  <c r="W48" i="13" s="1"/>
  <c r="C48" i="13"/>
  <c r="V47" i="13"/>
  <c r="I47" i="13"/>
  <c r="X46" i="13"/>
  <c r="K46" i="13"/>
  <c r="G46" i="13"/>
  <c r="W46" i="13" s="1"/>
  <c r="C46" i="13"/>
  <c r="V45" i="13"/>
  <c r="I45" i="13"/>
  <c r="X44" i="13"/>
  <c r="K44" i="13"/>
  <c r="G44" i="13"/>
  <c r="W44" i="13" s="1"/>
  <c r="C44" i="13"/>
  <c r="V43" i="13"/>
  <c r="I43" i="13"/>
  <c r="X42" i="13"/>
  <c r="K42" i="13"/>
  <c r="G42" i="13"/>
  <c r="W42" i="13" s="1"/>
  <c r="C42" i="13"/>
  <c r="V41" i="13"/>
  <c r="I41" i="13"/>
  <c r="X40" i="13"/>
  <c r="K40" i="13"/>
  <c r="G40" i="13"/>
  <c r="W40" i="13" s="1"/>
  <c r="C40" i="13"/>
  <c r="V39" i="13"/>
  <c r="I39" i="13"/>
  <c r="X38" i="13"/>
  <c r="K38" i="13"/>
  <c r="G38" i="13"/>
  <c r="W38" i="13" s="1"/>
  <c r="C38" i="13"/>
  <c r="V37" i="13"/>
  <c r="I37" i="13"/>
  <c r="X36" i="13"/>
  <c r="K36" i="13"/>
  <c r="G36" i="13"/>
  <c r="W36" i="13" s="1"/>
  <c r="C36" i="13"/>
  <c r="V35" i="13"/>
  <c r="I35" i="13"/>
  <c r="X34" i="13"/>
  <c r="K34" i="13"/>
  <c r="G34" i="13"/>
  <c r="W34" i="13" s="1"/>
  <c r="C34" i="13"/>
  <c r="V33" i="13"/>
  <c r="I33" i="13"/>
  <c r="X32" i="13"/>
  <c r="K32" i="13"/>
  <c r="G32" i="13"/>
  <c r="W32" i="13" s="1"/>
  <c r="C32" i="13"/>
  <c r="V31" i="13"/>
  <c r="I31" i="13"/>
  <c r="X30" i="13"/>
  <c r="K30" i="13"/>
  <c r="G30" i="13"/>
  <c r="W30" i="13" s="1"/>
  <c r="C30" i="13"/>
  <c r="V29" i="13"/>
  <c r="I29" i="13"/>
  <c r="X28" i="13"/>
  <c r="K28" i="13"/>
  <c r="G28" i="13"/>
  <c r="W28" i="13" s="1"/>
  <c r="C28" i="13"/>
  <c r="V27" i="13"/>
  <c r="I27" i="13"/>
  <c r="X26" i="13"/>
  <c r="K26" i="13"/>
  <c r="G26" i="13"/>
  <c r="W26" i="13" s="1"/>
  <c r="C26" i="13"/>
  <c r="V25" i="13"/>
  <c r="I25" i="13"/>
  <c r="X24" i="13"/>
  <c r="K24" i="13"/>
  <c r="G24" i="13"/>
  <c r="W24" i="13" s="1"/>
  <c r="C24" i="13"/>
  <c r="V23" i="13"/>
  <c r="I23" i="13"/>
  <c r="X22" i="13"/>
  <c r="K22" i="13"/>
  <c r="G22" i="13"/>
  <c r="W22" i="13" s="1"/>
  <c r="C22" i="13"/>
  <c r="V21" i="13"/>
  <c r="I21" i="13"/>
  <c r="X20" i="13"/>
  <c r="K20" i="13"/>
  <c r="G20" i="13"/>
  <c r="W20" i="13" s="1"/>
  <c r="C20" i="13"/>
  <c r="V19" i="13"/>
  <c r="I19" i="13"/>
  <c r="X18" i="13"/>
  <c r="K18" i="13"/>
  <c r="G18" i="13"/>
  <c r="W18" i="13" s="1"/>
  <c r="C18" i="13"/>
  <c r="V17" i="13"/>
  <c r="I17" i="13"/>
  <c r="X16" i="13"/>
  <c r="V349" i="13"/>
  <c r="I331" i="13"/>
  <c r="X294" i="13"/>
  <c r="J282" i="13"/>
  <c r="J276" i="13"/>
  <c r="B272" i="13"/>
  <c r="E272" i="13" s="1"/>
  <c r="H267" i="13"/>
  <c r="F258" i="13"/>
  <c r="L253" i="13"/>
  <c r="D249" i="13"/>
  <c r="J244" i="13"/>
  <c r="B240" i="13"/>
  <c r="E240" i="13" s="1"/>
  <c r="H235" i="13"/>
  <c r="F226" i="13"/>
  <c r="L221" i="13"/>
  <c r="D217" i="13"/>
  <c r="I214" i="13"/>
  <c r="X209" i="13"/>
  <c r="C208" i="13"/>
  <c r="X206" i="13"/>
  <c r="V205" i="13"/>
  <c r="K204" i="13"/>
  <c r="I203" i="13"/>
  <c r="G202" i="13"/>
  <c r="W202" i="13" s="1"/>
  <c r="C200" i="13"/>
  <c r="X198" i="13"/>
  <c r="V197" i="13"/>
  <c r="K196" i="13"/>
  <c r="I195" i="13"/>
  <c r="G194" i="13"/>
  <c r="W194" i="13" s="1"/>
  <c r="C192" i="13"/>
  <c r="X190" i="13"/>
  <c r="V189" i="13"/>
  <c r="K188" i="13"/>
  <c r="I187" i="13"/>
  <c r="G186" i="13"/>
  <c r="W186" i="13" s="1"/>
  <c r="C184" i="13"/>
  <c r="X182" i="13"/>
  <c r="V181" i="13"/>
  <c r="K180" i="13"/>
  <c r="I179" i="13"/>
  <c r="G178" i="13"/>
  <c r="W178" i="13" s="1"/>
  <c r="C176" i="13"/>
  <c r="X174" i="13"/>
  <c r="V173" i="13"/>
  <c r="K172" i="13"/>
  <c r="I171" i="13"/>
  <c r="G170" i="13"/>
  <c r="W170" i="13" s="1"/>
  <c r="C168" i="13"/>
  <c r="B167" i="13"/>
  <c r="E167" i="13" s="1"/>
  <c r="H166" i="13"/>
  <c r="F165" i="13"/>
  <c r="L164" i="13"/>
  <c r="D164" i="13"/>
  <c r="J163" i="13"/>
  <c r="B163" i="13"/>
  <c r="E163" i="13" s="1"/>
  <c r="H162" i="13"/>
  <c r="F161" i="13"/>
  <c r="L160" i="13"/>
  <c r="D160" i="13"/>
  <c r="J159" i="13"/>
  <c r="B159" i="13"/>
  <c r="E159" i="13" s="1"/>
  <c r="H158" i="13"/>
  <c r="F157" i="13"/>
  <c r="L156" i="13"/>
  <c r="D156" i="13"/>
  <c r="J155" i="13"/>
  <c r="B155" i="13"/>
  <c r="E155" i="13" s="1"/>
  <c r="H154" i="13"/>
  <c r="F153" i="13"/>
  <c r="L152" i="13"/>
  <c r="D152" i="13"/>
  <c r="J151" i="13"/>
  <c r="B151" i="13"/>
  <c r="E151" i="13" s="1"/>
  <c r="H150" i="13"/>
  <c r="F149" i="13"/>
  <c r="L148" i="13"/>
  <c r="D148" i="13"/>
  <c r="J147" i="13"/>
  <c r="B147" i="13"/>
  <c r="E147" i="13" s="1"/>
  <c r="H146" i="13"/>
  <c r="F145" i="13"/>
  <c r="L144" i="13"/>
  <c r="D144" i="13"/>
  <c r="J143" i="13"/>
  <c r="B143" i="13"/>
  <c r="E143" i="13" s="1"/>
  <c r="H142" i="13"/>
  <c r="F141" i="13"/>
  <c r="L140" i="13"/>
  <c r="D140" i="13"/>
  <c r="J139" i="13"/>
  <c r="B139" i="13"/>
  <c r="E139" i="13" s="1"/>
  <c r="H138" i="13"/>
  <c r="H137" i="13"/>
  <c r="B137" i="13"/>
  <c r="E137" i="13" s="1"/>
  <c r="K136" i="13"/>
  <c r="F136" i="13"/>
  <c r="B136" i="13"/>
  <c r="E136" i="13" s="1"/>
  <c r="L135" i="13"/>
  <c r="H135" i="13"/>
  <c r="D135" i="13"/>
  <c r="J134" i="13"/>
  <c r="F134" i="13"/>
  <c r="B134" i="13"/>
  <c r="E134" i="13" s="1"/>
  <c r="L133" i="13"/>
  <c r="H133" i="13"/>
  <c r="D133" i="13"/>
  <c r="J132" i="13"/>
  <c r="F132" i="13"/>
  <c r="B132" i="13"/>
  <c r="E132" i="13" s="1"/>
  <c r="L131" i="13"/>
  <c r="H131" i="13"/>
  <c r="D131" i="13"/>
  <c r="J130" i="13"/>
  <c r="F130" i="13"/>
  <c r="B130" i="13"/>
  <c r="E130" i="13" s="1"/>
  <c r="L129" i="13"/>
  <c r="H129" i="13"/>
  <c r="D129" i="13"/>
  <c r="J128" i="13"/>
  <c r="F128" i="13"/>
  <c r="B128" i="13"/>
  <c r="E128" i="13" s="1"/>
  <c r="L127" i="13"/>
  <c r="H127" i="13"/>
  <c r="D127" i="13"/>
  <c r="J126" i="13"/>
  <c r="F126" i="13"/>
  <c r="B126" i="13"/>
  <c r="E126" i="13" s="1"/>
  <c r="L125" i="13"/>
  <c r="H125" i="13"/>
  <c r="D125" i="13"/>
  <c r="J124" i="13"/>
  <c r="F124" i="13"/>
  <c r="B124" i="13"/>
  <c r="E124" i="13" s="1"/>
  <c r="L123" i="13"/>
  <c r="H123" i="13"/>
  <c r="D123" i="13"/>
  <c r="J122" i="13"/>
  <c r="F122" i="13"/>
  <c r="B122" i="13"/>
  <c r="E122" i="13" s="1"/>
  <c r="L121" i="13"/>
  <c r="H121" i="13"/>
  <c r="D121" i="13"/>
  <c r="J120" i="13"/>
  <c r="F120" i="13"/>
  <c r="B120" i="13"/>
  <c r="E120" i="13" s="1"/>
  <c r="L119" i="13"/>
  <c r="H119" i="13"/>
  <c r="D119" i="13"/>
  <c r="J118" i="13"/>
  <c r="F118" i="13"/>
  <c r="B118" i="13"/>
  <c r="E118" i="13" s="1"/>
  <c r="L117" i="13"/>
  <c r="H117" i="13"/>
  <c r="D117" i="13"/>
  <c r="J116" i="13"/>
  <c r="F116" i="13"/>
  <c r="B116" i="13"/>
  <c r="E116" i="13" s="1"/>
  <c r="L115" i="13"/>
  <c r="H115" i="13"/>
  <c r="D115" i="13"/>
  <c r="J114" i="13"/>
  <c r="F114" i="13"/>
  <c r="B114" i="13"/>
  <c r="E114" i="13" s="1"/>
  <c r="L113" i="13"/>
  <c r="H113" i="13"/>
  <c r="D113" i="13"/>
  <c r="J112" i="13"/>
  <c r="F112" i="13"/>
  <c r="B112" i="13"/>
  <c r="E112" i="13" s="1"/>
  <c r="L111" i="13"/>
  <c r="H111" i="13"/>
  <c r="D111" i="13"/>
  <c r="J110" i="13"/>
  <c r="F110" i="13"/>
  <c r="B110" i="13"/>
  <c r="E110" i="13" s="1"/>
  <c r="L109" i="13"/>
  <c r="H109" i="13"/>
  <c r="D109" i="13"/>
  <c r="J108" i="13"/>
  <c r="F108" i="13"/>
  <c r="B108" i="13"/>
  <c r="E108" i="13" s="1"/>
  <c r="L107" i="13"/>
  <c r="H107" i="13"/>
  <c r="D107" i="13"/>
  <c r="J106" i="13"/>
  <c r="F106" i="13"/>
  <c r="B106" i="13"/>
  <c r="E106" i="13" s="1"/>
  <c r="L105" i="13"/>
  <c r="H105" i="13"/>
  <c r="D105" i="13"/>
  <c r="J104" i="13"/>
  <c r="F104" i="13"/>
  <c r="B104" i="13"/>
  <c r="E104" i="13" s="1"/>
  <c r="L103" i="13"/>
  <c r="H103" i="13"/>
  <c r="D103" i="13"/>
  <c r="J102" i="13"/>
  <c r="F102" i="13"/>
  <c r="B102" i="13"/>
  <c r="E102" i="13" s="1"/>
  <c r="L101" i="13"/>
  <c r="H101" i="13"/>
  <c r="D101" i="13"/>
  <c r="J100" i="13"/>
  <c r="F100" i="13"/>
  <c r="B100" i="13"/>
  <c r="E100" i="13" s="1"/>
  <c r="L99" i="13"/>
  <c r="H99" i="13"/>
  <c r="D99" i="13"/>
  <c r="J98" i="13"/>
  <c r="F98" i="13"/>
  <c r="B98" i="13"/>
  <c r="E98" i="13" s="1"/>
  <c r="L97" i="13"/>
  <c r="H97" i="13"/>
  <c r="D97" i="13"/>
  <c r="J96" i="13"/>
  <c r="F96" i="13"/>
  <c r="B96" i="13"/>
  <c r="E96" i="13" s="1"/>
  <c r="L95" i="13"/>
  <c r="H95" i="13"/>
  <c r="D95" i="13"/>
  <c r="J94" i="13"/>
  <c r="F94" i="13"/>
  <c r="B94" i="13"/>
  <c r="E94" i="13" s="1"/>
  <c r="L93" i="13"/>
  <c r="H93" i="13"/>
  <c r="D93" i="13"/>
  <c r="J92" i="13"/>
  <c r="F92" i="13"/>
  <c r="B92" i="13"/>
  <c r="E92" i="13" s="1"/>
  <c r="L91" i="13"/>
  <c r="H91" i="13"/>
  <c r="D91" i="13"/>
  <c r="J90" i="13"/>
  <c r="F90" i="13"/>
  <c r="B90" i="13"/>
  <c r="E90" i="13" s="1"/>
  <c r="L89" i="13"/>
  <c r="H89" i="13"/>
  <c r="D89" i="13"/>
  <c r="J88" i="13"/>
  <c r="F88" i="13"/>
  <c r="B88" i="13"/>
  <c r="E88" i="13" s="1"/>
  <c r="L87" i="13"/>
  <c r="H87" i="13"/>
  <c r="D87" i="13"/>
  <c r="J86" i="13"/>
  <c r="F86" i="13"/>
  <c r="B86" i="13"/>
  <c r="E86" i="13" s="1"/>
  <c r="L85" i="13"/>
  <c r="H85" i="13"/>
  <c r="D85" i="13"/>
  <c r="J84" i="13"/>
  <c r="F84" i="13"/>
  <c r="B84" i="13"/>
  <c r="E84" i="13" s="1"/>
  <c r="L83" i="13"/>
  <c r="H83" i="13"/>
  <c r="D83" i="13"/>
  <c r="J82" i="13"/>
  <c r="F82" i="13"/>
  <c r="B82" i="13"/>
  <c r="E82" i="13" s="1"/>
  <c r="L81" i="13"/>
  <c r="H81" i="13"/>
  <c r="D81" i="13"/>
  <c r="J80" i="13"/>
  <c r="F80" i="13"/>
  <c r="B80" i="13"/>
  <c r="E80" i="13" s="1"/>
  <c r="L79" i="13"/>
  <c r="H79" i="13"/>
  <c r="D79" i="13"/>
  <c r="J78" i="13"/>
  <c r="F78" i="13"/>
  <c r="B78" i="13"/>
  <c r="E78" i="13" s="1"/>
  <c r="L77" i="13"/>
  <c r="H77" i="13"/>
  <c r="D77" i="13"/>
  <c r="J76" i="13"/>
  <c r="F76" i="13"/>
  <c r="B76" i="13"/>
  <c r="E76" i="13" s="1"/>
  <c r="L75" i="13"/>
  <c r="H75" i="13"/>
  <c r="D75" i="13"/>
  <c r="J74" i="13"/>
  <c r="F74" i="13"/>
  <c r="B74" i="13"/>
  <c r="E74" i="13" s="1"/>
  <c r="L73" i="13"/>
  <c r="H73" i="13"/>
  <c r="D73" i="13"/>
  <c r="J72" i="13"/>
  <c r="F72" i="13"/>
  <c r="B72" i="13"/>
  <c r="E72" i="13" s="1"/>
  <c r="L71" i="13"/>
  <c r="H71" i="13"/>
  <c r="D71" i="13"/>
  <c r="J70" i="13"/>
  <c r="F70" i="13"/>
  <c r="B70" i="13"/>
  <c r="E70" i="13" s="1"/>
  <c r="L69" i="13"/>
  <c r="H69" i="13"/>
  <c r="D69" i="13"/>
  <c r="J68" i="13"/>
  <c r="F68" i="13"/>
  <c r="B68" i="13"/>
  <c r="E68" i="13" s="1"/>
  <c r="L67" i="13"/>
  <c r="H67" i="13"/>
  <c r="D67" i="13"/>
  <c r="J66" i="13"/>
  <c r="F66" i="13"/>
  <c r="B66" i="13"/>
  <c r="E66" i="13" s="1"/>
  <c r="L65" i="13"/>
  <c r="H65" i="13"/>
  <c r="D65" i="13"/>
  <c r="J64" i="13"/>
  <c r="F64" i="13"/>
  <c r="B64" i="13"/>
  <c r="E64" i="13" s="1"/>
  <c r="L63" i="13"/>
  <c r="H63" i="13"/>
  <c r="D63" i="13"/>
  <c r="J62" i="13"/>
  <c r="F62" i="13"/>
  <c r="B62" i="13"/>
  <c r="E62" i="13" s="1"/>
  <c r="L61" i="13"/>
  <c r="H61" i="13"/>
  <c r="D61" i="13"/>
  <c r="J60" i="13"/>
  <c r="F60" i="13"/>
  <c r="B60" i="13"/>
  <c r="E60" i="13" s="1"/>
  <c r="L59" i="13"/>
  <c r="H59" i="13"/>
  <c r="D59" i="13"/>
  <c r="J58" i="13"/>
  <c r="F58" i="13"/>
  <c r="B58" i="13"/>
  <c r="E58" i="13" s="1"/>
  <c r="L57" i="13"/>
  <c r="H57" i="13"/>
  <c r="D57" i="13"/>
  <c r="J56" i="13"/>
  <c r="F56" i="13"/>
  <c r="B56" i="13"/>
  <c r="E56" i="13" s="1"/>
  <c r="L55" i="13"/>
  <c r="H55" i="13"/>
  <c r="D55" i="13"/>
  <c r="J54" i="13"/>
  <c r="F54" i="13"/>
  <c r="B54" i="13"/>
  <c r="E54" i="13" s="1"/>
  <c r="L53" i="13"/>
  <c r="H53" i="13"/>
  <c r="D53" i="13"/>
  <c r="J52" i="13"/>
  <c r="F52" i="13"/>
  <c r="B52" i="13"/>
  <c r="E52" i="13" s="1"/>
  <c r="L51" i="13"/>
  <c r="H51" i="13"/>
  <c r="D51" i="13"/>
  <c r="J50" i="13"/>
  <c r="F50" i="13"/>
  <c r="B50" i="13"/>
  <c r="E50" i="13" s="1"/>
  <c r="L49" i="13"/>
  <c r="H49" i="13"/>
  <c r="D49" i="13"/>
  <c r="J48" i="13"/>
  <c r="F48" i="13"/>
  <c r="B48" i="13"/>
  <c r="E48" i="13" s="1"/>
  <c r="L47" i="13"/>
  <c r="H47" i="13"/>
  <c r="D47" i="13"/>
  <c r="J46" i="13"/>
  <c r="F46" i="13"/>
  <c r="B46" i="13"/>
  <c r="E46" i="13" s="1"/>
  <c r="L45" i="13"/>
  <c r="H45" i="13"/>
  <c r="D45" i="13"/>
  <c r="J44" i="13"/>
  <c r="F44" i="13"/>
  <c r="B44" i="13"/>
  <c r="E44" i="13" s="1"/>
  <c r="L43" i="13"/>
  <c r="H43" i="13"/>
  <c r="D43" i="13"/>
  <c r="J42" i="13"/>
  <c r="F42" i="13"/>
  <c r="B42" i="13"/>
  <c r="E42" i="13" s="1"/>
  <c r="L41" i="13"/>
  <c r="H41" i="13"/>
  <c r="D41" i="13"/>
  <c r="J40" i="13"/>
  <c r="F40" i="13"/>
  <c r="B40" i="13"/>
  <c r="E40" i="13" s="1"/>
  <c r="L39" i="13"/>
  <c r="H39" i="13"/>
  <c r="D39" i="13"/>
  <c r="J38" i="13"/>
  <c r="F38" i="13"/>
  <c r="B38" i="13"/>
  <c r="E38" i="13" s="1"/>
  <c r="L37" i="13"/>
  <c r="H37" i="13"/>
  <c r="D37" i="13"/>
  <c r="J36" i="13"/>
  <c r="F36" i="13"/>
  <c r="B36" i="13"/>
  <c r="E36" i="13" s="1"/>
  <c r="L35" i="13"/>
  <c r="H35" i="13"/>
  <c r="D35" i="13"/>
  <c r="J34" i="13"/>
  <c r="F34" i="13"/>
  <c r="B34" i="13"/>
  <c r="E34" i="13" s="1"/>
  <c r="L33" i="13"/>
  <c r="H33" i="13"/>
  <c r="D33" i="13"/>
  <c r="J32" i="13"/>
  <c r="F32" i="13"/>
  <c r="B32" i="13"/>
  <c r="E32" i="13" s="1"/>
  <c r="L31" i="13"/>
  <c r="H31" i="13"/>
  <c r="D31" i="13"/>
  <c r="J30" i="13"/>
  <c r="F30" i="13"/>
  <c r="B30" i="13"/>
  <c r="E30" i="13" s="1"/>
  <c r="L29" i="13"/>
  <c r="H29" i="13"/>
  <c r="D29" i="13"/>
  <c r="J28" i="13"/>
  <c r="F28" i="13"/>
  <c r="B28" i="13"/>
  <c r="E28" i="13" s="1"/>
  <c r="L27" i="13"/>
  <c r="H27" i="13"/>
  <c r="D27" i="13"/>
  <c r="J26" i="13"/>
  <c r="F26" i="13"/>
  <c r="B26" i="13"/>
  <c r="E26" i="13" s="1"/>
  <c r="L25" i="13"/>
  <c r="H25" i="13"/>
  <c r="D25" i="13"/>
  <c r="J24" i="13"/>
  <c r="F24" i="13"/>
  <c r="B24" i="13"/>
  <c r="E24" i="13" s="1"/>
  <c r="L23" i="13"/>
  <c r="H23" i="13"/>
  <c r="D23" i="13"/>
  <c r="J22" i="13"/>
  <c r="F22" i="13"/>
  <c r="B22" i="13"/>
  <c r="E22" i="13" s="1"/>
  <c r="L21" i="13"/>
  <c r="H21" i="13"/>
  <c r="D21" i="13"/>
  <c r="J20" i="13"/>
  <c r="F20" i="13"/>
  <c r="B20" i="13"/>
  <c r="E20" i="13" s="1"/>
  <c r="L19" i="13"/>
  <c r="H19" i="13"/>
  <c r="D19" i="13"/>
  <c r="J18" i="13"/>
  <c r="F18" i="13"/>
  <c r="B18" i="13"/>
  <c r="E18" i="13" s="1"/>
  <c r="L17" i="13"/>
  <c r="H17" i="13"/>
  <c r="D17" i="13"/>
  <c r="J16" i="13"/>
  <c r="F16" i="13"/>
  <c r="B16" i="13"/>
  <c r="E16" i="13" s="1"/>
  <c r="L15" i="13"/>
  <c r="H15" i="13"/>
  <c r="D15" i="13"/>
  <c r="J14" i="13"/>
  <c r="F14" i="13"/>
  <c r="B14" i="13"/>
  <c r="E14" i="13" s="1"/>
  <c r="L13" i="13"/>
  <c r="H13" i="13"/>
  <c r="D13" i="13"/>
  <c r="K12" i="13"/>
  <c r="G12" i="13"/>
  <c r="C12" i="13"/>
  <c r="V11" i="13"/>
  <c r="J11" i="13"/>
  <c r="F11" i="13"/>
  <c r="B11" i="13"/>
  <c r="E11" i="13" s="1"/>
  <c r="I363" i="13"/>
  <c r="X326" i="13"/>
  <c r="K308" i="13"/>
  <c r="G290" i="13"/>
  <c r="W290" i="13" s="1"/>
  <c r="F280" i="13"/>
  <c r="H275" i="13"/>
  <c r="F266" i="13"/>
  <c r="L261" i="13"/>
  <c r="D257" i="13"/>
  <c r="J252" i="13"/>
  <c r="B248" i="13"/>
  <c r="E248" i="13" s="1"/>
  <c r="H243" i="13"/>
  <c r="F234" i="13"/>
  <c r="L229" i="13"/>
  <c r="D225" i="13"/>
  <c r="J220" i="13"/>
  <c r="X213" i="13"/>
  <c r="K211" i="13"/>
  <c r="G209" i="13"/>
  <c r="W209" i="13" s="1"/>
  <c r="V207" i="13"/>
  <c r="K206" i="13"/>
  <c r="I205" i="13"/>
  <c r="G204" i="13"/>
  <c r="W204" i="13" s="1"/>
  <c r="C202" i="13"/>
  <c r="X200" i="13"/>
  <c r="V199" i="13"/>
  <c r="K198" i="13"/>
  <c r="I197" i="13"/>
  <c r="G196" i="13"/>
  <c r="W196" i="13" s="1"/>
  <c r="C194" i="13"/>
  <c r="X192" i="13"/>
  <c r="V191" i="13"/>
  <c r="K190" i="13"/>
  <c r="I189" i="13"/>
  <c r="G188" i="13"/>
  <c r="W188" i="13" s="1"/>
  <c r="C186" i="13"/>
  <c r="X184" i="13"/>
  <c r="V183" i="13"/>
  <c r="K182" i="13"/>
  <c r="I181" i="13"/>
  <c r="G180" i="13"/>
  <c r="W180" i="13" s="1"/>
  <c r="C178" i="13"/>
  <c r="X176" i="13"/>
  <c r="V175" i="13"/>
  <c r="K174" i="13"/>
  <c r="I173" i="13"/>
  <c r="G172" i="13"/>
  <c r="W172" i="13" s="1"/>
  <c r="C170" i="13"/>
  <c r="X168" i="13"/>
  <c r="V167" i="13"/>
  <c r="X166" i="13"/>
  <c r="G166" i="13"/>
  <c r="W166" i="13" s="1"/>
  <c r="V165" i="13"/>
  <c r="K164" i="13"/>
  <c r="C164" i="13"/>
  <c r="I163" i="13"/>
  <c r="X162" i="13"/>
  <c r="G162" i="13"/>
  <c r="W162" i="13" s="1"/>
  <c r="V161" i="13"/>
  <c r="K160" i="13"/>
  <c r="C160" i="13"/>
  <c r="I159" i="13"/>
  <c r="X158" i="13"/>
  <c r="G158" i="13"/>
  <c r="W158" i="13" s="1"/>
  <c r="V157" i="13"/>
  <c r="K156" i="13"/>
  <c r="C156" i="13"/>
  <c r="I155" i="13"/>
  <c r="X154" i="13"/>
  <c r="G154" i="13"/>
  <c r="W154" i="13" s="1"/>
  <c r="V153" i="13"/>
  <c r="K152" i="13"/>
  <c r="C152" i="13"/>
  <c r="I151" i="13"/>
  <c r="X150" i="13"/>
  <c r="G150" i="13"/>
  <c r="W150" i="13" s="1"/>
  <c r="V149" i="13"/>
  <c r="K148" i="13"/>
  <c r="C148" i="13"/>
  <c r="I147" i="13"/>
  <c r="X146" i="13"/>
  <c r="G146" i="13"/>
  <c r="W146" i="13" s="1"/>
  <c r="V145" i="13"/>
  <c r="K144" i="13"/>
  <c r="C144" i="13"/>
  <c r="I143" i="13"/>
  <c r="X142" i="13"/>
  <c r="G142" i="13"/>
  <c r="W142" i="13" s="1"/>
  <c r="V141" i="13"/>
  <c r="K140" i="13"/>
  <c r="C140" i="13"/>
  <c r="I139" i="13"/>
  <c r="X138" i="13"/>
  <c r="G138" i="13"/>
  <c r="W138" i="13" s="1"/>
  <c r="V137" i="13"/>
  <c r="F137" i="13"/>
  <c r="X136" i="13"/>
  <c r="J136" i="13"/>
  <c r="X135" i="13"/>
  <c r="K135" i="13"/>
  <c r="G135" i="13"/>
  <c r="C135" i="13"/>
  <c r="V134" i="13"/>
  <c r="I134" i="13"/>
  <c r="X133" i="13"/>
  <c r="K133" i="13"/>
  <c r="G133" i="13"/>
  <c r="C133" i="13"/>
  <c r="V132" i="13"/>
  <c r="I132" i="13"/>
  <c r="X131" i="13"/>
  <c r="K131" i="13"/>
  <c r="G131" i="13"/>
  <c r="C131" i="13"/>
  <c r="V130" i="13"/>
  <c r="I130" i="13"/>
  <c r="X129" i="13"/>
  <c r="K129" i="13"/>
  <c r="G129" i="13"/>
  <c r="C129" i="13"/>
  <c r="V128" i="13"/>
  <c r="I128" i="13"/>
  <c r="X127" i="13"/>
  <c r="K127" i="13"/>
  <c r="G127" i="13"/>
  <c r="C127" i="13"/>
  <c r="V126" i="13"/>
  <c r="I126" i="13"/>
  <c r="X125" i="13"/>
  <c r="K125" i="13"/>
  <c r="G125" i="13"/>
  <c r="C125" i="13"/>
  <c r="V124" i="13"/>
  <c r="I124" i="13"/>
  <c r="X123" i="13"/>
  <c r="K123" i="13"/>
  <c r="G123" i="13"/>
  <c r="C123" i="13"/>
  <c r="V122" i="13"/>
  <c r="I122" i="13"/>
  <c r="X121" i="13"/>
  <c r="K121" i="13"/>
  <c r="G121" i="13"/>
  <c r="C121" i="13"/>
  <c r="V120" i="13"/>
  <c r="I120" i="13"/>
  <c r="X119" i="13"/>
  <c r="K119" i="13"/>
  <c r="G119" i="13"/>
  <c r="C119" i="13"/>
  <c r="V118" i="13"/>
  <c r="I118" i="13"/>
  <c r="X117" i="13"/>
  <c r="K117" i="13"/>
  <c r="G117" i="13"/>
  <c r="C117" i="13"/>
  <c r="V116" i="13"/>
  <c r="I116" i="13"/>
  <c r="X115" i="13"/>
  <c r="K115" i="13"/>
  <c r="G115" i="13"/>
  <c r="C115" i="13"/>
  <c r="V114" i="13"/>
  <c r="I114" i="13"/>
  <c r="X113" i="13"/>
  <c r="K113" i="13"/>
  <c r="G113" i="13"/>
  <c r="C113" i="13"/>
  <c r="V112" i="13"/>
  <c r="I112" i="13"/>
  <c r="X111" i="13"/>
  <c r="K111" i="13"/>
  <c r="G111" i="13"/>
  <c r="C111" i="13"/>
  <c r="V110" i="13"/>
  <c r="I110" i="13"/>
  <c r="X109" i="13"/>
  <c r="K109" i="13"/>
  <c r="G109" i="13"/>
  <c r="C109" i="13"/>
  <c r="V108" i="13"/>
  <c r="I108" i="13"/>
  <c r="X107" i="13"/>
  <c r="K107" i="13"/>
  <c r="G107" i="13"/>
  <c r="C107" i="13"/>
  <c r="V106" i="13"/>
  <c r="I106" i="13"/>
  <c r="X105" i="13"/>
  <c r="K105" i="13"/>
  <c r="G105" i="13"/>
  <c r="C105" i="13"/>
  <c r="V104" i="13"/>
  <c r="I104" i="13"/>
  <c r="X103" i="13"/>
  <c r="K103" i="13"/>
  <c r="G103" i="13"/>
  <c r="C103" i="13"/>
  <c r="V102" i="13"/>
  <c r="I102" i="13"/>
  <c r="X101" i="13"/>
  <c r="K101" i="13"/>
  <c r="G101" i="13"/>
  <c r="C101" i="13"/>
  <c r="V100" i="13"/>
  <c r="I100" i="13"/>
  <c r="X99" i="13"/>
  <c r="K99" i="13"/>
  <c r="G99" i="13"/>
  <c r="C99" i="13"/>
  <c r="V98" i="13"/>
  <c r="I98" i="13"/>
  <c r="X97" i="13"/>
  <c r="K97" i="13"/>
  <c r="G97" i="13"/>
  <c r="C97" i="13"/>
  <c r="V96" i="13"/>
  <c r="I96" i="13"/>
  <c r="X95" i="13"/>
  <c r="K95" i="13"/>
  <c r="G95" i="13"/>
  <c r="C95" i="13"/>
  <c r="V94" i="13"/>
  <c r="I94" i="13"/>
  <c r="X93" i="13"/>
  <c r="K93" i="13"/>
  <c r="G93" i="13"/>
  <c r="C93" i="13"/>
  <c r="V92" i="13"/>
  <c r="I92" i="13"/>
  <c r="X91" i="13"/>
  <c r="K91" i="13"/>
  <c r="G91" i="13"/>
  <c r="C91" i="13"/>
  <c r="V90" i="13"/>
  <c r="I90" i="13"/>
  <c r="X89" i="13"/>
  <c r="K89" i="13"/>
  <c r="G89" i="13"/>
  <c r="C89" i="13"/>
  <c r="V88" i="13"/>
  <c r="I88" i="13"/>
  <c r="X87" i="13"/>
  <c r="K87" i="13"/>
  <c r="G87" i="13"/>
  <c r="C87" i="13"/>
  <c r="V86" i="13"/>
  <c r="I86" i="13"/>
  <c r="X85" i="13"/>
  <c r="K85" i="13"/>
  <c r="G85" i="13"/>
  <c r="C85" i="13"/>
  <c r="V84" i="13"/>
  <c r="I84" i="13"/>
  <c r="X83" i="13"/>
  <c r="K83" i="13"/>
  <c r="G83" i="13"/>
  <c r="C83" i="13"/>
  <c r="V82" i="13"/>
  <c r="I82" i="13"/>
  <c r="X81" i="13"/>
  <c r="K81" i="13"/>
  <c r="G81" i="13"/>
  <c r="C81" i="13"/>
  <c r="V80" i="13"/>
  <c r="I80" i="13"/>
  <c r="X79" i="13"/>
  <c r="K79" i="13"/>
  <c r="G79" i="13"/>
  <c r="C79" i="13"/>
  <c r="V78" i="13"/>
  <c r="I78" i="13"/>
  <c r="X77" i="13"/>
  <c r="K77" i="13"/>
  <c r="G77" i="13"/>
  <c r="C77" i="13"/>
  <c r="V76" i="13"/>
  <c r="I76" i="13"/>
  <c r="X75" i="13"/>
  <c r="K75" i="13"/>
  <c r="G75" i="13"/>
  <c r="C75" i="13"/>
  <c r="V74" i="13"/>
  <c r="I74" i="13"/>
  <c r="X73" i="13"/>
  <c r="K73" i="13"/>
  <c r="G73" i="13"/>
  <c r="C73" i="13"/>
  <c r="V72" i="13"/>
  <c r="I72" i="13"/>
  <c r="X71" i="13"/>
  <c r="K71" i="13"/>
  <c r="G71" i="13"/>
  <c r="C71" i="13"/>
  <c r="V70" i="13"/>
  <c r="I70" i="13"/>
  <c r="X69" i="13"/>
  <c r="K69" i="13"/>
  <c r="G69" i="13"/>
  <c r="C69" i="13"/>
  <c r="V68" i="13"/>
  <c r="I68" i="13"/>
  <c r="X67" i="13"/>
  <c r="K67" i="13"/>
  <c r="G67" i="13"/>
  <c r="C67" i="13"/>
  <c r="V66" i="13"/>
  <c r="I66" i="13"/>
  <c r="X65" i="13"/>
  <c r="K65" i="13"/>
  <c r="G65" i="13"/>
  <c r="C65" i="13"/>
  <c r="V64" i="13"/>
  <c r="I64" i="13"/>
  <c r="X63" i="13"/>
  <c r="K63" i="13"/>
  <c r="G63" i="13"/>
  <c r="C63" i="13"/>
  <c r="V62" i="13"/>
  <c r="I62" i="13"/>
  <c r="X61" i="13"/>
  <c r="K61" i="13"/>
  <c r="G61" i="13"/>
  <c r="C61" i="13"/>
  <c r="V60" i="13"/>
  <c r="I60" i="13"/>
  <c r="X59" i="13"/>
  <c r="K59" i="13"/>
  <c r="G59" i="13"/>
  <c r="C59" i="13"/>
  <c r="V58" i="13"/>
  <c r="I58" i="13"/>
  <c r="X57" i="13"/>
  <c r="K57" i="13"/>
  <c r="G57" i="13"/>
  <c r="C57" i="13"/>
  <c r="V56" i="13"/>
  <c r="I56" i="13"/>
  <c r="X55" i="13"/>
  <c r="K55" i="13"/>
  <c r="G55" i="13"/>
  <c r="C55" i="13"/>
  <c r="V54" i="13"/>
  <c r="I54" i="13"/>
  <c r="X53" i="13"/>
  <c r="K53" i="13"/>
  <c r="G53" i="13"/>
  <c r="C53" i="13"/>
  <c r="V52" i="13"/>
  <c r="I52" i="13"/>
  <c r="X51" i="13"/>
  <c r="K51" i="13"/>
  <c r="G51" i="13"/>
  <c r="C51" i="13"/>
  <c r="V50" i="13"/>
  <c r="I50" i="13"/>
  <c r="X49" i="13"/>
  <c r="K49" i="13"/>
  <c r="G49" i="13"/>
  <c r="C49" i="13"/>
  <c r="V48" i="13"/>
  <c r="I48" i="13"/>
  <c r="X47" i="13"/>
  <c r="K47" i="13"/>
  <c r="G47" i="13"/>
  <c r="C47" i="13"/>
  <c r="V46" i="13"/>
  <c r="I46" i="13"/>
  <c r="X45" i="13"/>
  <c r="K45" i="13"/>
  <c r="G45" i="13"/>
  <c r="C45" i="13"/>
  <c r="V44" i="13"/>
  <c r="I44" i="13"/>
  <c r="X43" i="13"/>
  <c r="K43" i="13"/>
  <c r="G43" i="13"/>
  <c r="C43" i="13"/>
  <c r="V42" i="13"/>
  <c r="I42" i="13"/>
  <c r="X41" i="13"/>
  <c r="K41" i="13"/>
  <c r="G41" i="13"/>
  <c r="C41" i="13"/>
  <c r="V40" i="13"/>
  <c r="I40" i="13"/>
  <c r="X39" i="13"/>
  <c r="K39" i="13"/>
  <c r="G39" i="13"/>
  <c r="C39" i="13"/>
  <c r="V38" i="13"/>
  <c r="I38" i="13"/>
  <c r="X37" i="13"/>
  <c r="K37" i="13"/>
  <c r="G37" i="13"/>
  <c r="C37" i="13"/>
  <c r="V36" i="13"/>
  <c r="I36" i="13"/>
  <c r="X35" i="13"/>
  <c r="K35" i="13"/>
  <c r="G35" i="13"/>
  <c r="C35" i="13"/>
  <c r="V34" i="13"/>
  <c r="I34" i="13"/>
  <c r="X33" i="13"/>
  <c r="K33" i="13"/>
  <c r="G33" i="13"/>
  <c r="C33" i="13"/>
  <c r="V32" i="13"/>
  <c r="I32" i="13"/>
  <c r="X31" i="13"/>
  <c r="K31" i="13"/>
  <c r="G31" i="13"/>
  <c r="C31" i="13"/>
  <c r="V30" i="13"/>
  <c r="I30" i="13"/>
  <c r="X29" i="13"/>
  <c r="K29" i="13"/>
  <c r="G29" i="13"/>
  <c r="C29" i="13"/>
  <c r="V28" i="13"/>
  <c r="I28" i="13"/>
  <c r="X27" i="13"/>
  <c r="K27" i="13"/>
  <c r="G27" i="13"/>
  <c r="C27" i="13"/>
  <c r="V26" i="13"/>
  <c r="I26" i="13"/>
  <c r="X25" i="13"/>
  <c r="K25" i="13"/>
  <c r="G25" i="13"/>
  <c r="C25" i="13"/>
  <c r="V24" i="13"/>
  <c r="I24" i="13"/>
  <c r="X23" i="13"/>
  <c r="K23" i="13"/>
  <c r="G23" i="13"/>
  <c r="C23" i="13"/>
  <c r="V22" i="13"/>
  <c r="I22" i="13"/>
  <c r="X21" i="13"/>
  <c r="K21" i="13"/>
  <c r="G21" i="13"/>
  <c r="C21" i="13"/>
  <c r="V20" i="13"/>
  <c r="I20" i="13"/>
  <c r="X19" i="13"/>
  <c r="K19" i="13"/>
  <c r="G19" i="13"/>
  <c r="C19" i="13"/>
  <c r="V18" i="13"/>
  <c r="I18" i="13"/>
  <c r="X17" i="13"/>
  <c r="K17" i="13"/>
  <c r="G17" i="13"/>
  <c r="C17" i="13"/>
  <c r="V16" i="13"/>
  <c r="X358" i="13"/>
  <c r="K340" i="13"/>
  <c r="G322" i="13"/>
  <c r="W322" i="13" s="1"/>
  <c r="C304" i="13"/>
  <c r="D287" i="13"/>
  <c r="F274" i="13"/>
  <c r="L269" i="13"/>
  <c r="D265" i="13"/>
  <c r="J260" i="13"/>
  <c r="B256" i="13"/>
  <c r="E256" i="13" s="1"/>
  <c r="H251" i="13"/>
  <c r="F242" i="13"/>
  <c r="L237" i="13"/>
  <c r="D233" i="13"/>
  <c r="J228" i="13"/>
  <c r="B224" i="13"/>
  <c r="E224" i="13" s="1"/>
  <c r="H219" i="13"/>
  <c r="K215" i="13"/>
  <c r="G213" i="13"/>
  <c r="W213" i="13" s="1"/>
  <c r="C211" i="13"/>
  <c r="V208" i="13"/>
  <c r="I207" i="13"/>
  <c r="G206" i="13"/>
  <c r="W206" i="13" s="1"/>
  <c r="C204" i="13"/>
  <c r="X202" i="13"/>
  <c r="V201" i="13"/>
  <c r="K200" i="13"/>
  <c r="I199" i="13"/>
  <c r="G198" i="13"/>
  <c r="W198" i="13" s="1"/>
  <c r="C196" i="13"/>
  <c r="X194" i="13"/>
  <c r="V193" i="13"/>
  <c r="K192" i="13"/>
  <c r="I191" i="13"/>
  <c r="G190" i="13"/>
  <c r="W190" i="13" s="1"/>
  <c r="C188" i="13"/>
  <c r="X186" i="13"/>
  <c r="V185" i="13"/>
  <c r="K184" i="13"/>
  <c r="I183" i="13"/>
  <c r="G182" i="13"/>
  <c r="W182" i="13" s="1"/>
  <c r="C180" i="13"/>
  <c r="X178" i="13"/>
  <c r="V177" i="13"/>
  <c r="K176" i="13"/>
  <c r="I175" i="13"/>
  <c r="G174" i="13"/>
  <c r="W174" i="13" s="1"/>
  <c r="C172" i="13"/>
  <c r="X170" i="13"/>
  <c r="V169" i="13"/>
  <c r="K168" i="13"/>
  <c r="I167" i="13"/>
  <c r="L166" i="13"/>
  <c r="D166" i="13"/>
  <c r="J165" i="13"/>
  <c r="B165" i="13"/>
  <c r="E165" i="13" s="1"/>
  <c r="H164" i="13"/>
  <c r="F163" i="13"/>
  <c r="L162" i="13"/>
  <c r="D162" i="13"/>
  <c r="J161" i="13"/>
  <c r="B161" i="13"/>
  <c r="E161" i="13" s="1"/>
  <c r="H160" i="13"/>
  <c r="F159" i="13"/>
  <c r="L158" i="13"/>
  <c r="D158" i="13"/>
  <c r="J157" i="13"/>
  <c r="B157" i="13"/>
  <c r="E157" i="13" s="1"/>
  <c r="H156" i="13"/>
  <c r="F155" i="13"/>
  <c r="L154" i="13"/>
  <c r="D154" i="13"/>
  <c r="J153" i="13"/>
  <c r="B153" i="13"/>
  <c r="E153" i="13" s="1"/>
  <c r="H152" i="13"/>
  <c r="J149" i="13"/>
  <c r="F147" i="13"/>
  <c r="B145" i="13"/>
  <c r="E145" i="13" s="1"/>
  <c r="L142" i="13"/>
  <c r="H140" i="13"/>
  <c r="D138" i="13"/>
  <c r="H136" i="13"/>
  <c r="F135" i="13"/>
  <c r="D134" i="13"/>
  <c r="B133" i="13"/>
  <c r="E133" i="13" s="1"/>
  <c r="L130" i="13"/>
  <c r="J129" i="13"/>
  <c r="H128" i="13"/>
  <c r="F127" i="13"/>
  <c r="D126" i="13"/>
  <c r="B125" i="13"/>
  <c r="E125" i="13" s="1"/>
  <c r="L122" i="13"/>
  <c r="J121" i="13"/>
  <c r="H120" i="13"/>
  <c r="F119" i="13"/>
  <c r="D118" i="13"/>
  <c r="B117" i="13"/>
  <c r="E117" i="13" s="1"/>
  <c r="L114" i="13"/>
  <c r="J113" i="13"/>
  <c r="H112" i="13"/>
  <c r="F111" i="13"/>
  <c r="D110" i="13"/>
  <c r="B109" i="13"/>
  <c r="E109" i="13" s="1"/>
  <c r="L106" i="13"/>
  <c r="J105" i="13"/>
  <c r="H104" i="13"/>
  <c r="F103" i="13"/>
  <c r="D102" i="13"/>
  <c r="B101" i="13"/>
  <c r="E101" i="13" s="1"/>
  <c r="L98" i="13"/>
  <c r="J97" i="13"/>
  <c r="H96" i="13"/>
  <c r="F95" i="13"/>
  <c r="D94" i="13"/>
  <c r="B93" i="13"/>
  <c r="E93" i="13" s="1"/>
  <c r="L90" i="13"/>
  <c r="J89" i="13"/>
  <c r="H88" i="13"/>
  <c r="F87" i="13"/>
  <c r="D86" i="13"/>
  <c r="B85" i="13"/>
  <c r="E85" i="13" s="1"/>
  <c r="L82" i="13"/>
  <c r="J81" i="13"/>
  <c r="H80" i="13"/>
  <c r="F79" i="13"/>
  <c r="D78" i="13"/>
  <c r="B77" i="13"/>
  <c r="E77" i="13" s="1"/>
  <c r="L74" i="13"/>
  <c r="J73" i="13"/>
  <c r="H72" i="13"/>
  <c r="F71" i="13"/>
  <c r="D70" i="13"/>
  <c r="B69" i="13"/>
  <c r="E69" i="13" s="1"/>
  <c r="L66" i="13"/>
  <c r="J65" i="13"/>
  <c r="H64" i="13"/>
  <c r="F63" i="13"/>
  <c r="D62" i="13"/>
  <c r="B61" i="13"/>
  <c r="E61" i="13" s="1"/>
  <c r="L58" i="13"/>
  <c r="J57" i="13"/>
  <c r="H56" i="13"/>
  <c r="F55" i="13"/>
  <c r="D54" i="13"/>
  <c r="B53" i="13"/>
  <c r="E53" i="13" s="1"/>
  <c r="L50" i="13"/>
  <c r="J49" i="13"/>
  <c r="H48" i="13"/>
  <c r="F47" i="13"/>
  <c r="D46" i="13"/>
  <c r="B45" i="13"/>
  <c r="E45" i="13" s="1"/>
  <c r="L42" i="13"/>
  <c r="J41" i="13"/>
  <c r="H40" i="13"/>
  <c r="F39" i="13"/>
  <c r="D38" i="13"/>
  <c r="B37" i="13"/>
  <c r="E37" i="13" s="1"/>
  <c r="L34" i="13"/>
  <c r="J33" i="13"/>
  <c r="H32" i="13"/>
  <c r="F31" i="13"/>
  <c r="D30" i="13"/>
  <c r="B29" i="13"/>
  <c r="E29" i="13" s="1"/>
  <c r="L26" i="13"/>
  <c r="J25" i="13"/>
  <c r="H24" i="13"/>
  <c r="F23" i="13"/>
  <c r="D22" i="13"/>
  <c r="B21" i="13"/>
  <c r="E21" i="13" s="1"/>
  <c r="L18" i="13"/>
  <c r="J17" i="13"/>
  <c r="I16" i="13"/>
  <c r="D16" i="13"/>
  <c r="V15" i="13"/>
  <c r="K15" i="13"/>
  <c r="F15" i="13"/>
  <c r="X14" i="13"/>
  <c r="H14" i="13"/>
  <c r="C14" i="13"/>
  <c r="J13" i="13"/>
  <c r="V12" i="13"/>
  <c r="I12" i="13"/>
  <c r="D12" i="13"/>
  <c r="H11" i="13"/>
  <c r="C11" i="13"/>
  <c r="I10" i="13"/>
  <c r="X9" i="13"/>
  <c r="L9" i="13"/>
  <c r="H9" i="13"/>
  <c r="D9" i="13"/>
  <c r="L8" i="13"/>
  <c r="H8" i="13"/>
  <c r="D8" i="13"/>
  <c r="L7" i="13"/>
  <c r="H7" i="13"/>
  <c r="D7" i="13"/>
  <c r="L6" i="13"/>
  <c r="H6" i="13"/>
  <c r="D6" i="13"/>
  <c r="K5" i="13"/>
  <c r="G5" i="13"/>
  <c r="C5" i="13"/>
  <c r="V4" i="13"/>
  <c r="J4" i="13"/>
  <c r="F4" i="13"/>
  <c r="B4" i="13"/>
  <c r="E4" i="13" s="1"/>
  <c r="F151" i="13"/>
  <c r="B149" i="13"/>
  <c r="E149" i="13" s="1"/>
  <c r="L146" i="13"/>
  <c r="H144" i="13"/>
  <c r="D142" i="13"/>
  <c r="J137" i="13"/>
  <c r="D136" i="13"/>
  <c r="B135" i="13"/>
  <c r="E135" i="13" s="1"/>
  <c r="L132" i="13"/>
  <c r="J131" i="13"/>
  <c r="H130" i="13"/>
  <c r="F129" i="13"/>
  <c r="D128" i="13"/>
  <c r="B127" i="13"/>
  <c r="E127" i="13" s="1"/>
  <c r="L124" i="13"/>
  <c r="J123" i="13"/>
  <c r="H122" i="13"/>
  <c r="F121" i="13"/>
  <c r="D120" i="13"/>
  <c r="B119" i="13"/>
  <c r="E119" i="13" s="1"/>
  <c r="L116" i="13"/>
  <c r="J115" i="13"/>
  <c r="H114" i="13"/>
  <c r="F113" i="13"/>
  <c r="D112" i="13"/>
  <c r="B111" i="13"/>
  <c r="E111" i="13" s="1"/>
  <c r="L108" i="13"/>
  <c r="J107" i="13"/>
  <c r="H106" i="13"/>
  <c r="F105" i="13"/>
  <c r="D104" i="13"/>
  <c r="B103" i="13"/>
  <c r="E103" i="13" s="1"/>
  <c r="L100" i="13"/>
  <c r="J99" i="13"/>
  <c r="H98" i="13"/>
  <c r="F97" i="13"/>
  <c r="D96" i="13"/>
  <c r="B95" i="13"/>
  <c r="E95" i="13" s="1"/>
  <c r="L92" i="13"/>
  <c r="J91" i="13"/>
  <c r="H90" i="13"/>
  <c r="F89" i="13"/>
  <c r="D88" i="13"/>
  <c r="B87" i="13"/>
  <c r="E87" i="13" s="1"/>
  <c r="L84" i="13"/>
  <c r="J83" i="13"/>
  <c r="H82" i="13"/>
  <c r="F81" i="13"/>
  <c r="D80" i="13"/>
  <c r="B79" i="13"/>
  <c r="E79" i="13" s="1"/>
  <c r="L76" i="13"/>
  <c r="J75" i="13"/>
  <c r="H74" i="13"/>
  <c r="F73" i="13"/>
  <c r="D72" i="13"/>
  <c r="B71" i="13"/>
  <c r="E71" i="13" s="1"/>
  <c r="L68" i="13"/>
  <c r="J67" i="13"/>
  <c r="H66" i="13"/>
  <c r="F65" i="13"/>
  <c r="D64" i="13"/>
  <c r="B63" i="13"/>
  <c r="E63" i="13" s="1"/>
  <c r="L60" i="13"/>
  <c r="J59" i="13"/>
  <c r="H58" i="13"/>
  <c r="F57" i="13"/>
  <c r="D56" i="13"/>
  <c r="B55" i="13"/>
  <c r="E55" i="13" s="1"/>
  <c r="L52" i="13"/>
  <c r="J51" i="13"/>
  <c r="H50" i="13"/>
  <c r="F49" i="13"/>
  <c r="D48" i="13"/>
  <c r="B47" i="13"/>
  <c r="E47" i="13" s="1"/>
  <c r="L44" i="13"/>
  <c r="J43" i="13"/>
  <c r="H42" i="13"/>
  <c r="F41" i="13"/>
  <c r="D40" i="13"/>
  <c r="B39" i="13"/>
  <c r="E39" i="13" s="1"/>
  <c r="L36" i="13"/>
  <c r="J35" i="13"/>
  <c r="H34" i="13"/>
  <c r="F33" i="13"/>
  <c r="D32" i="13"/>
  <c r="B31" i="13"/>
  <c r="E31" i="13" s="1"/>
  <c r="L28" i="13"/>
  <c r="J27" i="13"/>
  <c r="H26" i="13"/>
  <c r="F25" i="13"/>
  <c r="D24" i="13"/>
  <c r="B23" i="13"/>
  <c r="E23" i="13" s="1"/>
  <c r="L20" i="13"/>
  <c r="J19" i="13"/>
  <c r="H18" i="13"/>
  <c r="F17" i="13"/>
  <c r="H16" i="13"/>
  <c r="C16" i="13"/>
  <c r="J15" i="13"/>
  <c r="V14" i="13"/>
  <c r="L14" i="13"/>
  <c r="G14" i="13"/>
  <c r="X13" i="13"/>
  <c r="I13" i="13"/>
  <c r="C13" i="13"/>
  <c r="H12" i="13"/>
  <c r="B12" i="13"/>
  <c r="E12" i="13" s="1"/>
  <c r="L11" i="13"/>
  <c r="G11" i="13"/>
  <c r="W11" i="13" s="1"/>
  <c r="X10" i="13"/>
  <c r="L10" i="13"/>
  <c r="H10" i="13"/>
  <c r="D10" i="13"/>
  <c r="K9" i="13"/>
  <c r="G9" i="13"/>
  <c r="W9" i="13" s="1"/>
  <c r="C9" i="13"/>
  <c r="V8" i="13"/>
  <c r="K8" i="13"/>
  <c r="G8" i="13"/>
  <c r="C8" i="13"/>
  <c r="V7" i="13"/>
  <c r="K7" i="13"/>
  <c r="G7" i="13"/>
  <c r="C7" i="13"/>
  <c r="V6" i="13"/>
  <c r="K6" i="13"/>
  <c r="G6" i="13"/>
  <c r="C6" i="13"/>
  <c r="V5" i="13"/>
  <c r="J5" i="13"/>
  <c r="F5" i="13"/>
  <c r="B5" i="13"/>
  <c r="E5" i="13" s="1"/>
  <c r="I4" i="13"/>
  <c r="L150" i="13"/>
  <c r="H148" i="13"/>
  <c r="D146" i="13"/>
  <c r="J141" i="13"/>
  <c r="F139" i="13"/>
  <c r="L134" i="13"/>
  <c r="J133" i="13"/>
  <c r="H132" i="13"/>
  <c r="F131" i="13"/>
  <c r="D130" i="13"/>
  <c r="B129" i="13"/>
  <c r="E129" i="13" s="1"/>
  <c r="L126" i="13"/>
  <c r="J125" i="13"/>
  <c r="H124" i="13"/>
  <c r="F123" i="13"/>
  <c r="D122" i="13"/>
  <c r="B121" i="13"/>
  <c r="E121" i="13" s="1"/>
  <c r="L118" i="13"/>
  <c r="J117" i="13"/>
  <c r="H116" i="13"/>
  <c r="F115" i="13"/>
  <c r="D114" i="13"/>
  <c r="B113" i="13"/>
  <c r="E113" i="13" s="1"/>
  <c r="L110" i="13"/>
  <c r="J109" i="13"/>
  <c r="H108" i="13"/>
  <c r="F107" i="13"/>
  <c r="D106" i="13"/>
  <c r="B105" i="13"/>
  <c r="E105" i="13" s="1"/>
  <c r="L102" i="13"/>
  <c r="J101" i="13"/>
  <c r="H100" i="13"/>
  <c r="F99" i="13"/>
  <c r="D98" i="13"/>
  <c r="B97" i="13"/>
  <c r="E97" i="13" s="1"/>
  <c r="L94" i="13"/>
  <c r="J93" i="13"/>
  <c r="H92" i="13"/>
  <c r="F91" i="13"/>
  <c r="D90" i="13"/>
  <c r="B89" i="13"/>
  <c r="E89" i="13" s="1"/>
  <c r="L86" i="13"/>
  <c r="J85" i="13"/>
  <c r="H84" i="13"/>
  <c r="F83" i="13"/>
  <c r="D82" i="13"/>
  <c r="B81" i="13"/>
  <c r="E81" i="13" s="1"/>
  <c r="L78" i="13"/>
  <c r="J77" i="13"/>
  <c r="H76" i="13"/>
  <c r="F75" i="13"/>
  <c r="D74" i="13"/>
  <c r="B73" i="13"/>
  <c r="E73" i="13" s="1"/>
  <c r="L70" i="13"/>
  <c r="J69" i="13"/>
  <c r="H68" i="13"/>
  <c r="F67" i="13"/>
  <c r="D66" i="13"/>
  <c r="B65" i="13"/>
  <c r="E65" i="13" s="1"/>
  <c r="L62" i="13"/>
  <c r="J61" i="13"/>
  <c r="H60" i="13"/>
  <c r="F59" i="13"/>
  <c r="D58" i="13"/>
  <c r="B57" i="13"/>
  <c r="E57" i="13" s="1"/>
  <c r="L54" i="13"/>
  <c r="J53" i="13"/>
  <c r="H52" i="13"/>
  <c r="F51" i="13"/>
  <c r="D50" i="13"/>
  <c r="B49" i="13"/>
  <c r="E49" i="13" s="1"/>
  <c r="L46" i="13"/>
  <c r="J45" i="13"/>
  <c r="H44" i="13"/>
  <c r="F43" i="13"/>
  <c r="D42" i="13"/>
  <c r="B41" i="13"/>
  <c r="E41" i="13" s="1"/>
  <c r="L38" i="13"/>
  <c r="J37" i="13"/>
  <c r="H36" i="13"/>
  <c r="F35" i="13"/>
  <c r="D34" i="13"/>
  <c r="B33" i="13"/>
  <c r="E33" i="13" s="1"/>
  <c r="L30" i="13"/>
  <c r="J29" i="13"/>
  <c r="H28" i="13"/>
  <c r="F27" i="13"/>
  <c r="D26" i="13"/>
  <c r="B25" i="13"/>
  <c r="E25" i="13" s="1"/>
  <c r="L22" i="13"/>
  <c r="J21" i="13"/>
  <c r="H20" i="13"/>
  <c r="F19" i="13"/>
  <c r="D18" i="13"/>
  <c r="B17" i="13"/>
  <c r="E17" i="13" s="1"/>
  <c r="L16" i="13"/>
  <c r="G16" i="13"/>
  <c r="W16" i="13" s="1"/>
  <c r="X15" i="13"/>
  <c r="I15" i="13"/>
  <c r="C15" i="13"/>
  <c r="K14" i="13"/>
  <c r="G13" i="13"/>
  <c r="B13" i="13"/>
  <c r="E13" i="13" s="1"/>
  <c r="L12" i="13"/>
  <c r="F12" i="13"/>
  <c r="X11" i="13"/>
  <c r="K11" i="13"/>
  <c r="K10" i="13"/>
  <c r="G10" i="13"/>
  <c r="C10" i="13"/>
  <c r="V9" i="13"/>
  <c r="J9" i="13"/>
  <c r="F9" i="13"/>
  <c r="B9" i="13"/>
  <c r="E9" i="13" s="1"/>
  <c r="J8" i="13"/>
  <c r="F8" i="13"/>
  <c r="B8" i="13"/>
  <c r="E8" i="13" s="1"/>
  <c r="J7" i="13"/>
  <c r="F7" i="13"/>
  <c r="B7" i="13"/>
  <c r="E7" i="13" s="1"/>
  <c r="J6" i="13"/>
  <c r="F6" i="13"/>
  <c r="B6" i="13"/>
  <c r="E6" i="13" s="1"/>
  <c r="I5" i="13"/>
  <c r="X4" i="13"/>
  <c r="L4" i="13"/>
  <c r="H4" i="13"/>
  <c r="D4" i="13"/>
  <c r="D150" i="13"/>
  <c r="B141" i="13"/>
  <c r="E141" i="13" s="1"/>
  <c r="H134" i="13"/>
  <c r="F125" i="13"/>
  <c r="L120" i="13"/>
  <c r="D116" i="13"/>
  <c r="J111" i="13"/>
  <c r="B107" i="13"/>
  <c r="E107" i="13" s="1"/>
  <c r="H102" i="13"/>
  <c r="F93" i="13"/>
  <c r="L88" i="13"/>
  <c r="D84" i="13"/>
  <c r="J79" i="13"/>
  <c r="B75" i="13"/>
  <c r="E75" i="13" s="1"/>
  <c r="H70" i="13"/>
  <c r="F61" i="13"/>
  <c r="L56" i="13"/>
  <c r="D52" i="13"/>
  <c r="J47" i="13"/>
  <c r="B43" i="13"/>
  <c r="E43" i="13" s="1"/>
  <c r="H38" i="13"/>
  <c r="F29" i="13"/>
  <c r="L24" i="13"/>
  <c r="D20" i="13"/>
  <c r="B15" i="13"/>
  <c r="E15" i="13" s="1"/>
  <c r="D14" i="13"/>
  <c r="K13" i="13"/>
  <c r="D11" i="13"/>
  <c r="F10" i="13"/>
  <c r="I7" i="13"/>
  <c r="C4" i="13"/>
  <c r="L138" i="13"/>
  <c r="F133" i="13"/>
  <c r="L128" i="13"/>
  <c r="D124" i="13"/>
  <c r="J119" i="13"/>
  <c r="B115" i="13"/>
  <c r="E115" i="13" s="1"/>
  <c r="H110" i="13"/>
  <c r="F101" i="13"/>
  <c r="L96" i="13"/>
  <c r="D92" i="13"/>
  <c r="J87" i="13"/>
  <c r="B83" i="13"/>
  <c r="E83" i="13" s="1"/>
  <c r="H78" i="13"/>
  <c r="F69" i="13"/>
  <c r="L64" i="13"/>
  <c r="D60" i="13"/>
  <c r="J55" i="13"/>
  <c r="B51" i="13"/>
  <c r="E51" i="13" s="1"/>
  <c r="H46" i="13"/>
  <c r="F37" i="13"/>
  <c r="L32" i="13"/>
  <c r="D28" i="13"/>
  <c r="J23" i="13"/>
  <c r="B19" i="13"/>
  <c r="E19" i="13" s="1"/>
  <c r="V13" i="13"/>
  <c r="F13" i="13"/>
  <c r="V10" i="13"/>
  <c r="B10" i="13"/>
  <c r="E10" i="13" s="1"/>
  <c r="X8" i="13"/>
  <c r="X7" i="13"/>
  <c r="I6" i="13"/>
  <c r="L5" i="13"/>
  <c r="J145" i="13"/>
  <c r="D132" i="13"/>
  <c r="J127" i="13"/>
  <c r="B123" i="13"/>
  <c r="E123" i="13" s="1"/>
  <c r="H118" i="13"/>
  <c r="F109" i="13"/>
  <c r="L104" i="13"/>
  <c r="D100" i="13"/>
  <c r="J95" i="13"/>
  <c r="B91" i="13"/>
  <c r="E91" i="13" s="1"/>
  <c r="H86" i="13"/>
  <c r="F77" i="13"/>
  <c r="L72" i="13"/>
  <c r="D68" i="13"/>
  <c r="J63" i="13"/>
  <c r="B59" i="13"/>
  <c r="E59" i="13" s="1"/>
  <c r="H54" i="13"/>
  <c r="F45" i="13"/>
  <c r="L40" i="13"/>
  <c r="D36" i="13"/>
  <c r="J31" i="13"/>
  <c r="B27" i="13"/>
  <c r="E27" i="13" s="1"/>
  <c r="H22" i="13"/>
  <c r="K16" i="13"/>
  <c r="X12" i="13"/>
  <c r="X6" i="13"/>
  <c r="H5" i="13"/>
  <c r="K4" i="13"/>
  <c r="F143" i="13"/>
  <c r="J135" i="13"/>
  <c r="B131" i="13"/>
  <c r="E131" i="13" s="1"/>
  <c r="H126" i="13"/>
  <c r="F117" i="13"/>
  <c r="L112" i="13"/>
  <c r="D108" i="13"/>
  <c r="J103" i="13"/>
  <c r="B99" i="13"/>
  <c r="E99" i="13" s="1"/>
  <c r="H94" i="13"/>
  <c r="F85" i="13"/>
  <c r="L80" i="13"/>
  <c r="D76" i="13"/>
  <c r="J71" i="13"/>
  <c r="B67" i="13"/>
  <c r="E67" i="13" s="1"/>
  <c r="H62" i="13"/>
  <c r="F53" i="13"/>
  <c r="L48" i="13"/>
  <c r="D44" i="13"/>
  <c r="J39" i="13"/>
  <c r="B35" i="13"/>
  <c r="E35" i="13" s="1"/>
  <c r="H30" i="13"/>
  <c r="F21" i="13"/>
  <c r="G15" i="13"/>
  <c r="W15" i="13" s="1"/>
  <c r="I14" i="13"/>
  <c r="J12" i="13"/>
  <c r="I11" i="13"/>
  <c r="J10" i="13"/>
  <c r="I9" i="13"/>
  <c r="I8" i="13"/>
  <c r="X5" i="13"/>
  <c r="D5" i="13"/>
  <c r="G4" i="13"/>
  <c r="W4" i="13" s="1"/>
  <c r="V2" i="4"/>
  <c r="V7" i="4"/>
  <c r="V41"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96" i="4"/>
  <c r="AD297" i="4"/>
  <c r="J297" i="4"/>
  <c r="Z298" i="4"/>
  <c r="AD299" i="4"/>
  <c r="J299" i="4"/>
  <c r="Z300" i="4"/>
  <c r="AD301" i="4"/>
  <c r="J301" i="4"/>
  <c r="Z302" i="4"/>
  <c r="AD303" i="4"/>
  <c r="J303" i="4"/>
  <c r="Z304" i="4"/>
  <c r="AD305" i="4"/>
  <c r="J305" i="4"/>
  <c r="Z306" i="4"/>
  <c r="AD307" i="4"/>
  <c r="J307" i="4"/>
  <c r="Z308" i="4"/>
  <c r="AD309" i="4"/>
  <c r="J309" i="4"/>
  <c r="Z310" i="4"/>
  <c r="AD311" i="4"/>
  <c r="J311" i="4"/>
  <c r="Z312" i="4"/>
  <c r="AD313" i="4"/>
  <c r="J313" i="4"/>
  <c r="Z314" i="4"/>
  <c r="AD315" i="4"/>
  <c r="J315" i="4"/>
  <c r="AD316" i="4"/>
  <c r="J316" i="4"/>
  <c r="Z316" i="4"/>
  <c r="V410" i="4"/>
  <c r="V412" i="4"/>
  <c r="P437" i="4"/>
  <c r="P425" i="4"/>
  <c r="P421" i="4"/>
  <c r="V409" i="4"/>
  <c r="P409" i="4"/>
  <c r="V407" i="4"/>
  <c r="P407" i="4"/>
  <c r="V405" i="4"/>
  <c r="P405" i="4"/>
  <c r="V403" i="4"/>
  <c r="P403" i="4"/>
  <c r="V401" i="4"/>
  <c r="P401" i="4"/>
  <c r="V399" i="4"/>
  <c r="P399" i="4"/>
  <c r="V387" i="4"/>
  <c r="P387" i="4"/>
  <c r="V385" i="4"/>
  <c r="P385" i="4"/>
  <c r="V383" i="4"/>
  <c r="P383" i="4"/>
  <c r="V381" i="4"/>
  <c r="P381" i="4"/>
  <c r="V373" i="4"/>
  <c r="P373" i="4"/>
  <c r="V363" i="4"/>
  <c r="P363" i="4"/>
  <c r="V361" i="4"/>
  <c r="P361" i="4"/>
  <c r="V359" i="4"/>
  <c r="P359" i="4"/>
  <c r="V357" i="4"/>
  <c r="P357" i="4"/>
  <c r="V349" i="4"/>
  <c r="P349" i="4"/>
  <c r="V347" i="4"/>
  <c r="P347" i="4"/>
  <c r="V345" i="4"/>
  <c r="P345" i="4"/>
  <c r="V333" i="4"/>
  <c r="P333" i="4"/>
  <c r="V331" i="4"/>
  <c r="P331" i="4"/>
  <c r="V329" i="4"/>
  <c r="P329" i="4"/>
  <c r="V317" i="4"/>
  <c r="P317" i="4"/>
  <c r="P438" i="4"/>
  <c r="P434" i="4"/>
  <c r="P422" i="4"/>
  <c r="V406" i="4"/>
  <c r="P406" i="4"/>
  <c r="V404" i="4"/>
  <c r="P404" i="4"/>
  <c r="V402" i="4"/>
  <c r="P402" i="4"/>
  <c r="V400" i="4"/>
  <c r="P400" i="4"/>
  <c r="V388" i="4"/>
  <c r="P388" i="4"/>
  <c r="V386" i="4"/>
  <c r="P386" i="4"/>
  <c r="V384" i="4"/>
  <c r="P384" i="4"/>
  <c r="V382" i="4"/>
  <c r="P382" i="4"/>
  <c r="V374" i="4"/>
  <c r="P374" i="4"/>
  <c r="V372" i="4"/>
  <c r="P372" i="4"/>
  <c r="V364" i="4"/>
  <c r="P364" i="4"/>
  <c r="V362" i="4"/>
  <c r="P362" i="4"/>
  <c r="V360" i="4"/>
  <c r="P360" i="4"/>
  <c r="V358" i="4"/>
  <c r="P358" i="4"/>
  <c r="V356" i="4"/>
  <c r="P356" i="4"/>
  <c r="V350" i="4"/>
  <c r="P350" i="4"/>
  <c r="V348" i="4"/>
  <c r="P348" i="4"/>
  <c r="V346" i="4"/>
  <c r="P346" i="4"/>
  <c r="V344" i="4"/>
  <c r="P344" i="4"/>
  <c r="V334" i="4"/>
  <c r="P334" i="4"/>
  <c r="V332" i="4"/>
  <c r="P332" i="4"/>
  <c r="V330" i="4"/>
  <c r="P330" i="4"/>
  <c r="V316" i="4"/>
  <c r="P316" i="4"/>
  <c r="V44" i="4"/>
  <c r="V46" i="4"/>
  <c r="V48" i="4"/>
  <c r="V50" i="4"/>
  <c r="V52" i="4"/>
  <c r="V54" i="4"/>
  <c r="V56" i="4"/>
  <c r="V58" i="4"/>
  <c r="V60" i="4"/>
  <c r="V62" i="4"/>
  <c r="V64" i="4"/>
  <c r="V66" i="4"/>
  <c r="V68" i="4"/>
  <c r="V70" i="4"/>
  <c r="V72" i="4"/>
  <c r="V74" i="4"/>
  <c r="V76" i="4"/>
  <c r="V78" i="4"/>
  <c r="V80" i="4"/>
  <c r="V82" i="4"/>
  <c r="V84" i="4"/>
  <c r="V86" i="4"/>
  <c r="V88" i="4"/>
  <c r="V90" i="4"/>
  <c r="V92" i="4"/>
  <c r="V94" i="4"/>
  <c r="V96" i="4"/>
  <c r="V98" i="4"/>
  <c r="V100" i="4"/>
  <c r="V102" i="4"/>
  <c r="V104" i="4"/>
  <c r="V106" i="4"/>
  <c r="V108" i="4"/>
  <c r="V110" i="4"/>
  <c r="V112" i="4"/>
  <c r="V114" i="4"/>
  <c r="V116" i="4"/>
  <c r="V118" i="4"/>
  <c r="V120" i="4"/>
  <c r="V123" i="4"/>
  <c r="V125" i="4"/>
  <c r="V127" i="4"/>
  <c r="V129" i="4"/>
  <c r="V131" i="4"/>
  <c r="V133" i="4"/>
  <c r="V135" i="4"/>
  <c r="V137" i="4"/>
  <c r="V139" i="4"/>
  <c r="V141" i="4"/>
  <c r="V143" i="4"/>
  <c r="V146" i="4"/>
  <c r="V148" i="4"/>
  <c r="V150" i="4"/>
  <c r="V153" i="4"/>
  <c r="V155" i="4"/>
  <c r="V157" i="4"/>
  <c r="V159" i="4"/>
  <c r="V161" i="4"/>
  <c r="V163" i="4"/>
  <c r="V165" i="4"/>
  <c r="V167" i="4"/>
  <c r="V169" i="4"/>
  <c r="V171" i="4"/>
  <c r="V173" i="4"/>
  <c r="V175" i="4"/>
  <c r="V177"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P297" i="4"/>
  <c r="V297" i="4"/>
  <c r="Q298" i="4"/>
  <c r="P299" i="4"/>
  <c r="V299" i="4"/>
  <c r="Q300" i="4"/>
  <c r="P301" i="4"/>
  <c r="V301" i="4"/>
  <c r="Q302" i="4"/>
  <c r="P303" i="4"/>
  <c r="V303" i="4"/>
  <c r="Q304" i="4"/>
  <c r="P305" i="4"/>
  <c r="V305" i="4"/>
  <c r="Q306" i="4"/>
  <c r="P307" i="4"/>
  <c r="V307" i="4"/>
  <c r="Q308" i="4"/>
  <c r="P309" i="4"/>
  <c r="V309" i="4"/>
  <c r="Q310" i="4"/>
  <c r="P311" i="4"/>
  <c r="V311" i="4"/>
  <c r="Q312" i="4"/>
  <c r="P313" i="4"/>
  <c r="V313" i="4"/>
  <c r="Q314" i="4"/>
  <c r="P315" i="4"/>
  <c r="V315" i="4"/>
  <c r="P428" i="4"/>
  <c r="P432" i="4"/>
  <c r="P436" i="4"/>
  <c r="P440" i="4"/>
  <c r="P444" i="4"/>
  <c r="P448" i="4"/>
  <c r="P452" i="4"/>
  <c r="P456" i="4"/>
  <c r="P460" i="4"/>
  <c r="P464" i="4"/>
  <c r="P468" i="4"/>
  <c r="P472" i="4"/>
  <c r="J318" i="4"/>
  <c r="J320" i="4"/>
  <c r="J322" i="4"/>
  <c r="J324" i="4"/>
  <c r="J326" i="4"/>
  <c r="J328" i="4"/>
  <c r="J330" i="4"/>
  <c r="J332" i="4"/>
  <c r="J334" i="4"/>
  <c r="J336" i="4"/>
  <c r="J338" i="4"/>
  <c r="J340" i="4"/>
  <c r="J342" i="4"/>
  <c r="J344" i="4"/>
  <c r="J346" i="4"/>
  <c r="J348" i="4"/>
  <c r="J350" i="4"/>
  <c r="J352" i="4"/>
  <c r="J354" i="4"/>
  <c r="J356" i="4"/>
  <c r="J358" i="4"/>
  <c r="J360" i="4"/>
  <c r="J362" i="4"/>
  <c r="J364" i="4"/>
  <c r="J366" i="4"/>
  <c r="J368" i="4"/>
  <c r="J370" i="4"/>
  <c r="J372" i="4"/>
  <c r="J374" i="4"/>
  <c r="J376" i="4"/>
  <c r="J378" i="4"/>
  <c r="J380" i="4"/>
  <c r="J382" i="4"/>
  <c r="J384" i="4"/>
  <c r="J386" i="4"/>
  <c r="J388" i="4"/>
  <c r="J390" i="4"/>
  <c r="J392" i="4"/>
  <c r="J394" i="4"/>
  <c r="J396" i="4"/>
  <c r="J398" i="4"/>
  <c r="J400" i="4"/>
  <c r="J402" i="4"/>
  <c r="J404" i="4"/>
  <c r="J406" i="4"/>
  <c r="J408" i="4"/>
  <c r="J410" i="4"/>
  <c r="J412" i="4"/>
  <c r="V415" i="4"/>
  <c r="V419" i="4"/>
  <c r="V423" i="4"/>
  <c r="Q426" i="4"/>
  <c r="V427" i="4"/>
  <c r="V431" i="4"/>
  <c r="V435" i="4"/>
  <c r="V439" i="4"/>
  <c r="V443" i="4"/>
  <c r="V447" i="4"/>
  <c r="V451" i="4"/>
  <c r="V455" i="4"/>
  <c r="V459" i="4"/>
  <c r="V463" i="4"/>
  <c r="V467" i="4"/>
  <c r="V471" i="4"/>
  <c r="P473" i="4"/>
  <c r="V473" i="4"/>
  <c r="P474" i="4"/>
  <c r="V474" i="4"/>
  <c r="P475" i="4"/>
  <c r="V475" i="4"/>
  <c r="Z475" i="4"/>
  <c r="P478" i="4"/>
  <c r="Z478" i="4"/>
  <c r="P482" i="4"/>
  <c r="Z482" i="4"/>
  <c r="P486" i="4"/>
  <c r="Z486" i="4"/>
  <c r="P492" i="4"/>
  <c r="H17" i="10"/>
  <c r="H16" i="10"/>
  <c r="H15" i="10"/>
  <c r="H14" i="10"/>
  <c r="H13" i="10"/>
  <c r="H12" i="10"/>
  <c r="H11" i="10"/>
  <c r="H10" i="10"/>
  <c r="H9" i="10"/>
  <c r="H8" i="10"/>
  <c r="H7" i="10"/>
  <c r="H6" i="10"/>
  <c r="H5" i="10"/>
  <c r="H4" i="10"/>
  <c r="D5" i="9" s="1"/>
  <c r="E5" i="9" s="1"/>
  <c r="H3" i="10"/>
  <c r="H2" i="10"/>
  <c r="Q315" i="4"/>
  <c r="Q317" i="4"/>
  <c r="Q319" i="4"/>
  <c r="Q321" i="4"/>
  <c r="Q323" i="4"/>
  <c r="Q325" i="4"/>
  <c r="Q327" i="4"/>
  <c r="Q329" i="4"/>
  <c r="Q331" i="4"/>
  <c r="Q333" i="4"/>
  <c r="Q335" i="4"/>
  <c r="Q337" i="4"/>
  <c r="Q339" i="4"/>
  <c r="Q341" i="4"/>
  <c r="Q343" i="4"/>
  <c r="Q345" i="4"/>
  <c r="Q347" i="4"/>
  <c r="Q349" i="4"/>
  <c r="Q351" i="4"/>
  <c r="Q353" i="4"/>
  <c r="Q355" i="4"/>
  <c r="Q357" i="4"/>
  <c r="Q359" i="4"/>
  <c r="Q361" i="4"/>
  <c r="Q363" i="4"/>
  <c r="Q365" i="4"/>
  <c r="Q367" i="4"/>
  <c r="Q369" i="4"/>
  <c r="Q371" i="4"/>
  <c r="Q373" i="4"/>
  <c r="Q375" i="4"/>
  <c r="Q377" i="4"/>
  <c r="Q379" i="4"/>
  <c r="Q381" i="4"/>
  <c r="Q383" i="4"/>
  <c r="Q385" i="4"/>
  <c r="Q387" i="4"/>
  <c r="AK388" i="4"/>
  <c r="AL388" i="4" s="1"/>
  <c r="Q389" i="4"/>
  <c r="Q391" i="4"/>
  <c r="Q393" i="4"/>
  <c r="AK396" i="4"/>
  <c r="AL396" i="4" s="1"/>
  <c r="Q397" i="4"/>
  <c r="Q399" i="4"/>
  <c r="Q401" i="4"/>
  <c r="Q403" i="4"/>
  <c r="AK404" i="4"/>
  <c r="AL404" i="4" s="1"/>
  <c r="AK406" i="4"/>
  <c r="AL406" i="4" s="1"/>
  <c r="P408" i="4"/>
  <c r="AK408" i="4"/>
  <c r="AL408" i="4" s="1"/>
  <c r="P410" i="4"/>
  <c r="Q411" i="4"/>
  <c r="P412" i="4"/>
  <c r="V414" i="4"/>
  <c r="P415" i="4"/>
  <c r="Z415" i="4"/>
  <c r="V418" i="4"/>
  <c r="P419" i="4"/>
  <c r="Z419" i="4"/>
  <c r="V422" i="4"/>
  <c r="P423" i="4"/>
  <c r="Z423" i="4"/>
  <c r="V426" i="4"/>
  <c r="P427" i="4"/>
  <c r="Z427" i="4"/>
  <c r="V430" i="4"/>
  <c r="P431" i="4"/>
  <c r="Z431" i="4"/>
  <c r="V434" i="4"/>
  <c r="P435" i="4"/>
  <c r="Z435" i="4"/>
  <c r="V438" i="4"/>
  <c r="P439" i="4"/>
  <c r="Z439" i="4"/>
  <c r="V442" i="4"/>
  <c r="P443" i="4"/>
  <c r="Z443" i="4"/>
  <c r="V446" i="4"/>
  <c r="P447" i="4"/>
  <c r="Z447" i="4"/>
  <c r="V450" i="4"/>
  <c r="P451" i="4"/>
  <c r="AK379" i="4" s="1"/>
  <c r="AL379" i="4" s="1"/>
  <c r="Z451" i="4"/>
  <c r="V454" i="4"/>
  <c r="P455" i="4"/>
  <c r="Z455" i="4"/>
  <c r="V458" i="4"/>
  <c r="P459" i="4"/>
  <c r="Z459" i="4"/>
  <c r="V462" i="4"/>
  <c r="P463" i="4"/>
  <c r="Z463" i="4"/>
  <c r="V466" i="4"/>
  <c r="P467" i="4"/>
  <c r="Z467" i="4"/>
  <c r="V470" i="4"/>
  <c r="P471" i="4"/>
  <c r="Z471" i="4"/>
  <c r="P479" i="4"/>
  <c r="Z479" i="4"/>
  <c r="P483" i="4"/>
  <c r="Z483" i="4"/>
  <c r="P487" i="4"/>
  <c r="Z487" i="4"/>
  <c r="S16" i="13"/>
  <c r="C60" i="8"/>
  <c r="AF3" i="4" s="1"/>
  <c r="J317" i="4"/>
  <c r="J319" i="4"/>
  <c r="J321" i="4"/>
  <c r="J323" i="4"/>
  <c r="J325" i="4"/>
  <c r="J327" i="4"/>
  <c r="J329" i="4"/>
  <c r="J331" i="4"/>
  <c r="J333" i="4"/>
  <c r="J335" i="4"/>
  <c r="J337" i="4"/>
  <c r="J339" i="4"/>
  <c r="J341" i="4"/>
  <c r="J343" i="4"/>
  <c r="J345" i="4"/>
  <c r="J347" i="4"/>
  <c r="J349" i="4"/>
  <c r="J351" i="4"/>
  <c r="J353" i="4"/>
  <c r="J355" i="4"/>
  <c r="J357" i="4"/>
  <c r="J359" i="4"/>
  <c r="J361" i="4"/>
  <c r="J363" i="4"/>
  <c r="J365" i="4"/>
  <c r="J367" i="4"/>
  <c r="J369" i="4"/>
  <c r="J371" i="4"/>
  <c r="J373" i="4"/>
  <c r="J375" i="4"/>
  <c r="J377" i="4"/>
  <c r="J379" i="4"/>
  <c r="J381" i="4"/>
  <c r="J383" i="4"/>
  <c r="J385" i="4"/>
  <c r="J387" i="4"/>
  <c r="J389" i="4"/>
  <c r="J391" i="4"/>
  <c r="J393" i="4"/>
  <c r="J395" i="4"/>
  <c r="J397" i="4"/>
  <c r="J399" i="4"/>
  <c r="J401" i="4"/>
  <c r="J403" i="4"/>
  <c r="J405" i="4"/>
  <c r="V413" i="4"/>
  <c r="Q416" i="4"/>
  <c r="V417" i="4"/>
  <c r="Z418" i="4"/>
  <c r="V421" i="4"/>
  <c r="Z422" i="4"/>
  <c r="V425" i="4"/>
  <c r="Z426" i="4"/>
  <c r="V429" i="4"/>
  <c r="Z430" i="4"/>
  <c r="V433" i="4"/>
  <c r="Z434" i="4"/>
  <c r="V437" i="4"/>
  <c r="Z438" i="4"/>
  <c r="V441" i="4"/>
  <c r="Z442" i="4"/>
  <c r="V445" i="4"/>
  <c r="Z446" i="4"/>
  <c r="V449" i="4"/>
  <c r="Z450" i="4"/>
  <c r="V453" i="4"/>
  <c r="Z454" i="4"/>
  <c r="V457" i="4"/>
  <c r="Z458" i="4"/>
  <c r="V461" i="4"/>
  <c r="Z462" i="4"/>
  <c r="V465" i="4"/>
  <c r="Z466" i="4"/>
  <c r="V469" i="4"/>
  <c r="Z470" i="4"/>
  <c r="P480" i="4"/>
  <c r="P484" i="4"/>
  <c r="P488" i="4"/>
  <c r="P489" i="4"/>
  <c r="P490" i="4"/>
  <c r="Q318" i="4"/>
  <c r="Q320" i="4"/>
  <c r="Q322" i="4"/>
  <c r="Q324" i="4"/>
  <c r="Q326" i="4"/>
  <c r="Q328" i="4"/>
  <c r="Q330" i="4"/>
  <c r="Q332" i="4"/>
  <c r="Q334" i="4"/>
  <c r="Q336" i="4"/>
  <c r="Q338" i="4"/>
  <c r="Q340" i="4"/>
  <c r="Q342" i="4"/>
  <c r="Q344" i="4"/>
  <c r="Q346" i="4"/>
  <c r="Q348" i="4"/>
  <c r="Q352" i="4"/>
  <c r="Q354" i="4"/>
  <c r="Q356" i="4"/>
  <c r="Q358" i="4"/>
  <c r="Q360" i="4"/>
  <c r="Q362" i="4"/>
  <c r="Q364" i="4"/>
  <c r="Q366" i="4"/>
  <c r="Q368" i="4"/>
  <c r="Q370" i="4"/>
  <c r="Q372" i="4"/>
  <c r="Q374" i="4"/>
  <c r="Q376" i="4"/>
  <c r="Q378" i="4"/>
  <c r="Q380" i="4"/>
  <c r="Q382" i="4"/>
  <c r="Q384" i="4"/>
  <c r="Q386" i="4"/>
  <c r="Q390" i="4"/>
  <c r="Q392" i="4"/>
  <c r="Q394" i="4"/>
  <c r="Q398" i="4"/>
  <c r="Q400" i="4"/>
  <c r="Q402" i="4"/>
  <c r="Q410" i="4"/>
  <c r="Q412" i="4"/>
  <c r="P413" i="4"/>
  <c r="V416" i="4"/>
  <c r="V420" i="4"/>
  <c r="V424" i="4"/>
  <c r="V428" i="4"/>
  <c r="V432" i="4"/>
  <c r="V436" i="4"/>
  <c r="V440" i="4"/>
  <c r="V444" i="4"/>
  <c r="V448" i="4"/>
  <c r="V452" i="4"/>
  <c r="V456" i="4"/>
  <c r="V460" i="4"/>
  <c r="V464" i="4"/>
  <c r="V468" i="4"/>
  <c r="V472" i="4"/>
  <c r="Q475" i="4"/>
  <c r="P476" i="4"/>
  <c r="V476" i="4"/>
  <c r="P477" i="4"/>
  <c r="V477" i="4"/>
  <c r="Z477" i="4"/>
  <c r="P481" i="4"/>
  <c r="Z481" i="4"/>
  <c r="P485" i="4"/>
  <c r="AK375" i="4" s="1"/>
  <c r="AL375" i="4" s="1"/>
  <c r="Z485" i="4"/>
  <c r="P491" i="4"/>
  <c r="D3" i="9"/>
  <c r="C5" i="9"/>
  <c r="C3" i="9"/>
  <c r="G17" i="10"/>
  <c r="G16" i="10"/>
  <c r="G15" i="10"/>
  <c r="G14" i="10"/>
  <c r="G13" i="10"/>
  <c r="G12" i="10"/>
  <c r="G11" i="10"/>
  <c r="G10" i="10"/>
  <c r="G9" i="10"/>
  <c r="G8" i="10"/>
  <c r="G7" i="10"/>
  <c r="G6" i="10"/>
  <c r="G5" i="10"/>
  <c r="G4" i="10"/>
  <c r="G3" i="10"/>
  <c r="G2" i="10"/>
  <c r="Q488" i="4"/>
  <c r="Q489" i="4"/>
  <c r="Q490" i="4"/>
  <c r="Q491" i="4"/>
  <c r="Q492" i="4"/>
  <c r="C5" i="5" a="1"/>
  <c r="C5" i="5" s="1"/>
  <c r="I4" i="2" s="1"/>
  <c r="D33" i="8"/>
  <c r="E10" i="5" s="1"/>
  <c r="G8" i="2" s="1"/>
  <c r="C57" i="8"/>
  <c r="V478" i="4"/>
  <c r="V479" i="4"/>
  <c r="V480" i="4"/>
  <c r="V481" i="4"/>
  <c r="V482" i="4"/>
  <c r="V483" i="4"/>
  <c r="V484" i="4"/>
  <c r="V485" i="4"/>
  <c r="V486" i="4"/>
  <c r="V487" i="4"/>
  <c r="V488" i="4"/>
  <c r="V489" i="4"/>
  <c r="V490" i="4"/>
  <c r="V491" i="4"/>
  <c r="V492" i="4"/>
  <c r="B39" i="8"/>
  <c r="I2" i="10"/>
  <c r="I3" i="10"/>
  <c r="I4" i="10"/>
  <c r="I5" i="10"/>
  <c r="I6" i="10"/>
  <c r="I7" i="10"/>
  <c r="I8" i="10"/>
  <c r="I9" i="10"/>
  <c r="I10" i="10"/>
  <c r="I11" i="10"/>
  <c r="I12" i="10"/>
  <c r="I13" i="10"/>
  <c r="I14" i="10"/>
  <c r="I15" i="10"/>
  <c r="I16" i="10"/>
  <c r="B58" i="8"/>
  <c r="B40" i="8"/>
  <c r="C40" i="8" s="1"/>
  <c r="U13" i="13"/>
  <c r="E18" i="2" s="1"/>
  <c r="AK309" i="4" l="1"/>
  <c r="AL309" i="4" s="1"/>
  <c r="W370" i="13"/>
  <c r="W374" i="13"/>
  <c r="W378" i="13"/>
  <c r="W382" i="13"/>
  <c r="W386" i="13"/>
  <c r="W460" i="13"/>
  <c r="W429" i="13"/>
  <c r="AK394" i="4"/>
  <c r="AL394" i="4" s="1"/>
  <c r="AK390" i="4"/>
  <c r="AL390" i="4" s="1"/>
  <c r="AK26" i="4"/>
  <c r="AL26" i="4" s="1"/>
  <c r="AK18" i="4"/>
  <c r="AL18" i="4" s="1"/>
  <c r="AK212" i="4"/>
  <c r="AL212" i="4" s="1"/>
  <c r="B196" i="12"/>
  <c r="E196" i="12" s="1"/>
  <c r="L198" i="12"/>
  <c r="F200" i="12"/>
  <c r="C203" i="12"/>
  <c r="D206" i="12"/>
  <c r="G207" i="12"/>
  <c r="H210" i="12"/>
  <c r="B212" i="12"/>
  <c r="E212" i="12" s="1"/>
  <c r="G214" i="12"/>
  <c r="F219" i="12"/>
  <c r="B223" i="12"/>
  <c r="E223" i="12" s="1"/>
  <c r="D135" i="12"/>
  <c r="G136" i="12"/>
  <c r="H139" i="12"/>
  <c r="B141" i="12"/>
  <c r="E141" i="12" s="1"/>
  <c r="L143" i="12"/>
  <c r="F145" i="12"/>
  <c r="G148" i="12"/>
  <c r="L151" i="12"/>
  <c r="F153" i="12"/>
  <c r="C156" i="12"/>
  <c r="D159" i="12"/>
  <c r="G160" i="12"/>
  <c r="H163" i="12"/>
  <c r="B165" i="12"/>
  <c r="E165" i="12" s="1"/>
  <c r="L167" i="12"/>
  <c r="F169" i="12"/>
  <c r="C172" i="12"/>
  <c r="D175" i="12"/>
  <c r="G176" i="12"/>
  <c r="H179" i="12"/>
  <c r="B181" i="12"/>
  <c r="E181" i="12" s="1"/>
  <c r="L183" i="12"/>
  <c r="F185" i="12"/>
  <c r="C188" i="12"/>
  <c r="D191" i="12"/>
  <c r="G192" i="12"/>
  <c r="H195" i="12"/>
  <c r="B197" i="12"/>
  <c r="E197" i="12" s="1"/>
  <c r="L199" i="12"/>
  <c r="F201" i="12"/>
  <c r="C204" i="12"/>
  <c r="D207" i="12"/>
  <c r="G208" i="12"/>
  <c r="H211" i="12"/>
  <c r="L212" i="12"/>
  <c r="D218" i="12"/>
  <c r="H222" i="12"/>
  <c r="L226" i="12"/>
  <c r="L234" i="12"/>
  <c r="D136" i="12"/>
  <c r="F138" i="12"/>
  <c r="B142" i="12"/>
  <c r="E142" i="12" s="1"/>
  <c r="B146" i="12"/>
  <c r="E146" i="12" s="1"/>
  <c r="C149" i="12"/>
  <c r="H152" i="12"/>
  <c r="D156" i="12"/>
  <c r="F158" i="12"/>
  <c r="B162" i="12"/>
  <c r="E162" i="12" s="1"/>
  <c r="B166" i="12"/>
  <c r="E166" i="12" s="1"/>
  <c r="G169" i="12"/>
  <c r="C173" i="12"/>
  <c r="C177" i="12"/>
  <c r="L180" i="12"/>
  <c r="D184" i="12"/>
  <c r="F186" i="12"/>
  <c r="G189" i="12"/>
  <c r="L192" i="12"/>
  <c r="C197" i="12"/>
  <c r="G201" i="12"/>
  <c r="B206" i="12"/>
  <c r="E206" i="12" s="1"/>
  <c r="F210" i="12"/>
  <c r="G218" i="12"/>
  <c r="B227" i="12"/>
  <c r="E227" i="12" s="1"/>
  <c r="G134" i="12"/>
  <c r="B139" i="12"/>
  <c r="E139" i="12" s="1"/>
  <c r="F143" i="12"/>
  <c r="D149" i="12"/>
  <c r="C154" i="12"/>
  <c r="G158" i="12"/>
  <c r="B163" i="12"/>
  <c r="E163" i="12" s="1"/>
  <c r="F167" i="12"/>
  <c r="D173" i="12"/>
  <c r="H177" i="12"/>
  <c r="C182" i="12"/>
  <c r="G186" i="12"/>
  <c r="B191" i="12"/>
  <c r="E191" i="12" s="1"/>
  <c r="F195" i="12"/>
  <c r="D201" i="12"/>
  <c r="H205" i="12"/>
  <c r="L209" i="12"/>
  <c r="B216" i="12"/>
  <c r="E216" i="12" s="1"/>
  <c r="C227" i="12"/>
  <c r="D216" i="12"/>
  <c r="H220" i="12"/>
  <c r="C225" i="12"/>
  <c r="B230" i="12"/>
  <c r="E230" i="12" s="1"/>
  <c r="D236" i="12"/>
  <c r="C241" i="12"/>
  <c r="C230" i="12"/>
  <c r="B235" i="12"/>
  <c r="E235" i="12" s="1"/>
  <c r="D241" i="12"/>
  <c r="B240" i="12"/>
  <c r="E240" i="12" s="1"/>
  <c r="B213" i="12"/>
  <c r="E213" i="12" s="1"/>
  <c r="F217" i="12"/>
  <c r="D223" i="12"/>
  <c r="L227" i="12"/>
  <c r="G232" i="12"/>
  <c r="F237" i="12"/>
  <c r="L243" i="12"/>
  <c r="C6" i="9"/>
  <c r="AK291" i="4"/>
  <c r="AL291" i="4" s="1"/>
  <c r="AK398" i="4"/>
  <c r="AL398" i="4" s="1"/>
  <c r="AK301" i="4"/>
  <c r="AL301" i="4" s="1"/>
  <c r="C4" i="9"/>
  <c r="AK341" i="4"/>
  <c r="AL341" i="4" s="1"/>
  <c r="AK345" i="4"/>
  <c r="AL345" i="4" s="1"/>
  <c r="AK353" i="4"/>
  <c r="AL353" i="4" s="1"/>
  <c r="AK304" i="4"/>
  <c r="AL304" i="4" s="1"/>
  <c r="AK311" i="4"/>
  <c r="AL311" i="4" s="1"/>
  <c r="AK303" i="4"/>
  <c r="AL303" i="4" s="1"/>
  <c r="AK330" i="4"/>
  <c r="AL330" i="4" s="1"/>
  <c r="AK334" i="4"/>
  <c r="AL334" i="4" s="1"/>
  <c r="AK400" i="4"/>
  <c r="AL400" i="4" s="1"/>
  <c r="W14" i="13"/>
  <c r="W27" i="13"/>
  <c r="W31" i="13"/>
  <c r="W35" i="13"/>
  <c r="W39" i="13"/>
  <c r="W43" i="13"/>
  <c r="W47" i="13"/>
  <c r="W51" i="13"/>
  <c r="W55" i="13"/>
  <c r="W59" i="13"/>
  <c r="W63" i="13"/>
  <c r="W67" i="13"/>
  <c r="W71" i="13"/>
  <c r="W75" i="13"/>
  <c r="W79" i="13"/>
  <c r="W83" i="13"/>
  <c r="W87" i="13"/>
  <c r="W91" i="13"/>
  <c r="W95" i="13"/>
  <c r="W99" i="13"/>
  <c r="W103" i="13"/>
  <c r="W107" i="13"/>
  <c r="W111" i="13"/>
  <c r="W115" i="13"/>
  <c r="W119" i="13"/>
  <c r="W123" i="13"/>
  <c r="W127" i="13"/>
  <c r="W131" i="13"/>
  <c r="W135" i="13"/>
  <c r="W346" i="13"/>
  <c r="W179" i="13"/>
  <c r="W195" i="13"/>
  <c r="W286" i="13"/>
  <c r="W436" i="13"/>
  <c r="W468" i="13"/>
  <c r="W471" i="13"/>
  <c r="W479" i="13"/>
  <c r="W487" i="13"/>
  <c r="AK37" i="4"/>
  <c r="AL37" i="4" s="1"/>
  <c r="AK33" i="4"/>
  <c r="AL33" i="4" s="1"/>
  <c r="AK29" i="4"/>
  <c r="AL29" i="4" s="1"/>
  <c r="AK25" i="4"/>
  <c r="AL25" i="4" s="1"/>
  <c r="AK21" i="4"/>
  <c r="AL21" i="4" s="1"/>
  <c r="AK13" i="4"/>
  <c r="AL13" i="4" s="1"/>
  <c r="AK9" i="4"/>
  <c r="AL9" i="4" s="1"/>
  <c r="S15" i="13"/>
  <c r="C59" i="8"/>
  <c r="AK328" i="4"/>
  <c r="AL328" i="4" s="1"/>
  <c r="AK313" i="4"/>
  <c r="AL313" i="4" s="1"/>
  <c r="AK292" i="4"/>
  <c r="AL292" i="4" s="1"/>
  <c r="AK320" i="4"/>
  <c r="AL320" i="4" s="1"/>
  <c r="C42" i="8"/>
  <c r="AK357" i="4"/>
  <c r="AL357" i="4" s="1"/>
  <c r="AK361" i="4"/>
  <c r="AL361" i="4" s="1"/>
  <c r="AK373" i="4"/>
  <c r="AL373" i="4" s="1"/>
  <c r="AK43" i="4"/>
  <c r="AL43" i="4" s="1"/>
  <c r="AK8" i="4"/>
  <c r="AL8" i="4" s="1"/>
  <c r="AK118" i="4"/>
  <c r="AL118" i="4" s="1"/>
  <c r="L175" i="12"/>
  <c r="C180" i="12"/>
  <c r="D183" i="12"/>
  <c r="G184" i="12"/>
  <c r="H187" i="12"/>
  <c r="B189" i="12"/>
  <c r="E189" i="12" s="1"/>
  <c r="L191" i="12"/>
  <c r="F193" i="12"/>
  <c r="C196" i="12"/>
  <c r="D199" i="12"/>
  <c r="G200" i="12"/>
  <c r="H203" i="12"/>
  <c r="B205" i="12"/>
  <c r="E205" i="12" s="1"/>
  <c r="L207" i="12"/>
  <c r="F209" i="12"/>
  <c r="C212" i="12"/>
  <c r="C215" i="12"/>
  <c r="G219" i="12"/>
  <c r="F224" i="12"/>
  <c r="C231" i="12"/>
  <c r="C137" i="12"/>
  <c r="C141" i="12"/>
  <c r="L144" i="12"/>
  <c r="D148" i="12"/>
  <c r="F150" i="12"/>
  <c r="G153" i="12"/>
  <c r="C157" i="12"/>
  <c r="C161" i="12"/>
  <c r="L164" i="12"/>
  <c r="D168" i="12"/>
  <c r="D172" i="12"/>
  <c r="F174" i="12"/>
  <c r="B178" i="12"/>
  <c r="E178" i="12" s="1"/>
  <c r="B182" i="12"/>
  <c r="E182" i="12" s="1"/>
  <c r="C185" i="12"/>
  <c r="H188" i="12"/>
  <c r="D192" i="12"/>
  <c r="F194" i="12"/>
  <c r="D200" i="12"/>
  <c r="H204" i="12"/>
  <c r="L208" i="12"/>
  <c r="C214" i="12"/>
  <c r="F223" i="12"/>
  <c r="F236" i="12"/>
  <c r="H137" i="12"/>
  <c r="L141" i="12"/>
  <c r="C146" i="12"/>
  <c r="B151" i="12"/>
  <c r="E151" i="12" s="1"/>
  <c r="D157" i="12"/>
  <c r="H161" i="12"/>
  <c r="L165" i="12"/>
  <c r="C170" i="12"/>
  <c r="G174" i="12"/>
  <c r="B179" i="12"/>
  <c r="E179" i="12" s="1"/>
  <c r="D185" i="12"/>
  <c r="H189" i="12"/>
  <c r="L193" i="12"/>
  <c r="C198" i="12"/>
  <c r="G202" i="12"/>
  <c r="B207" i="12"/>
  <c r="E207" i="12" s="1"/>
  <c r="F211" i="12"/>
  <c r="D222" i="12"/>
  <c r="C213" i="12"/>
  <c r="G217" i="12"/>
  <c r="B222" i="12"/>
  <c r="E222" i="12" s="1"/>
  <c r="D228" i="12"/>
  <c r="C233" i="12"/>
  <c r="B238" i="12"/>
  <c r="E238" i="12" s="1"/>
  <c r="D244" i="12"/>
  <c r="D233" i="12"/>
  <c r="C238" i="12"/>
  <c r="B243" i="12"/>
  <c r="E243" i="12" s="1"/>
  <c r="C243" i="12"/>
  <c r="L215" i="12"/>
  <c r="C220" i="12"/>
  <c r="G224" i="12"/>
  <c r="F229" i="12"/>
  <c r="L235" i="12"/>
  <c r="AK298" i="4"/>
  <c r="AL298" i="4" s="1"/>
  <c r="AK412" i="4"/>
  <c r="AL412" i="4" s="1"/>
  <c r="AK381" i="4"/>
  <c r="AL381" i="4" s="1"/>
  <c r="AK299" i="4"/>
  <c r="AL299" i="4" s="1"/>
  <c r="AK316" i="4"/>
  <c r="AL316" i="4" s="1"/>
  <c r="AK402" i="4"/>
  <c r="AL402" i="4" s="1"/>
  <c r="AK27" i="4"/>
  <c r="AL27" i="4" s="1"/>
  <c r="AK11" i="4"/>
  <c r="AL11" i="4" s="1"/>
  <c r="AK5" i="4"/>
  <c r="AL5" i="4" s="1"/>
  <c r="AK44" i="4"/>
  <c r="AL44" i="4" s="1"/>
  <c r="D243" i="12"/>
  <c r="C240" i="12"/>
  <c r="B237" i="12"/>
  <c r="E237" i="12" s="1"/>
  <c r="D235" i="12"/>
  <c r="C232" i="12"/>
  <c r="B229" i="12"/>
  <c r="E229" i="12" s="1"/>
  <c r="D227" i="12"/>
  <c r="C224" i="12"/>
  <c r="F221" i="12"/>
  <c r="L219" i="12"/>
  <c r="B217" i="12"/>
  <c r="E217" i="12" s="1"/>
  <c r="H215" i="12"/>
  <c r="F244" i="12"/>
  <c r="L242" i="12"/>
  <c r="G239" i="12"/>
  <c r="G242" i="12"/>
  <c r="F239" i="12"/>
  <c r="L237" i="12"/>
  <c r="G234" i="12"/>
  <c r="F231" i="12"/>
  <c r="L229" i="12"/>
  <c r="F242" i="12"/>
  <c r="L240" i="12"/>
  <c r="G237" i="12"/>
  <c r="F234" i="12"/>
  <c r="L232" i="12"/>
  <c r="G229" i="12"/>
  <c r="F226" i="12"/>
  <c r="L224" i="12"/>
  <c r="G221" i="12"/>
  <c r="D220" i="12"/>
  <c r="C217" i="12"/>
  <c r="F214" i="12"/>
  <c r="G235" i="12"/>
  <c r="B224" i="12"/>
  <c r="E224" i="12" s="1"/>
  <c r="F220" i="12"/>
  <c r="G215" i="12"/>
  <c r="B211" i="12"/>
  <c r="E211" i="12" s="1"/>
  <c r="H209" i="12"/>
  <c r="G206" i="12"/>
  <c r="D205" i="12"/>
  <c r="C202" i="12"/>
  <c r="F199" i="12"/>
  <c r="L197" i="12"/>
  <c r="B195" i="12"/>
  <c r="E195" i="12" s="1"/>
  <c r="H193" i="12"/>
  <c r="G190" i="12"/>
  <c r="D189" i="12"/>
  <c r="C186" i="12"/>
  <c r="F183" i="12"/>
  <c r="L181" i="12"/>
  <c r="G178" i="12"/>
  <c r="D177" i="12"/>
  <c r="C174" i="12"/>
  <c r="F171" i="12"/>
  <c r="L169" i="12"/>
  <c r="B167" i="12"/>
  <c r="E167" i="12" s="1"/>
  <c r="H165" i="12"/>
  <c r="G162" i="12"/>
  <c r="D161" i="12"/>
  <c r="C158" i="12"/>
  <c r="F155" i="12"/>
  <c r="L153" i="12"/>
  <c r="G150" i="12"/>
  <c r="F147" i="12"/>
  <c r="L145" i="12"/>
  <c r="B143" i="12"/>
  <c r="E143" i="12" s="1"/>
  <c r="H141" i="12"/>
  <c r="G138" i="12"/>
  <c r="D137" i="12"/>
  <c r="C134" i="12"/>
  <c r="C235" i="12"/>
  <c r="G226" i="12"/>
  <c r="C222" i="12"/>
  <c r="L217" i="12"/>
  <c r="H213" i="12"/>
  <c r="B210" i="12"/>
  <c r="E210" i="12" s="1"/>
  <c r="H208" i="12"/>
  <c r="G205" i="12"/>
  <c r="D204" i="12"/>
  <c r="C201" i="12"/>
  <c r="F198" i="12"/>
  <c r="L196" i="12"/>
  <c r="B194" i="12"/>
  <c r="E194" i="12" s="1"/>
  <c r="C244" i="12"/>
  <c r="B241" i="12"/>
  <c r="E241" i="12" s="1"/>
  <c r="D239" i="12"/>
  <c r="C236" i="12"/>
  <c r="B233" i="12"/>
  <c r="E233" i="12" s="1"/>
  <c r="D231" i="12"/>
  <c r="C228" i="12"/>
  <c r="B225" i="12"/>
  <c r="E225" i="12" s="1"/>
  <c r="H223" i="12"/>
  <c r="G220" i="12"/>
  <c r="D219" i="12"/>
  <c r="C216" i="12"/>
  <c r="F213" i="12"/>
  <c r="G243" i="12"/>
  <c r="F240" i="12"/>
  <c r="F243" i="12"/>
  <c r="L241" i="12"/>
  <c r="G238" i="12"/>
  <c r="F235" i="12"/>
  <c r="L233" i="12"/>
  <c r="G230" i="12"/>
  <c r="L244" i="12"/>
  <c r="G241" i="12"/>
  <c r="F238" i="12"/>
  <c r="L236" i="12"/>
  <c r="G233" i="12"/>
  <c r="F230" i="12"/>
  <c r="L228" i="12"/>
  <c r="G225" i="12"/>
  <c r="F222" i="12"/>
  <c r="L220" i="12"/>
  <c r="B218" i="12"/>
  <c r="E218" i="12" s="1"/>
  <c r="H216" i="12"/>
  <c r="G213" i="12"/>
  <c r="B228" i="12"/>
  <c r="E228" i="12" s="1"/>
  <c r="L222" i="12"/>
  <c r="H218" i="12"/>
  <c r="D214" i="12"/>
  <c r="C210" i="12"/>
  <c r="F207" i="12"/>
  <c r="L205" i="12"/>
  <c r="B203" i="12"/>
  <c r="E203" i="12" s="1"/>
  <c r="H201" i="12"/>
  <c r="G198" i="12"/>
  <c r="D197" i="12"/>
  <c r="C194" i="12"/>
  <c r="F191" i="12"/>
  <c r="L189" i="12"/>
  <c r="B187" i="12"/>
  <c r="E187" i="12" s="1"/>
  <c r="H185" i="12"/>
  <c r="G182" i="12"/>
  <c r="F179" i="12"/>
  <c r="L177" i="12"/>
  <c r="B175" i="12"/>
  <c r="E175" i="12" s="1"/>
  <c r="H173" i="12"/>
  <c r="G170" i="12"/>
  <c r="D169" i="12"/>
  <c r="C166" i="12"/>
  <c r="F163" i="12"/>
  <c r="L161" i="12"/>
  <c r="B159" i="12"/>
  <c r="E159" i="12" s="1"/>
  <c r="H157" i="12"/>
  <c r="G154" i="12"/>
  <c r="F151" i="12"/>
  <c r="L149" i="12"/>
  <c r="G146" i="12"/>
  <c r="D145" i="12"/>
  <c r="C142" i="12"/>
  <c r="F139" i="12"/>
  <c r="L137" i="12"/>
  <c r="B135" i="12"/>
  <c r="E135" i="12" s="1"/>
  <c r="L238" i="12"/>
  <c r="D230" i="12"/>
  <c r="D225" i="12"/>
  <c r="B219" i="12"/>
  <c r="E219" i="12" s="1"/>
  <c r="F215" i="12"/>
  <c r="D212" i="12"/>
  <c r="C209" i="12"/>
  <c r="F206" i="12"/>
  <c r="L204" i="12"/>
  <c r="B202" i="12"/>
  <c r="E202" i="12" s="1"/>
  <c r="H200" i="12"/>
  <c r="G197" i="12"/>
  <c r="D196" i="12"/>
  <c r="C193" i="12"/>
  <c r="F190" i="12"/>
  <c r="L188" i="12"/>
  <c r="B186" i="12"/>
  <c r="E186" i="12" s="1"/>
  <c r="H184" i="12"/>
  <c r="G181" i="12"/>
  <c r="F178" i="12"/>
  <c r="L176" i="12"/>
  <c r="G173" i="12"/>
  <c r="F170" i="12"/>
  <c r="L168" i="12"/>
  <c r="G165" i="12"/>
  <c r="F162" i="12"/>
  <c r="L160" i="12"/>
  <c r="G157" i="12"/>
  <c r="F154" i="12"/>
  <c r="L152" i="12"/>
  <c r="B150" i="12"/>
  <c r="E150" i="12" s="1"/>
  <c r="H148" i="12"/>
  <c r="G145" i="12"/>
  <c r="F142" i="12"/>
  <c r="L140" i="12"/>
  <c r="G137" i="12"/>
  <c r="F134" i="12"/>
  <c r="F32" i="8"/>
  <c r="F34" i="8"/>
  <c r="AF492" i="4"/>
  <c r="G57" i="8"/>
  <c r="M9" i="5" s="1"/>
  <c r="I57" i="8"/>
  <c r="I3" i="9" s="1"/>
  <c r="H3" i="9" s="1"/>
  <c r="E57" i="8"/>
  <c r="E3" i="9"/>
  <c r="AF468" i="4"/>
  <c r="S14" i="13"/>
  <c r="C58" i="8"/>
  <c r="AF438" i="4" s="1"/>
  <c r="AF490" i="4"/>
  <c r="AF486" i="4"/>
  <c r="G5" i="9"/>
  <c r="F5" i="9"/>
  <c r="D4" i="9"/>
  <c r="E4" i="9" s="1"/>
  <c r="D6" i="9"/>
  <c r="E6" i="9" s="1"/>
  <c r="AF477" i="4"/>
  <c r="AF460" i="4"/>
  <c r="AF444" i="4"/>
  <c r="AF428" i="4"/>
  <c r="AK347" i="4"/>
  <c r="AL347" i="4" s="1"/>
  <c r="AK343" i="4"/>
  <c r="AL343" i="4" s="1"/>
  <c r="AK339" i="4"/>
  <c r="AL339" i="4" s="1"/>
  <c r="AF470" i="4"/>
  <c r="AF454" i="4"/>
  <c r="AF422" i="4"/>
  <c r="AF467" i="4"/>
  <c r="AF451" i="4"/>
  <c r="AF423" i="4"/>
  <c r="AF315" i="4"/>
  <c r="AF313" i="4"/>
  <c r="AF309" i="4"/>
  <c r="AF307" i="4"/>
  <c r="AF305" i="4"/>
  <c r="AF303" i="4"/>
  <c r="AF301" i="4"/>
  <c r="AF299" i="4"/>
  <c r="AF297" i="4"/>
  <c r="AK293" i="4"/>
  <c r="AL293" i="4" s="1"/>
  <c r="AF220" i="4"/>
  <c r="AF216" i="4"/>
  <c r="AF212" i="4"/>
  <c r="AF208" i="4"/>
  <c r="AF204" i="4"/>
  <c r="AF200" i="4"/>
  <c r="AF196" i="4"/>
  <c r="AF192" i="4"/>
  <c r="AF188" i="4"/>
  <c r="AF184" i="4"/>
  <c r="AF180" i="4"/>
  <c r="AF171" i="4"/>
  <c r="AF163" i="4"/>
  <c r="AF155" i="4"/>
  <c r="AF146" i="4"/>
  <c r="AF137" i="4"/>
  <c r="AF129" i="4"/>
  <c r="AF120" i="4"/>
  <c r="AF112" i="4"/>
  <c r="AF104" i="4"/>
  <c r="AF96" i="4"/>
  <c r="AF88" i="4"/>
  <c r="AF80" i="4"/>
  <c r="AF72" i="4"/>
  <c r="AF64" i="4"/>
  <c r="AF56" i="4"/>
  <c r="AF48" i="4"/>
  <c r="AF316" i="4"/>
  <c r="AF332" i="4"/>
  <c r="AF344" i="4"/>
  <c r="AF348" i="4"/>
  <c r="AF356" i="4"/>
  <c r="AF360" i="4"/>
  <c r="AF364" i="4"/>
  <c r="AF374" i="4"/>
  <c r="AF384" i="4"/>
  <c r="AF388" i="4"/>
  <c r="AF402" i="4"/>
  <c r="AF406" i="4"/>
  <c r="AK317" i="4"/>
  <c r="AL317" i="4" s="1"/>
  <c r="AK331" i="4"/>
  <c r="AL331" i="4" s="1"/>
  <c r="AK399" i="4"/>
  <c r="AL399" i="4" s="1"/>
  <c r="AK403" i="4"/>
  <c r="AL403" i="4" s="1"/>
  <c r="AF410" i="4"/>
  <c r="AK332" i="4"/>
  <c r="AL332" i="4" s="1"/>
  <c r="F33" i="8"/>
  <c r="W13" i="13"/>
  <c r="W6" i="13"/>
  <c r="W7" i="13"/>
  <c r="W8" i="13"/>
  <c r="W5" i="13"/>
  <c r="W211" i="13"/>
  <c r="W208" i="13"/>
  <c r="W212" i="13"/>
  <c r="W216" i="13"/>
  <c r="W220" i="13"/>
  <c r="W224" i="13"/>
  <c r="W228" i="13"/>
  <c r="W232" i="13"/>
  <c r="W236" i="13"/>
  <c r="W240" i="13"/>
  <c r="W244" i="13"/>
  <c r="W248" i="13"/>
  <c r="W252" i="13"/>
  <c r="W256" i="13"/>
  <c r="W260" i="13"/>
  <c r="W264" i="13"/>
  <c r="W217" i="13"/>
  <c r="W221" i="13"/>
  <c r="W225" i="13"/>
  <c r="W229" i="13"/>
  <c r="W233" i="13"/>
  <c r="W237" i="13"/>
  <c r="W241" i="13"/>
  <c r="W245" i="13"/>
  <c r="W249" i="13"/>
  <c r="W253" i="13"/>
  <c r="W257" i="13"/>
  <c r="W261" i="13"/>
  <c r="W265" i="13"/>
  <c r="W269" i="13"/>
  <c r="W273" i="13"/>
  <c r="W277" i="13"/>
  <c r="W366" i="13"/>
  <c r="W393" i="13"/>
  <c r="W397" i="13"/>
  <c r="W401" i="13"/>
  <c r="W405" i="13"/>
  <c r="W409" i="13"/>
  <c r="W413" i="13"/>
  <c r="W417" i="13"/>
  <c r="W421" i="13"/>
  <c r="W425" i="13"/>
  <c r="W433" i="13"/>
  <c r="W437" i="13"/>
  <c r="W445" i="13"/>
  <c r="W453" i="13"/>
  <c r="W461" i="13"/>
  <c r="W469" i="13"/>
  <c r="AK410" i="4"/>
  <c r="AL410" i="4" s="1"/>
  <c r="AK307" i="4"/>
  <c r="AL307" i="4" s="1"/>
  <c r="AK305" i="4"/>
  <c r="AL305" i="4" s="1"/>
  <c r="AK297" i="4"/>
  <c r="AL297" i="4" s="1"/>
  <c r="J494" i="12"/>
  <c r="G493" i="12"/>
  <c r="D492" i="12"/>
  <c r="J490" i="12"/>
  <c r="G489" i="12"/>
  <c r="D488" i="12"/>
  <c r="J486" i="12"/>
  <c r="G485" i="12"/>
  <c r="D484" i="12"/>
  <c r="J482" i="12"/>
  <c r="G481" i="12"/>
  <c r="D480" i="12"/>
  <c r="J478" i="12"/>
  <c r="G477" i="12"/>
  <c r="D476" i="12"/>
  <c r="J474" i="12"/>
  <c r="G473" i="12"/>
  <c r="D472" i="12"/>
  <c r="J470" i="12"/>
  <c r="G469" i="12"/>
  <c r="D468" i="12"/>
  <c r="J466" i="12"/>
  <c r="G465" i="12"/>
  <c r="D464" i="12"/>
  <c r="J462" i="12"/>
  <c r="G461" i="12"/>
  <c r="D460" i="12"/>
  <c r="J458" i="12"/>
  <c r="G457" i="12"/>
  <c r="D456" i="12"/>
  <c r="J454" i="12"/>
  <c r="G453" i="12"/>
  <c r="D452" i="12"/>
  <c r="J450" i="12"/>
  <c r="G449" i="12"/>
  <c r="D448" i="12"/>
  <c r="J446" i="12"/>
  <c r="G445" i="12"/>
  <c r="D444" i="12"/>
  <c r="J442" i="12"/>
  <c r="G441" i="12"/>
  <c r="D440" i="12"/>
  <c r="J438" i="12"/>
  <c r="G437" i="12"/>
  <c r="D436" i="12"/>
  <c r="J434" i="12"/>
  <c r="G433" i="12"/>
  <c r="D432" i="12"/>
  <c r="J430" i="12"/>
  <c r="G429" i="12"/>
  <c r="D428" i="12"/>
  <c r="J426" i="12"/>
  <c r="G425" i="12"/>
  <c r="D424" i="12"/>
  <c r="J422" i="12"/>
  <c r="G421" i="12"/>
  <c r="D420" i="12"/>
  <c r="J418" i="12"/>
  <c r="G417" i="12"/>
  <c r="D416" i="12"/>
  <c r="J414" i="12"/>
  <c r="G413" i="12"/>
  <c r="D412" i="12"/>
  <c r="J410" i="12"/>
  <c r="G409" i="12"/>
  <c r="D408" i="12"/>
  <c r="G405" i="12"/>
  <c r="D404" i="12"/>
  <c r="G401" i="12"/>
  <c r="D400" i="12"/>
  <c r="G397" i="12"/>
  <c r="D396" i="12"/>
  <c r="G393" i="12"/>
  <c r="D392" i="12"/>
  <c r="G389" i="12"/>
  <c r="D388" i="12"/>
  <c r="G385" i="12"/>
  <c r="D384" i="12"/>
  <c r="G381" i="12"/>
  <c r="D380" i="12"/>
  <c r="G377" i="12"/>
  <c r="D376" i="12"/>
  <c r="G373" i="12"/>
  <c r="D372" i="12"/>
  <c r="G369" i="12"/>
  <c r="D368" i="12"/>
  <c r="G365" i="12"/>
  <c r="D364" i="12"/>
  <c r="G361" i="12"/>
  <c r="D360" i="12"/>
  <c r="G357" i="12"/>
  <c r="D356" i="12"/>
  <c r="G353" i="12"/>
  <c r="D352" i="12"/>
  <c r="G349" i="12"/>
  <c r="D348" i="12"/>
  <c r="G345" i="12"/>
  <c r="D344" i="12"/>
  <c r="G341" i="12"/>
  <c r="D340" i="12"/>
  <c r="G337" i="12"/>
  <c r="D336" i="12"/>
  <c r="G333" i="12"/>
  <c r="I494" i="12"/>
  <c r="B493" i="12"/>
  <c r="E493" i="12" s="1"/>
  <c r="L491" i="12"/>
  <c r="I490" i="12"/>
  <c r="B489" i="12"/>
  <c r="E489" i="12" s="1"/>
  <c r="L487" i="12"/>
  <c r="I486" i="12"/>
  <c r="B485" i="12"/>
  <c r="E485" i="12" s="1"/>
  <c r="L483" i="12"/>
  <c r="I482" i="12"/>
  <c r="B481" i="12"/>
  <c r="E481" i="12" s="1"/>
  <c r="L479" i="12"/>
  <c r="I478" i="12"/>
  <c r="B477" i="12"/>
  <c r="E477" i="12" s="1"/>
  <c r="L475" i="12"/>
  <c r="I474" i="12"/>
  <c r="B473" i="12"/>
  <c r="E473" i="12" s="1"/>
  <c r="L471" i="12"/>
  <c r="I470" i="12"/>
  <c r="B469" i="12"/>
  <c r="E469" i="12" s="1"/>
  <c r="L467" i="12"/>
  <c r="I466" i="12"/>
  <c r="B465" i="12"/>
  <c r="E465" i="12" s="1"/>
  <c r="L463" i="12"/>
  <c r="I462" i="12"/>
  <c r="B461" i="12"/>
  <c r="E461" i="12" s="1"/>
  <c r="L459" i="12"/>
  <c r="I458" i="12"/>
  <c r="B457" i="12"/>
  <c r="E457" i="12" s="1"/>
  <c r="L455" i="12"/>
  <c r="I454" i="12"/>
  <c r="B453" i="12"/>
  <c r="E453" i="12" s="1"/>
  <c r="L451" i="12"/>
  <c r="I450" i="12"/>
  <c r="B449" i="12"/>
  <c r="E449" i="12" s="1"/>
  <c r="L447" i="12"/>
  <c r="I446" i="12"/>
  <c r="B445" i="12"/>
  <c r="E445" i="12" s="1"/>
  <c r="L443" i="12"/>
  <c r="I442" i="12"/>
  <c r="B441" i="12"/>
  <c r="E441" i="12" s="1"/>
  <c r="L439" i="12"/>
  <c r="I438" i="12"/>
  <c r="B437" i="12"/>
  <c r="E437" i="12" s="1"/>
  <c r="L435" i="12"/>
  <c r="I434" i="12"/>
  <c r="B433" i="12"/>
  <c r="E433" i="12" s="1"/>
  <c r="L431" i="12"/>
  <c r="I430" i="12"/>
  <c r="B429" i="12"/>
  <c r="E429" i="12" s="1"/>
  <c r="L427" i="12"/>
  <c r="I426" i="12"/>
  <c r="B425" i="12"/>
  <c r="E425" i="12" s="1"/>
  <c r="L423" i="12"/>
  <c r="I422" i="12"/>
  <c r="B421" i="12"/>
  <c r="E421" i="12" s="1"/>
  <c r="L419" i="12"/>
  <c r="I418" i="12"/>
  <c r="B417" i="12"/>
  <c r="E417" i="12" s="1"/>
  <c r="L415" i="12"/>
  <c r="I414" i="12"/>
  <c r="B413" i="12"/>
  <c r="E413" i="12" s="1"/>
  <c r="L411" i="12"/>
  <c r="I410" i="12"/>
  <c r="B409" i="12"/>
  <c r="E409" i="12" s="1"/>
  <c r="L407" i="12"/>
  <c r="B405" i="12"/>
  <c r="E405" i="12" s="1"/>
  <c r="L403" i="12"/>
  <c r="B401" i="12"/>
  <c r="E401" i="12" s="1"/>
  <c r="L399" i="12"/>
  <c r="B397" i="12"/>
  <c r="E397" i="12" s="1"/>
  <c r="L395" i="12"/>
  <c r="B393" i="12"/>
  <c r="E393" i="12" s="1"/>
  <c r="L391" i="12"/>
  <c r="B389" i="12"/>
  <c r="E389" i="12" s="1"/>
  <c r="L387" i="12"/>
  <c r="B385" i="12"/>
  <c r="E385" i="12" s="1"/>
  <c r="L383" i="12"/>
  <c r="B381" i="12"/>
  <c r="E381" i="12" s="1"/>
  <c r="L379" i="12"/>
  <c r="B377" i="12"/>
  <c r="E377" i="12" s="1"/>
  <c r="L375" i="12"/>
  <c r="B373" i="12"/>
  <c r="E373" i="12" s="1"/>
  <c r="L371" i="12"/>
  <c r="B369" i="12"/>
  <c r="E369" i="12" s="1"/>
  <c r="L367" i="12"/>
  <c r="B365" i="12"/>
  <c r="E365" i="12" s="1"/>
  <c r="L363" i="12"/>
  <c r="B361" i="12"/>
  <c r="E361" i="12" s="1"/>
  <c r="L359" i="12"/>
  <c r="B357" i="12"/>
  <c r="E357" i="12" s="1"/>
  <c r="L355" i="12"/>
  <c r="B353" i="12"/>
  <c r="E353" i="12" s="1"/>
  <c r="L351" i="12"/>
  <c r="B349" i="12"/>
  <c r="E349" i="12" s="1"/>
  <c r="L347" i="12"/>
  <c r="B345" i="12"/>
  <c r="E345" i="12" s="1"/>
  <c r="L343" i="12"/>
  <c r="B341" i="12"/>
  <c r="E341" i="12" s="1"/>
  <c r="L339" i="12"/>
  <c r="B337" i="12"/>
  <c r="E337" i="12" s="1"/>
  <c r="L335" i="12"/>
  <c r="B333" i="12"/>
  <c r="E333" i="12" s="1"/>
  <c r="D494" i="12"/>
  <c r="J492" i="12"/>
  <c r="G491" i="12"/>
  <c r="D490" i="12"/>
  <c r="J488" i="12"/>
  <c r="G487" i="12"/>
  <c r="D486" i="12"/>
  <c r="J484" i="12"/>
  <c r="G483" i="12"/>
  <c r="D482" i="12"/>
  <c r="J480" i="12"/>
  <c r="G479" i="12"/>
  <c r="D478" i="12"/>
  <c r="J476" i="12"/>
  <c r="G475" i="12"/>
  <c r="D474" i="12"/>
  <c r="J472" i="12"/>
  <c r="G471" i="12"/>
  <c r="D470" i="12"/>
  <c r="J468" i="12"/>
  <c r="G467" i="12"/>
  <c r="D466" i="12"/>
  <c r="J464" i="12"/>
  <c r="G463" i="12"/>
  <c r="D462" i="12"/>
  <c r="J460" i="12"/>
  <c r="G459" i="12"/>
  <c r="D458" i="12"/>
  <c r="J456" i="12"/>
  <c r="G455" i="12"/>
  <c r="D454" i="12"/>
  <c r="J452" i="12"/>
  <c r="G451" i="12"/>
  <c r="D450" i="12"/>
  <c r="J448" i="12"/>
  <c r="G447" i="12"/>
  <c r="D446" i="12"/>
  <c r="J444" i="12"/>
  <c r="G443" i="12"/>
  <c r="D442" i="12"/>
  <c r="J440" i="12"/>
  <c r="G439" i="12"/>
  <c r="D438" i="12"/>
  <c r="J436" i="12"/>
  <c r="G435" i="12"/>
  <c r="D434" i="12"/>
  <c r="J432" i="12"/>
  <c r="G431" i="12"/>
  <c r="D430" i="12"/>
  <c r="J428" i="12"/>
  <c r="G427" i="12"/>
  <c r="D426" i="12"/>
  <c r="J424" i="12"/>
  <c r="G423" i="12"/>
  <c r="D422" i="12"/>
  <c r="J420" i="12"/>
  <c r="G419" i="12"/>
  <c r="D418" i="12"/>
  <c r="J416" i="12"/>
  <c r="G415" i="12"/>
  <c r="D414" i="12"/>
  <c r="J412" i="12"/>
  <c r="G411" i="12"/>
  <c r="D410" i="12"/>
  <c r="J408" i="12"/>
  <c r="G407" i="12"/>
  <c r="D406" i="12"/>
  <c r="G403" i="12"/>
  <c r="D402" i="12"/>
  <c r="G399" i="12"/>
  <c r="D398" i="12"/>
  <c r="G395" i="12"/>
  <c r="D394" i="12"/>
  <c r="G391" i="12"/>
  <c r="D390" i="12"/>
  <c r="G387" i="12"/>
  <c r="D386" i="12"/>
  <c r="G383" i="12"/>
  <c r="D382" i="12"/>
  <c r="G379" i="12"/>
  <c r="D378" i="12"/>
  <c r="G375" i="12"/>
  <c r="D374" i="12"/>
  <c r="G371" i="12"/>
  <c r="D370" i="12"/>
  <c r="G367" i="12"/>
  <c r="D366" i="12"/>
  <c r="G363" i="12"/>
  <c r="D362" i="12"/>
  <c r="G359" i="12"/>
  <c r="D358" i="12"/>
  <c r="G355" i="12"/>
  <c r="D354" i="12"/>
  <c r="K494" i="12"/>
  <c r="I488" i="12"/>
  <c r="J483" i="12"/>
  <c r="K478" i="12"/>
  <c r="I472" i="12"/>
  <c r="J467" i="12"/>
  <c r="K462" i="12"/>
  <c r="I456" i="12"/>
  <c r="J451" i="12"/>
  <c r="K446" i="12"/>
  <c r="I440" i="12"/>
  <c r="J435" i="12"/>
  <c r="K430" i="12"/>
  <c r="I424" i="12"/>
  <c r="J419" i="12"/>
  <c r="K414" i="12"/>
  <c r="I408" i="12"/>
  <c r="D346" i="12"/>
  <c r="D338" i="12"/>
  <c r="G331" i="12"/>
  <c r="D330" i="12"/>
  <c r="G327" i="12"/>
  <c r="D326" i="12"/>
  <c r="G323" i="12"/>
  <c r="D322" i="12"/>
  <c r="G319" i="12"/>
  <c r="D318" i="12"/>
  <c r="G315" i="12"/>
  <c r="D314" i="12"/>
  <c r="G311" i="12"/>
  <c r="D310" i="12"/>
  <c r="G307" i="12"/>
  <c r="D306" i="12"/>
  <c r="G303" i="12"/>
  <c r="N491" i="12"/>
  <c r="L485" i="12"/>
  <c r="M480" i="12"/>
  <c r="N475" i="12"/>
  <c r="L469" i="12"/>
  <c r="M464" i="12"/>
  <c r="N459" i="12"/>
  <c r="L453" i="12"/>
  <c r="M448" i="12"/>
  <c r="N443" i="12"/>
  <c r="L437" i="12"/>
  <c r="M432" i="12"/>
  <c r="N427" i="12"/>
  <c r="L421" i="12"/>
  <c r="M416" i="12"/>
  <c r="N411" i="12"/>
  <c r="L405" i="12"/>
  <c r="L389" i="12"/>
  <c r="L373" i="12"/>
  <c r="L357" i="12"/>
  <c r="L349" i="12"/>
  <c r="F347" i="12"/>
  <c r="L341" i="12"/>
  <c r="F339" i="12"/>
  <c r="L333" i="12"/>
  <c r="G330" i="12"/>
  <c r="D329" i="12"/>
  <c r="G326" i="12"/>
  <c r="D325" i="12"/>
  <c r="G322" i="12"/>
  <c r="D321" i="12"/>
  <c r="G318" i="12"/>
  <c r="D317" i="12"/>
  <c r="G314" i="12"/>
  <c r="D313" i="12"/>
  <c r="G310" i="12"/>
  <c r="M492" i="12"/>
  <c r="N487" i="12"/>
  <c r="L481" i="12"/>
  <c r="M476" i="12"/>
  <c r="N471" i="12"/>
  <c r="L465" i="12"/>
  <c r="M460" i="12"/>
  <c r="N455" i="12"/>
  <c r="L449" i="12"/>
  <c r="M444" i="12"/>
  <c r="N439" i="12"/>
  <c r="L433" i="12"/>
  <c r="M428" i="12"/>
  <c r="N423" i="12"/>
  <c r="L417" i="12"/>
  <c r="M412" i="12"/>
  <c r="L401" i="12"/>
  <c r="L385" i="12"/>
  <c r="L369" i="12"/>
  <c r="L353" i="12"/>
  <c r="L350" i="12"/>
  <c r="F348" i="12"/>
  <c r="L342" i="12"/>
  <c r="F340" i="12"/>
  <c r="L334" i="12"/>
  <c r="H332" i="12"/>
  <c r="H328" i="12"/>
  <c r="H324" i="12"/>
  <c r="F491" i="12"/>
  <c r="G486" i="12"/>
  <c r="H481" i="12"/>
  <c r="F475" i="12"/>
  <c r="G470" i="12"/>
  <c r="H465" i="12"/>
  <c r="F459" i="12"/>
  <c r="G454" i="12"/>
  <c r="H449" i="12"/>
  <c r="F443" i="12"/>
  <c r="G438" i="12"/>
  <c r="H433" i="12"/>
  <c r="F427" i="12"/>
  <c r="G422" i="12"/>
  <c r="H417" i="12"/>
  <c r="F411" i="12"/>
  <c r="G406" i="12"/>
  <c r="H401" i="12"/>
  <c r="F395" i="12"/>
  <c r="G390" i="12"/>
  <c r="H385" i="12"/>
  <c r="F379" i="12"/>
  <c r="G374" i="12"/>
  <c r="H369" i="12"/>
  <c r="F363" i="12"/>
  <c r="G358" i="12"/>
  <c r="H353" i="12"/>
  <c r="D345" i="12"/>
  <c r="L331" i="12"/>
  <c r="D319" i="12"/>
  <c r="D311" i="12"/>
  <c r="B309" i="12"/>
  <c r="E309" i="12" s="1"/>
  <c r="F307" i="12"/>
  <c r="C304" i="12"/>
  <c r="H299" i="12"/>
  <c r="H295" i="12"/>
  <c r="H291" i="12"/>
  <c r="H287" i="12"/>
  <c r="H283" i="12"/>
  <c r="H279" i="12"/>
  <c r="H275" i="12"/>
  <c r="H271" i="12"/>
  <c r="H267" i="12"/>
  <c r="H263" i="12"/>
  <c r="H259" i="12"/>
  <c r="H255" i="12"/>
  <c r="H251" i="12"/>
  <c r="H247" i="12"/>
  <c r="H316" i="12"/>
  <c r="G313" i="12"/>
  <c r="D305" i="12"/>
  <c r="D302" i="12"/>
  <c r="G299" i="12"/>
  <c r="D298" i="12"/>
  <c r="G295" i="12"/>
  <c r="D294" i="12"/>
  <c r="G291" i="12"/>
  <c r="D290" i="12"/>
  <c r="G287" i="12"/>
  <c r="D286" i="12"/>
  <c r="G283" i="12"/>
  <c r="D282" i="12"/>
  <c r="G279" i="12"/>
  <c r="D278" i="12"/>
  <c r="G275" i="12"/>
  <c r="D274" i="12"/>
  <c r="G271" i="12"/>
  <c r="D270" i="12"/>
  <c r="G267" i="12"/>
  <c r="D266" i="12"/>
  <c r="G263" i="12"/>
  <c r="D262" i="12"/>
  <c r="G259" i="12"/>
  <c r="D258" i="12"/>
  <c r="G255" i="12"/>
  <c r="D254" i="12"/>
  <c r="G251" i="12"/>
  <c r="D250" i="12"/>
  <c r="G247" i="12"/>
  <c r="D246" i="12"/>
  <c r="D337" i="12"/>
  <c r="L323" i="12"/>
  <c r="C320" i="12"/>
  <c r="B317" i="12"/>
  <c r="E317" i="12" s="1"/>
  <c r="C312" i="12"/>
  <c r="D309" i="12"/>
  <c r="G302" i="12"/>
  <c r="D301" i="12"/>
  <c r="G298" i="12"/>
  <c r="D297" i="12"/>
  <c r="F494" i="12"/>
  <c r="C493" i="12"/>
  <c r="M491" i="12"/>
  <c r="F490" i="12"/>
  <c r="C489" i="12"/>
  <c r="M487" i="12"/>
  <c r="F486" i="12"/>
  <c r="C485" i="12"/>
  <c r="M483" i="12"/>
  <c r="F482" i="12"/>
  <c r="C481" i="12"/>
  <c r="M479" i="12"/>
  <c r="F478" i="12"/>
  <c r="C477" i="12"/>
  <c r="M475" i="12"/>
  <c r="F474" i="12"/>
  <c r="C473" i="12"/>
  <c r="M471" i="12"/>
  <c r="F470" i="12"/>
  <c r="C469" i="12"/>
  <c r="M467" i="12"/>
  <c r="F466" i="12"/>
  <c r="C465" i="12"/>
  <c r="M463" i="12"/>
  <c r="F462" i="12"/>
  <c r="C461" i="12"/>
  <c r="M459" i="12"/>
  <c r="F458" i="12"/>
  <c r="C457" i="12"/>
  <c r="M455" i="12"/>
  <c r="F454" i="12"/>
  <c r="C453" i="12"/>
  <c r="M451" i="12"/>
  <c r="F450" i="12"/>
  <c r="C449" i="12"/>
  <c r="M447" i="12"/>
  <c r="F446" i="12"/>
  <c r="C445" i="12"/>
  <c r="M443" i="12"/>
  <c r="F442" i="12"/>
  <c r="C441" i="12"/>
  <c r="M439" i="12"/>
  <c r="F438" i="12"/>
  <c r="C437" i="12"/>
  <c r="M435" i="12"/>
  <c r="F434" i="12"/>
  <c r="C433" i="12"/>
  <c r="M431" i="12"/>
  <c r="F430" i="12"/>
  <c r="C429" i="12"/>
  <c r="M427" i="12"/>
  <c r="F426" i="12"/>
  <c r="C425" i="12"/>
  <c r="M423" i="12"/>
  <c r="F422" i="12"/>
  <c r="C421" i="12"/>
  <c r="M419" i="12"/>
  <c r="F418" i="12"/>
  <c r="C417" i="12"/>
  <c r="M415" i="12"/>
  <c r="F414" i="12"/>
  <c r="C413" i="12"/>
  <c r="M411" i="12"/>
  <c r="F410" i="12"/>
  <c r="C409" i="12"/>
  <c r="F406" i="12"/>
  <c r="C405" i="12"/>
  <c r="F402" i="12"/>
  <c r="C401" i="12"/>
  <c r="F398" i="12"/>
  <c r="C397" i="12"/>
  <c r="F394" i="12"/>
  <c r="C393" i="12"/>
  <c r="F390" i="12"/>
  <c r="C389" i="12"/>
  <c r="F386" i="12"/>
  <c r="C385" i="12"/>
  <c r="F382" i="12"/>
  <c r="C381" i="12"/>
  <c r="F378" i="12"/>
  <c r="C377" i="12"/>
  <c r="F374" i="12"/>
  <c r="C373" i="12"/>
  <c r="F370" i="12"/>
  <c r="C369" i="12"/>
  <c r="F366" i="12"/>
  <c r="C365" i="12"/>
  <c r="F362" i="12"/>
  <c r="C361" i="12"/>
  <c r="F358" i="12"/>
  <c r="C357" i="12"/>
  <c r="F354" i="12"/>
  <c r="C353" i="12"/>
  <c r="F350" i="12"/>
  <c r="C349" i="12"/>
  <c r="F346" i="12"/>
  <c r="C345" i="12"/>
  <c r="F342" i="12"/>
  <c r="C341" i="12"/>
  <c r="F338" i="12"/>
  <c r="C337" i="12"/>
  <c r="F334" i="12"/>
  <c r="C333" i="12"/>
  <c r="N493" i="12"/>
  <c r="K492" i="12"/>
  <c r="H491" i="12"/>
  <c r="N489" i="12"/>
  <c r="K488" i="12"/>
  <c r="H487" i="12"/>
  <c r="N485" i="12"/>
  <c r="K484" i="12"/>
  <c r="H483" i="12"/>
  <c r="N481" i="12"/>
  <c r="K480" i="12"/>
  <c r="H479" i="12"/>
  <c r="N477" i="12"/>
  <c r="K476" i="12"/>
  <c r="H475" i="12"/>
  <c r="N473" i="12"/>
  <c r="K472" i="12"/>
  <c r="H471" i="12"/>
  <c r="N469" i="12"/>
  <c r="K468" i="12"/>
  <c r="H467" i="12"/>
  <c r="N465" i="12"/>
  <c r="K464" i="12"/>
  <c r="H463" i="12"/>
  <c r="N461" i="12"/>
  <c r="K460" i="12"/>
  <c r="H459" i="12"/>
  <c r="N457" i="12"/>
  <c r="K456" i="12"/>
  <c r="H455" i="12"/>
  <c r="N453" i="12"/>
  <c r="K452" i="12"/>
  <c r="H451" i="12"/>
  <c r="N449" i="12"/>
  <c r="K448" i="12"/>
  <c r="H447" i="12"/>
  <c r="N445" i="12"/>
  <c r="K444" i="12"/>
  <c r="H443" i="12"/>
  <c r="N441" i="12"/>
  <c r="K440" i="12"/>
  <c r="H439" i="12"/>
  <c r="N437" i="12"/>
  <c r="K436" i="12"/>
  <c r="H435" i="12"/>
  <c r="N433" i="12"/>
  <c r="K432" i="12"/>
  <c r="H431" i="12"/>
  <c r="N429" i="12"/>
  <c r="K428" i="12"/>
  <c r="H427" i="12"/>
  <c r="N425" i="12"/>
  <c r="K424" i="12"/>
  <c r="H423" i="12"/>
  <c r="N421" i="12"/>
  <c r="K420" i="12"/>
  <c r="H419" i="12"/>
  <c r="N417" i="12"/>
  <c r="K416" i="12"/>
  <c r="H415" i="12"/>
  <c r="N413" i="12"/>
  <c r="K412" i="12"/>
  <c r="H411" i="12"/>
  <c r="N409" i="12"/>
  <c r="K408" i="12"/>
  <c r="H407" i="12"/>
  <c r="H403" i="12"/>
  <c r="H399" i="12"/>
  <c r="H395" i="12"/>
  <c r="H391" i="12"/>
  <c r="H387" i="12"/>
  <c r="H383" i="12"/>
  <c r="H379" i="12"/>
  <c r="H375" i="12"/>
  <c r="H371" i="12"/>
  <c r="H367" i="12"/>
  <c r="H363" i="12"/>
  <c r="H359" i="12"/>
  <c r="H355" i="12"/>
  <c r="H351" i="12"/>
  <c r="H347" i="12"/>
  <c r="H343" i="12"/>
  <c r="H339" i="12"/>
  <c r="H335" i="12"/>
  <c r="M493" i="12"/>
  <c r="F492" i="12"/>
  <c r="C491" i="12"/>
  <c r="M489" i="12"/>
  <c r="F488" i="12"/>
  <c r="C487" i="12"/>
  <c r="M485" i="12"/>
  <c r="F484" i="12"/>
  <c r="C483" i="12"/>
  <c r="M481" i="12"/>
  <c r="F480" i="12"/>
  <c r="C479" i="12"/>
  <c r="M477" i="12"/>
  <c r="F476" i="12"/>
  <c r="C475" i="12"/>
  <c r="M473" i="12"/>
  <c r="F472" i="12"/>
  <c r="C471" i="12"/>
  <c r="M469" i="12"/>
  <c r="F468" i="12"/>
  <c r="C467" i="12"/>
  <c r="M465" i="12"/>
  <c r="F464" i="12"/>
  <c r="C463" i="12"/>
  <c r="M461" i="12"/>
  <c r="F460" i="12"/>
  <c r="C459" i="12"/>
  <c r="M457" i="12"/>
  <c r="F456" i="12"/>
  <c r="C455" i="12"/>
  <c r="M453" i="12"/>
  <c r="F452" i="12"/>
  <c r="C451" i="12"/>
  <c r="M449" i="12"/>
  <c r="F448" i="12"/>
  <c r="C447" i="12"/>
  <c r="M445" i="12"/>
  <c r="F444" i="12"/>
  <c r="C443" i="12"/>
  <c r="M441" i="12"/>
  <c r="F440" i="12"/>
  <c r="C439" i="12"/>
  <c r="M437" i="12"/>
  <c r="F436" i="12"/>
  <c r="C435" i="12"/>
  <c r="M433" i="12"/>
  <c r="F432" i="12"/>
  <c r="C431" i="12"/>
  <c r="M429" i="12"/>
  <c r="F428" i="12"/>
  <c r="C427" i="12"/>
  <c r="M425" i="12"/>
  <c r="F424" i="12"/>
  <c r="C423" i="12"/>
  <c r="M421" i="12"/>
  <c r="F420" i="12"/>
  <c r="C419" i="12"/>
  <c r="M417" i="12"/>
  <c r="F416" i="12"/>
  <c r="C415" i="12"/>
  <c r="M413" i="12"/>
  <c r="F412" i="12"/>
  <c r="C411" i="12"/>
  <c r="M409" i="12"/>
  <c r="F408" i="12"/>
  <c r="C407" i="12"/>
  <c r="F404" i="12"/>
  <c r="C403" i="12"/>
  <c r="F400" i="12"/>
  <c r="C399" i="12"/>
  <c r="F396" i="12"/>
  <c r="C395" i="12"/>
  <c r="F392" i="12"/>
  <c r="C391" i="12"/>
  <c r="F388" i="12"/>
  <c r="C387" i="12"/>
  <c r="F384" i="12"/>
  <c r="C383" i="12"/>
  <c r="F380" i="12"/>
  <c r="C379" i="12"/>
  <c r="F376" i="12"/>
  <c r="C375" i="12"/>
  <c r="F372" i="12"/>
  <c r="C371" i="12"/>
  <c r="F368" i="12"/>
  <c r="C367" i="12"/>
  <c r="F364" i="12"/>
  <c r="C363" i="12"/>
  <c r="F360" i="12"/>
  <c r="C359" i="12"/>
  <c r="F356" i="12"/>
  <c r="C355" i="12"/>
  <c r="H493" i="12"/>
  <c r="F487" i="12"/>
  <c r="G482" i="12"/>
  <c r="H477" i="12"/>
  <c r="F471" i="12"/>
  <c r="G466" i="12"/>
  <c r="H461" i="12"/>
  <c r="F455" i="12"/>
  <c r="G450" i="12"/>
  <c r="H445" i="12"/>
  <c r="F439" i="12"/>
  <c r="G434" i="12"/>
  <c r="H429" i="12"/>
  <c r="F423" i="12"/>
  <c r="G418" i="12"/>
  <c r="H413" i="12"/>
  <c r="F407" i="12"/>
  <c r="G402" i="12"/>
  <c r="H397" i="12"/>
  <c r="F391" i="12"/>
  <c r="G386" i="12"/>
  <c r="H381" i="12"/>
  <c r="F375" i="12"/>
  <c r="G370" i="12"/>
  <c r="H365" i="12"/>
  <c r="F359" i="12"/>
  <c r="G354" i="12"/>
  <c r="C351" i="12"/>
  <c r="B348" i="12"/>
  <c r="E348" i="12" s="1"/>
  <c r="C343" i="12"/>
  <c r="B340" i="12"/>
  <c r="E340" i="12" s="1"/>
  <c r="C335" i="12"/>
  <c r="F332" i="12"/>
  <c r="C331" i="12"/>
  <c r="F328" i="12"/>
  <c r="C327" i="12"/>
  <c r="F324" i="12"/>
  <c r="C323" i="12"/>
  <c r="F320" i="12"/>
  <c r="C319" i="12"/>
  <c r="F316" i="12"/>
  <c r="C315" i="12"/>
  <c r="F312" i="12"/>
  <c r="C311" i="12"/>
  <c r="F308" i="12"/>
  <c r="C307" i="12"/>
  <c r="F304" i="12"/>
  <c r="C303" i="12"/>
  <c r="K490" i="12"/>
  <c r="I484" i="12"/>
  <c r="J479" i="12"/>
  <c r="K474" i="12"/>
  <c r="I468" i="12"/>
  <c r="J463" i="12"/>
  <c r="K458" i="12"/>
  <c r="I452" i="12"/>
  <c r="J447" i="12"/>
  <c r="K442" i="12"/>
  <c r="I436" i="12"/>
  <c r="J431" i="12"/>
  <c r="K426" i="12"/>
  <c r="I420" i="12"/>
  <c r="J415" i="12"/>
  <c r="K410" i="12"/>
  <c r="D349" i="12"/>
  <c r="D341" i="12"/>
  <c r="D333" i="12"/>
  <c r="F331" i="12"/>
  <c r="C330" i="12"/>
  <c r="F327" i="12"/>
  <c r="C326" i="12"/>
  <c r="F323" i="12"/>
  <c r="C322" i="12"/>
  <c r="F319" i="12"/>
  <c r="C318" i="12"/>
  <c r="F315" i="12"/>
  <c r="C314" i="12"/>
  <c r="F311" i="12"/>
  <c r="C310" i="12"/>
  <c r="J491" i="12"/>
  <c r="K486" i="12"/>
  <c r="I480" i="12"/>
  <c r="J475" i="12"/>
  <c r="K470" i="12"/>
  <c r="I464" i="12"/>
  <c r="J459" i="12"/>
  <c r="K454" i="12"/>
  <c r="I448" i="12"/>
  <c r="J443" i="12"/>
  <c r="K438" i="12"/>
  <c r="I432" i="12"/>
  <c r="J427" i="12"/>
  <c r="K422" i="12"/>
  <c r="I416" i="12"/>
  <c r="J411" i="12"/>
  <c r="D350" i="12"/>
  <c r="D342" i="12"/>
  <c r="D334" i="12"/>
  <c r="D332" i="12"/>
  <c r="G329" i="12"/>
  <c r="D328" i="12"/>
  <c r="G325" i="12"/>
  <c r="D324" i="12"/>
  <c r="G321" i="12"/>
  <c r="C490" i="12"/>
  <c r="D485" i="12"/>
  <c r="B479" i="12"/>
  <c r="E479" i="12" s="1"/>
  <c r="C474" i="12"/>
  <c r="D469" i="12"/>
  <c r="B463" i="12"/>
  <c r="E463" i="12" s="1"/>
  <c r="C458" i="12"/>
  <c r="D453" i="12"/>
  <c r="B447" i="12"/>
  <c r="E447" i="12" s="1"/>
  <c r="C442" i="12"/>
  <c r="D437" i="12"/>
  <c r="B431" i="12"/>
  <c r="E431" i="12" s="1"/>
  <c r="C426" i="12"/>
  <c r="D421" i="12"/>
  <c r="B415" i="12"/>
  <c r="E415" i="12" s="1"/>
  <c r="C410" i="12"/>
  <c r="D405" i="12"/>
  <c r="B399" i="12"/>
  <c r="E399" i="12" s="1"/>
  <c r="C394" i="12"/>
  <c r="D389" i="12"/>
  <c r="B383" i="12"/>
  <c r="E383" i="12" s="1"/>
  <c r="C378" i="12"/>
  <c r="D373" i="12"/>
  <c r="B367" i="12"/>
  <c r="E367" i="12" s="1"/>
  <c r="C362" i="12"/>
  <c r="D357" i="12"/>
  <c r="C350" i="12"/>
  <c r="B347" i="12"/>
  <c r="E347" i="12" s="1"/>
  <c r="G338" i="12"/>
  <c r="B321" i="12"/>
  <c r="E321" i="12" s="1"/>
  <c r="C316" i="12"/>
  <c r="B313" i="12"/>
  <c r="E313" i="12" s="1"/>
  <c r="F305" i="12"/>
  <c r="G300" i="12"/>
  <c r="D299" i="12"/>
  <c r="G296" i="12"/>
  <c r="D295" i="12"/>
  <c r="G292" i="12"/>
  <c r="D291" i="12"/>
  <c r="G288" i="12"/>
  <c r="D287" i="12"/>
  <c r="G284" i="12"/>
  <c r="D283" i="12"/>
  <c r="G280" i="12"/>
  <c r="D279" i="12"/>
  <c r="G276" i="12"/>
  <c r="D275" i="12"/>
  <c r="G272" i="12"/>
  <c r="D271" i="12"/>
  <c r="G268" i="12"/>
  <c r="D267" i="12"/>
  <c r="G264" i="12"/>
  <c r="D263" i="12"/>
  <c r="G260" i="12"/>
  <c r="D259" i="12"/>
  <c r="G256" i="12"/>
  <c r="D255" i="12"/>
  <c r="G252" i="12"/>
  <c r="D251" i="12"/>
  <c r="G248" i="12"/>
  <c r="D247" i="12"/>
  <c r="B494" i="12"/>
  <c r="E494" i="12" s="1"/>
  <c r="L492" i="12"/>
  <c r="I491" i="12"/>
  <c r="B490" i="12"/>
  <c r="E490" i="12" s="1"/>
  <c r="L488" i="12"/>
  <c r="I487" i="12"/>
  <c r="B486" i="12"/>
  <c r="E486" i="12" s="1"/>
  <c r="L484" i="12"/>
  <c r="I483" i="12"/>
  <c r="B482" i="12"/>
  <c r="E482" i="12" s="1"/>
  <c r="L480" i="12"/>
  <c r="I479" i="12"/>
  <c r="B478" i="12"/>
  <c r="E478" i="12" s="1"/>
  <c r="L476" i="12"/>
  <c r="I475" i="12"/>
  <c r="B474" i="12"/>
  <c r="E474" i="12" s="1"/>
  <c r="L472" i="12"/>
  <c r="I471" i="12"/>
  <c r="B470" i="12"/>
  <c r="E470" i="12" s="1"/>
  <c r="L468" i="12"/>
  <c r="I467" i="12"/>
  <c r="B466" i="12"/>
  <c r="E466" i="12" s="1"/>
  <c r="L464" i="12"/>
  <c r="I463" i="12"/>
  <c r="B462" i="12"/>
  <c r="E462" i="12" s="1"/>
  <c r="L460" i="12"/>
  <c r="I459" i="12"/>
  <c r="B458" i="12"/>
  <c r="E458" i="12" s="1"/>
  <c r="L456" i="12"/>
  <c r="I455" i="12"/>
  <c r="B454" i="12"/>
  <c r="E454" i="12" s="1"/>
  <c r="L452" i="12"/>
  <c r="I451" i="12"/>
  <c r="B450" i="12"/>
  <c r="E450" i="12" s="1"/>
  <c r="L448" i="12"/>
  <c r="I447" i="12"/>
  <c r="B446" i="12"/>
  <c r="E446" i="12" s="1"/>
  <c r="L444" i="12"/>
  <c r="I443" i="12"/>
  <c r="B442" i="12"/>
  <c r="E442" i="12" s="1"/>
  <c r="L440" i="12"/>
  <c r="I439" i="12"/>
  <c r="B438" i="12"/>
  <c r="E438" i="12" s="1"/>
  <c r="L436" i="12"/>
  <c r="I435" i="12"/>
  <c r="B434" i="12"/>
  <c r="E434" i="12" s="1"/>
  <c r="L432" i="12"/>
  <c r="I431" i="12"/>
  <c r="B430" i="12"/>
  <c r="E430" i="12" s="1"/>
  <c r="L428" i="12"/>
  <c r="I427" i="12"/>
  <c r="B426" i="12"/>
  <c r="E426" i="12" s="1"/>
  <c r="L424" i="12"/>
  <c r="I423" i="12"/>
  <c r="B422" i="12"/>
  <c r="E422" i="12" s="1"/>
  <c r="L420" i="12"/>
  <c r="I419" i="12"/>
  <c r="B418" i="12"/>
  <c r="E418" i="12" s="1"/>
  <c r="L416" i="12"/>
  <c r="I415" i="12"/>
  <c r="B414" i="12"/>
  <c r="E414" i="12" s="1"/>
  <c r="L412" i="12"/>
  <c r="I411" i="12"/>
  <c r="B410" i="12"/>
  <c r="E410" i="12" s="1"/>
  <c r="AK318" i="4"/>
  <c r="AL318" i="4" s="1"/>
  <c r="AK289" i="4"/>
  <c r="AL289" i="4" s="1"/>
  <c r="AK287" i="4"/>
  <c r="AL287" i="4" s="1"/>
  <c r="AK285" i="4"/>
  <c r="AL285" i="4" s="1"/>
  <c r="AK283" i="4"/>
  <c r="AL283" i="4" s="1"/>
  <c r="AK281" i="4"/>
  <c r="AL281" i="4" s="1"/>
  <c r="AK279" i="4"/>
  <c r="AL279" i="4" s="1"/>
  <c r="AK277" i="4"/>
  <c r="AL277" i="4" s="1"/>
  <c r="AK275" i="4"/>
  <c r="AL275" i="4" s="1"/>
  <c r="AK273" i="4"/>
  <c r="AL273" i="4" s="1"/>
  <c r="AK271" i="4"/>
  <c r="AL271" i="4" s="1"/>
  <c r="AK269" i="4"/>
  <c r="AL269" i="4" s="1"/>
  <c r="AK267" i="4"/>
  <c r="AL267" i="4" s="1"/>
  <c r="AK265" i="4"/>
  <c r="AL265" i="4" s="1"/>
  <c r="AK263" i="4"/>
  <c r="AL263" i="4" s="1"/>
  <c r="AK261" i="4"/>
  <c r="AL261" i="4" s="1"/>
  <c r="AK259" i="4"/>
  <c r="AL259" i="4" s="1"/>
  <c r="AK257" i="4"/>
  <c r="AL257" i="4" s="1"/>
  <c r="AK255" i="4"/>
  <c r="AL255" i="4" s="1"/>
  <c r="AK253" i="4"/>
  <c r="AL253" i="4" s="1"/>
  <c r="AK251" i="4"/>
  <c r="AL251" i="4" s="1"/>
  <c r="AK249" i="4"/>
  <c r="AL249" i="4" s="1"/>
  <c r="AK247" i="4"/>
  <c r="AL247" i="4" s="1"/>
  <c r="AK245" i="4"/>
  <c r="AL245" i="4" s="1"/>
  <c r="AK243" i="4"/>
  <c r="AL243" i="4" s="1"/>
  <c r="AK241" i="4"/>
  <c r="AL241" i="4" s="1"/>
  <c r="H243" i="12"/>
  <c r="AK239" i="4"/>
  <c r="AL239" i="4" s="1"/>
  <c r="AK237" i="4"/>
  <c r="AL237" i="4" s="1"/>
  <c r="H239" i="12"/>
  <c r="AK235" i="4"/>
  <c r="AL235" i="4" s="1"/>
  <c r="AK233" i="4"/>
  <c r="AL233" i="4" s="1"/>
  <c r="H235" i="12"/>
  <c r="AK231" i="4"/>
  <c r="AL231" i="4" s="1"/>
  <c r="AK229" i="4"/>
  <c r="AL229" i="4" s="1"/>
  <c r="H231" i="12"/>
  <c r="AK227" i="4"/>
  <c r="AL227" i="4" s="1"/>
  <c r="AK225" i="4"/>
  <c r="AL225" i="4" s="1"/>
  <c r="H227" i="12"/>
  <c r="AK223" i="4"/>
  <c r="AL223" i="4" s="1"/>
  <c r="AK179" i="4"/>
  <c r="AL179" i="4" s="1"/>
  <c r="AK172" i="4"/>
  <c r="AL172" i="4" s="1"/>
  <c r="AK164" i="4"/>
  <c r="AL164" i="4" s="1"/>
  <c r="AK156" i="4"/>
  <c r="AL156" i="4" s="1"/>
  <c r="AK149" i="4"/>
  <c r="AL149" i="4" s="1"/>
  <c r="AK142" i="4"/>
  <c r="AL142" i="4" s="1"/>
  <c r="AK134" i="4"/>
  <c r="AL134" i="4" s="1"/>
  <c r="AK126" i="4"/>
  <c r="AL126" i="4" s="1"/>
  <c r="AK119" i="4"/>
  <c r="AL119" i="4" s="1"/>
  <c r="AK111" i="4"/>
  <c r="AL111" i="4" s="1"/>
  <c r="AK103" i="4"/>
  <c r="AL103" i="4" s="1"/>
  <c r="AK95" i="4"/>
  <c r="AL95" i="4" s="1"/>
  <c r="AK87" i="4"/>
  <c r="AL87" i="4" s="1"/>
  <c r="AK79" i="4"/>
  <c r="AL79" i="4" s="1"/>
  <c r="AK71" i="4"/>
  <c r="AL71" i="4" s="1"/>
  <c r="AK63" i="4"/>
  <c r="AL63" i="4" s="1"/>
  <c r="AK55" i="4"/>
  <c r="AL55" i="4" s="1"/>
  <c r="AK47" i="4"/>
  <c r="AL47" i="4" s="1"/>
  <c r="AK41" i="4"/>
  <c r="AL41" i="4" s="1"/>
  <c r="AK7" i="4"/>
  <c r="AL7" i="4" s="1"/>
  <c r="AF179" i="4"/>
  <c r="AF172" i="4"/>
  <c r="AF164" i="4"/>
  <c r="AF156" i="4"/>
  <c r="AF149" i="4"/>
  <c r="AF142" i="4"/>
  <c r="AF134" i="4"/>
  <c r="AF126" i="4"/>
  <c r="AF119" i="4"/>
  <c r="AF111" i="4"/>
  <c r="AF103" i="4"/>
  <c r="AF95" i="4"/>
  <c r="AF87" i="4"/>
  <c r="AF79" i="4"/>
  <c r="AF71" i="4"/>
  <c r="AF63" i="4"/>
  <c r="AF55" i="4"/>
  <c r="G55" i="4"/>
  <c r="H55" i="4"/>
  <c r="K57" i="12" s="1"/>
  <c r="AF47" i="4"/>
  <c r="AK380" i="4"/>
  <c r="AL380" i="4" s="1"/>
  <c r="AF343" i="4"/>
  <c r="AF318" i="4"/>
  <c r="AF322" i="4"/>
  <c r="AF352" i="4"/>
  <c r="AF366" i="4"/>
  <c r="AF376" i="4"/>
  <c r="AF390" i="4"/>
  <c r="AF394" i="4"/>
  <c r="AK426" i="4"/>
  <c r="AL426" i="4" s="1"/>
  <c r="AK321" i="4"/>
  <c r="AL321" i="4" s="1"/>
  <c r="AK335" i="4"/>
  <c r="AL335" i="4" s="1"/>
  <c r="AK391" i="4"/>
  <c r="AL391" i="4" s="1"/>
  <c r="AF326" i="4"/>
  <c r="AF338" i="4"/>
  <c r="AF370" i="4"/>
  <c r="AF325" i="4"/>
  <c r="AF337" i="4"/>
  <c r="AF341" i="4"/>
  <c r="AF397" i="4"/>
  <c r="AK218" i="4"/>
  <c r="AL218" i="4" s="1"/>
  <c r="AK202" i="4"/>
  <c r="AL202" i="4" s="1"/>
  <c r="AK186" i="4"/>
  <c r="AL186" i="4" s="1"/>
  <c r="AK127" i="4"/>
  <c r="AL127" i="4" s="1"/>
  <c r="AK39" i="4"/>
  <c r="AL39" i="4" s="1"/>
  <c r="AK23" i="4"/>
  <c r="AL23" i="4" s="1"/>
  <c r="AF14" i="4"/>
  <c r="AK3" i="4"/>
  <c r="AL3" i="4" s="1"/>
  <c r="AF37" i="4"/>
  <c r="AK100" i="4"/>
  <c r="AL100" i="4" s="1"/>
  <c r="AK82" i="4"/>
  <c r="AL82" i="4" s="1"/>
  <c r="AK60" i="4"/>
  <c r="AL60" i="4" s="1"/>
  <c r="AF12" i="4"/>
  <c r="AK143" i="4"/>
  <c r="AL143" i="4" s="1"/>
  <c r="AK221" i="4"/>
  <c r="AL221" i="4" s="1"/>
  <c r="AK205" i="4"/>
  <c r="AL205" i="4" s="1"/>
  <c r="AK189" i="4"/>
  <c r="AL189" i="4" s="1"/>
  <c r="AK173" i="4"/>
  <c r="AL173" i="4" s="1"/>
  <c r="AK157" i="4"/>
  <c r="AL157" i="4" s="1"/>
  <c r="H43" i="4"/>
  <c r="K45" i="12" s="1"/>
  <c r="AK34" i="4"/>
  <c r="AL34" i="4" s="1"/>
  <c r="AK22" i="4"/>
  <c r="AL22" i="4" s="1"/>
  <c r="AF5" i="4"/>
  <c r="AK86" i="4"/>
  <c r="AL86" i="4" s="1"/>
  <c r="AK52" i="4"/>
  <c r="AL52" i="4" s="1"/>
  <c r="AK17" i="4"/>
  <c r="AL17" i="4" s="1"/>
  <c r="AK155" i="4"/>
  <c r="AL155" i="4" s="1"/>
  <c r="AF43" i="4"/>
  <c r="AK4" i="4"/>
  <c r="AL4" i="4" s="1"/>
  <c r="AK216" i="4"/>
  <c r="AL216" i="4" s="1"/>
  <c r="AK200" i="4"/>
  <c r="AL200" i="4" s="1"/>
  <c r="AK184" i="4"/>
  <c r="AL184" i="4" s="1"/>
  <c r="AK106" i="4"/>
  <c r="AL106" i="4" s="1"/>
  <c r="AK80" i="4"/>
  <c r="AL80" i="4" s="1"/>
  <c r="AK58" i="4"/>
  <c r="AL58" i="4" s="1"/>
  <c r="AK163" i="4"/>
  <c r="AL163" i="4" s="1"/>
  <c r="H20" i="12"/>
  <c r="H28" i="12"/>
  <c r="H9" i="12"/>
  <c r="H27" i="12"/>
  <c r="H7" i="12"/>
  <c r="H11" i="12"/>
  <c r="H15" i="12"/>
  <c r="H23" i="12"/>
  <c r="H248" i="12"/>
  <c r="H252" i="12"/>
  <c r="H256" i="12"/>
  <c r="H260" i="12"/>
  <c r="H264" i="12"/>
  <c r="H268" i="12"/>
  <c r="H272" i="12"/>
  <c r="H276" i="12"/>
  <c r="H280" i="12"/>
  <c r="H284" i="12"/>
  <c r="H288" i="12"/>
  <c r="H292" i="12"/>
  <c r="H296" i="12"/>
  <c r="H300" i="12"/>
  <c r="D316" i="12"/>
  <c r="H323" i="12"/>
  <c r="G328" i="12"/>
  <c r="C334" i="12"/>
  <c r="D245" i="12"/>
  <c r="G246" i="12"/>
  <c r="D249" i="12"/>
  <c r="G250" i="12"/>
  <c r="D253" i="12"/>
  <c r="G254" i="12"/>
  <c r="D257" i="12"/>
  <c r="G258" i="12"/>
  <c r="D261" i="12"/>
  <c r="G262" i="12"/>
  <c r="D265" i="12"/>
  <c r="G266" i="12"/>
  <c r="D269" i="12"/>
  <c r="G270" i="12"/>
  <c r="D273" i="12"/>
  <c r="G274" i="12"/>
  <c r="D277" i="12"/>
  <c r="G278" i="12"/>
  <c r="D281" i="12"/>
  <c r="G282" i="12"/>
  <c r="D285" i="12"/>
  <c r="G286" i="12"/>
  <c r="D289" i="12"/>
  <c r="G290" i="12"/>
  <c r="D293" i="12"/>
  <c r="G294" i="12"/>
  <c r="H297" i="12"/>
  <c r="B299" i="12"/>
  <c r="E299" i="12" s="1"/>
  <c r="C305" i="12"/>
  <c r="D307" i="12"/>
  <c r="F313" i="12"/>
  <c r="G316" i="12"/>
  <c r="H327" i="12"/>
  <c r="C247" i="12"/>
  <c r="L250" i="12"/>
  <c r="F252" i="12"/>
  <c r="H254" i="12"/>
  <c r="B256" i="12"/>
  <c r="E256" i="12" s="1"/>
  <c r="C263" i="12"/>
  <c r="L266" i="12"/>
  <c r="F268" i="12"/>
  <c r="H270" i="12"/>
  <c r="B272" i="12"/>
  <c r="E272" i="12" s="1"/>
  <c r="C279" i="12"/>
  <c r="L282" i="12"/>
  <c r="F284" i="12"/>
  <c r="H286" i="12"/>
  <c r="B288" i="12"/>
  <c r="E288" i="12" s="1"/>
  <c r="C295" i="12"/>
  <c r="L298" i="12"/>
  <c r="F300" i="12"/>
  <c r="H302" i="12"/>
  <c r="G304" i="12"/>
  <c r="G306" i="12"/>
  <c r="F309" i="12"/>
  <c r="D312" i="12"/>
  <c r="C324" i="12"/>
  <c r="H331" i="12"/>
  <c r="B249" i="12"/>
  <c r="E249" i="12" s="1"/>
  <c r="L251" i="12"/>
  <c r="B257" i="12"/>
  <c r="E257" i="12" s="1"/>
  <c r="L259" i="12"/>
  <c r="B265" i="12"/>
  <c r="E265" i="12" s="1"/>
  <c r="L267" i="12"/>
  <c r="B273" i="12"/>
  <c r="E273" i="12" s="1"/>
  <c r="L275" i="12"/>
  <c r="B281" i="12"/>
  <c r="E281" i="12" s="1"/>
  <c r="L283" i="12"/>
  <c r="B289" i="12"/>
  <c r="E289" i="12" s="1"/>
  <c r="L291" i="12"/>
  <c r="B297" i="12"/>
  <c r="E297" i="12" s="1"/>
  <c r="L299" i="12"/>
  <c r="C306" i="12"/>
  <c r="G309" i="12"/>
  <c r="L319" i="12"/>
  <c r="C328" i="12"/>
  <c r="F343" i="12"/>
  <c r="K418" i="12"/>
  <c r="I428" i="12"/>
  <c r="J439" i="12"/>
  <c r="K450" i="12"/>
  <c r="I460" i="12"/>
  <c r="J471" i="12"/>
  <c r="K482" i="12"/>
  <c r="I492" i="12"/>
  <c r="B326" i="12"/>
  <c r="E326" i="12" s="1"/>
  <c r="L328" i="12"/>
  <c r="G335" i="12"/>
  <c r="H346" i="12"/>
  <c r="G351" i="12"/>
  <c r="D361" i="12"/>
  <c r="B371" i="12"/>
  <c r="E371" i="12" s="1"/>
  <c r="C382" i="12"/>
  <c r="D393" i="12"/>
  <c r="B403" i="12"/>
  <c r="E403" i="12" s="1"/>
  <c r="C414" i="12"/>
  <c r="D425" i="12"/>
  <c r="B435" i="12"/>
  <c r="E435" i="12" s="1"/>
  <c r="C446" i="12"/>
  <c r="D457" i="12"/>
  <c r="B467" i="12"/>
  <c r="E467" i="12" s="1"/>
  <c r="C478" i="12"/>
  <c r="D489" i="12"/>
  <c r="H313" i="12"/>
  <c r="H321" i="12"/>
  <c r="H329" i="12"/>
  <c r="H337" i="12"/>
  <c r="G342" i="12"/>
  <c r="C354" i="12"/>
  <c r="D365" i="12"/>
  <c r="B375" i="12"/>
  <c r="E375" i="12" s="1"/>
  <c r="C386" i="12"/>
  <c r="D397" i="12"/>
  <c r="B407" i="12"/>
  <c r="E407" i="12" s="1"/>
  <c r="C418" i="12"/>
  <c r="D429" i="12"/>
  <c r="B439" i="12"/>
  <c r="E439" i="12" s="1"/>
  <c r="C450" i="12"/>
  <c r="D461" i="12"/>
  <c r="B471" i="12"/>
  <c r="E471" i="12" s="1"/>
  <c r="C482" i="12"/>
  <c r="D493" i="12"/>
  <c r="H310" i="12"/>
  <c r="H318" i="12"/>
  <c r="H326" i="12"/>
  <c r="F336" i="12"/>
  <c r="L346" i="12"/>
  <c r="F352" i="12"/>
  <c r="L361" i="12"/>
  <c r="L393" i="12"/>
  <c r="N415" i="12"/>
  <c r="L425" i="12"/>
  <c r="M436" i="12"/>
  <c r="N447" i="12"/>
  <c r="L457" i="12"/>
  <c r="M468" i="12"/>
  <c r="N479" i="12"/>
  <c r="L489" i="12"/>
  <c r="H354" i="12"/>
  <c r="H362" i="12"/>
  <c r="H370" i="12"/>
  <c r="H378" i="12"/>
  <c r="H386" i="12"/>
  <c r="H394" i="12"/>
  <c r="H402" i="12"/>
  <c r="H410" i="12"/>
  <c r="N412" i="12"/>
  <c r="K415" i="12"/>
  <c r="H418" i="12"/>
  <c r="N420" i="12"/>
  <c r="K423" i="12"/>
  <c r="H426" i="12"/>
  <c r="N428" i="12"/>
  <c r="K431" i="12"/>
  <c r="H434" i="12"/>
  <c r="N436" i="12"/>
  <c r="K439" i="12"/>
  <c r="H442" i="12"/>
  <c r="N444" i="12"/>
  <c r="K447" i="12"/>
  <c r="H450" i="12"/>
  <c r="N452" i="12"/>
  <c r="K455" i="12"/>
  <c r="H458" i="12"/>
  <c r="N460" i="12"/>
  <c r="K463" i="12"/>
  <c r="H466" i="12"/>
  <c r="N468" i="12"/>
  <c r="K471" i="12"/>
  <c r="H474" i="12"/>
  <c r="N476" i="12"/>
  <c r="K479" i="12"/>
  <c r="H482" i="12"/>
  <c r="N484" i="12"/>
  <c r="K487" i="12"/>
  <c r="H490" i="12"/>
  <c r="N492" i="12"/>
  <c r="F333" i="12"/>
  <c r="C336" i="12"/>
  <c r="F341" i="12"/>
  <c r="C344" i="12"/>
  <c r="F349" i="12"/>
  <c r="C352" i="12"/>
  <c r="F357" i="12"/>
  <c r="C360" i="12"/>
  <c r="F365" i="12"/>
  <c r="C368" i="12"/>
  <c r="F373" i="12"/>
  <c r="C376" i="12"/>
  <c r="F381" i="12"/>
  <c r="C384" i="12"/>
  <c r="F389" i="12"/>
  <c r="C392" i="12"/>
  <c r="F397" i="12"/>
  <c r="C400" i="12"/>
  <c r="F405" i="12"/>
  <c r="C408" i="12"/>
  <c r="M410" i="12"/>
  <c r="F413" i="12"/>
  <c r="C416" i="12"/>
  <c r="M418" i="12"/>
  <c r="F421" i="12"/>
  <c r="C424" i="12"/>
  <c r="M426" i="12"/>
  <c r="F429" i="12"/>
  <c r="C432" i="12"/>
  <c r="M434" i="12"/>
  <c r="F437" i="12"/>
  <c r="C440" i="12"/>
  <c r="M442" i="12"/>
  <c r="F445" i="12"/>
  <c r="C448" i="12"/>
  <c r="M450" i="12"/>
  <c r="F453" i="12"/>
  <c r="C456" i="12"/>
  <c r="M458" i="12"/>
  <c r="F461" i="12"/>
  <c r="C464" i="12"/>
  <c r="M466" i="12"/>
  <c r="F469" i="12"/>
  <c r="C472" i="12"/>
  <c r="M474" i="12"/>
  <c r="F477" i="12"/>
  <c r="C480" i="12"/>
  <c r="M482" i="12"/>
  <c r="F485" i="12"/>
  <c r="C488" i="12"/>
  <c r="M490" i="12"/>
  <c r="F493" i="12"/>
  <c r="H336" i="12"/>
  <c r="H344" i="12"/>
  <c r="H352" i="12"/>
  <c r="H360" i="12"/>
  <c r="H368" i="12"/>
  <c r="H376" i="12"/>
  <c r="H384" i="12"/>
  <c r="H392" i="12"/>
  <c r="H400" i="12"/>
  <c r="H408" i="12"/>
  <c r="H412" i="12"/>
  <c r="K417" i="12"/>
  <c r="N422" i="12"/>
  <c r="H428" i="12"/>
  <c r="K433" i="12"/>
  <c r="N438" i="12"/>
  <c r="H444" i="12"/>
  <c r="K449" i="12"/>
  <c r="N454" i="12"/>
  <c r="H460" i="12"/>
  <c r="K465" i="12"/>
  <c r="N470" i="12"/>
  <c r="H476" i="12"/>
  <c r="K481" i="12"/>
  <c r="N486" i="12"/>
  <c r="H492" i="12"/>
  <c r="AK349" i="4"/>
  <c r="AL349" i="4" s="1"/>
  <c r="AK337" i="4"/>
  <c r="AL337" i="4" s="1"/>
  <c r="C39" i="8"/>
  <c r="AF489" i="4"/>
  <c r="AF485" i="4"/>
  <c r="AF481" i="4"/>
  <c r="H57" i="8"/>
  <c r="N9" i="5" s="1"/>
  <c r="AF472" i="4"/>
  <c r="AF456" i="4"/>
  <c r="AF440" i="4"/>
  <c r="AF424" i="4"/>
  <c r="AK387" i="4"/>
  <c r="AL387" i="4" s="1"/>
  <c r="AK383" i="4"/>
  <c r="AL383" i="4" s="1"/>
  <c r="AK371" i="4"/>
  <c r="AL371" i="4" s="1"/>
  <c r="AK367" i="4"/>
  <c r="AL367" i="4" s="1"/>
  <c r="AK363" i="4"/>
  <c r="AL363" i="4" s="1"/>
  <c r="AK359" i="4"/>
  <c r="AL359" i="4" s="1"/>
  <c r="AK355" i="4"/>
  <c r="AL355" i="4" s="1"/>
  <c r="AK351" i="4"/>
  <c r="AL351" i="4" s="1"/>
  <c r="AF465" i="4"/>
  <c r="AF457" i="4"/>
  <c r="AF449" i="4"/>
  <c r="AF441" i="4"/>
  <c r="AF433" i="4"/>
  <c r="AF425" i="4"/>
  <c r="AF417" i="4"/>
  <c r="AF458" i="4"/>
  <c r="AF442" i="4"/>
  <c r="AF426" i="4"/>
  <c r="AF475" i="4"/>
  <c r="AF473" i="4"/>
  <c r="AF463" i="4"/>
  <c r="AF447" i="4"/>
  <c r="AF431" i="4"/>
  <c r="AF419" i="4"/>
  <c r="AK315" i="4"/>
  <c r="AL315" i="4" s="1"/>
  <c r="AF219" i="4"/>
  <c r="AF215" i="4"/>
  <c r="AF211" i="4"/>
  <c r="AF207" i="4"/>
  <c r="AF203" i="4"/>
  <c r="AF199" i="4"/>
  <c r="AF195" i="4"/>
  <c r="AF191" i="4"/>
  <c r="AF187" i="4"/>
  <c r="AF183" i="4"/>
  <c r="AF177" i="4"/>
  <c r="AF169" i="4"/>
  <c r="AF161" i="4"/>
  <c r="AF153" i="4"/>
  <c r="AF143" i="4"/>
  <c r="AF135" i="4"/>
  <c r="AF127" i="4"/>
  <c r="AF118" i="4"/>
  <c r="AF110" i="4"/>
  <c r="AF102" i="4"/>
  <c r="AF94" i="4"/>
  <c r="AF86" i="4"/>
  <c r="AF78" i="4"/>
  <c r="AF70" i="4"/>
  <c r="G70" i="4"/>
  <c r="H70" i="4"/>
  <c r="K72" i="12" s="1"/>
  <c r="AF62" i="4"/>
  <c r="AF54" i="4"/>
  <c r="AF46" i="4"/>
  <c r="AK346" i="4"/>
  <c r="AL346" i="4" s="1"/>
  <c r="AK358" i="4"/>
  <c r="AL358" i="4" s="1"/>
  <c r="AK362" i="4"/>
  <c r="AL362" i="4" s="1"/>
  <c r="AK372" i="4"/>
  <c r="AL372" i="4" s="1"/>
  <c r="AK382" i="4"/>
  <c r="AL382" i="4" s="1"/>
  <c r="AK386" i="4"/>
  <c r="AL386" i="4" s="1"/>
  <c r="AF317" i="4"/>
  <c r="AF331" i="4"/>
  <c r="AF345" i="4"/>
  <c r="AF349" i="4"/>
  <c r="AF359" i="4"/>
  <c r="AF363" i="4"/>
  <c r="AF381" i="4"/>
  <c r="AF385" i="4"/>
  <c r="AF399" i="4"/>
  <c r="AF403" i="4"/>
  <c r="AF407" i="4"/>
  <c r="AF2" i="4"/>
  <c r="W10" i="13"/>
  <c r="W19" i="13"/>
  <c r="W23" i="13"/>
  <c r="W139" i="13"/>
  <c r="W143" i="13"/>
  <c r="W147" i="13"/>
  <c r="W151" i="13"/>
  <c r="W155" i="13"/>
  <c r="W159" i="13"/>
  <c r="W163" i="13"/>
  <c r="W167" i="13"/>
  <c r="W171" i="13"/>
  <c r="W175" i="13"/>
  <c r="W183" i="13"/>
  <c r="W187" i="13"/>
  <c r="W191" i="13"/>
  <c r="W199" i="13"/>
  <c r="W203" i="13"/>
  <c r="W207" i="13"/>
  <c r="W283" i="13"/>
  <c r="W287" i="13"/>
  <c r="W291" i="13"/>
  <c r="W295" i="13"/>
  <c r="W299" i="13"/>
  <c r="W303" i="13"/>
  <c r="W307" i="13"/>
  <c r="W311" i="13"/>
  <c r="W315" i="13"/>
  <c r="W319" i="13"/>
  <c r="W323" i="13"/>
  <c r="W327" i="13"/>
  <c r="W331" i="13"/>
  <c r="W335" i="13"/>
  <c r="W339" i="13"/>
  <c r="W343" i="13"/>
  <c r="W347" i="13"/>
  <c r="W351" i="13"/>
  <c r="W355" i="13"/>
  <c r="W359" i="13"/>
  <c r="W363" i="13"/>
  <c r="W398" i="13"/>
  <c r="W406" i="13"/>
  <c r="W414" i="13"/>
  <c r="W396" i="13"/>
  <c r="W404" i="13"/>
  <c r="W412" i="13"/>
  <c r="W420" i="13"/>
  <c r="W424" i="13"/>
  <c r="W426" i="13"/>
  <c r="W434" i="13"/>
  <c r="W466" i="13"/>
  <c r="W446" i="13"/>
  <c r="W462" i="13"/>
  <c r="W440" i="13"/>
  <c r="W456" i="13"/>
  <c r="W472" i="13"/>
  <c r="W476" i="13"/>
  <c r="W480" i="13"/>
  <c r="W484" i="13"/>
  <c r="W488" i="13"/>
  <c r="W492" i="13"/>
  <c r="AF408" i="4"/>
  <c r="AF295" i="4"/>
  <c r="AF293" i="4"/>
  <c r="AF291" i="4"/>
  <c r="AF289" i="4"/>
  <c r="AF287" i="4"/>
  <c r="AF285" i="4"/>
  <c r="AF283" i="4"/>
  <c r="AF281" i="4"/>
  <c r="AF279" i="4"/>
  <c r="AF277" i="4"/>
  <c r="AF275" i="4"/>
  <c r="AF273" i="4"/>
  <c r="AF271" i="4"/>
  <c r="AF269" i="4"/>
  <c r="AF267" i="4"/>
  <c r="AF265" i="4"/>
  <c r="AF263" i="4"/>
  <c r="AF261" i="4"/>
  <c r="AF259" i="4"/>
  <c r="AF257" i="4"/>
  <c r="AF255" i="4"/>
  <c r="AF253" i="4"/>
  <c r="AF251" i="4"/>
  <c r="AF249" i="4"/>
  <c r="AF247" i="4"/>
  <c r="AF245" i="4"/>
  <c r="AF243" i="4"/>
  <c r="AF241" i="4"/>
  <c r="AF239" i="4"/>
  <c r="AF237" i="4"/>
  <c r="AF235" i="4"/>
  <c r="AF233" i="4"/>
  <c r="AF231" i="4"/>
  <c r="AF229" i="4"/>
  <c r="AF227" i="4"/>
  <c r="AF225" i="4"/>
  <c r="AF223" i="4"/>
  <c r="AK178" i="4"/>
  <c r="AL178" i="4" s="1"/>
  <c r="AK170" i="4"/>
  <c r="AL170" i="4" s="1"/>
  <c r="AK162" i="4"/>
  <c r="AL162" i="4" s="1"/>
  <c r="AK154" i="4"/>
  <c r="AL154" i="4" s="1"/>
  <c r="AK147" i="4"/>
  <c r="AL147" i="4" s="1"/>
  <c r="AK140" i="4"/>
  <c r="AL140" i="4" s="1"/>
  <c r="AK132" i="4"/>
  <c r="AL132" i="4" s="1"/>
  <c r="AK124" i="4"/>
  <c r="AL124" i="4" s="1"/>
  <c r="AK117" i="4"/>
  <c r="AL117" i="4" s="1"/>
  <c r="AK109" i="4"/>
  <c r="AL109" i="4" s="1"/>
  <c r="AK101" i="4"/>
  <c r="AL101" i="4" s="1"/>
  <c r="AK93" i="4"/>
  <c r="AL93" i="4" s="1"/>
  <c r="AK85" i="4"/>
  <c r="AL85" i="4" s="1"/>
  <c r="AK77" i="4"/>
  <c r="AL77" i="4" s="1"/>
  <c r="AK69" i="4"/>
  <c r="AL69" i="4" s="1"/>
  <c r="AK61" i="4"/>
  <c r="AL61" i="4" s="1"/>
  <c r="AK53" i="4"/>
  <c r="AL53" i="4" s="1"/>
  <c r="AK45" i="4"/>
  <c r="AL45" i="4" s="1"/>
  <c r="C10" i="5"/>
  <c r="C8" i="2" s="1"/>
  <c r="J10" i="5"/>
  <c r="E8" i="2" s="1"/>
  <c r="B10" i="5"/>
  <c r="I10" i="5"/>
  <c r="AK219" i="4"/>
  <c r="AL219" i="4" s="1"/>
  <c r="AK2" i="4"/>
  <c r="AL2" i="4" s="1"/>
  <c r="AF178" i="4"/>
  <c r="AF170" i="4"/>
  <c r="AF162" i="4"/>
  <c r="AF154" i="4"/>
  <c r="AF147" i="4"/>
  <c r="AF140" i="4"/>
  <c r="AF132" i="4"/>
  <c r="AF124" i="4"/>
  <c r="AF117" i="4"/>
  <c r="AF109" i="4"/>
  <c r="AF101" i="4"/>
  <c r="AF93" i="4"/>
  <c r="AF85" i="4"/>
  <c r="AF77" i="4"/>
  <c r="AF69" i="4"/>
  <c r="G69" i="4"/>
  <c r="H69" i="4"/>
  <c r="K71" i="12" s="1"/>
  <c r="AF61" i="4"/>
  <c r="AF53" i="4"/>
  <c r="AF45" i="4"/>
  <c r="AF380" i="4"/>
  <c r="AK354" i="4"/>
  <c r="AL354" i="4" s="1"/>
  <c r="AK368" i="4"/>
  <c r="AL368" i="4" s="1"/>
  <c r="AK378" i="4"/>
  <c r="AL378" i="4" s="1"/>
  <c r="AF321" i="4"/>
  <c r="AF335" i="4"/>
  <c r="AF353" i="4"/>
  <c r="AF365" i="4"/>
  <c r="AF369" i="4"/>
  <c r="AF377" i="4"/>
  <c r="AF391" i="4"/>
  <c r="AF395" i="4"/>
  <c r="AK340" i="4"/>
  <c r="AL340" i="4" s="1"/>
  <c r="AK327" i="4"/>
  <c r="AL327" i="4" s="1"/>
  <c r="AK214" i="4"/>
  <c r="AL214" i="4" s="1"/>
  <c r="AK198" i="4"/>
  <c r="AL198" i="4" s="1"/>
  <c r="AK182" i="4"/>
  <c r="AL182" i="4" s="1"/>
  <c r="AK125" i="4"/>
  <c r="AL125" i="4" s="1"/>
  <c r="AK35" i="4"/>
  <c r="AL35" i="4" s="1"/>
  <c r="AF26" i="4"/>
  <c r="AK19" i="4"/>
  <c r="AL19" i="4" s="1"/>
  <c r="AK137" i="4"/>
  <c r="AL137" i="4" s="1"/>
  <c r="AK10" i="4"/>
  <c r="AL10" i="4" s="1"/>
  <c r="AK96" i="4"/>
  <c r="AL96" i="4" s="1"/>
  <c r="AK76" i="4"/>
  <c r="AL76" i="4" s="1"/>
  <c r="AK54" i="4"/>
  <c r="AL54" i="4" s="1"/>
  <c r="AF36" i="4"/>
  <c r="AF20" i="4"/>
  <c r="AK187" i="4"/>
  <c r="AL187" i="4" s="1"/>
  <c r="AK131" i="4"/>
  <c r="AL131" i="4" s="1"/>
  <c r="AK12" i="4"/>
  <c r="AL12" i="4" s="1"/>
  <c r="AK217" i="4"/>
  <c r="AL217" i="4" s="1"/>
  <c r="AK201" i="4"/>
  <c r="AL201" i="4" s="1"/>
  <c r="AK185" i="4"/>
  <c r="AL185" i="4" s="1"/>
  <c r="AK169" i="4"/>
  <c r="AL169" i="4" s="1"/>
  <c r="AK153" i="4"/>
  <c r="AL153" i="4" s="1"/>
  <c r="AK42" i="4"/>
  <c r="AL42" i="4" s="1"/>
  <c r="AK108" i="4"/>
  <c r="AL108" i="4" s="1"/>
  <c r="AK78" i="4"/>
  <c r="AL78" i="4" s="1"/>
  <c r="AK50" i="4"/>
  <c r="AL50" i="4" s="1"/>
  <c r="AF4" i="4"/>
  <c r="AK135" i="4"/>
  <c r="AL135" i="4" s="1"/>
  <c r="AK32" i="4"/>
  <c r="AL32" i="4" s="1"/>
  <c r="AK196" i="4"/>
  <c r="AL196" i="4" s="1"/>
  <c r="AK180" i="4"/>
  <c r="AL180" i="4" s="1"/>
  <c r="AK116" i="4"/>
  <c r="AL116" i="4" s="1"/>
  <c r="AK98" i="4"/>
  <c r="AL98" i="4" s="1"/>
  <c r="AK74" i="4"/>
  <c r="AL74" i="4" s="1"/>
  <c r="AK56" i="4"/>
  <c r="AL56" i="4" s="1"/>
  <c r="AK139" i="4"/>
  <c r="AL139" i="4" s="1"/>
  <c r="AK24" i="4"/>
  <c r="AL24" i="4" s="1"/>
  <c r="H225" i="12"/>
  <c r="H31" i="12"/>
  <c r="H35" i="12"/>
  <c r="H39" i="12"/>
  <c r="H47" i="12"/>
  <c r="H55" i="12"/>
  <c r="H63" i="12"/>
  <c r="H71" i="12"/>
  <c r="H79" i="12"/>
  <c r="H87" i="12"/>
  <c r="H95" i="12"/>
  <c r="H103" i="12"/>
  <c r="H111" i="12"/>
  <c r="H119" i="12"/>
  <c r="H151" i="12"/>
  <c r="B246" i="12"/>
  <c r="E246" i="12" s="1"/>
  <c r="L248" i="12"/>
  <c r="B250" i="12"/>
  <c r="E250" i="12" s="1"/>
  <c r="L252" i="12"/>
  <c r="B254" i="12"/>
  <c r="E254" i="12" s="1"/>
  <c r="L256" i="12"/>
  <c r="B258" i="12"/>
  <c r="E258" i="12" s="1"/>
  <c r="L260" i="12"/>
  <c r="B262" i="12"/>
  <c r="E262" i="12" s="1"/>
  <c r="L264" i="12"/>
  <c r="B266" i="12"/>
  <c r="E266" i="12" s="1"/>
  <c r="L268" i="12"/>
  <c r="B270" i="12"/>
  <c r="E270" i="12" s="1"/>
  <c r="L272" i="12"/>
  <c r="B274" i="12"/>
  <c r="E274" i="12" s="1"/>
  <c r="L276" i="12"/>
  <c r="B278" i="12"/>
  <c r="E278" i="12" s="1"/>
  <c r="L280" i="12"/>
  <c r="B282" i="12"/>
  <c r="E282" i="12" s="1"/>
  <c r="L284" i="12"/>
  <c r="B286" i="12"/>
  <c r="E286" i="12" s="1"/>
  <c r="L288" i="12"/>
  <c r="B290" i="12"/>
  <c r="E290" i="12" s="1"/>
  <c r="L292" i="12"/>
  <c r="B294" i="12"/>
  <c r="E294" i="12" s="1"/>
  <c r="L296" i="12"/>
  <c r="B298" i="12"/>
  <c r="E298" i="12" s="1"/>
  <c r="L300" i="12"/>
  <c r="B302" i="12"/>
  <c r="E302" i="12" s="1"/>
  <c r="F303" i="12"/>
  <c r="B305" i="12"/>
  <c r="E305" i="12" s="1"/>
  <c r="B307" i="12"/>
  <c r="E307" i="12" s="1"/>
  <c r="C309" i="12"/>
  <c r="F314" i="12"/>
  <c r="L316" i="12"/>
  <c r="H229" i="12"/>
  <c r="H233" i="12"/>
  <c r="H237" i="12"/>
  <c r="H241" i="12"/>
  <c r="H245" i="12"/>
  <c r="H249" i="12"/>
  <c r="H253" i="12"/>
  <c r="H257" i="12"/>
  <c r="H261" i="12"/>
  <c r="H265" i="12"/>
  <c r="H269" i="12"/>
  <c r="H273" i="12"/>
  <c r="H277" i="12"/>
  <c r="H281" i="12"/>
  <c r="H285" i="12"/>
  <c r="H289" i="12"/>
  <c r="H293" i="12"/>
  <c r="L297" i="12"/>
  <c r="F299" i="12"/>
  <c r="H301" i="12"/>
  <c r="B303" i="12"/>
  <c r="E303" i="12" s="1"/>
  <c r="H305" i="12"/>
  <c r="F321" i="12"/>
  <c r="C251" i="12"/>
  <c r="L254" i="12"/>
  <c r="F256" i="12"/>
  <c r="H258" i="12"/>
  <c r="B260" i="12"/>
  <c r="E260" i="12" s="1"/>
  <c r="C267" i="12"/>
  <c r="L270" i="12"/>
  <c r="F272" i="12"/>
  <c r="H274" i="12"/>
  <c r="B276" i="12"/>
  <c r="E276" i="12" s="1"/>
  <c r="C283" i="12"/>
  <c r="L286" i="12"/>
  <c r="F288" i="12"/>
  <c r="H290" i="12"/>
  <c r="B292" i="12"/>
  <c r="E292" i="12" s="1"/>
  <c r="C299" i="12"/>
  <c r="L302" i="12"/>
  <c r="L304" i="12"/>
  <c r="L312" i="12"/>
  <c r="C317" i="12"/>
  <c r="D320" i="12"/>
  <c r="F325" i="12"/>
  <c r="F335" i="12"/>
  <c r="F249" i="12"/>
  <c r="C252" i="12"/>
  <c r="F257" i="12"/>
  <c r="C260" i="12"/>
  <c r="F265" i="12"/>
  <c r="C268" i="12"/>
  <c r="F273" i="12"/>
  <c r="C276" i="12"/>
  <c r="F281" i="12"/>
  <c r="C284" i="12"/>
  <c r="F289" i="12"/>
  <c r="C292" i="12"/>
  <c r="F297" i="12"/>
  <c r="C300" i="12"/>
  <c r="H315" i="12"/>
  <c r="G320" i="12"/>
  <c r="F329" i="12"/>
  <c r="H349" i="12"/>
  <c r="L365" i="12"/>
  <c r="L397" i="12"/>
  <c r="M408" i="12"/>
  <c r="N419" i="12"/>
  <c r="L429" i="12"/>
  <c r="M440" i="12"/>
  <c r="N451" i="12"/>
  <c r="L461" i="12"/>
  <c r="M472" i="12"/>
  <c r="N483" i="12"/>
  <c r="L493" i="12"/>
  <c r="F326" i="12"/>
  <c r="C329" i="12"/>
  <c r="B336" i="12"/>
  <c r="E336" i="12" s="1"/>
  <c r="C347" i="12"/>
  <c r="B352" i="12"/>
  <c r="E352" i="12" s="1"/>
  <c r="G362" i="12"/>
  <c r="H373" i="12"/>
  <c r="F383" i="12"/>
  <c r="G394" i="12"/>
  <c r="H405" i="12"/>
  <c r="F415" i="12"/>
  <c r="G426" i="12"/>
  <c r="H437" i="12"/>
  <c r="F447" i="12"/>
  <c r="G458" i="12"/>
  <c r="H469" i="12"/>
  <c r="F479" i="12"/>
  <c r="G490" i="12"/>
  <c r="B311" i="12"/>
  <c r="E311" i="12" s="1"/>
  <c r="L313" i="12"/>
  <c r="B319" i="12"/>
  <c r="E319" i="12" s="1"/>
  <c r="L321" i="12"/>
  <c r="B327" i="12"/>
  <c r="E327" i="12" s="1"/>
  <c r="L329" i="12"/>
  <c r="C338" i="12"/>
  <c r="B343" i="12"/>
  <c r="E343" i="12" s="1"/>
  <c r="F355" i="12"/>
  <c r="G366" i="12"/>
  <c r="H377" i="12"/>
  <c r="F387" i="12"/>
  <c r="G398" i="12"/>
  <c r="H409" i="12"/>
  <c r="F419" i="12"/>
  <c r="G430" i="12"/>
  <c r="H441" i="12"/>
  <c r="F451" i="12"/>
  <c r="G462" i="12"/>
  <c r="H473" i="12"/>
  <c r="F483" i="12"/>
  <c r="G494" i="12"/>
  <c r="B308" i="12"/>
  <c r="E308" i="12" s="1"/>
  <c r="L310" i="12"/>
  <c r="B316" i="12"/>
  <c r="E316" i="12" s="1"/>
  <c r="L318" i="12"/>
  <c r="B324" i="12"/>
  <c r="E324" i="12" s="1"/>
  <c r="L326" i="12"/>
  <c r="B332" i="12"/>
  <c r="E332" i="12" s="1"/>
  <c r="H342" i="12"/>
  <c r="G347" i="12"/>
  <c r="D353" i="12"/>
  <c r="B363" i="12"/>
  <c r="E363" i="12" s="1"/>
  <c r="C374" i="12"/>
  <c r="D385" i="12"/>
  <c r="B395" i="12"/>
  <c r="E395" i="12" s="1"/>
  <c r="C406" i="12"/>
  <c r="D417" i="12"/>
  <c r="B427" i="12"/>
  <c r="E427" i="12" s="1"/>
  <c r="C438" i="12"/>
  <c r="D449" i="12"/>
  <c r="B459" i="12"/>
  <c r="E459" i="12" s="1"/>
  <c r="C470" i="12"/>
  <c r="D481" i="12"/>
  <c r="B491" i="12"/>
  <c r="E491" i="12" s="1"/>
  <c r="L354" i="12"/>
  <c r="B360" i="12"/>
  <c r="E360" i="12" s="1"/>
  <c r="L362" i="12"/>
  <c r="B368" i="12"/>
  <c r="E368" i="12" s="1"/>
  <c r="L370" i="12"/>
  <c r="B376" i="12"/>
  <c r="E376" i="12" s="1"/>
  <c r="L378" i="12"/>
  <c r="B384" i="12"/>
  <c r="E384" i="12" s="1"/>
  <c r="L386" i="12"/>
  <c r="B392" i="12"/>
  <c r="E392" i="12" s="1"/>
  <c r="L394" i="12"/>
  <c r="B400" i="12"/>
  <c r="E400" i="12" s="1"/>
  <c r="L402" i="12"/>
  <c r="B408" i="12"/>
  <c r="E408" i="12" s="1"/>
  <c r="L410" i="12"/>
  <c r="I413" i="12"/>
  <c r="B416" i="12"/>
  <c r="E416" i="12" s="1"/>
  <c r="L418" i="12"/>
  <c r="I421" i="12"/>
  <c r="B424" i="12"/>
  <c r="E424" i="12" s="1"/>
  <c r="L426" i="12"/>
  <c r="I429" i="12"/>
  <c r="B432" i="12"/>
  <c r="E432" i="12" s="1"/>
  <c r="L434" i="12"/>
  <c r="I437" i="12"/>
  <c r="B440" i="12"/>
  <c r="E440" i="12" s="1"/>
  <c r="L442" i="12"/>
  <c r="I445" i="12"/>
  <c r="B448" i="12"/>
  <c r="E448" i="12" s="1"/>
  <c r="L450" i="12"/>
  <c r="I453" i="12"/>
  <c r="B456" i="12"/>
  <c r="E456" i="12" s="1"/>
  <c r="L458" i="12"/>
  <c r="I461" i="12"/>
  <c r="B464" i="12"/>
  <c r="E464" i="12" s="1"/>
  <c r="L466" i="12"/>
  <c r="I469" i="12"/>
  <c r="B472" i="12"/>
  <c r="E472" i="12" s="1"/>
  <c r="L474" i="12"/>
  <c r="I477" i="12"/>
  <c r="B480" i="12"/>
  <c r="E480" i="12" s="1"/>
  <c r="L482" i="12"/>
  <c r="I485" i="12"/>
  <c r="B488" i="12"/>
  <c r="E488" i="12" s="1"/>
  <c r="L490" i="12"/>
  <c r="I493" i="12"/>
  <c r="G336" i="12"/>
  <c r="D339" i="12"/>
  <c r="G344" i="12"/>
  <c r="D347" i="12"/>
  <c r="G352" i="12"/>
  <c r="D355" i="12"/>
  <c r="G360" i="12"/>
  <c r="D363" i="12"/>
  <c r="G368" i="12"/>
  <c r="D371" i="12"/>
  <c r="G376" i="12"/>
  <c r="D379" i="12"/>
  <c r="G384" i="12"/>
  <c r="D387" i="12"/>
  <c r="G392" i="12"/>
  <c r="D395" i="12"/>
  <c r="G400" i="12"/>
  <c r="D403" i="12"/>
  <c r="G408" i="12"/>
  <c r="D411" i="12"/>
  <c r="J413" i="12"/>
  <c r="G416" i="12"/>
  <c r="D419" i="12"/>
  <c r="J421" i="12"/>
  <c r="G424" i="12"/>
  <c r="D427" i="12"/>
  <c r="J429" i="12"/>
  <c r="G432" i="12"/>
  <c r="D435" i="12"/>
  <c r="J437" i="12"/>
  <c r="G440" i="12"/>
  <c r="D443" i="12"/>
  <c r="J445" i="12"/>
  <c r="G448" i="12"/>
  <c r="D451" i="12"/>
  <c r="J453" i="12"/>
  <c r="G456" i="12"/>
  <c r="D459" i="12"/>
  <c r="J461" i="12"/>
  <c r="G464" i="12"/>
  <c r="D467" i="12"/>
  <c r="J469" i="12"/>
  <c r="G472" i="12"/>
  <c r="D475" i="12"/>
  <c r="J477" i="12"/>
  <c r="G480" i="12"/>
  <c r="D483" i="12"/>
  <c r="J485" i="12"/>
  <c r="G488" i="12"/>
  <c r="D491" i="12"/>
  <c r="J493" i="12"/>
  <c r="B334" i="12"/>
  <c r="E334" i="12" s="1"/>
  <c r="L336" i="12"/>
  <c r="B342" i="12"/>
  <c r="E342" i="12" s="1"/>
  <c r="L344" i="12"/>
  <c r="B350" i="12"/>
  <c r="E350" i="12" s="1"/>
  <c r="L352" i="12"/>
  <c r="B358" i="12"/>
  <c r="E358" i="12" s="1"/>
  <c r="L360" i="12"/>
  <c r="B366" i="12"/>
  <c r="E366" i="12" s="1"/>
  <c r="L368" i="12"/>
  <c r="B374" i="12"/>
  <c r="E374" i="12" s="1"/>
  <c r="L376" i="12"/>
  <c r="B382" i="12"/>
  <c r="E382" i="12" s="1"/>
  <c r="L384" i="12"/>
  <c r="B390" i="12"/>
  <c r="E390" i="12" s="1"/>
  <c r="L392" i="12"/>
  <c r="B398" i="12"/>
  <c r="E398" i="12" s="1"/>
  <c r="L400" i="12"/>
  <c r="B406" i="12"/>
  <c r="E406" i="12" s="1"/>
  <c r="L408" i="12"/>
  <c r="K413" i="12"/>
  <c r="N418" i="12"/>
  <c r="H424" i="12"/>
  <c r="K429" i="12"/>
  <c r="N434" i="12"/>
  <c r="H440" i="12"/>
  <c r="K445" i="12"/>
  <c r="N450" i="12"/>
  <c r="H456" i="12"/>
  <c r="K461" i="12"/>
  <c r="N466" i="12"/>
  <c r="H472" i="12"/>
  <c r="K477" i="12"/>
  <c r="N482" i="12"/>
  <c r="H488" i="12"/>
  <c r="K493" i="12"/>
  <c r="AF436" i="4"/>
  <c r="I60" i="8"/>
  <c r="I6" i="9" s="1"/>
  <c r="H6" i="9" s="1"/>
  <c r="E60" i="8"/>
  <c r="H11" i="4" s="1"/>
  <c r="K13" i="12" s="1"/>
  <c r="H60" i="8"/>
  <c r="N12" i="5" s="1"/>
  <c r="G60" i="8"/>
  <c r="M12" i="5" s="1"/>
  <c r="H9" i="4"/>
  <c r="K11" i="12" s="1"/>
  <c r="AF446" i="4"/>
  <c r="AK475" i="4"/>
  <c r="AL475" i="4" s="1"/>
  <c r="AF459" i="4"/>
  <c r="AF443" i="4"/>
  <c r="AF427" i="4"/>
  <c r="AF415" i="4"/>
  <c r="AK312" i="4"/>
  <c r="AL312" i="4" s="1"/>
  <c r="AK308" i="4"/>
  <c r="AL308" i="4" s="1"/>
  <c r="AK302" i="4"/>
  <c r="AL302" i="4" s="1"/>
  <c r="AK295" i="4"/>
  <c r="AL295" i="4" s="1"/>
  <c r="AF218" i="4"/>
  <c r="AF214" i="4"/>
  <c r="AF206" i="4"/>
  <c r="AF198" i="4"/>
  <c r="AF190" i="4"/>
  <c r="AF182" i="4"/>
  <c r="AF167" i="4"/>
  <c r="AF150" i="4"/>
  <c r="AF133" i="4"/>
  <c r="AF108" i="4"/>
  <c r="AF100" i="4"/>
  <c r="AF84" i="4"/>
  <c r="AF60" i="4"/>
  <c r="AF44" i="4"/>
  <c r="AF330" i="4"/>
  <c r="AF350" i="4"/>
  <c r="AF362" i="4"/>
  <c r="AF382" i="4"/>
  <c r="AK333" i="4"/>
  <c r="AL333" i="4" s="1"/>
  <c r="AK324" i="4"/>
  <c r="AL324" i="4" s="1"/>
  <c r="AF41" i="4"/>
  <c r="G41" i="4"/>
  <c r="H41" i="4"/>
  <c r="K43" i="12" s="1"/>
  <c r="W219" i="13"/>
  <c r="W223" i="13"/>
  <c r="W227" i="13"/>
  <c r="W231" i="13"/>
  <c r="W235" i="13"/>
  <c r="W239" i="13"/>
  <c r="W243" i="13"/>
  <c r="W247" i="13"/>
  <c r="W251" i="13"/>
  <c r="W255" i="13"/>
  <c r="W259" i="13"/>
  <c r="W263" i="13"/>
  <c r="W267" i="13"/>
  <c r="W271" i="13"/>
  <c r="W275" i="13"/>
  <c r="W279" i="13"/>
  <c r="W365" i="13"/>
  <c r="W368" i="13"/>
  <c r="W372" i="13"/>
  <c r="W376" i="13"/>
  <c r="W380" i="13"/>
  <c r="W384" i="13"/>
  <c r="W388" i="13"/>
  <c r="W391" i="13"/>
  <c r="W395" i="13"/>
  <c r="W399" i="13"/>
  <c r="W403" i="13"/>
  <c r="W407" i="13"/>
  <c r="W411" i="13"/>
  <c r="W415" i="13"/>
  <c r="W419" i="13"/>
  <c r="W427" i="13"/>
  <c r="W431" i="13"/>
  <c r="W447" i="13"/>
  <c r="W463" i="13"/>
  <c r="AK416" i="4"/>
  <c r="AL416" i="4" s="1"/>
  <c r="AF314" i="4"/>
  <c r="AF312" i="4"/>
  <c r="AF310" i="4"/>
  <c r="AF308" i="4"/>
  <c r="AF306" i="4"/>
  <c r="AF304" i="4"/>
  <c r="AF302" i="4"/>
  <c r="AF300" i="4"/>
  <c r="AF298" i="4"/>
  <c r="AF296" i="4"/>
  <c r="AK326" i="4"/>
  <c r="AL326" i="4" s="1"/>
  <c r="AK290" i="4"/>
  <c r="AL290" i="4" s="1"/>
  <c r="AK288" i="4"/>
  <c r="AL288" i="4" s="1"/>
  <c r="AK286" i="4"/>
  <c r="AL286" i="4" s="1"/>
  <c r="AK284" i="4"/>
  <c r="AL284" i="4" s="1"/>
  <c r="AK282" i="4"/>
  <c r="AL282" i="4" s="1"/>
  <c r="AK280" i="4"/>
  <c r="AL280" i="4" s="1"/>
  <c r="AK278" i="4"/>
  <c r="AL278" i="4" s="1"/>
  <c r="AK276" i="4"/>
  <c r="AL276" i="4" s="1"/>
  <c r="AK274" i="4"/>
  <c r="AL274" i="4" s="1"/>
  <c r="AK272" i="4"/>
  <c r="AL272" i="4" s="1"/>
  <c r="AK270" i="4"/>
  <c r="AL270" i="4" s="1"/>
  <c r="AK268" i="4"/>
  <c r="AL268" i="4" s="1"/>
  <c r="AK266" i="4"/>
  <c r="AL266" i="4" s="1"/>
  <c r="AK264" i="4"/>
  <c r="AL264" i="4" s="1"/>
  <c r="AK262" i="4"/>
  <c r="AL262" i="4" s="1"/>
  <c r="AK260" i="4"/>
  <c r="AL260" i="4" s="1"/>
  <c r="AK258" i="4"/>
  <c r="AL258" i="4" s="1"/>
  <c r="AK256" i="4"/>
  <c r="AL256" i="4" s="1"/>
  <c r="AK254" i="4"/>
  <c r="AL254" i="4" s="1"/>
  <c r="AK252" i="4"/>
  <c r="AL252" i="4" s="1"/>
  <c r="AK250" i="4"/>
  <c r="AL250" i="4" s="1"/>
  <c r="AK248" i="4"/>
  <c r="AL248" i="4" s="1"/>
  <c r="AK246" i="4"/>
  <c r="AL246" i="4" s="1"/>
  <c r="AK244" i="4"/>
  <c r="AL244" i="4" s="1"/>
  <c r="AK242" i="4"/>
  <c r="AL242" i="4" s="1"/>
  <c r="AK240" i="4"/>
  <c r="AL240" i="4" s="1"/>
  <c r="AK238" i="4"/>
  <c r="AL238" i="4" s="1"/>
  <c r="AK236" i="4"/>
  <c r="AL236" i="4" s="1"/>
  <c r="AK234" i="4"/>
  <c r="AL234" i="4" s="1"/>
  <c r="AK232" i="4"/>
  <c r="AL232" i="4" s="1"/>
  <c r="AK230" i="4"/>
  <c r="AL230" i="4" s="1"/>
  <c r="AK228" i="4"/>
  <c r="AL228" i="4" s="1"/>
  <c r="AK226" i="4"/>
  <c r="AL226" i="4" s="1"/>
  <c r="AK224" i="4"/>
  <c r="AL224" i="4" s="1"/>
  <c r="AK222" i="4"/>
  <c r="AL222" i="4" s="1"/>
  <c r="AK176" i="4"/>
  <c r="AL176" i="4" s="1"/>
  <c r="AK168" i="4"/>
  <c r="AL168" i="4" s="1"/>
  <c r="AK160" i="4"/>
  <c r="AL160" i="4" s="1"/>
  <c r="AK152" i="4"/>
  <c r="AL152" i="4" s="1"/>
  <c r="AK145" i="4"/>
  <c r="AL145" i="4" s="1"/>
  <c r="AK138" i="4"/>
  <c r="AL138" i="4" s="1"/>
  <c r="AK130" i="4"/>
  <c r="AL130" i="4" s="1"/>
  <c r="AK122" i="4"/>
  <c r="AL122" i="4" s="1"/>
  <c r="AK115" i="4"/>
  <c r="AL115" i="4" s="1"/>
  <c r="AK107" i="4"/>
  <c r="AL107" i="4" s="1"/>
  <c r="AK99" i="4"/>
  <c r="AL99" i="4" s="1"/>
  <c r="AK91" i="4"/>
  <c r="AL91" i="4" s="1"/>
  <c r="AK83" i="4"/>
  <c r="AL83" i="4" s="1"/>
  <c r="AK75" i="4"/>
  <c r="AL75" i="4" s="1"/>
  <c r="AK67" i="4"/>
  <c r="AL67" i="4" s="1"/>
  <c r="AK59" i="4"/>
  <c r="AL59" i="4" s="1"/>
  <c r="AK51" i="4"/>
  <c r="AL51" i="4" s="1"/>
  <c r="C9" i="5"/>
  <c r="C7" i="2" s="1"/>
  <c r="J9" i="5"/>
  <c r="E7" i="2" s="1"/>
  <c r="B9" i="5"/>
  <c r="I9" i="5"/>
  <c r="AK215" i="4"/>
  <c r="AL215" i="4" s="1"/>
  <c r="I11" i="5"/>
  <c r="C11" i="5"/>
  <c r="C9" i="2" s="1"/>
  <c r="J11" i="5"/>
  <c r="E9" i="2" s="1"/>
  <c r="B11" i="5"/>
  <c r="AK195" i="4"/>
  <c r="AL195" i="4" s="1"/>
  <c r="AK211" i="4"/>
  <c r="AL211" i="4" s="1"/>
  <c r="AK203" i="4"/>
  <c r="AL203" i="4" s="1"/>
  <c r="AF176" i="4"/>
  <c r="AF168" i="4"/>
  <c r="AF160" i="4"/>
  <c r="AF152" i="4"/>
  <c r="AF145" i="4"/>
  <c r="AF138" i="4"/>
  <c r="AF130" i="4"/>
  <c r="AF122" i="4"/>
  <c r="AF115" i="4"/>
  <c r="AF107" i="4"/>
  <c r="AF99" i="4"/>
  <c r="AF91" i="4"/>
  <c r="AF83" i="4"/>
  <c r="AF75" i="4"/>
  <c r="AF67" i="4"/>
  <c r="AF59" i="4"/>
  <c r="AF51" i="4"/>
  <c r="G51" i="4"/>
  <c r="H51" i="4"/>
  <c r="K53" i="12" s="1"/>
  <c r="AK342" i="4"/>
  <c r="AL342" i="4" s="1"/>
  <c r="AF379" i="4"/>
  <c r="AF320" i="4"/>
  <c r="AF336" i="4"/>
  <c r="AF354" i="4"/>
  <c r="AF368" i="4"/>
  <c r="AF378" i="4"/>
  <c r="AF392" i="4"/>
  <c r="AF396" i="4"/>
  <c r="AK319" i="4"/>
  <c r="AL319" i="4" s="1"/>
  <c r="AK323" i="4"/>
  <c r="AL323" i="4" s="1"/>
  <c r="AK389" i="4"/>
  <c r="AL389" i="4" s="1"/>
  <c r="AK393" i="4"/>
  <c r="AL393" i="4" s="1"/>
  <c r="AK411" i="4"/>
  <c r="AL411" i="4" s="1"/>
  <c r="AF324" i="4"/>
  <c r="AF328" i="4"/>
  <c r="AF340" i="4"/>
  <c r="AF398" i="4"/>
  <c r="AF327" i="4"/>
  <c r="AF339" i="4"/>
  <c r="AF371" i="4"/>
  <c r="AK210" i="4"/>
  <c r="AL210" i="4" s="1"/>
  <c r="AK194" i="4"/>
  <c r="AL194" i="4" s="1"/>
  <c r="AK150" i="4"/>
  <c r="AL150" i="4" s="1"/>
  <c r="AK123" i="4"/>
  <c r="AL123" i="4" s="1"/>
  <c r="AK31" i="4"/>
  <c r="AL31" i="4" s="1"/>
  <c r="AF22" i="4"/>
  <c r="G18" i="4"/>
  <c r="AK15" i="4"/>
  <c r="AL15" i="4" s="1"/>
  <c r="AK129" i="4"/>
  <c r="AL129" i="4" s="1"/>
  <c r="AK38" i="4"/>
  <c r="AL38" i="4" s="1"/>
  <c r="AK14" i="4"/>
  <c r="AL14" i="4" s="1"/>
  <c r="AK110" i="4"/>
  <c r="AL110" i="4" s="1"/>
  <c r="AK90" i="4"/>
  <c r="AL90" i="4" s="1"/>
  <c r="AK68" i="4"/>
  <c r="AL68" i="4" s="1"/>
  <c r="AK48" i="4"/>
  <c r="AL48" i="4" s="1"/>
  <c r="AK175" i="4"/>
  <c r="AL175" i="4" s="1"/>
  <c r="AK40" i="4"/>
  <c r="AL40" i="4" s="1"/>
  <c r="AF31" i="4"/>
  <c r="AK213" i="4"/>
  <c r="AL213" i="4" s="1"/>
  <c r="AK197" i="4"/>
  <c r="AL197" i="4" s="1"/>
  <c r="AK181" i="4"/>
  <c r="AL181" i="4" s="1"/>
  <c r="AK165" i="4"/>
  <c r="AL165" i="4" s="1"/>
  <c r="AK141" i="4"/>
  <c r="AL141" i="4" s="1"/>
  <c r="AF33" i="4"/>
  <c r="AF21" i="4"/>
  <c r="AK102" i="4"/>
  <c r="AL102" i="4" s="1"/>
  <c r="AK72" i="4"/>
  <c r="AL72" i="4" s="1"/>
  <c r="AF16" i="4"/>
  <c r="AK191" i="4"/>
  <c r="AL191" i="4" s="1"/>
  <c r="AK28" i="4"/>
  <c r="AL28" i="4" s="1"/>
  <c r="AF19" i="4"/>
  <c r="AK208" i="4"/>
  <c r="AL208" i="4" s="1"/>
  <c r="AK192" i="4"/>
  <c r="AL192" i="4" s="1"/>
  <c r="AK148" i="4"/>
  <c r="AL148" i="4" s="1"/>
  <c r="AK114" i="4"/>
  <c r="AL114" i="4" s="1"/>
  <c r="AK94" i="4"/>
  <c r="AL94" i="4" s="1"/>
  <c r="AK70" i="4"/>
  <c r="AL70" i="4" s="1"/>
  <c r="AK46" i="4"/>
  <c r="AL46" i="4" s="1"/>
  <c r="AK183" i="4"/>
  <c r="AL183" i="4" s="1"/>
  <c r="AK36" i="4"/>
  <c r="AL36" i="4" s="1"/>
  <c r="AK20" i="4"/>
  <c r="AL20" i="4" s="1"/>
  <c r="H10" i="12"/>
  <c r="H13" i="12"/>
  <c r="H29" i="12"/>
  <c r="H45" i="12"/>
  <c r="H49" i="12"/>
  <c r="H53" i="12"/>
  <c r="H57" i="12"/>
  <c r="H61" i="12"/>
  <c r="H65" i="12"/>
  <c r="H69" i="12"/>
  <c r="H73" i="12"/>
  <c r="H77" i="12"/>
  <c r="H81" i="12"/>
  <c r="H85" i="12"/>
  <c r="H89" i="12"/>
  <c r="H93" i="12"/>
  <c r="H97" i="12"/>
  <c r="H101" i="12"/>
  <c r="H105" i="12"/>
  <c r="H109" i="12"/>
  <c r="H113" i="12"/>
  <c r="H117" i="12"/>
  <c r="H121" i="12"/>
  <c r="H149" i="12"/>
  <c r="H181" i="12"/>
  <c r="C245" i="12"/>
  <c r="F246" i="12"/>
  <c r="C249" i="12"/>
  <c r="F250" i="12"/>
  <c r="C253" i="12"/>
  <c r="F254" i="12"/>
  <c r="C257" i="12"/>
  <c r="F258" i="12"/>
  <c r="C261" i="12"/>
  <c r="F262" i="12"/>
  <c r="C265" i="12"/>
  <c r="F266" i="12"/>
  <c r="C269" i="12"/>
  <c r="F270" i="12"/>
  <c r="C273" i="12"/>
  <c r="F274" i="12"/>
  <c r="C277" i="12"/>
  <c r="F278" i="12"/>
  <c r="C281" i="12"/>
  <c r="F282" i="12"/>
  <c r="C285" i="12"/>
  <c r="F286" i="12"/>
  <c r="C289" i="12"/>
  <c r="F290" i="12"/>
  <c r="C293" i="12"/>
  <c r="F294" i="12"/>
  <c r="C297" i="12"/>
  <c r="F298" i="12"/>
  <c r="C301" i="12"/>
  <c r="F302" i="12"/>
  <c r="L303" i="12"/>
  <c r="G305" i="12"/>
  <c r="H307" i="12"/>
  <c r="H309" i="12"/>
  <c r="H312" i="12"/>
  <c r="G317" i="12"/>
  <c r="H320" i="12"/>
  <c r="B339" i="12"/>
  <c r="E339" i="12" s="1"/>
  <c r="L245" i="12"/>
  <c r="B247" i="12"/>
  <c r="E247" i="12" s="1"/>
  <c r="L249" i="12"/>
  <c r="B251" i="12"/>
  <c r="E251" i="12" s="1"/>
  <c r="L253" i="12"/>
  <c r="B255" i="12"/>
  <c r="E255" i="12" s="1"/>
  <c r="L257" i="12"/>
  <c r="B259" i="12"/>
  <c r="E259" i="12" s="1"/>
  <c r="L261" i="12"/>
  <c r="B263" i="12"/>
  <c r="E263" i="12" s="1"/>
  <c r="L265" i="12"/>
  <c r="B267" i="12"/>
  <c r="E267" i="12" s="1"/>
  <c r="L269" i="12"/>
  <c r="B271" i="12"/>
  <c r="E271" i="12" s="1"/>
  <c r="L273" i="12"/>
  <c r="B275" i="12"/>
  <c r="E275" i="12" s="1"/>
  <c r="L277" i="12"/>
  <c r="B279" i="12"/>
  <c r="E279" i="12" s="1"/>
  <c r="L281" i="12"/>
  <c r="B283" i="12"/>
  <c r="E283" i="12" s="1"/>
  <c r="L285" i="12"/>
  <c r="B287" i="12"/>
  <c r="E287" i="12" s="1"/>
  <c r="L289" i="12"/>
  <c r="B291" i="12"/>
  <c r="E291" i="12" s="1"/>
  <c r="L293" i="12"/>
  <c r="B295" i="12"/>
  <c r="E295" i="12" s="1"/>
  <c r="C298" i="12"/>
  <c r="L301" i="12"/>
  <c r="H303" i="12"/>
  <c r="F306" i="12"/>
  <c r="G308" i="12"/>
  <c r="H311" i="12"/>
  <c r="D315" i="12"/>
  <c r="D331" i="12"/>
  <c r="C342" i="12"/>
  <c r="H246" i="12"/>
  <c r="B248" i="12"/>
  <c r="E248" i="12" s="1"/>
  <c r="C255" i="12"/>
  <c r="L258" i="12"/>
  <c r="F260" i="12"/>
  <c r="H262" i="12"/>
  <c r="B264" i="12"/>
  <c r="E264" i="12" s="1"/>
  <c r="C271" i="12"/>
  <c r="L274" i="12"/>
  <c r="F276" i="12"/>
  <c r="H278" i="12"/>
  <c r="B280" i="12"/>
  <c r="E280" i="12" s="1"/>
  <c r="C287" i="12"/>
  <c r="L290" i="12"/>
  <c r="F292" i="12"/>
  <c r="H294" i="12"/>
  <c r="B296" i="12"/>
  <c r="E296" i="12" s="1"/>
  <c r="D303" i="12"/>
  <c r="C308" i="12"/>
  <c r="F310" i="12"/>
  <c r="B314" i="12"/>
  <c r="E314" i="12" s="1"/>
  <c r="L320" i="12"/>
  <c r="L327" i="12"/>
  <c r="L337" i="12"/>
  <c r="B245" i="12"/>
  <c r="E245" i="12" s="1"/>
  <c r="L247" i="12"/>
  <c r="B253" i="12"/>
  <c r="E253" i="12" s="1"/>
  <c r="L255" i="12"/>
  <c r="B261" i="12"/>
  <c r="E261" i="12" s="1"/>
  <c r="L263" i="12"/>
  <c r="B269" i="12"/>
  <c r="E269" i="12" s="1"/>
  <c r="L271" i="12"/>
  <c r="B277" i="12"/>
  <c r="E277" i="12" s="1"/>
  <c r="L279" i="12"/>
  <c r="B285" i="12"/>
  <c r="E285" i="12" s="1"/>
  <c r="L287" i="12"/>
  <c r="B293" i="12"/>
  <c r="E293" i="12" s="1"/>
  <c r="L295" i="12"/>
  <c r="B301" i="12"/>
  <c r="E301" i="12" s="1"/>
  <c r="H304" i="12"/>
  <c r="L307" i="12"/>
  <c r="L311" i="12"/>
  <c r="F317" i="12"/>
  <c r="D323" i="12"/>
  <c r="H333" i="12"/>
  <c r="L345" i="12"/>
  <c r="F351" i="12"/>
  <c r="I412" i="12"/>
  <c r="J423" i="12"/>
  <c r="K434" i="12"/>
  <c r="I444" i="12"/>
  <c r="J455" i="12"/>
  <c r="K466" i="12"/>
  <c r="I476" i="12"/>
  <c r="J487" i="12"/>
  <c r="B322" i="12"/>
  <c r="E322" i="12" s="1"/>
  <c r="L324" i="12"/>
  <c r="B330" i="12"/>
  <c r="E330" i="12" s="1"/>
  <c r="H338" i="12"/>
  <c r="G343" i="12"/>
  <c r="B355" i="12"/>
  <c r="E355" i="12" s="1"/>
  <c r="C366" i="12"/>
  <c r="D377" i="12"/>
  <c r="B387" i="12"/>
  <c r="E387" i="12" s="1"/>
  <c r="C398" i="12"/>
  <c r="D409" i="12"/>
  <c r="B419" i="12"/>
  <c r="E419" i="12" s="1"/>
  <c r="C430" i="12"/>
  <c r="D441" i="12"/>
  <c r="B451" i="12"/>
  <c r="E451" i="12" s="1"/>
  <c r="C462" i="12"/>
  <c r="D473" i="12"/>
  <c r="B483" i="12"/>
  <c r="E483" i="12" s="1"/>
  <c r="C494" i="12"/>
  <c r="H317" i="12"/>
  <c r="H325" i="12"/>
  <c r="G334" i="12"/>
  <c r="H345" i="12"/>
  <c r="G350" i="12"/>
  <c r="B359" i="12"/>
  <c r="E359" i="12" s="1"/>
  <c r="C370" i="12"/>
  <c r="D381" i="12"/>
  <c r="B391" i="12"/>
  <c r="E391" i="12" s="1"/>
  <c r="C402" i="12"/>
  <c r="D413" i="12"/>
  <c r="B423" i="12"/>
  <c r="E423" i="12" s="1"/>
  <c r="C434" i="12"/>
  <c r="D445" i="12"/>
  <c r="B455" i="12"/>
  <c r="E455" i="12" s="1"/>
  <c r="C466" i="12"/>
  <c r="D477" i="12"/>
  <c r="B487" i="12"/>
  <c r="E487" i="12" s="1"/>
  <c r="H306" i="12"/>
  <c r="H314" i="12"/>
  <c r="H322" i="12"/>
  <c r="H330" i="12"/>
  <c r="L338" i="12"/>
  <c r="F344" i="12"/>
  <c r="L377" i="12"/>
  <c r="L409" i="12"/>
  <c r="M420" i="12"/>
  <c r="N431" i="12"/>
  <c r="L441" i="12"/>
  <c r="M452" i="12"/>
  <c r="N463" i="12"/>
  <c r="L473" i="12"/>
  <c r="M484" i="12"/>
  <c r="H358" i="12"/>
  <c r="H366" i="12"/>
  <c r="H374" i="12"/>
  <c r="H382" i="12"/>
  <c r="H390" i="12"/>
  <c r="H398" i="12"/>
  <c r="H406" i="12"/>
  <c r="N408" i="12"/>
  <c r="K411" i="12"/>
  <c r="H414" i="12"/>
  <c r="N416" i="12"/>
  <c r="K419" i="12"/>
  <c r="H422" i="12"/>
  <c r="N424" i="12"/>
  <c r="K427" i="12"/>
  <c r="H430" i="12"/>
  <c r="N432" i="12"/>
  <c r="K435" i="12"/>
  <c r="H438" i="12"/>
  <c r="N440" i="12"/>
  <c r="K443" i="12"/>
  <c r="H446" i="12"/>
  <c r="N448" i="12"/>
  <c r="K451" i="12"/>
  <c r="H454" i="12"/>
  <c r="N456" i="12"/>
  <c r="K459" i="12"/>
  <c r="H462" i="12"/>
  <c r="N464" i="12"/>
  <c r="K467" i="12"/>
  <c r="H470" i="12"/>
  <c r="N472" i="12"/>
  <c r="K475" i="12"/>
  <c r="H478" i="12"/>
  <c r="N480" i="12"/>
  <c r="K483" i="12"/>
  <c r="H486" i="12"/>
  <c r="N488" i="12"/>
  <c r="K491" i="12"/>
  <c r="H494" i="12"/>
  <c r="F337" i="12"/>
  <c r="C340" i="12"/>
  <c r="F345" i="12"/>
  <c r="C348" i="12"/>
  <c r="F353" i="12"/>
  <c r="C356" i="12"/>
  <c r="F361" i="12"/>
  <c r="C364" i="12"/>
  <c r="F369" i="12"/>
  <c r="C372" i="12"/>
  <c r="F377" i="12"/>
  <c r="C380" i="12"/>
  <c r="F385" i="12"/>
  <c r="C388" i="12"/>
  <c r="F393" i="12"/>
  <c r="C396" i="12"/>
  <c r="F401" i="12"/>
  <c r="C404" i="12"/>
  <c r="F409" i="12"/>
  <c r="C412" i="12"/>
  <c r="M414" i="12"/>
  <c r="F417" i="12"/>
  <c r="C420" i="12"/>
  <c r="M422" i="12"/>
  <c r="F425" i="12"/>
  <c r="C428" i="12"/>
  <c r="M430" i="12"/>
  <c r="F433" i="12"/>
  <c r="C436" i="12"/>
  <c r="M438" i="12"/>
  <c r="F441" i="12"/>
  <c r="C444" i="12"/>
  <c r="M446" i="12"/>
  <c r="F449" i="12"/>
  <c r="C452" i="12"/>
  <c r="M454" i="12"/>
  <c r="F457" i="12"/>
  <c r="C460" i="12"/>
  <c r="M462" i="12"/>
  <c r="F465" i="12"/>
  <c r="C468" i="12"/>
  <c r="M470" i="12"/>
  <c r="F473" i="12"/>
  <c r="C476" i="12"/>
  <c r="M478" i="12"/>
  <c r="F481" i="12"/>
  <c r="C484" i="12"/>
  <c r="M486" i="12"/>
  <c r="F489" i="12"/>
  <c r="C492" i="12"/>
  <c r="M494" i="12"/>
  <c r="H340" i="12"/>
  <c r="H348" i="12"/>
  <c r="H356" i="12"/>
  <c r="H364" i="12"/>
  <c r="H372" i="12"/>
  <c r="H380" i="12"/>
  <c r="H388" i="12"/>
  <c r="H396" i="12"/>
  <c r="H404" i="12"/>
  <c r="K409" i="12"/>
  <c r="N414" i="12"/>
  <c r="H420" i="12"/>
  <c r="K425" i="12"/>
  <c r="N430" i="12"/>
  <c r="H436" i="12"/>
  <c r="K441" i="12"/>
  <c r="N446" i="12"/>
  <c r="H452" i="12"/>
  <c r="K457" i="12"/>
  <c r="N462" i="12"/>
  <c r="H468" i="12"/>
  <c r="K473" i="12"/>
  <c r="N478" i="12"/>
  <c r="H484" i="12"/>
  <c r="K489" i="12"/>
  <c r="N494" i="12"/>
  <c r="AF488" i="4"/>
  <c r="AF484" i="4"/>
  <c r="G3" i="9"/>
  <c r="F3" i="9"/>
  <c r="AF476" i="4"/>
  <c r="AF452" i="4"/>
  <c r="AF420" i="4"/>
  <c r="AF462" i="4"/>
  <c r="AF430" i="4"/>
  <c r="AF414" i="4"/>
  <c r="AK314" i="4"/>
  <c r="AL314" i="4" s="1"/>
  <c r="AK310" i="4"/>
  <c r="AL310" i="4" s="1"/>
  <c r="AK306" i="4"/>
  <c r="AL306" i="4" s="1"/>
  <c r="AK300" i="4"/>
  <c r="AL300" i="4" s="1"/>
  <c r="AF210" i="4"/>
  <c r="AF202" i="4"/>
  <c r="AF194" i="4"/>
  <c r="AF186" i="4"/>
  <c r="AF175" i="4"/>
  <c r="AF159" i="4"/>
  <c r="AF141" i="4"/>
  <c r="AF125" i="4"/>
  <c r="AF116" i="4"/>
  <c r="AF92" i="4"/>
  <c r="AF76" i="4"/>
  <c r="AF68" i="4"/>
  <c r="AF52" i="4"/>
  <c r="AF334" i="4"/>
  <c r="AF346" i="4"/>
  <c r="AF358" i="4"/>
  <c r="AF372" i="4"/>
  <c r="AF386" i="4"/>
  <c r="AF400" i="4"/>
  <c r="AF404" i="4"/>
  <c r="AK329" i="4"/>
  <c r="AL329" i="4" s="1"/>
  <c r="AK401" i="4"/>
  <c r="AL401" i="4" s="1"/>
  <c r="AF491" i="4"/>
  <c r="AF487" i="4"/>
  <c r="AF483" i="4"/>
  <c r="AF479" i="4"/>
  <c r="AF464" i="4"/>
  <c r="AF448" i="4"/>
  <c r="AF432" i="4"/>
  <c r="AF416" i="4"/>
  <c r="AK385" i="4"/>
  <c r="AL385" i="4" s="1"/>
  <c r="AK377" i="4"/>
  <c r="AL377" i="4" s="1"/>
  <c r="AK369" i="4"/>
  <c r="AL369" i="4" s="1"/>
  <c r="AK365" i="4"/>
  <c r="AL365" i="4" s="1"/>
  <c r="AF469" i="4"/>
  <c r="AF461" i="4"/>
  <c r="AF453" i="4"/>
  <c r="AF445" i="4"/>
  <c r="AF437" i="4"/>
  <c r="AF429" i="4"/>
  <c r="AF421" i="4"/>
  <c r="AF413" i="4"/>
  <c r="U16" i="13"/>
  <c r="E21" i="2" s="1"/>
  <c r="C21" i="2"/>
  <c r="AF466" i="4"/>
  <c r="AF450" i="4"/>
  <c r="AF434" i="4"/>
  <c r="AF418" i="4"/>
  <c r="AF474" i="4"/>
  <c r="AF471" i="4"/>
  <c r="AF455" i="4"/>
  <c r="AF439" i="4"/>
  <c r="AK392" i="4"/>
  <c r="AL392" i="4" s="1"/>
  <c r="AK294" i="4"/>
  <c r="AL294" i="4" s="1"/>
  <c r="AF221" i="4"/>
  <c r="AF217" i="4"/>
  <c r="AF213" i="4"/>
  <c r="AF209" i="4"/>
  <c r="AF205" i="4"/>
  <c r="AF201" i="4"/>
  <c r="AF197" i="4"/>
  <c r="AF193" i="4"/>
  <c r="AF189" i="4"/>
  <c r="AF185" i="4"/>
  <c r="AF181" i="4"/>
  <c r="AF173" i="4"/>
  <c r="AF165" i="4"/>
  <c r="AF157" i="4"/>
  <c r="AF148" i="4"/>
  <c r="AF139" i="4"/>
  <c r="AF131" i="4"/>
  <c r="AF123" i="4"/>
  <c r="AF114" i="4"/>
  <c r="AF106" i="4"/>
  <c r="AF98" i="4"/>
  <c r="AF90" i="4"/>
  <c r="AF82" i="4"/>
  <c r="G82" i="4"/>
  <c r="H82" i="4"/>
  <c r="K84" i="12" s="1"/>
  <c r="AF74" i="4"/>
  <c r="AF66" i="4"/>
  <c r="AF58" i="4"/>
  <c r="G58" i="4"/>
  <c r="H58" i="4"/>
  <c r="K60" i="12" s="1"/>
  <c r="AF50" i="4"/>
  <c r="AK344" i="4"/>
  <c r="AL344" i="4" s="1"/>
  <c r="AK348" i="4"/>
  <c r="AL348" i="4" s="1"/>
  <c r="AK356" i="4"/>
  <c r="AL356" i="4" s="1"/>
  <c r="AK360" i="4"/>
  <c r="AL360" i="4" s="1"/>
  <c r="AK364" i="4"/>
  <c r="AL364" i="4" s="1"/>
  <c r="AK374" i="4"/>
  <c r="AL374" i="4" s="1"/>
  <c r="AK384" i="4"/>
  <c r="AL384" i="4" s="1"/>
  <c r="AF329" i="4"/>
  <c r="AF333" i="4"/>
  <c r="AF347" i="4"/>
  <c r="AF357" i="4"/>
  <c r="AF361" i="4"/>
  <c r="AF373" i="4"/>
  <c r="AF383" i="4"/>
  <c r="AF387" i="4"/>
  <c r="AF401" i="4"/>
  <c r="AF405" i="4"/>
  <c r="AF409" i="4"/>
  <c r="AF412" i="4"/>
  <c r="AK336" i="4"/>
  <c r="AL336" i="4" s="1"/>
  <c r="C41" i="8"/>
  <c r="AF7" i="4"/>
  <c r="W17" i="13"/>
  <c r="W21" i="13"/>
  <c r="W25" i="13"/>
  <c r="W29" i="13"/>
  <c r="W33" i="13"/>
  <c r="W37" i="13"/>
  <c r="W41" i="13"/>
  <c r="W45" i="13"/>
  <c r="W49" i="13"/>
  <c r="W53" i="13"/>
  <c r="W57" i="13"/>
  <c r="W61" i="13"/>
  <c r="W65" i="13"/>
  <c r="W69" i="13"/>
  <c r="W73" i="13"/>
  <c r="W77" i="13"/>
  <c r="W81" i="13"/>
  <c r="W85" i="13"/>
  <c r="W89" i="13"/>
  <c r="W93" i="13"/>
  <c r="W97" i="13"/>
  <c r="W101" i="13"/>
  <c r="W105" i="13"/>
  <c r="W109" i="13"/>
  <c r="W113" i="13"/>
  <c r="W117" i="13"/>
  <c r="W121" i="13"/>
  <c r="W125" i="13"/>
  <c r="W129" i="13"/>
  <c r="W133" i="13"/>
  <c r="W12" i="13"/>
  <c r="W144" i="13"/>
  <c r="W152" i="13"/>
  <c r="W160" i="13"/>
  <c r="W137" i="13"/>
  <c r="W141" i="13"/>
  <c r="W145" i="13"/>
  <c r="W149" i="13"/>
  <c r="W153" i="13"/>
  <c r="W157" i="13"/>
  <c r="W161" i="13"/>
  <c r="W165" i="13"/>
  <c r="W169" i="13"/>
  <c r="W173" i="13"/>
  <c r="W177" i="13"/>
  <c r="W181" i="13"/>
  <c r="W185" i="13"/>
  <c r="W189" i="13"/>
  <c r="W193" i="13"/>
  <c r="W197" i="13"/>
  <c r="W201" i="13"/>
  <c r="W205" i="13"/>
  <c r="W292" i="13"/>
  <c r="W308" i="13"/>
  <c r="W324" i="13"/>
  <c r="W340" i="13"/>
  <c r="W356" i="13"/>
  <c r="W281" i="13"/>
  <c r="W285" i="13"/>
  <c r="W289" i="13"/>
  <c r="W293" i="13"/>
  <c r="W297" i="13"/>
  <c r="W301" i="13"/>
  <c r="W305" i="13"/>
  <c r="W309" i="13"/>
  <c r="W313" i="13"/>
  <c r="W317" i="13"/>
  <c r="W321" i="13"/>
  <c r="W325" i="13"/>
  <c r="W329" i="13"/>
  <c r="W333" i="13"/>
  <c r="W337" i="13"/>
  <c r="W341" i="13"/>
  <c r="W345" i="13"/>
  <c r="W349" i="13"/>
  <c r="W353" i="13"/>
  <c r="W357" i="13"/>
  <c r="W361" i="13"/>
  <c r="W394" i="13"/>
  <c r="W402" i="13"/>
  <c r="W410" i="13"/>
  <c r="W418" i="13"/>
  <c r="W428" i="13"/>
  <c r="W392" i="13"/>
  <c r="W400" i="13"/>
  <c r="W408" i="13"/>
  <c r="W416" i="13"/>
  <c r="W442" i="13"/>
  <c r="W452" i="13"/>
  <c r="W422" i="13"/>
  <c r="W430" i="13"/>
  <c r="W450" i="13"/>
  <c r="W477" i="13"/>
  <c r="W438" i="13"/>
  <c r="W454" i="13"/>
  <c r="W470" i="13"/>
  <c r="W481" i="13"/>
  <c r="W448" i="13"/>
  <c r="W464" i="13"/>
  <c r="W474" i="13"/>
  <c r="W478" i="13"/>
  <c r="W482" i="13"/>
  <c r="W486" i="13"/>
  <c r="W490" i="13"/>
  <c r="W494" i="13"/>
  <c r="AK322" i="4"/>
  <c r="AL322" i="4" s="1"/>
  <c r="AK296" i="4"/>
  <c r="AL296" i="4" s="1"/>
  <c r="AF294" i="4"/>
  <c r="AF292" i="4"/>
  <c r="AF290" i="4"/>
  <c r="AF288" i="4"/>
  <c r="AF286" i="4"/>
  <c r="AF284" i="4"/>
  <c r="AF282" i="4"/>
  <c r="AF280" i="4"/>
  <c r="AF278" i="4"/>
  <c r="AF276" i="4"/>
  <c r="AF274" i="4"/>
  <c r="AF272" i="4"/>
  <c r="AF270" i="4"/>
  <c r="AF268" i="4"/>
  <c r="AF266" i="4"/>
  <c r="AF264" i="4"/>
  <c r="AF262" i="4"/>
  <c r="AF260" i="4"/>
  <c r="AF258" i="4"/>
  <c r="AF256" i="4"/>
  <c r="AF254" i="4"/>
  <c r="AF252" i="4"/>
  <c r="AF250" i="4"/>
  <c r="AF248" i="4"/>
  <c r="AF246" i="4"/>
  <c r="AF244" i="4"/>
  <c r="AF242" i="4"/>
  <c r="AF240" i="4"/>
  <c r="AF238" i="4"/>
  <c r="AF236" i="4"/>
  <c r="AF234" i="4"/>
  <c r="AF232" i="4"/>
  <c r="AF230" i="4"/>
  <c r="AF228" i="4"/>
  <c r="AF226" i="4"/>
  <c r="AF224" i="4"/>
  <c r="AF222" i="4"/>
  <c r="AK174" i="4"/>
  <c r="AL174" i="4" s="1"/>
  <c r="AK166" i="4"/>
  <c r="AL166" i="4" s="1"/>
  <c r="AK158" i="4"/>
  <c r="AL158" i="4" s="1"/>
  <c r="AK151" i="4"/>
  <c r="AL151" i="4" s="1"/>
  <c r="AK144" i="4"/>
  <c r="AL144" i="4" s="1"/>
  <c r="AK136" i="4"/>
  <c r="AL136" i="4" s="1"/>
  <c r="AK128" i="4"/>
  <c r="AL128" i="4" s="1"/>
  <c r="AK121" i="4"/>
  <c r="AL121" i="4" s="1"/>
  <c r="AK113" i="4"/>
  <c r="AL113" i="4" s="1"/>
  <c r="AK105" i="4"/>
  <c r="AL105" i="4" s="1"/>
  <c r="AK97" i="4"/>
  <c r="AL97" i="4" s="1"/>
  <c r="AK89" i="4"/>
  <c r="AL89" i="4" s="1"/>
  <c r="AK81" i="4"/>
  <c r="AL81" i="4" s="1"/>
  <c r="AK73" i="4"/>
  <c r="AL73" i="4" s="1"/>
  <c r="AK65" i="4"/>
  <c r="AL65" i="4" s="1"/>
  <c r="AK57" i="4"/>
  <c r="AL57" i="4" s="1"/>
  <c r="AK49" i="4"/>
  <c r="AL49" i="4" s="1"/>
  <c r="AK6" i="4"/>
  <c r="AL6" i="4" s="1"/>
  <c r="J12" i="5"/>
  <c r="E10" i="2" s="1"/>
  <c r="B12" i="5"/>
  <c r="I12" i="5"/>
  <c r="C12" i="5"/>
  <c r="C10" i="2" s="1"/>
  <c r="AK199" i="4"/>
  <c r="AL199" i="4" s="1"/>
  <c r="AF174" i="4"/>
  <c r="AF166" i="4"/>
  <c r="AF158" i="4"/>
  <c r="AF151" i="4"/>
  <c r="AF144" i="4"/>
  <c r="AF136" i="4"/>
  <c r="AF128" i="4"/>
  <c r="AF121" i="4"/>
  <c r="AF113" i="4"/>
  <c r="AF105" i="4"/>
  <c r="AF97" i="4"/>
  <c r="AF89" i="4"/>
  <c r="AF81" i="4"/>
  <c r="AF73" i="4"/>
  <c r="AF65" i="4"/>
  <c r="AF57" i="4"/>
  <c r="AF49" i="4"/>
  <c r="AF342" i="4"/>
  <c r="AK352" i="4"/>
  <c r="AL352" i="4" s="1"/>
  <c r="AK366" i="4"/>
  <c r="AL366" i="4" s="1"/>
  <c r="AK376" i="4"/>
  <c r="AL376" i="4" s="1"/>
  <c r="AF319" i="4"/>
  <c r="AF323" i="4"/>
  <c r="AF351" i="4"/>
  <c r="AF355" i="4"/>
  <c r="AF367" i="4"/>
  <c r="AF375" i="4"/>
  <c r="AF389" i="4"/>
  <c r="AF393" i="4"/>
  <c r="AF411" i="4"/>
  <c r="AK338" i="4"/>
  <c r="AL338" i="4" s="1"/>
  <c r="AK370" i="4"/>
  <c r="AL370" i="4" s="1"/>
  <c r="AK325" i="4"/>
  <c r="AL325" i="4" s="1"/>
  <c r="AK397" i="4"/>
  <c r="AL397" i="4" s="1"/>
  <c r="AK206" i="4"/>
  <c r="AL206" i="4" s="1"/>
  <c r="AK190" i="4"/>
  <c r="AL190" i="4" s="1"/>
  <c r="AK146" i="4"/>
  <c r="AL146" i="4" s="1"/>
  <c r="H40" i="4"/>
  <c r="K42" i="12" s="1"/>
  <c r="AF34" i="4"/>
  <c r="AF18" i="4"/>
  <c r="G14" i="4"/>
  <c r="H4" i="4"/>
  <c r="K6" i="12" s="1"/>
  <c r="G37" i="4"/>
  <c r="AK30" i="4"/>
  <c r="AL30" i="4" s="1"/>
  <c r="AF9" i="4"/>
  <c r="AK104" i="4"/>
  <c r="AL104" i="4" s="1"/>
  <c r="AK84" i="4"/>
  <c r="AL84" i="4" s="1"/>
  <c r="AK64" i="4"/>
  <c r="AL64" i="4" s="1"/>
  <c r="G12" i="4"/>
  <c r="AK159" i="4"/>
  <c r="AL159" i="4" s="1"/>
  <c r="AF11" i="4"/>
  <c r="AK209" i="4"/>
  <c r="AL209" i="4" s="1"/>
  <c r="AK193" i="4"/>
  <c r="AL193" i="4" s="1"/>
  <c r="AK177" i="4"/>
  <c r="AL177" i="4" s="1"/>
  <c r="AK161" i="4"/>
  <c r="AL161" i="4" s="1"/>
  <c r="AK133" i="4"/>
  <c r="AL133" i="4" s="1"/>
  <c r="AF25" i="4"/>
  <c r="G5" i="4"/>
  <c r="AK92" i="4"/>
  <c r="AL92" i="4" s="1"/>
  <c r="AK62" i="4"/>
  <c r="AL62" i="4" s="1"/>
  <c r="AK167" i="4"/>
  <c r="AL167" i="4" s="1"/>
  <c r="G43" i="4"/>
  <c r="AK220" i="4"/>
  <c r="AL220" i="4" s="1"/>
  <c r="AK204" i="4"/>
  <c r="AL204" i="4" s="1"/>
  <c r="AK188" i="4"/>
  <c r="AL188" i="4" s="1"/>
  <c r="AK120" i="4"/>
  <c r="AL120" i="4" s="1"/>
  <c r="AK112" i="4"/>
  <c r="AL112" i="4" s="1"/>
  <c r="AK88" i="4"/>
  <c r="AL88" i="4" s="1"/>
  <c r="AK66" i="4"/>
  <c r="AL66" i="4" s="1"/>
  <c r="AF40" i="4"/>
  <c r="AK171" i="4"/>
  <c r="AL171" i="4" s="1"/>
  <c r="AK16" i="4"/>
  <c r="AL16" i="4" s="1"/>
  <c r="H4" i="12"/>
  <c r="H8" i="12"/>
  <c r="H126" i="12"/>
  <c r="H130" i="12"/>
  <c r="H134" i="12"/>
  <c r="H138" i="12"/>
  <c r="H142" i="12"/>
  <c r="H146" i="12"/>
  <c r="H154" i="12"/>
  <c r="H158" i="12"/>
  <c r="H162" i="12"/>
  <c r="H166" i="12"/>
  <c r="H170" i="12"/>
  <c r="H174" i="12"/>
  <c r="H178" i="12"/>
  <c r="H238" i="12"/>
  <c r="H124" i="12"/>
  <c r="H128" i="12"/>
  <c r="H132" i="12"/>
  <c r="H136" i="12"/>
  <c r="H140" i="12"/>
  <c r="H144" i="12"/>
  <c r="H156" i="12"/>
  <c r="H160" i="12"/>
  <c r="H164" i="12"/>
  <c r="H168" i="12"/>
  <c r="H172" i="12"/>
  <c r="H176" i="12"/>
  <c r="H180" i="12"/>
  <c r="H230" i="12"/>
  <c r="G245" i="12"/>
  <c r="D248" i="12"/>
  <c r="G249" i="12"/>
  <c r="D252" i="12"/>
  <c r="G253" i="12"/>
  <c r="D256" i="12"/>
  <c r="G257" i="12"/>
  <c r="D260" i="12"/>
  <c r="G261" i="12"/>
  <c r="D264" i="12"/>
  <c r="G265" i="12"/>
  <c r="D268" i="12"/>
  <c r="G269" i="12"/>
  <c r="D272" i="12"/>
  <c r="G273" i="12"/>
  <c r="D276" i="12"/>
  <c r="G277" i="12"/>
  <c r="D280" i="12"/>
  <c r="G281" i="12"/>
  <c r="D284" i="12"/>
  <c r="G285" i="12"/>
  <c r="D288" i="12"/>
  <c r="G289" i="12"/>
  <c r="D292" i="12"/>
  <c r="G293" i="12"/>
  <c r="D296" i="12"/>
  <c r="G297" i="12"/>
  <c r="D300" i="12"/>
  <c r="G301" i="12"/>
  <c r="D304" i="12"/>
  <c r="L305" i="12"/>
  <c r="B310" i="12"/>
  <c r="E310" i="12" s="1"/>
  <c r="C313" i="12"/>
  <c r="B318" i="12"/>
  <c r="E318" i="12" s="1"/>
  <c r="C321" i="12"/>
  <c r="D327" i="12"/>
  <c r="C332" i="12"/>
  <c r="H341" i="12"/>
  <c r="C246" i="12"/>
  <c r="F247" i="12"/>
  <c r="C250" i="12"/>
  <c r="F251" i="12"/>
  <c r="C254" i="12"/>
  <c r="F255" i="12"/>
  <c r="C258" i="12"/>
  <c r="F259" i="12"/>
  <c r="C262" i="12"/>
  <c r="F263" i="12"/>
  <c r="C266" i="12"/>
  <c r="F267" i="12"/>
  <c r="C270" i="12"/>
  <c r="F271" i="12"/>
  <c r="C274" i="12"/>
  <c r="F275" i="12"/>
  <c r="C278" i="12"/>
  <c r="F279" i="12"/>
  <c r="C282" i="12"/>
  <c r="F283" i="12"/>
  <c r="C286" i="12"/>
  <c r="F287" i="12"/>
  <c r="C290" i="12"/>
  <c r="F291" i="12"/>
  <c r="C294" i="12"/>
  <c r="F295" i="12"/>
  <c r="C302" i="12"/>
  <c r="L308" i="12"/>
  <c r="L315" i="12"/>
  <c r="H319" i="12"/>
  <c r="B325" i="12"/>
  <c r="E325" i="12" s="1"/>
  <c r="G332" i="12"/>
  <c r="L246" i="12"/>
  <c r="F248" i="12"/>
  <c r="H250" i="12"/>
  <c r="B252" i="12"/>
  <c r="E252" i="12" s="1"/>
  <c r="C259" i="12"/>
  <c r="L262" i="12"/>
  <c r="F264" i="12"/>
  <c r="H266" i="12"/>
  <c r="B268" i="12"/>
  <c r="E268" i="12" s="1"/>
  <c r="C275" i="12"/>
  <c r="L278" i="12"/>
  <c r="F280" i="12"/>
  <c r="H282" i="12"/>
  <c r="B284" i="12"/>
  <c r="E284" i="12" s="1"/>
  <c r="C291" i="12"/>
  <c r="L294" i="12"/>
  <c r="F296" i="12"/>
  <c r="H298" i="12"/>
  <c r="B300" i="12"/>
  <c r="E300" i="12" s="1"/>
  <c r="B306" i="12"/>
  <c r="E306" i="12" s="1"/>
  <c r="H308" i="12"/>
  <c r="F318" i="12"/>
  <c r="B329" i="12"/>
  <c r="E329" i="12" s="1"/>
  <c r="F245" i="12"/>
  <c r="C248" i="12"/>
  <c r="F253" i="12"/>
  <c r="C256" i="12"/>
  <c r="F261" i="12"/>
  <c r="C264" i="12"/>
  <c r="F269" i="12"/>
  <c r="C272" i="12"/>
  <c r="F277" i="12"/>
  <c r="C280" i="12"/>
  <c r="F285" i="12"/>
  <c r="C288" i="12"/>
  <c r="F293" i="12"/>
  <c r="C296" i="12"/>
  <c r="F301" i="12"/>
  <c r="D308" i="12"/>
  <c r="G312" i="12"/>
  <c r="G324" i="12"/>
  <c r="G346" i="12"/>
  <c r="L381" i="12"/>
  <c r="L413" i="12"/>
  <c r="M424" i="12"/>
  <c r="N435" i="12"/>
  <c r="L445" i="12"/>
  <c r="M456" i="12"/>
  <c r="N467" i="12"/>
  <c r="L477" i="12"/>
  <c r="M488" i="12"/>
  <c r="F322" i="12"/>
  <c r="C325" i="12"/>
  <c r="F330" i="12"/>
  <c r="C339" i="12"/>
  <c r="B344" i="12"/>
  <c r="E344" i="12" s="1"/>
  <c r="H357" i="12"/>
  <c r="F367" i="12"/>
  <c r="G378" i="12"/>
  <c r="H389" i="12"/>
  <c r="F399" i="12"/>
  <c r="G410" i="12"/>
  <c r="H421" i="12"/>
  <c r="F431" i="12"/>
  <c r="G442" i="12"/>
  <c r="H453" i="12"/>
  <c r="F463" i="12"/>
  <c r="G474" i="12"/>
  <c r="H485" i="12"/>
  <c r="L309" i="12"/>
  <c r="B315" i="12"/>
  <c r="E315" i="12" s="1"/>
  <c r="L317" i="12"/>
  <c r="B323" i="12"/>
  <c r="E323" i="12" s="1"/>
  <c r="L325" i="12"/>
  <c r="B331" i="12"/>
  <c r="E331" i="12" s="1"/>
  <c r="B335" i="12"/>
  <c r="E335" i="12" s="1"/>
  <c r="C346" i="12"/>
  <c r="B351" i="12"/>
  <c r="E351" i="12" s="1"/>
  <c r="H361" i="12"/>
  <c r="F371" i="12"/>
  <c r="G382" i="12"/>
  <c r="H393" i="12"/>
  <c r="F403" i="12"/>
  <c r="G414" i="12"/>
  <c r="H425" i="12"/>
  <c r="F435" i="12"/>
  <c r="G446" i="12"/>
  <c r="H457" i="12"/>
  <c r="F467" i="12"/>
  <c r="G478" i="12"/>
  <c r="H489" i="12"/>
  <c r="B304" i="12"/>
  <c r="E304" i="12" s="1"/>
  <c r="L306" i="12"/>
  <c r="B312" i="12"/>
  <c r="E312" i="12" s="1"/>
  <c r="L314" i="12"/>
  <c r="B320" i="12"/>
  <c r="E320" i="12" s="1"/>
  <c r="L322" i="12"/>
  <c r="B328" i="12"/>
  <c r="E328" i="12" s="1"/>
  <c r="L330" i="12"/>
  <c r="H334" i="12"/>
  <c r="G339" i="12"/>
  <c r="H350" i="12"/>
  <c r="C358" i="12"/>
  <c r="D369" i="12"/>
  <c r="B379" i="12"/>
  <c r="E379" i="12" s="1"/>
  <c r="C390" i="12"/>
  <c r="D401" i="12"/>
  <c r="B411" i="12"/>
  <c r="E411" i="12" s="1"/>
  <c r="C422" i="12"/>
  <c r="D433" i="12"/>
  <c r="B443" i="12"/>
  <c r="E443" i="12" s="1"/>
  <c r="C454" i="12"/>
  <c r="D465" i="12"/>
  <c r="B475" i="12"/>
  <c r="E475" i="12" s="1"/>
  <c r="C486" i="12"/>
  <c r="B356" i="12"/>
  <c r="E356" i="12" s="1"/>
  <c r="L358" i="12"/>
  <c r="B364" i="12"/>
  <c r="E364" i="12" s="1"/>
  <c r="L366" i="12"/>
  <c r="B372" i="12"/>
  <c r="E372" i="12" s="1"/>
  <c r="L374" i="12"/>
  <c r="B380" i="12"/>
  <c r="E380" i="12" s="1"/>
  <c r="L382" i="12"/>
  <c r="B388" i="12"/>
  <c r="E388" i="12" s="1"/>
  <c r="L390" i="12"/>
  <c r="B396" i="12"/>
  <c r="E396" i="12" s="1"/>
  <c r="L398" i="12"/>
  <c r="B404" i="12"/>
  <c r="E404" i="12" s="1"/>
  <c r="L406" i="12"/>
  <c r="I409" i="12"/>
  <c r="B412" i="12"/>
  <c r="E412" i="12" s="1"/>
  <c r="L414" i="12"/>
  <c r="I417" i="12"/>
  <c r="B420" i="12"/>
  <c r="E420" i="12" s="1"/>
  <c r="L422" i="12"/>
  <c r="I425" i="12"/>
  <c r="B428" i="12"/>
  <c r="E428" i="12" s="1"/>
  <c r="L430" i="12"/>
  <c r="I433" i="12"/>
  <c r="B436" i="12"/>
  <c r="E436" i="12" s="1"/>
  <c r="L438" i="12"/>
  <c r="I441" i="12"/>
  <c r="B444" i="12"/>
  <c r="E444" i="12" s="1"/>
  <c r="L446" i="12"/>
  <c r="I449" i="12"/>
  <c r="B452" i="12"/>
  <c r="E452" i="12" s="1"/>
  <c r="L454" i="12"/>
  <c r="I457" i="12"/>
  <c r="B460" i="12"/>
  <c r="E460" i="12" s="1"/>
  <c r="L462" i="12"/>
  <c r="I465" i="12"/>
  <c r="B468" i="12"/>
  <c r="E468" i="12" s="1"/>
  <c r="L470" i="12"/>
  <c r="I473" i="12"/>
  <c r="B476" i="12"/>
  <c r="E476" i="12" s="1"/>
  <c r="L478" i="12"/>
  <c r="I481" i="12"/>
  <c r="B484" i="12"/>
  <c r="E484" i="12" s="1"/>
  <c r="L486" i="12"/>
  <c r="I489" i="12"/>
  <c r="B492" i="12"/>
  <c r="E492" i="12" s="1"/>
  <c r="L494" i="12"/>
  <c r="D335" i="12"/>
  <c r="G340" i="12"/>
  <c r="D343" i="12"/>
  <c r="G348" i="12"/>
  <c r="D351" i="12"/>
  <c r="G356" i="12"/>
  <c r="D359" i="12"/>
  <c r="G364" i="12"/>
  <c r="D367" i="12"/>
  <c r="G372" i="12"/>
  <c r="D375" i="12"/>
  <c r="G380" i="12"/>
  <c r="D383" i="12"/>
  <c r="G388" i="12"/>
  <c r="D391" i="12"/>
  <c r="G396" i="12"/>
  <c r="D399" i="12"/>
  <c r="G404" i="12"/>
  <c r="D407" i="12"/>
  <c r="J409" i="12"/>
  <c r="G412" i="12"/>
  <c r="D415" i="12"/>
  <c r="J417" i="12"/>
  <c r="G420" i="12"/>
  <c r="D423" i="12"/>
  <c r="J425" i="12"/>
  <c r="G428" i="12"/>
  <c r="D431" i="12"/>
  <c r="J433" i="12"/>
  <c r="G436" i="12"/>
  <c r="D439" i="12"/>
  <c r="J441" i="12"/>
  <c r="G444" i="12"/>
  <c r="D447" i="12"/>
  <c r="J449" i="12"/>
  <c r="G452" i="12"/>
  <c r="D455" i="12"/>
  <c r="J457" i="12"/>
  <c r="G460" i="12"/>
  <c r="D463" i="12"/>
  <c r="J465" i="12"/>
  <c r="G468" i="12"/>
  <c r="D471" i="12"/>
  <c r="J473" i="12"/>
  <c r="G476" i="12"/>
  <c r="D479" i="12"/>
  <c r="J481" i="12"/>
  <c r="G484" i="12"/>
  <c r="D487" i="12"/>
  <c r="J489" i="12"/>
  <c r="G492" i="12"/>
  <c r="L332" i="12"/>
  <c r="B338" i="12"/>
  <c r="E338" i="12" s="1"/>
  <c r="L340" i="12"/>
  <c r="B346" i="12"/>
  <c r="E346" i="12" s="1"/>
  <c r="L348" i="12"/>
  <c r="B354" i="12"/>
  <c r="E354" i="12" s="1"/>
  <c r="L356" i="12"/>
  <c r="B362" i="12"/>
  <c r="E362" i="12" s="1"/>
  <c r="L364" i="12"/>
  <c r="B370" i="12"/>
  <c r="E370" i="12" s="1"/>
  <c r="L372" i="12"/>
  <c r="B378" i="12"/>
  <c r="E378" i="12" s="1"/>
  <c r="L380" i="12"/>
  <c r="B386" i="12"/>
  <c r="E386" i="12" s="1"/>
  <c r="L388" i="12"/>
  <c r="B394" i="12"/>
  <c r="E394" i="12" s="1"/>
  <c r="L396" i="12"/>
  <c r="B402" i="12"/>
  <c r="E402" i="12" s="1"/>
  <c r="L404" i="12"/>
  <c r="N410" i="12"/>
  <c r="H416" i="12"/>
  <c r="K421" i="12"/>
  <c r="N426" i="12"/>
  <c r="H432" i="12"/>
  <c r="K437" i="12"/>
  <c r="N442" i="12"/>
  <c r="H448" i="12"/>
  <c r="K453" i="12"/>
  <c r="N458" i="12"/>
  <c r="H464" i="12"/>
  <c r="K469" i="12"/>
  <c r="N474" i="12"/>
  <c r="H480" i="12"/>
  <c r="K485" i="12"/>
  <c r="N490" i="12"/>
  <c r="AK207" i="4"/>
  <c r="AL207" i="4" s="1"/>
  <c r="AF311" i="4" l="1"/>
  <c r="AF435" i="4"/>
  <c r="G11" i="4"/>
  <c r="G9" i="4"/>
  <c r="H25" i="4"/>
  <c r="K27" i="12" s="1"/>
  <c r="I59" i="8"/>
  <c r="I5" i="9" s="1"/>
  <c r="H5" i="9" s="1"/>
  <c r="AF15" i="4"/>
  <c r="AF24" i="4"/>
  <c r="AF39" i="4"/>
  <c r="AF10" i="4"/>
  <c r="H59" i="8"/>
  <c r="N11" i="5" s="1"/>
  <c r="L9" i="2" s="1"/>
  <c r="AF35" i="4"/>
  <c r="AF32" i="4"/>
  <c r="AF38" i="4"/>
  <c r="AF8" i="4"/>
  <c r="AF29" i="4"/>
  <c r="AF30" i="4"/>
  <c r="AF27" i="4"/>
  <c r="AF13" i="4"/>
  <c r="AF23" i="4"/>
  <c r="AF17" i="4"/>
  <c r="AF42" i="4"/>
  <c r="G59" i="8"/>
  <c r="M11" i="5" s="1"/>
  <c r="K9" i="2" s="1"/>
  <c r="H22" i="4"/>
  <c r="K24" i="12" s="1"/>
  <c r="C20" i="2"/>
  <c r="U15" i="13"/>
  <c r="E20" i="2" s="1"/>
  <c r="E59" i="8"/>
  <c r="H31" i="4"/>
  <c r="K33" i="12" s="1"/>
  <c r="G34" i="4"/>
  <c r="K9" i="5"/>
  <c r="F7" i="2" s="1"/>
  <c r="D9" i="5"/>
  <c r="B7" i="2"/>
  <c r="G44" i="4"/>
  <c r="H18" i="4"/>
  <c r="K20" i="12" s="1"/>
  <c r="H34" i="4"/>
  <c r="K36" i="12" s="1"/>
  <c r="K10" i="2"/>
  <c r="G33" i="4"/>
  <c r="G31" i="4"/>
  <c r="H3" i="4"/>
  <c r="K5" i="12" s="1"/>
  <c r="G22" i="4"/>
  <c r="G2" i="4"/>
  <c r="F57" i="8"/>
  <c r="B43" i="8"/>
  <c r="G4" i="4"/>
  <c r="H20" i="4"/>
  <c r="K22" i="12" s="1"/>
  <c r="H36" i="4"/>
  <c r="K38" i="12" s="1"/>
  <c r="F55" i="4"/>
  <c r="J57" i="12"/>
  <c r="C19" i="2"/>
  <c r="U14" i="13"/>
  <c r="E19" i="2" s="1"/>
  <c r="F60" i="8"/>
  <c r="J14" i="12"/>
  <c r="F43" i="4"/>
  <c r="J45" i="12"/>
  <c r="O12" i="5"/>
  <c r="D10" i="2"/>
  <c r="F82" i="4"/>
  <c r="J84" i="12"/>
  <c r="J20" i="12"/>
  <c r="F51" i="4"/>
  <c r="J53" i="12"/>
  <c r="O11" i="5"/>
  <c r="P11" i="5" s="1"/>
  <c r="AE99" i="4" s="1"/>
  <c r="N101" i="12" s="1"/>
  <c r="D9" i="2"/>
  <c r="H21" i="4"/>
  <c r="K23" i="12" s="1"/>
  <c r="H5" i="4"/>
  <c r="K7" i="12" s="1"/>
  <c r="H33" i="4"/>
  <c r="K35" i="12" s="1"/>
  <c r="P12" i="5"/>
  <c r="AE214" i="4" s="1"/>
  <c r="N216" i="12" s="1"/>
  <c r="L10" i="2"/>
  <c r="H45" i="4"/>
  <c r="K47" i="12" s="1"/>
  <c r="D8" i="2"/>
  <c r="AE235" i="4"/>
  <c r="N237" i="12" s="1"/>
  <c r="AE143" i="4"/>
  <c r="N145" i="12" s="1"/>
  <c r="AE211" i="4"/>
  <c r="N213" i="12" s="1"/>
  <c r="G40" i="4"/>
  <c r="AE337" i="4"/>
  <c r="N339" i="12" s="1"/>
  <c r="AE129" i="4"/>
  <c r="N131" i="12" s="1"/>
  <c r="AF482" i="4"/>
  <c r="AF480" i="4"/>
  <c r="J16" i="12"/>
  <c r="AE411" i="4"/>
  <c r="N403" i="12" s="1"/>
  <c r="F58" i="4"/>
  <c r="J60" i="12"/>
  <c r="F5" i="4"/>
  <c r="J7" i="12"/>
  <c r="J39" i="12"/>
  <c r="AE389" i="4"/>
  <c r="N389" i="12" s="1"/>
  <c r="AE166" i="4"/>
  <c r="N168" i="12" s="1"/>
  <c r="D12" i="5"/>
  <c r="K12" i="5"/>
  <c r="F10" i="2" s="1"/>
  <c r="B10" i="2"/>
  <c r="AE222" i="4"/>
  <c r="N224" i="12" s="1"/>
  <c r="AE238" i="4"/>
  <c r="N240" i="12" s="1"/>
  <c r="AE193" i="4"/>
  <c r="N195" i="12" s="1"/>
  <c r="AE413" i="4"/>
  <c r="AE484" i="4"/>
  <c r="F11" i="4"/>
  <c r="J13" i="12"/>
  <c r="F9" i="4"/>
  <c r="J11" i="12"/>
  <c r="AE398" i="4"/>
  <c r="N396" i="12" s="1"/>
  <c r="AE392" i="4"/>
  <c r="N392" i="12" s="1"/>
  <c r="AE115" i="4"/>
  <c r="N117" i="12" s="1"/>
  <c r="D11" i="5"/>
  <c r="K11" i="5"/>
  <c r="F9" i="2" s="1"/>
  <c r="B9" i="2"/>
  <c r="AE300" i="4"/>
  <c r="N302" i="12" s="1"/>
  <c r="AE100" i="4"/>
  <c r="N102" i="12" s="1"/>
  <c r="AE150" i="4"/>
  <c r="N152" i="12" s="1"/>
  <c r="H19" i="4"/>
  <c r="K21" i="12" s="1"/>
  <c r="H16" i="4"/>
  <c r="K18" i="12" s="1"/>
  <c r="AE377" i="4"/>
  <c r="N378" i="12" s="1"/>
  <c r="AE335" i="4"/>
  <c r="N337" i="12" s="1"/>
  <c r="G45" i="4"/>
  <c r="AE85" i="4"/>
  <c r="N87" i="12" s="1"/>
  <c r="AE147" i="4"/>
  <c r="N149" i="12" s="1"/>
  <c r="AE170" i="4"/>
  <c r="N172" i="12" s="1"/>
  <c r="D10" i="5"/>
  <c r="K10" i="5"/>
  <c r="F8" i="2" s="1"/>
  <c r="B8" i="2"/>
  <c r="AE233" i="4"/>
  <c r="N235" i="12" s="1"/>
  <c r="AE257" i="4"/>
  <c r="N259" i="12" s="1"/>
  <c r="AE281" i="4"/>
  <c r="N283" i="12" s="1"/>
  <c r="H2" i="4"/>
  <c r="K4" i="12" s="1"/>
  <c r="F70" i="4"/>
  <c r="J72" i="12"/>
  <c r="AE169" i="4"/>
  <c r="N171" i="12" s="1"/>
  <c r="AE191" i="4"/>
  <c r="N193" i="12" s="1"/>
  <c r="AE417" i="4"/>
  <c r="L7" i="2"/>
  <c r="G20" i="4"/>
  <c r="G26" i="4"/>
  <c r="AE370" i="4"/>
  <c r="N371" i="12" s="1"/>
  <c r="AE390" i="4"/>
  <c r="N390" i="12" s="1"/>
  <c r="AE322" i="4"/>
  <c r="N324" i="12" s="1"/>
  <c r="AE111" i="4"/>
  <c r="N113" i="12" s="1"/>
  <c r="AE164" i="4"/>
  <c r="N166" i="12" s="1"/>
  <c r="AF478" i="4"/>
  <c r="J3" i="9"/>
  <c r="M7" i="2"/>
  <c r="F4" i="9"/>
  <c r="F6" i="9"/>
  <c r="AE393" i="4"/>
  <c r="N393" i="12" s="1"/>
  <c r="AE355" i="4"/>
  <c r="N356" i="12" s="1"/>
  <c r="AE236" i="4"/>
  <c r="N238" i="12" s="1"/>
  <c r="AE276" i="4"/>
  <c r="N278" i="12" s="1"/>
  <c r="AE165" i="4"/>
  <c r="N167" i="12" s="1"/>
  <c r="AE189" i="4"/>
  <c r="N191" i="12" s="1"/>
  <c r="AE439" i="4"/>
  <c r="AE125" i="4"/>
  <c r="N127" i="12" s="1"/>
  <c r="AE175" i="4"/>
  <c r="N177" i="12" s="1"/>
  <c r="AE210" i="4"/>
  <c r="N212" i="12" s="1"/>
  <c r="AG474" i="4"/>
  <c r="AG473" i="4"/>
  <c r="AG472" i="4"/>
  <c r="AG470" i="4"/>
  <c r="AG466" i="4"/>
  <c r="AG462" i="4"/>
  <c r="AG458" i="4"/>
  <c r="AG454" i="4"/>
  <c r="AG450" i="4"/>
  <c r="AG446" i="4"/>
  <c r="AG442" i="4"/>
  <c r="AG418" i="4"/>
  <c r="AG379" i="4"/>
  <c r="AG343" i="4"/>
  <c r="AG471" i="4"/>
  <c r="AG467" i="4"/>
  <c r="AG463" i="4"/>
  <c r="AG459" i="4"/>
  <c r="AG455" i="4"/>
  <c r="AG451" i="4"/>
  <c r="AG447" i="4"/>
  <c r="AG443" i="4"/>
  <c r="AG468" i="4"/>
  <c r="AG464" i="4"/>
  <c r="AG460" i="4"/>
  <c r="AG456" i="4"/>
  <c r="AG452" i="4"/>
  <c r="AG448" i="4"/>
  <c r="AG444" i="4"/>
  <c r="AG380" i="4"/>
  <c r="AG342" i="4"/>
  <c r="AG469" i="4"/>
  <c r="AG465" i="4"/>
  <c r="AG461" i="4"/>
  <c r="AG457" i="4"/>
  <c r="AG453" i="4"/>
  <c r="AG449" i="4"/>
  <c r="AG445" i="4"/>
  <c r="AG441" i="4"/>
  <c r="AG261" i="4"/>
  <c r="AG226" i="4"/>
  <c r="AG304" i="4"/>
  <c r="J7" i="2"/>
  <c r="AG303" i="4"/>
  <c r="AG215" i="4"/>
  <c r="AG180" i="4"/>
  <c r="AG43" i="4"/>
  <c r="AG41" i="4"/>
  <c r="AG158" i="4"/>
  <c r="AG51" i="4"/>
  <c r="AG123" i="4"/>
  <c r="AG89" i="4"/>
  <c r="AG69" i="4"/>
  <c r="AG55" i="4"/>
  <c r="AG106" i="4"/>
  <c r="AG58" i="4"/>
  <c r="AG116" i="4"/>
  <c r="AG110" i="4"/>
  <c r="AG82" i="4"/>
  <c r="AG70" i="4"/>
  <c r="G3" i="4"/>
  <c r="G25" i="4"/>
  <c r="H12" i="4"/>
  <c r="K14" i="12" s="1"/>
  <c r="AE396" i="4"/>
  <c r="AE354" i="4"/>
  <c r="N355" i="12" s="1"/>
  <c r="AE130" i="4"/>
  <c r="N132" i="12" s="1"/>
  <c r="O9" i="5"/>
  <c r="P9" i="5" s="1"/>
  <c r="D7" i="2"/>
  <c r="AE298" i="4"/>
  <c r="N300" i="12" s="1"/>
  <c r="F41" i="4"/>
  <c r="J43" i="12"/>
  <c r="H44" i="4"/>
  <c r="K46" i="12" s="1"/>
  <c r="AE190" i="4"/>
  <c r="N192" i="12" s="1"/>
  <c r="H14" i="4"/>
  <c r="K16" i="12" s="1"/>
  <c r="H37" i="4"/>
  <c r="K39" i="12" s="1"/>
  <c r="H26" i="4"/>
  <c r="K28" i="12" s="1"/>
  <c r="J6" i="9"/>
  <c r="M10" i="2"/>
  <c r="G19" i="4"/>
  <c r="G16" i="4"/>
  <c r="G21" i="4"/>
  <c r="AE391" i="4"/>
  <c r="N391" i="12" s="1"/>
  <c r="AE353" i="4"/>
  <c r="N354" i="12" s="1"/>
  <c r="F69" i="4"/>
  <c r="J71" i="12"/>
  <c r="AE109" i="4"/>
  <c r="N111" i="12" s="1"/>
  <c r="C74" i="11"/>
  <c r="C73" i="11"/>
  <c r="C72" i="11"/>
  <c r="C71" i="11"/>
  <c r="C70" i="11"/>
  <c r="C69" i="11"/>
  <c r="C68" i="11"/>
  <c r="C67" i="11"/>
  <c r="C66" i="11"/>
  <c r="C65" i="11"/>
  <c r="C64" i="11"/>
  <c r="C63" i="11"/>
  <c r="C62" i="11"/>
  <c r="C61" i="11"/>
  <c r="C60" i="11"/>
  <c r="C56" i="11"/>
  <c r="C55" i="11"/>
  <c r="C54" i="11"/>
  <c r="C53" i="11"/>
  <c r="C52" i="11"/>
  <c r="C51" i="11"/>
  <c r="C50" i="11"/>
  <c r="C49" i="11"/>
  <c r="C48" i="11"/>
  <c r="C47" i="11"/>
  <c r="C46" i="11"/>
  <c r="C45" i="11"/>
  <c r="C44" i="11"/>
  <c r="C43" i="11"/>
  <c r="C42" i="11"/>
  <c r="C38" i="11"/>
  <c r="C37" i="11"/>
  <c r="C36" i="11"/>
  <c r="C35" i="11"/>
  <c r="C34" i="11"/>
  <c r="C33" i="11"/>
  <c r="C32" i="11"/>
  <c r="C31" i="11"/>
  <c r="C30" i="11"/>
  <c r="C29" i="11"/>
  <c r="C28" i="11"/>
  <c r="C27" i="11"/>
  <c r="C26" i="11"/>
  <c r="C25" i="11"/>
  <c r="C24" i="11"/>
  <c r="C20" i="11"/>
  <c r="C19" i="11"/>
  <c r="C18" i="11"/>
  <c r="C17" i="11"/>
  <c r="C16" i="11"/>
  <c r="C15" i="11"/>
  <c r="C14" i="11"/>
  <c r="C13" i="11"/>
  <c r="C12" i="11"/>
  <c r="C11" i="11"/>
  <c r="C10" i="11"/>
  <c r="C9" i="11"/>
  <c r="C8" i="11"/>
  <c r="C7" i="11"/>
  <c r="C6" i="11"/>
  <c r="B74" i="11"/>
  <c r="B73" i="11"/>
  <c r="B72" i="11"/>
  <c r="B71" i="11"/>
  <c r="B70" i="11"/>
  <c r="B69" i="11"/>
  <c r="B68" i="11"/>
  <c r="B67" i="11"/>
  <c r="B66" i="11"/>
  <c r="B65" i="11"/>
  <c r="B64" i="11"/>
  <c r="B63" i="11"/>
  <c r="B62" i="11"/>
  <c r="B61" i="11"/>
  <c r="B60" i="11"/>
  <c r="B56" i="11"/>
  <c r="B55" i="11"/>
  <c r="B54" i="11"/>
  <c r="B53" i="11"/>
  <c r="B52" i="11"/>
  <c r="B51" i="11"/>
  <c r="B50" i="11"/>
  <c r="B49" i="11"/>
  <c r="B48" i="11"/>
  <c r="B47" i="11"/>
  <c r="B46" i="11"/>
  <c r="B45" i="11"/>
  <c r="B44" i="11"/>
  <c r="B43" i="11"/>
  <c r="B42" i="11"/>
  <c r="B38" i="11"/>
  <c r="B37" i="11"/>
  <c r="B36" i="11"/>
  <c r="B35" i="11"/>
  <c r="B34" i="11"/>
  <c r="B33" i="11"/>
  <c r="B32" i="11"/>
  <c r="B31" i="11"/>
  <c r="B30" i="11"/>
  <c r="B29" i="11"/>
  <c r="B28" i="11"/>
  <c r="B27" i="11"/>
  <c r="B26" i="11"/>
  <c r="B25" i="11"/>
  <c r="B24" i="11"/>
  <c r="B20" i="11"/>
  <c r="B19" i="11"/>
  <c r="B18" i="11"/>
  <c r="B17" i="11"/>
  <c r="B16" i="11"/>
  <c r="B15" i="11"/>
  <c r="B14" i="11"/>
  <c r="B13" i="11"/>
  <c r="B12" i="11"/>
  <c r="B11" i="11"/>
  <c r="B10" i="11"/>
  <c r="B9" i="11"/>
  <c r="B8" i="11"/>
  <c r="B7" i="11"/>
  <c r="B6" i="11"/>
  <c r="E74" i="11"/>
  <c r="E73" i="11"/>
  <c r="E72" i="11"/>
  <c r="E71" i="11"/>
  <c r="E70" i="11"/>
  <c r="E69" i="11"/>
  <c r="E68" i="11"/>
  <c r="E67" i="11"/>
  <c r="E66" i="11"/>
  <c r="E65" i="11"/>
  <c r="E64" i="11"/>
  <c r="E63" i="11"/>
  <c r="E62" i="11"/>
  <c r="E61" i="11"/>
  <c r="E60" i="11"/>
  <c r="E56" i="11"/>
  <c r="E55" i="11"/>
  <c r="E54" i="11"/>
  <c r="E53" i="11"/>
  <c r="E52" i="11"/>
  <c r="E51" i="11"/>
  <c r="E50" i="11"/>
  <c r="E49" i="11"/>
  <c r="E48" i="11"/>
  <c r="E47" i="11"/>
  <c r="E46" i="11"/>
  <c r="E45" i="11"/>
  <c r="E44" i="11"/>
  <c r="E43" i="11"/>
  <c r="E42" i="11"/>
  <c r="E38" i="11"/>
  <c r="E37" i="11"/>
  <c r="E36" i="11"/>
  <c r="E35" i="11"/>
  <c r="E34" i="11"/>
  <c r="E33" i="11"/>
  <c r="E32" i="11"/>
  <c r="E31" i="11"/>
  <c r="E30" i="11"/>
  <c r="E29" i="11"/>
  <c r="E28" i="11"/>
  <c r="E27" i="11"/>
  <c r="E26" i="11"/>
  <c r="E25" i="11"/>
  <c r="E24" i="11"/>
  <c r="E20" i="11"/>
  <c r="E19" i="11"/>
  <c r="E18" i="11"/>
  <c r="E17" i="11"/>
  <c r="E16" i="11"/>
  <c r="E15" i="11"/>
  <c r="E14" i="11"/>
  <c r="E13" i="11"/>
  <c r="E12" i="11"/>
  <c r="E11" i="11"/>
  <c r="E10" i="11"/>
  <c r="E9" i="11"/>
  <c r="E8" i="11"/>
  <c r="E7" i="11"/>
  <c r="E6" i="11"/>
  <c r="D74" i="11"/>
  <c r="D73" i="11"/>
  <c r="D72" i="11"/>
  <c r="D71" i="11"/>
  <c r="D70" i="11"/>
  <c r="D69" i="11"/>
  <c r="D68" i="11"/>
  <c r="D67" i="11"/>
  <c r="D66" i="11"/>
  <c r="D65" i="11"/>
  <c r="D64" i="11"/>
  <c r="D63" i="11"/>
  <c r="D62" i="11"/>
  <c r="D61" i="11"/>
  <c r="D60" i="11"/>
  <c r="D56" i="11"/>
  <c r="D55" i="11"/>
  <c r="D54" i="11"/>
  <c r="D53" i="11"/>
  <c r="D52" i="11"/>
  <c r="D51" i="11"/>
  <c r="D50" i="11"/>
  <c r="D49" i="11"/>
  <c r="D48" i="11"/>
  <c r="D47" i="11"/>
  <c r="D46" i="11"/>
  <c r="D45" i="11"/>
  <c r="D44" i="11"/>
  <c r="D43" i="11"/>
  <c r="D42" i="11"/>
  <c r="D38" i="11"/>
  <c r="D37" i="11"/>
  <c r="D36" i="11"/>
  <c r="D35" i="11"/>
  <c r="D34" i="11"/>
  <c r="D33" i="11"/>
  <c r="D32" i="11"/>
  <c r="D31" i="11"/>
  <c r="D30" i="11"/>
  <c r="D29" i="11"/>
  <c r="D28" i="11"/>
  <c r="D27" i="11"/>
  <c r="D26" i="11"/>
  <c r="D25" i="11"/>
  <c r="D24" i="11"/>
  <c r="D20" i="11"/>
  <c r="D19" i="11"/>
  <c r="D18" i="11"/>
  <c r="D17" i="11"/>
  <c r="D16" i="11"/>
  <c r="D15" i="11"/>
  <c r="D14" i="11"/>
  <c r="D13" i="11"/>
  <c r="D12" i="11"/>
  <c r="D11" i="11"/>
  <c r="D10" i="11"/>
  <c r="D9" i="11"/>
  <c r="D8" i="11"/>
  <c r="D7" i="11"/>
  <c r="D6" i="11"/>
  <c r="AE223" i="4"/>
  <c r="N225" i="12" s="1"/>
  <c r="AE231" i="4"/>
  <c r="N233" i="12" s="1"/>
  <c r="AE239" i="4"/>
  <c r="N241" i="12" s="1"/>
  <c r="AE255" i="4"/>
  <c r="N257" i="12" s="1"/>
  <c r="AE279" i="4"/>
  <c r="N281" i="12" s="1"/>
  <c r="AE295" i="4"/>
  <c r="N297" i="12" s="1"/>
  <c r="AE102" i="4"/>
  <c r="N104" i="12" s="1"/>
  <c r="AE203" i="4"/>
  <c r="N205" i="12" s="1"/>
  <c r="AE485" i="4"/>
  <c r="G36" i="4"/>
  <c r="AE397" i="4"/>
  <c r="N395" i="12" s="1"/>
  <c r="AE394" i="4"/>
  <c r="N394" i="12" s="1"/>
  <c r="AE352" i="4"/>
  <c r="N353" i="12" s="1"/>
  <c r="AE103" i="4"/>
  <c r="N105" i="12" s="1"/>
  <c r="AE156" i="4"/>
  <c r="N158" i="12" s="1"/>
  <c r="AE410" i="4"/>
  <c r="N402" i="12" s="1"/>
  <c r="AE56" i="4"/>
  <c r="N58" i="12" s="1"/>
  <c r="AE120" i="4"/>
  <c r="N122" i="12" s="1"/>
  <c r="AE146" i="4"/>
  <c r="N148" i="12" s="1"/>
  <c r="AE155" i="4"/>
  <c r="N157" i="12" s="1"/>
  <c r="AE196" i="4"/>
  <c r="N198" i="12" s="1"/>
  <c r="AE212" i="4"/>
  <c r="N214" i="12" s="1"/>
  <c r="AE301" i="4"/>
  <c r="N303" i="12" s="1"/>
  <c r="AG487" i="4"/>
  <c r="AG486" i="4"/>
  <c r="AG485" i="4"/>
  <c r="AG484" i="4"/>
  <c r="AG483" i="4"/>
  <c r="AG430" i="4"/>
  <c r="AG426" i="4"/>
  <c r="AG414" i="4"/>
  <c r="AG411" i="4"/>
  <c r="AG395" i="4"/>
  <c r="AG393" i="4"/>
  <c r="AG391" i="4"/>
  <c r="AG389" i="4"/>
  <c r="AG377" i="4"/>
  <c r="AG375" i="4"/>
  <c r="AG369" i="4"/>
  <c r="AG367" i="4"/>
  <c r="AG365" i="4"/>
  <c r="AG355" i="4"/>
  <c r="AG353" i="4"/>
  <c r="AG351" i="4"/>
  <c r="AG335" i="4"/>
  <c r="AG323" i="4"/>
  <c r="AG321" i="4"/>
  <c r="AG319" i="4"/>
  <c r="AG439" i="4"/>
  <c r="AG431" i="4"/>
  <c r="AG427" i="4"/>
  <c r="AG415" i="4"/>
  <c r="AG432" i="4"/>
  <c r="AG428" i="4"/>
  <c r="AG412" i="4"/>
  <c r="AG410" i="4"/>
  <c r="AG396" i="4"/>
  <c r="AG394" i="4"/>
  <c r="AG392" i="4"/>
  <c r="AG390" i="4"/>
  <c r="AG378" i="4"/>
  <c r="AG376" i="4"/>
  <c r="AG368" i="4"/>
  <c r="AG366" i="4"/>
  <c r="AG354" i="4"/>
  <c r="AG352" i="4"/>
  <c r="AG336" i="4"/>
  <c r="AG322" i="4"/>
  <c r="AG320" i="4"/>
  <c r="AG318" i="4"/>
  <c r="AG429" i="4"/>
  <c r="AG413" i="4"/>
  <c r="AG295" i="4"/>
  <c r="AG294" i="4"/>
  <c r="AG293" i="4"/>
  <c r="AG283" i="4"/>
  <c r="AG282" i="4"/>
  <c r="AG281" i="4"/>
  <c r="AG280" i="4"/>
  <c r="AG279" i="4"/>
  <c r="AG278" i="4"/>
  <c r="AG277" i="4"/>
  <c r="AG276" i="4"/>
  <c r="AG275" i="4"/>
  <c r="AG274" i="4"/>
  <c r="AG259" i="4"/>
  <c r="AG258" i="4"/>
  <c r="AG257" i="4"/>
  <c r="AG256" i="4"/>
  <c r="AG255" i="4"/>
  <c r="AG254" i="4"/>
  <c r="AG253" i="4"/>
  <c r="AG240" i="4"/>
  <c r="AG239" i="4"/>
  <c r="AG238" i="4"/>
  <c r="AG237" i="4"/>
  <c r="AG236" i="4"/>
  <c r="AG235" i="4"/>
  <c r="AG234" i="4"/>
  <c r="AG233" i="4"/>
  <c r="AG232" i="4"/>
  <c r="AG231" i="4"/>
  <c r="AG230" i="4"/>
  <c r="AG229" i="4"/>
  <c r="AG224" i="4"/>
  <c r="AG223" i="4"/>
  <c r="AG222" i="4"/>
  <c r="AG300" i="4"/>
  <c r="AG298" i="4"/>
  <c r="AG296" i="4"/>
  <c r="J9" i="2"/>
  <c r="AG193" i="4"/>
  <c r="AG192" i="4"/>
  <c r="AG189" i="4"/>
  <c r="AG129" i="4"/>
  <c r="AG301" i="4"/>
  <c r="AG299" i="4"/>
  <c r="AG297" i="4"/>
  <c r="AG213" i="4"/>
  <c r="AG212" i="4"/>
  <c r="AG211" i="4"/>
  <c r="AG210" i="4"/>
  <c r="AG203" i="4"/>
  <c r="AG195" i="4"/>
  <c r="AG194" i="4"/>
  <c r="AG191" i="4"/>
  <c r="AG190" i="4"/>
  <c r="AG178" i="4"/>
  <c r="AG177" i="4"/>
  <c r="AG176" i="4"/>
  <c r="AG175" i="4"/>
  <c r="AG174" i="4"/>
  <c r="AG168" i="4"/>
  <c r="AG167" i="4"/>
  <c r="AG166" i="4"/>
  <c r="AG165" i="4"/>
  <c r="AG164" i="4"/>
  <c r="AG163" i="4"/>
  <c r="AG155" i="4"/>
  <c r="AG151" i="4"/>
  <c r="AG145" i="4"/>
  <c r="AG144" i="4"/>
  <c r="AG143" i="4"/>
  <c r="AG128" i="4"/>
  <c r="AG42" i="4"/>
  <c r="AG39" i="4"/>
  <c r="AG38" i="4"/>
  <c r="AG35" i="4"/>
  <c r="AG32" i="4"/>
  <c r="AG30" i="4"/>
  <c r="AG29" i="4"/>
  <c r="AG27" i="4"/>
  <c r="AG24" i="4"/>
  <c r="AG23" i="4"/>
  <c r="AG17" i="4"/>
  <c r="AG15" i="4"/>
  <c r="AG13" i="4"/>
  <c r="AG10" i="4"/>
  <c r="AG8" i="4"/>
  <c r="AG7" i="4"/>
  <c r="AG156" i="4"/>
  <c r="AG150" i="4"/>
  <c r="AG146" i="4"/>
  <c r="AG137" i="4"/>
  <c r="AG111" i="4"/>
  <c r="AG101" i="4"/>
  <c r="AG93" i="4"/>
  <c r="AG79" i="4"/>
  <c r="AG75" i="4"/>
  <c r="AG108" i="4"/>
  <c r="AG94" i="4"/>
  <c r="AG80" i="4"/>
  <c r="AG78" i="4"/>
  <c r="AG66" i="4"/>
  <c r="AG50" i="4"/>
  <c r="AG127" i="4"/>
  <c r="AG125" i="4"/>
  <c r="AG113" i="4"/>
  <c r="AG99" i="4"/>
  <c r="AG91" i="4"/>
  <c r="AG81" i="4"/>
  <c r="AG77" i="4"/>
  <c r="AG71" i="4"/>
  <c r="AG53" i="4"/>
  <c r="AG47" i="4"/>
  <c r="AG126" i="4"/>
  <c r="AG120" i="4"/>
  <c r="AG114" i="4"/>
  <c r="AG100" i="4"/>
  <c r="AG46" i="4"/>
  <c r="AG122" i="4"/>
  <c r="AG92" i="4"/>
  <c r="AG90" i="4"/>
  <c r="AG88" i="4"/>
  <c r="AG76" i="4"/>
  <c r="AG60" i="4"/>
  <c r="AE490" i="4"/>
  <c r="G58" i="8"/>
  <c r="M10" i="5" s="1"/>
  <c r="I58" i="8"/>
  <c r="I4" i="9" s="1"/>
  <c r="H4" i="9" s="1"/>
  <c r="E58" i="8"/>
  <c r="H28" i="4" s="1"/>
  <c r="K30" i="12" s="1"/>
  <c r="AF28" i="4"/>
  <c r="AF6" i="4"/>
  <c r="H58" i="8"/>
  <c r="N10" i="5" s="1"/>
  <c r="O10" i="5" s="1"/>
  <c r="K7" i="2"/>
  <c r="G4" i="9"/>
  <c r="G6" i="9"/>
  <c r="H6" i="4" l="1"/>
  <c r="K8" i="12" s="1"/>
  <c r="AE320" i="4"/>
  <c r="N322" i="12" s="1"/>
  <c r="AE194" i="4"/>
  <c r="N196" i="12" s="1"/>
  <c r="AE280" i="4"/>
  <c r="N282" i="12" s="1"/>
  <c r="AE174" i="4"/>
  <c r="N176" i="12" s="1"/>
  <c r="AE144" i="4"/>
  <c r="N146" i="12" s="1"/>
  <c r="AE319" i="4"/>
  <c r="N321" i="12" s="1"/>
  <c r="AE127" i="4"/>
  <c r="N129" i="12" s="1"/>
  <c r="AE293" i="4"/>
  <c r="N295" i="12" s="1"/>
  <c r="AE237" i="4"/>
  <c r="N239" i="12" s="1"/>
  <c r="AE365" i="4"/>
  <c r="N366" i="12" s="1"/>
  <c r="H42" i="4"/>
  <c r="K44" i="12" s="1"/>
  <c r="G35" i="4"/>
  <c r="G23" i="4"/>
  <c r="H24" i="4"/>
  <c r="K26" i="12" s="1"/>
  <c r="G13" i="4"/>
  <c r="G15" i="4"/>
  <c r="G29" i="4"/>
  <c r="G79" i="4"/>
  <c r="H71" i="4"/>
  <c r="K73" i="12" s="1"/>
  <c r="G78" i="4"/>
  <c r="G46" i="4"/>
  <c r="G53" i="4"/>
  <c r="H90" i="4"/>
  <c r="K92" i="12" s="1"/>
  <c r="G50" i="4"/>
  <c r="G7" i="4"/>
  <c r="G81" i="4"/>
  <c r="G92" i="4"/>
  <c r="H7" i="4"/>
  <c r="K9" i="12" s="1"/>
  <c r="H38" i="4"/>
  <c r="K40" i="12" s="1"/>
  <c r="H30" i="4"/>
  <c r="K32" i="12" s="1"/>
  <c r="G27" i="4"/>
  <c r="G17" i="4"/>
  <c r="G30" i="4"/>
  <c r="H15" i="4"/>
  <c r="K17" i="12" s="1"/>
  <c r="G8" i="4"/>
  <c r="G10" i="4"/>
  <c r="G80" i="4"/>
  <c r="H79" i="4"/>
  <c r="K81" i="12" s="1"/>
  <c r="H78" i="4"/>
  <c r="K80" i="12" s="1"/>
  <c r="H46" i="4"/>
  <c r="K48" i="12" s="1"/>
  <c r="G77" i="4"/>
  <c r="H53" i="4"/>
  <c r="K55" i="12" s="1"/>
  <c r="G91" i="4"/>
  <c r="G75" i="4"/>
  <c r="G76" i="4"/>
  <c r="H50" i="4"/>
  <c r="K52" i="12" s="1"/>
  <c r="H13" i="4"/>
  <c r="K15" i="12" s="1"/>
  <c r="H10" i="4"/>
  <c r="K12" i="12" s="1"/>
  <c r="G32" i="4"/>
  <c r="H23" i="4"/>
  <c r="K25" i="12" s="1"/>
  <c r="G24" i="4"/>
  <c r="H39" i="4"/>
  <c r="K41" i="12" s="1"/>
  <c r="H27" i="4"/>
  <c r="K29" i="12" s="1"/>
  <c r="G42" i="4"/>
  <c r="G88" i="4"/>
  <c r="H80" i="4"/>
  <c r="K82" i="12" s="1"/>
  <c r="G47" i="4"/>
  <c r="H77" i="4"/>
  <c r="K79" i="12" s="1"/>
  <c r="G60" i="4"/>
  <c r="H91" i="4"/>
  <c r="K93" i="12" s="1"/>
  <c r="H75" i="4"/>
  <c r="K77" i="12" s="1"/>
  <c r="H76" i="4"/>
  <c r="K78" i="12" s="1"/>
  <c r="G66" i="4"/>
  <c r="H29" i="4"/>
  <c r="K31" i="12" s="1"/>
  <c r="H17" i="4"/>
  <c r="K19" i="12" s="1"/>
  <c r="H35" i="4"/>
  <c r="K37" i="12" s="1"/>
  <c r="H8" i="4"/>
  <c r="K10" i="12" s="1"/>
  <c r="G38" i="4"/>
  <c r="H32" i="4"/>
  <c r="K34" i="12" s="1"/>
  <c r="G39" i="4"/>
  <c r="H88" i="4"/>
  <c r="K90" i="12" s="1"/>
  <c r="G71" i="4"/>
  <c r="H47" i="4"/>
  <c r="K49" i="12" s="1"/>
  <c r="H60" i="4"/>
  <c r="K62" i="12" s="1"/>
  <c r="H92" i="4"/>
  <c r="K94" i="12" s="1"/>
  <c r="G90" i="4"/>
  <c r="H66" i="4"/>
  <c r="K68" i="12" s="1"/>
  <c r="H81" i="4"/>
  <c r="K83" i="12" s="1"/>
  <c r="G6" i="4"/>
  <c r="F6" i="4" s="1"/>
  <c r="AE113" i="4"/>
  <c r="N115" i="12" s="1"/>
  <c r="AE487" i="4"/>
  <c r="AE428" i="4"/>
  <c r="AE163" i="4"/>
  <c r="N165" i="12" s="1"/>
  <c r="AE195" i="4"/>
  <c r="N197" i="12" s="1"/>
  <c r="AE178" i="4"/>
  <c r="N180" i="12" s="1"/>
  <c r="AE415" i="4"/>
  <c r="AE213" i="4"/>
  <c r="N215" i="12" s="1"/>
  <c r="AE412" i="4"/>
  <c r="N404" i="12" s="1"/>
  <c r="AE232" i="4"/>
  <c r="N234" i="12" s="1"/>
  <c r="AE94" i="4"/>
  <c r="N96" i="12" s="1"/>
  <c r="M9" i="2"/>
  <c r="J5" i="9"/>
  <c r="AE114" i="4"/>
  <c r="N116" i="12" s="1"/>
  <c r="AE278" i="4"/>
  <c r="N280" i="12" s="1"/>
  <c r="AE351" i="4"/>
  <c r="N352" i="12" s="1"/>
  <c r="AE432" i="4"/>
  <c r="AE72" i="4"/>
  <c r="N74" i="12" s="1"/>
  <c r="AE376" i="4"/>
  <c r="N377" i="12" s="1"/>
  <c r="AE275" i="4"/>
  <c r="N277" i="12" s="1"/>
  <c r="AE61" i="4"/>
  <c r="N63" i="12" s="1"/>
  <c r="AE321" i="4"/>
  <c r="N323" i="12" s="1"/>
  <c r="AE256" i="4"/>
  <c r="N258" i="12" s="1"/>
  <c r="AE282" i="4"/>
  <c r="N284" i="12" s="1"/>
  <c r="AE426" i="4"/>
  <c r="N406" i="12" s="1"/>
  <c r="AE253" i="4"/>
  <c r="N255" i="12" s="1"/>
  <c r="AE296" i="4"/>
  <c r="N298" i="12" s="1"/>
  <c r="AE168" i="4"/>
  <c r="N170" i="12" s="1"/>
  <c r="AE336" i="4"/>
  <c r="N338" i="12" s="1"/>
  <c r="AE294" i="4"/>
  <c r="N296" i="12" s="1"/>
  <c r="AE254" i="4"/>
  <c r="N256" i="12" s="1"/>
  <c r="AE230" i="4"/>
  <c r="N232" i="12" s="1"/>
  <c r="AE429" i="4"/>
  <c r="AE297" i="4"/>
  <c r="N299" i="12" s="1"/>
  <c r="AE137" i="4"/>
  <c r="N139" i="12" s="1"/>
  <c r="AE318" i="4"/>
  <c r="N320" i="12" s="1"/>
  <c r="AE431" i="4"/>
  <c r="AE177" i="4"/>
  <c r="N179" i="12" s="1"/>
  <c r="AE283" i="4"/>
  <c r="N285" i="12" s="1"/>
  <c r="AE259" i="4"/>
  <c r="N261" i="12" s="1"/>
  <c r="AE108" i="4"/>
  <c r="N110" i="12" s="1"/>
  <c r="AE483" i="4"/>
  <c r="AE151" i="4"/>
  <c r="N153" i="12" s="1"/>
  <c r="AE375" i="4"/>
  <c r="N376" i="12" s="1"/>
  <c r="AE274" i="4"/>
  <c r="N276" i="12" s="1"/>
  <c r="AE277" i="4"/>
  <c r="N279" i="12" s="1"/>
  <c r="F59" i="8"/>
  <c r="AE304" i="4"/>
  <c r="N306" i="12" s="1"/>
  <c r="AE215" i="4"/>
  <c r="N217" i="12" s="1"/>
  <c r="AE465" i="4"/>
  <c r="AE450" i="4"/>
  <c r="AE468" i="4"/>
  <c r="AE461" i="4"/>
  <c r="AE446" i="4"/>
  <c r="AE110" i="4"/>
  <c r="N112" i="12" s="1"/>
  <c r="AE473" i="4"/>
  <c r="AE449" i="4"/>
  <c r="AE462" i="4"/>
  <c r="AE443" i="4"/>
  <c r="AE472" i="4"/>
  <c r="AE460" i="4"/>
  <c r="AE261" i="4"/>
  <c r="N263" i="12" s="1"/>
  <c r="AE447" i="4"/>
  <c r="AE456" i="4"/>
  <c r="AE451" i="4"/>
  <c r="AE116" i="4"/>
  <c r="N118" i="12" s="1"/>
  <c r="AE457" i="4"/>
  <c r="AE474" i="4"/>
  <c r="AE445" i="4"/>
  <c r="AE158" i="4"/>
  <c r="N160" i="12" s="1"/>
  <c r="AE418" i="4"/>
  <c r="AE469" i="4"/>
  <c r="AE463" i="4"/>
  <c r="AE467" i="4"/>
  <c r="AE470" i="4"/>
  <c r="AE441" i="4"/>
  <c r="AE454" i="4"/>
  <c r="AE342" i="4"/>
  <c r="N344" i="12" s="1"/>
  <c r="AE89" i="4"/>
  <c r="N91" i="12" s="1"/>
  <c r="AE452" i="4"/>
  <c r="AE343" i="4"/>
  <c r="N345" i="12" s="1"/>
  <c r="AE226" i="4"/>
  <c r="N228" i="12" s="1"/>
  <c r="AE466" i="4"/>
  <c r="AE455" i="4"/>
  <c r="AE464" i="4"/>
  <c r="AE380" i="4"/>
  <c r="N381" i="12" s="1"/>
  <c r="AE458" i="4"/>
  <c r="AE106" i="4"/>
  <c r="N108" i="12" s="1"/>
  <c r="AE448" i="4"/>
  <c r="AE442" i="4"/>
  <c r="AE180" i="4"/>
  <c r="N182" i="12" s="1"/>
  <c r="AE444" i="4"/>
  <c r="AE123" i="4"/>
  <c r="N125" i="12" s="1"/>
  <c r="AE471" i="4"/>
  <c r="AE453" i="4"/>
  <c r="AE379" i="4"/>
  <c r="N380" i="12" s="1"/>
  <c r="AE459" i="4"/>
  <c r="AE303" i="4"/>
  <c r="N305" i="12" s="1"/>
  <c r="F19" i="4"/>
  <c r="J21" i="12"/>
  <c r="F3" i="4"/>
  <c r="J5" i="12"/>
  <c r="F20" i="4"/>
  <c r="J22" i="12"/>
  <c r="F45" i="4"/>
  <c r="J47" i="12"/>
  <c r="F37" i="4"/>
  <c r="U58" i="4"/>
  <c r="M60" i="12" s="1"/>
  <c r="AA58" i="4"/>
  <c r="I60" i="12"/>
  <c r="F40" i="4"/>
  <c r="J42" i="12"/>
  <c r="AE340" i="4"/>
  <c r="N342" i="12" s="1"/>
  <c r="AE488" i="4"/>
  <c r="AE57" i="4"/>
  <c r="N59" i="12" s="1"/>
  <c r="AE242" i="4"/>
  <c r="N244" i="12" s="1"/>
  <c r="F12" i="4"/>
  <c r="AE492" i="4"/>
  <c r="AE179" i="4"/>
  <c r="N181" i="12" s="1"/>
  <c r="AE433" i="4"/>
  <c r="F22" i="4"/>
  <c r="J24" i="12"/>
  <c r="F33" i="4"/>
  <c r="J35" i="12"/>
  <c r="F9" i="5"/>
  <c r="G9" i="5" s="1"/>
  <c r="L9" i="5"/>
  <c r="H7" i="2" s="1"/>
  <c r="AE152" i="4"/>
  <c r="N154" i="12" s="1"/>
  <c r="AE328" i="4"/>
  <c r="N330" i="12" s="1"/>
  <c r="G28" i="4"/>
  <c r="F36" i="4"/>
  <c r="J38" i="12"/>
  <c r="AA69" i="4"/>
  <c r="U69" i="4"/>
  <c r="M71" i="12" s="1"/>
  <c r="I71" i="12"/>
  <c r="AA9" i="4"/>
  <c r="U9" i="4"/>
  <c r="M11" i="12" s="1"/>
  <c r="I11" i="12"/>
  <c r="AE139" i="4"/>
  <c r="N141" i="12" s="1"/>
  <c r="F12" i="5"/>
  <c r="G12" i="5" s="1"/>
  <c r="L12" i="5"/>
  <c r="H10" i="2" s="1"/>
  <c r="AE49" i="4"/>
  <c r="N51" i="12" s="1"/>
  <c r="F14" i="4"/>
  <c r="AE440" i="4"/>
  <c r="AE54" i="4"/>
  <c r="N56" i="12" s="1"/>
  <c r="AE339" i="4"/>
  <c r="N341" i="12" s="1"/>
  <c r="AA82" i="4"/>
  <c r="U82" i="4"/>
  <c r="M84" i="12" s="1"/>
  <c r="I84" i="12"/>
  <c r="AE326" i="4"/>
  <c r="N328" i="12" s="1"/>
  <c r="F4" i="4"/>
  <c r="J6" i="12"/>
  <c r="AE368" i="4"/>
  <c r="N369" i="12" s="1"/>
  <c r="AE327" i="4"/>
  <c r="N329" i="12" s="1"/>
  <c r="P10" i="5"/>
  <c r="L8" i="2"/>
  <c r="J4" i="9"/>
  <c r="M8" i="2"/>
  <c r="F21" i="4"/>
  <c r="J23" i="12"/>
  <c r="F25" i="4"/>
  <c r="J27" i="12"/>
  <c r="AE260" i="4"/>
  <c r="N262" i="12" s="1"/>
  <c r="AE105" i="4"/>
  <c r="N107" i="12" s="1"/>
  <c r="AG482" i="4"/>
  <c r="AG481" i="4"/>
  <c r="AG480" i="4"/>
  <c r="AG479" i="4"/>
  <c r="AG478" i="4"/>
  <c r="AG477" i="4"/>
  <c r="AG476" i="4"/>
  <c r="AG475" i="4"/>
  <c r="AG438" i="4"/>
  <c r="AG434" i="4"/>
  <c r="AG422" i="4"/>
  <c r="AG409" i="4"/>
  <c r="AG407" i="4"/>
  <c r="AG405" i="4"/>
  <c r="AG403" i="4"/>
  <c r="AG401" i="4"/>
  <c r="AG399" i="4"/>
  <c r="AG387" i="4"/>
  <c r="AG385" i="4"/>
  <c r="AG383" i="4"/>
  <c r="AG381" i="4"/>
  <c r="AG373" i="4"/>
  <c r="AG363" i="4"/>
  <c r="AG361" i="4"/>
  <c r="AG359" i="4"/>
  <c r="AG357" i="4"/>
  <c r="AG349" i="4"/>
  <c r="AG347" i="4"/>
  <c r="AG345" i="4"/>
  <c r="AG333" i="4"/>
  <c r="AG331" i="4"/>
  <c r="AG329" i="4"/>
  <c r="AG317" i="4"/>
  <c r="AG435" i="4"/>
  <c r="AG423" i="4"/>
  <c r="AG419" i="4"/>
  <c r="AG436" i="4"/>
  <c r="AG424" i="4"/>
  <c r="AG420" i="4"/>
  <c r="AG408" i="4"/>
  <c r="AG406" i="4"/>
  <c r="AG404" i="4"/>
  <c r="AG402" i="4"/>
  <c r="AG400" i="4"/>
  <c r="AG388" i="4"/>
  <c r="AG386" i="4"/>
  <c r="AG384" i="4"/>
  <c r="AG382" i="4"/>
  <c r="AG374" i="4"/>
  <c r="AG372" i="4"/>
  <c r="AG364" i="4"/>
  <c r="AG362" i="4"/>
  <c r="AG360" i="4"/>
  <c r="AG358" i="4"/>
  <c r="AG356" i="4"/>
  <c r="AG350" i="4"/>
  <c r="AG348" i="4"/>
  <c r="AG346" i="4"/>
  <c r="AG344" i="4"/>
  <c r="AG334" i="4"/>
  <c r="AG332" i="4"/>
  <c r="AG330" i="4"/>
  <c r="AG316" i="4"/>
  <c r="AG437" i="4"/>
  <c r="AG425" i="4"/>
  <c r="AG421" i="4"/>
  <c r="AG292" i="4"/>
  <c r="AG291" i="4"/>
  <c r="AG290" i="4"/>
  <c r="AG289" i="4"/>
  <c r="AG288" i="4"/>
  <c r="AG287" i="4"/>
  <c r="AG286" i="4"/>
  <c r="AG285" i="4"/>
  <c r="AG284" i="4"/>
  <c r="AG273" i="4"/>
  <c r="AG272" i="4"/>
  <c r="AG271" i="4"/>
  <c r="AG270" i="4"/>
  <c r="AG269" i="4"/>
  <c r="AG268" i="4"/>
  <c r="AG267" i="4"/>
  <c r="AG266" i="4"/>
  <c r="AG265" i="4"/>
  <c r="AG264" i="4"/>
  <c r="AG263" i="4"/>
  <c r="AG262" i="4"/>
  <c r="AG252" i="4"/>
  <c r="AG251" i="4"/>
  <c r="AG250" i="4"/>
  <c r="AG249" i="4"/>
  <c r="AG248" i="4"/>
  <c r="AG247" i="4"/>
  <c r="AG246" i="4"/>
  <c r="AG245" i="4"/>
  <c r="AG244" i="4"/>
  <c r="AG228" i="4"/>
  <c r="AG227" i="4"/>
  <c r="AG221" i="4"/>
  <c r="AG314" i="4"/>
  <c r="AG312" i="4"/>
  <c r="AG310" i="4"/>
  <c r="AG308" i="4"/>
  <c r="AG306" i="4"/>
  <c r="J8" i="2"/>
  <c r="AG187" i="4"/>
  <c r="AG184" i="4"/>
  <c r="AG182" i="4"/>
  <c r="AG313" i="4"/>
  <c r="AG311" i="4"/>
  <c r="AG309" i="4"/>
  <c r="AG307" i="4"/>
  <c r="AG305" i="4"/>
  <c r="AG220" i="4"/>
  <c r="AG219" i="4"/>
  <c r="AG218" i="4"/>
  <c r="AG217" i="4"/>
  <c r="AG216" i="4"/>
  <c r="AG209" i="4"/>
  <c r="AG208" i="4"/>
  <c r="AG207" i="4"/>
  <c r="AG206" i="4"/>
  <c r="AG205" i="4"/>
  <c r="AG202" i="4"/>
  <c r="AG201" i="4"/>
  <c r="AG200" i="4"/>
  <c r="AG188" i="4"/>
  <c r="AG186" i="4"/>
  <c r="AG185" i="4"/>
  <c r="AG183" i="4"/>
  <c r="AG181" i="4"/>
  <c r="AG173" i="4"/>
  <c r="AG172" i="4"/>
  <c r="AG171" i="4"/>
  <c r="AG162" i="4"/>
  <c r="AG161" i="4"/>
  <c r="AG153" i="4"/>
  <c r="AG149" i="4"/>
  <c r="AG142" i="4"/>
  <c r="AG140" i="4"/>
  <c r="AG133" i="4"/>
  <c r="AG315" i="4"/>
  <c r="AG28" i="4"/>
  <c r="AG6" i="4"/>
  <c r="AG160" i="4"/>
  <c r="AG159" i="4"/>
  <c r="AG154" i="4"/>
  <c r="AG148" i="4"/>
  <c r="AG141" i="4"/>
  <c r="AG136" i="4"/>
  <c r="AG135" i="4"/>
  <c r="AG134" i="4"/>
  <c r="AG132" i="4"/>
  <c r="AG121" i="4"/>
  <c r="AG117" i="4"/>
  <c r="AG95" i="4"/>
  <c r="AG87" i="4"/>
  <c r="AG73" i="4"/>
  <c r="AG67" i="4"/>
  <c r="AG65" i="4"/>
  <c r="AG59" i="4"/>
  <c r="AG124" i="4"/>
  <c r="AG118" i="4"/>
  <c r="AG96" i="4"/>
  <c r="AG68" i="4"/>
  <c r="AG52" i="4"/>
  <c r="AG119" i="4"/>
  <c r="AG107" i="4"/>
  <c r="AG83" i="4"/>
  <c r="AG63" i="4"/>
  <c r="AG112" i="4"/>
  <c r="AG84" i="4"/>
  <c r="AG74" i="4"/>
  <c r="AG104" i="4"/>
  <c r="AG98" i="4"/>
  <c r="AG64" i="4"/>
  <c r="AE478" i="4"/>
  <c r="AE341" i="4"/>
  <c r="N343" i="12" s="1"/>
  <c r="AE489" i="4"/>
  <c r="AE241" i="4"/>
  <c r="N243" i="12" s="1"/>
  <c r="L10" i="5"/>
  <c r="H8" i="2" s="1"/>
  <c r="F10" i="5"/>
  <c r="L11" i="5"/>
  <c r="H9" i="2" s="1"/>
  <c r="F11" i="5"/>
  <c r="G11" i="5" s="1"/>
  <c r="AE371" i="4"/>
  <c r="N372" i="12" s="1"/>
  <c r="AA5" i="4"/>
  <c r="U5" i="4"/>
  <c r="M7" i="12" s="1"/>
  <c r="I7" i="12"/>
  <c r="AE131" i="4"/>
  <c r="N133" i="12" s="1"/>
  <c r="AE97" i="4"/>
  <c r="N99" i="12" s="1"/>
  <c r="AE480" i="4"/>
  <c r="AE86" i="4"/>
  <c r="N88" i="12" s="1"/>
  <c r="AE302" i="4"/>
  <c r="N304" i="12" s="1"/>
  <c r="AE145" i="4"/>
  <c r="N147" i="12" s="1"/>
  <c r="AE197" i="4"/>
  <c r="N199" i="12" s="1"/>
  <c r="AE157" i="4"/>
  <c r="N159" i="12" s="1"/>
  <c r="AE240" i="4"/>
  <c r="N242" i="12" s="1"/>
  <c r="AE224" i="4"/>
  <c r="N226" i="12" s="1"/>
  <c r="AE323" i="4"/>
  <c r="N325" i="12" s="1"/>
  <c r="AE430" i="4"/>
  <c r="AE258" i="4"/>
  <c r="N260" i="12" s="1"/>
  <c r="AE128" i="4"/>
  <c r="N130" i="12" s="1"/>
  <c r="AE299" i="4"/>
  <c r="N301" i="12" s="1"/>
  <c r="AE192" i="4"/>
  <c r="N194" i="12" s="1"/>
  <c r="AE48" i="4"/>
  <c r="N50" i="12" s="1"/>
  <c r="AE126" i="4"/>
  <c r="N128" i="12" s="1"/>
  <c r="AE366" i="4"/>
  <c r="N367" i="12" s="1"/>
  <c r="AE325" i="4"/>
  <c r="N327" i="12" s="1"/>
  <c r="AE199" i="4"/>
  <c r="N201" i="12" s="1"/>
  <c r="AE62" i="4"/>
  <c r="N64" i="12" s="1"/>
  <c r="F2" i="4"/>
  <c r="J4" i="12"/>
  <c r="AE427" i="4"/>
  <c r="F34" i="4"/>
  <c r="J36" i="12"/>
  <c r="G112" i="4"/>
  <c r="H104" i="4"/>
  <c r="K106" i="12" s="1"/>
  <c r="H119" i="4"/>
  <c r="K121" i="12" s="1"/>
  <c r="G95" i="4"/>
  <c r="H87" i="4"/>
  <c r="K89" i="12" s="1"/>
  <c r="G63" i="4"/>
  <c r="F58" i="8"/>
  <c r="H118" i="4"/>
  <c r="K120" i="12" s="1"/>
  <c r="G67" i="4"/>
  <c r="H59" i="4"/>
  <c r="K61" i="12" s="1"/>
  <c r="G52" i="4"/>
  <c r="G98" i="4"/>
  <c r="H121" i="4"/>
  <c r="K123" i="12" s="1"/>
  <c r="G65" i="4"/>
  <c r="H112" i="4"/>
  <c r="K114" i="12" s="1"/>
  <c r="H95" i="4"/>
  <c r="K97" i="12" s="1"/>
  <c r="H63" i="4"/>
  <c r="K65" i="12" s="1"/>
  <c r="G84" i="4"/>
  <c r="G107" i="4"/>
  <c r="H67" i="4"/>
  <c r="K69" i="12" s="1"/>
  <c r="G68" i="4"/>
  <c r="H52" i="4"/>
  <c r="K54" i="12" s="1"/>
  <c r="H98" i="4"/>
  <c r="K100" i="12" s="1"/>
  <c r="G74" i="4"/>
  <c r="G73" i="4"/>
  <c r="H65" i="4"/>
  <c r="K67" i="12" s="1"/>
  <c r="G96" i="4"/>
  <c r="G64" i="4"/>
  <c r="G117" i="4"/>
  <c r="H84" i="4"/>
  <c r="K86" i="12" s="1"/>
  <c r="H107" i="4"/>
  <c r="K109" i="12" s="1"/>
  <c r="G83" i="4"/>
  <c r="H68" i="4"/>
  <c r="K70" i="12" s="1"/>
  <c r="H74" i="4"/>
  <c r="K76" i="12" s="1"/>
  <c r="H73" i="4"/>
  <c r="K75" i="12" s="1"/>
  <c r="G121" i="4"/>
  <c r="G104" i="4"/>
  <c r="H96" i="4"/>
  <c r="K98" i="12" s="1"/>
  <c r="H64" i="4"/>
  <c r="K66" i="12" s="1"/>
  <c r="G119" i="4"/>
  <c r="G87" i="4"/>
  <c r="G118" i="4"/>
  <c r="H117" i="4"/>
  <c r="K119" i="12" s="1"/>
  <c r="H83" i="4"/>
  <c r="K85" i="12" s="1"/>
  <c r="G59" i="4"/>
  <c r="AE28" i="4"/>
  <c r="N30" i="12" s="1"/>
  <c r="G10" i="5"/>
  <c r="K8" i="2"/>
  <c r="F16" i="4"/>
  <c r="J18" i="12"/>
  <c r="AA41" i="4"/>
  <c r="U41" i="4"/>
  <c r="M43" i="12" s="1"/>
  <c r="I43" i="12"/>
  <c r="AE138" i="4"/>
  <c r="N140" i="12" s="1"/>
  <c r="AE324" i="4"/>
  <c r="N326" i="12" s="1"/>
  <c r="AE491" i="4"/>
  <c r="AG492" i="4"/>
  <c r="AG491" i="4"/>
  <c r="AG490" i="4"/>
  <c r="AG489" i="4"/>
  <c r="AG488" i="4"/>
  <c r="AG397" i="4"/>
  <c r="AG371" i="4"/>
  <c r="AG341" i="4"/>
  <c r="AG339" i="4"/>
  <c r="AG337" i="4"/>
  <c r="AG327" i="4"/>
  <c r="AG325" i="4"/>
  <c r="AG440" i="4"/>
  <c r="AG416" i="4"/>
  <c r="AG398" i="4"/>
  <c r="AG370" i="4"/>
  <c r="AG340" i="4"/>
  <c r="AG338" i="4"/>
  <c r="AG328" i="4"/>
  <c r="AG326" i="4"/>
  <c r="AG324" i="4"/>
  <c r="AG433" i="4"/>
  <c r="AG417" i="4"/>
  <c r="AG260" i="4"/>
  <c r="AG243" i="4"/>
  <c r="AG242" i="4"/>
  <c r="AG241" i="4"/>
  <c r="AG225" i="4"/>
  <c r="AG302" i="4"/>
  <c r="J10" i="2"/>
  <c r="AG214" i="4"/>
  <c r="AG204" i="4"/>
  <c r="AG199" i="4"/>
  <c r="AG198" i="4"/>
  <c r="AG197" i="4"/>
  <c r="AG196" i="4"/>
  <c r="AG179" i="4"/>
  <c r="AG170" i="4"/>
  <c r="AG169" i="4"/>
  <c r="AG157" i="4"/>
  <c r="AG147" i="4"/>
  <c r="AG138" i="4"/>
  <c r="AG131" i="4"/>
  <c r="AG40" i="4"/>
  <c r="AG37" i="4"/>
  <c r="AG36" i="4"/>
  <c r="AG34" i="4"/>
  <c r="AG33" i="4"/>
  <c r="AG31" i="4"/>
  <c r="AG26" i="4"/>
  <c r="AG25" i="4"/>
  <c r="AG22" i="4"/>
  <c r="AG21" i="4"/>
  <c r="AG20" i="4"/>
  <c r="AG19" i="4"/>
  <c r="AG18" i="4"/>
  <c r="AG16" i="4"/>
  <c r="AG14" i="4"/>
  <c r="AG12" i="4"/>
  <c r="AG11" i="4"/>
  <c r="AG9" i="4"/>
  <c r="AG5" i="4"/>
  <c r="AG4" i="4"/>
  <c r="AG3" i="4"/>
  <c r="AG2" i="4"/>
  <c r="AG152" i="4"/>
  <c r="AG139" i="4"/>
  <c r="AG130" i="4"/>
  <c r="AG109" i="4"/>
  <c r="AG103" i="4"/>
  <c r="AG85" i="4"/>
  <c r="AG57" i="4"/>
  <c r="AG49" i="4"/>
  <c r="AG102" i="4"/>
  <c r="AG115" i="4"/>
  <c r="AG105" i="4"/>
  <c r="AG97" i="4"/>
  <c r="AG61" i="4"/>
  <c r="AG45" i="4"/>
  <c r="AG86" i="4"/>
  <c r="AG72" i="4"/>
  <c r="AG56" i="4"/>
  <c r="AG44" i="4"/>
  <c r="AG62" i="4"/>
  <c r="AG54" i="4"/>
  <c r="AG48" i="4"/>
  <c r="F26" i="4"/>
  <c r="J28" i="12"/>
  <c r="U70" i="4"/>
  <c r="M72" i="12" s="1"/>
  <c r="AA70" i="4"/>
  <c r="I72" i="12"/>
  <c r="AE225" i="4"/>
  <c r="N227" i="12" s="1"/>
  <c r="AE198" i="4"/>
  <c r="N200" i="12" s="1"/>
  <c r="AA11" i="4"/>
  <c r="U11" i="4"/>
  <c r="M13" i="12" s="1"/>
  <c r="I13" i="12"/>
  <c r="AE204" i="4"/>
  <c r="N206" i="12" s="1"/>
  <c r="AE338" i="4"/>
  <c r="N340" i="12" s="1"/>
  <c r="AE243" i="4"/>
  <c r="N245" i="12" s="1"/>
  <c r="AE93" i="4"/>
  <c r="N95" i="12" s="1"/>
  <c r="AE369" i="4"/>
  <c r="N370" i="12" s="1"/>
  <c r="AE167" i="4"/>
  <c r="N169" i="12" s="1"/>
  <c r="AE176" i="4"/>
  <c r="N178" i="12" s="1"/>
  <c r="AE122" i="4"/>
  <c r="N124" i="12" s="1"/>
  <c r="AA51" i="4"/>
  <c r="U51" i="4"/>
  <c r="M53" i="12" s="1"/>
  <c r="I53" i="12"/>
  <c r="AE378" i="4"/>
  <c r="N379" i="12" s="1"/>
  <c r="F18" i="4"/>
  <c r="AE414" i="4"/>
  <c r="AE416" i="4"/>
  <c r="N405" i="12" s="1"/>
  <c r="AA43" i="4"/>
  <c r="U43" i="4"/>
  <c r="M45" i="12" s="1"/>
  <c r="I45" i="12"/>
  <c r="AE234" i="4"/>
  <c r="N236" i="12" s="1"/>
  <c r="AE367" i="4"/>
  <c r="N368" i="12" s="1"/>
  <c r="H492" i="4"/>
  <c r="H72" i="4"/>
  <c r="K74" i="12" s="1"/>
  <c r="G48" i="4"/>
  <c r="G179" i="4"/>
  <c r="H338" i="4"/>
  <c r="K340" i="12" s="1"/>
  <c r="G370" i="4"/>
  <c r="G325" i="4"/>
  <c r="H341" i="4"/>
  <c r="K343" i="12" s="1"/>
  <c r="G489" i="4"/>
  <c r="H440" i="4"/>
  <c r="G433" i="4"/>
  <c r="H417" i="4"/>
  <c r="G199" i="4"/>
  <c r="H169" i="4"/>
  <c r="K171" i="12" s="1"/>
  <c r="H86" i="4"/>
  <c r="K88" i="12" s="1"/>
  <c r="G62" i="4"/>
  <c r="H54" i="4"/>
  <c r="K56" i="12" s="1"/>
  <c r="G243" i="4"/>
  <c r="H241" i="4"/>
  <c r="K243" i="12" s="1"/>
  <c r="H225" i="4"/>
  <c r="K227" i="12" s="1"/>
  <c r="H170" i="4"/>
  <c r="K172" i="12" s="1"/>
  <c r="H61" i="4"/>
  <c r="K63" i="12" s="1"/>
  <c r="G214" i="4"/>
  <c r="H198" i="4"/>
  <c r="K200" i="12" s="1"/>
  <c r="H302" i="4"/>
  <c r="K304" i="12" s="1"/>
  <c r="G152" i="4"/>
  <c r="H340" i="4"/>
  <c r="K342" i="12" s="1"/>
  <c r="G398" i="4"/>
  <c r="G327" i="4"/>
  <c r="H371" i="4"/>
  <c r="K372" i="12" s="1"/>
  <c r="H416" i="4"/>
  <c r="K405" i="12" s="1"/>
  <c r="H157" i="4"/>
  <c r="K159" i="12" s="1"/>
  <c r="H139" i="4"/>
  <c r="K141" i="12" s="1"/>
  <c r="G131" i="4"/>
  <c r="G97" i="4"/>
  <c r="H57" i="4"/>
  <c r="K59" i="12" s="1"/>
  <c r="H490" i="4"/>
  <c r="H204" i="4"/>
  <c r="K206" i="12" s="1"/>
  <c r="G196" i="4"/>
  <c r="G56" i="4"/>
  <c r="H48" i="4"/>
  <c r="K50" i="12" s="1"/>
  <c r="G103" i="4"/>
  <c r="H326" i="4"/>
  <c r="K328" i="12" s="1"/>
  <c r="G338" i="4"/>
  <c r="H337" i="4"/>
  <c r="K339" i="12" s="1"/>
  <c r="G397" i="4"/>
  <c r="G440" i="4"/>
  <c r="F440" i="4" s="1"/>
  <c r="G102" i="4"/>
  <c r="H62" i="4"/>
  <c r="K64" i="12" s="1"/>
  <c r="H243" i="4"/>
  <c r="K245" i="12" s="1"/>
  <c r="G109" i="4"/>
  <c r="G302" i="4"/>
  <c r="G138" i="4"/>
  <c r="G130" i="4"/>
  <c r="H328" i="4"/>
  <c r="K330" i="12" s="1"/>
  <c r="G340" i="4"/>
  <c r="H339" i="4"/>
  <c r="K341" i="12" s="1"/>
  <c r="G488" i="4"/>
  <c r="H491" i="4"/>
  <c r="G416" i="4"/>
  <c r="H197" i="4"/>
  <c r="K199" i="12" s="1"/>
  <c r="H131" i="4"/>
  <c r="K133" i="12" s="1"/>
  <c r="G242" i="4"/>
  <c r="G105" i="4"/>
  <c r="H97" i="4"/>
  <c r="K99" i="12" s="1"/>
  <c r="G491" i="4"/>
  <c r="G197" i="4"/>
  <c r="G157" i="4"/>
  <c r="H260" i="4"/>
  <c r="K262" i="12" s="1"/>
  <c r="G492" i="4"/>
  <c r="F492" i="4" s="1"/>
  <c r="H56" i="4"/>
  <c r="K58" i="12" s="1"/>
  <c r="H179" i="4"/>
  <c r="K181" i="12" s="1"/>
  <c r="H103" i="4"/>
  <c r="K105" i="12" s="1"/>
  <c r="G326" i="4"/>
  <c r="H325" i="4"/>
  <c r="K327" i="12" s="1"/>
  <c r="G341" i="4"/>
  <c r="H489" i="4"/>
  <c r="H433" i="4"/>
  <c r="G417" i="4"/>
  <c r="F417" i="4" s="1"/>
  <c r="H199" i="4"/>
  <c r="K201" i="12" s="1"/>
  <c r="G169" i="4"/>
  <c r="H102" i="4"/>
  <c r="K104" i="12" s="1"/>
  <c r="G170" i="4"/>
  <c r="G147" i="4"/>
  <c r="H109" i="4"/>
  <c r="K111" i="12" s="1"/>
  <c r="G85" i="4"/>
  <c r="H214" i="4"/>
  <c r="K216" i="12" s="1"/>
  <c r="G198" i="4"/>
  <c r="H152" i="4"/>
  <c r="K154" i="12" s="1"/>
  <c r="H138" i="4"/>
  <c r="K140" i="12" s="1"/>
  <c r="G115" i="4"/>
  <c r="H324" i="4"/>
  <c r="K326" i="12" s="1"/>
  <c r="G328" i="4"/>
  <c r="H327" i="4"/>
  <c r="K329" i="12" s="1"/>
  <c r="G371" i="4"/>
  <c r="G139" i="4"/>
  <c r="G260" i="4"/>
  <c r="H242" i="4"/>
  <c r="K244" i="12" s="1"/>
  <c r="H105" i="4"/>
  <c r="K107" i="12" s="1"/>
  <c r="G49" i="4"/>
  <c r="G57" i="4"/>
  <c r="H49" i="4"/>
  <c r="K51" i="12" s="1"/>
  <c r="G490" i="4"/>
  <c r="F490" i="4" s="1"/>
  <c r="G204" i="4"/>
  <c r="H196" i="4"/>
  <c r="K198" i="12" s="1"/>
  <c r="G72" i="4"/>
  <c r="H370" i="4"/>
  <c r="K371" i="12" s="1"/>
  <c r="G337" i="4"/>
  <c r="H397" i="4"/>
  <c r="K395" i="12" s="1"/>
  <c r="G86" i="4"/>
  <c r="G54" i="4"/>
  <c r="G241" i="4"/>
  <c r="G225" i="4"/>
  <c r="H147" i="4"/>
  <c r="K149" i="12" s="1"/>
  <c r="H85" i="4"/>
  <c r="K87" i="12" s="1"/>
  <c r="G61" i="4"/>
  <c r="H130" i="4"/>
  <c r="K132" i="12" s="1"/>
  <c r="H115" i="4"/>
  <c r="K117" i="12" s="1"/>
  <c r="G324" i="4"/>
  <c r="H398" i="4"/>
  <c r="K396" i="12" s="1"/>
  <c r="G339" i="4"/>
  <c r="H488" i="4"/>
  <c r="AE486" i="4"/>
  <c r="AA55" i="4"/>
  <c r="U55" i="4"/>
  <c r="M57" i="12" s="1"/>
  <c r="I57" i="12"/>
  <c r="H468" i="4"/>
  <c r="H303" i="4"/>
  <c r="K305" i="12" s="1"/>
  <c r="G465" i="4"/>
  <c r="H449" i="4"/>
  <c r="G458" i="4"/>
  <c r="H473" i="4"/>
  <c r="G215" i="4"/>
  <c r="G380" i="4"/>
  <c r="G446" i="4"/>
  <c r="G459" i="4"/>
  <c r="H452" i="4"/>
  <c r="G116" i="4"/>
  <c r="G464" i="4"/>
  <c r="G461" i="4"/>
  <c r="H445" i="4"/>
  <c r="H450" i="4"/>
  <c r="H471" i="4"/>
  <c r="G455" i="4"/>
  <c r="H123" i="4"/>
  <c r="K125" i="12" s="1"/>
  <c r="H89" i="4"/>
  <c r="K91" i="12" s="1"/>
  <c r="H342" i="4"/>
  <c r="K344" i="12" s="1"/>
  <c r="G468" i="4"/>
  <c r="F468" i="4" s="1"/>
  <c r="H444" i="4"/>
  <c r="H454" i="4"/>
  <c r="H451" i="4"/>
  <c r="G180" i="4"/>
  <c r="H343" i="4"/>
  <c r="K345" i="12" s="1"/>
  <c r="H456" i="4"/>
  <c r="H457" i="4"/>
  <c r="G441" i="4"/>
  <c r="H447" i="4"/>
  <c r="G261" i="4"/>
  <c r="H304" i="4"/>
  <c r="K306" i="12" s="1"/>
  <c r="H379" i="4"/>
  <c r="K380" i="12" s="1"/>
  <c r="G452" i="4"/>
  <c r="F452" i="4" s="1"/>
  <c r="H116" i="4"/>
  <c r="K118" i="12" s="1"/>
  <c r="G469" i="4"/>
  <c r="H453" i="4"/>
  <c r="H466" i="4"/>
  <c r="G450" i="4"/>
  <c r="F450" i="4" s="1"/>
  <c r="G474" i="4"/>
  <c r="G471" i="4"/>
  <c r="F471" i="4" s="1"/>
  <c r="G106" i="4"/>
  <c r="G226" i="4"/>
  <c r="G158" i="4"/>
  <c r="G342" i="4"/>
  <c r="H464" i="4"/>
  <c r="G448" i="4"/>
  <c r="H469" i="4"/>
  <c r="G453" i="4"/>
  <c r="F453" i="4" s="1"/>
  <c r="G418" i="4"/>
  <c r="H455" i="4"/>
  <c r="G123" i="4"/>
  <c r="G89" i="4"/>
  <c r="H460" i="4"/>
  <c r="G444" i="4"/>
  <c r="H470" i="4"/>
  <c r="G454" i="4"/>
  <c r="F454" i="4" s="1"/>
  <c r="H467" i="4"/>
  <c r="G451" i="4"/>
  <c r="G303" i="4"/>
  <c r="H472" i="4"/>
  <c r="G456" i="4"/>
  <c r="F456" i="4" s="1"/>
  <c r="H465" i="4"/>
  <c r="G449" i="4"/>
  <c r="F449" i="4" s="1"/>
  <c r="H442" i="4"/>
  <c r="H463" i="4"/>
  <c r="G447" i="4"/>
  <c r="H215" i="4"/>
  <c r="K217" i="12" s="1"/>
  <c r="G110" i="4"/>
  <c r="H261" i="4"/>
  <c r="K263" i="12" s="1"/>
  <c r="H443" i="4"/>
  <c r="G304" i="4"/>
  <c r="H462" i="4"/>
  <c r="H448" i="4"/>
  <c r="H461" i="4"/>
  <c r="G445" i="4"/>
  <c r="F445" i="4" s="1"/>
  <c r="G466" i="4"/>
  <c r="F466" i="4" s="1"/>
  <c r="H418" i="4"/>
  <c r="H474" i="4"/>
  <c r="H106" i="4"/>
  <c r="K108" i="12" s="1"/>
  <c r="H226" i="4"/>
  <c r="K228" i="12" s="1"/>
  <c r="H158" i="4"/>
  <c r="K160" i="12" s="1"/>
  <c r="G460" i="4"/>
  <c r="G470" i="4"/>
  <c r="F470" i="4" s="1"/>
  <c r="G467" i="4"/>
  <c r="F467" i="4" s="1"/>
  <c r="H180" i="4"/>
  <c r="K182" i="12" s="1"/>
  <c r="G343" i="4"/>
  <c r="G472" i="4"/>
  <c r="G457" i="4"/>
  <c r="F457" i="4" s="1"/>
  <c r="H441" i="4"/>
  <c r="H458" i="4"/>
  <c r="G442" i="4"/>
  <c r="G473" i="4"/>
  <c r="F473" i="4" s="1"/>
  <c r="G463" i="4"/>
  <c r="F463" i="4" s="1"/>
  <c r="H110" i="4"/>
  <c r="K112" i="12" s="1"/>
  <c r="H380" i="4"/>
  <c r="K381" i="12" s="1"/>
  <c r="H446" i="4"/>
  <c r="H459" i="4"/>
  <c r="G443" i="4"/>
  <c r="F443" i="4" s="1"/>
  <c r="G379" i="4"/>
  <c r="G462" i="4"/>
  <c r="F462" i="4" s="1"/>
  <c r="AE229" i="4"/>
  <c r="N231" i="12" s="1"/>
  <c r="AE101" i="4"/>
  <c r="N103" i="12" s="1"/>
  <c r="AE395" i="4"/>
  <c r="F31" i="4"/>
  <c r="J33" i="12"/>
  <c r="F44" i="4"/>
  <c r="J46" i="12"/>
  <c r="F442" i="4" l="1"/>
  <c r="F66" i="4"/>
  <c r="J68" i="12"/>
  <c r="F60" i="4"/>
  <c r="J62" i="12"/>
  <c r="F88" i="4"/>
  <c r="J90" i="12"/>
  <c r="F24" i="4"/>
  <c r="J26" i="12"/>
  <c r="F91" i="4"/>
  <c r="J93" i="12"/>
  <c r="F8" i="4"/>
  <c r="J10" i="12"/>
  <c r="J29" i="12"/>
  <c r="F27" i="4"/>
  <c r="F92" i="4"/>
  <c r="J94" i="12"/>
  <c r="F13" i="4"/>
  <c r="J15" i="12"/>
  <c r="F472" i="4"/>
  <c r="F460" i="4"/>
  <c r="F447" i="4"/>
  <c r="F451" i="4"/>
  <c r="F444" i="4"/>
  <c r="H486" i="4"/>
  <c r="G168" i="4"/>
  <c r="G368" i="4"/>
  <c r="H484" i="4"/>
  <c r="G430" i="4"/>
  <c r="H210" i="4"/>
  <c r="K212" i="12" s="1"/>
  <c r="H194" i="4"/>
  <c r="K196" i="12" s="1"/>
  <c r="H175" i="4"/>
  <c r="K177" i="12" s="1"/>
  <c r="G487" i="4"/>
  <c r="H483" i="4"/>
  <c r="H432" i="4"/>
  <c r="G439" i="4"/>
  <c r="G213" i="4"/>
  <c r="G412" i="4"/>
  <c r="G278" i="4"/>
  <c r="H276" i="4"/>
  <c r="K278" i="12" s="1"/>
  <c r="G258" i="4"/>
  <c r="H256" i="4"/>
  <c r="K258" i="12" s="1"/>
  <c r="H240" i="4"/>
  <c r="K242" i="12" s="1"/>
  <c r="G234" i="4"/>
  <c r="H232" i="4"/>
  <c r="K234" i="12" s="1"/>
  <c r="H224" i="4"/>
  <c r="K226" i="12" s="1"/>
  <c r="H174" i="4"/>
  <c r="K176" i="12" s="1"/>
  <c r="G151" i="4"/>
  <c r="G144" i="4"/>
  <c r="H128" i="4"/>
  <c r="K130" i="12" s="1"/>
  <c r="H113" i="4"/>
  <c r="K115" i="12" s="1"/>
  <c r="G323" i="4"/>
  <c r="H355" i="4"/>
  <c r="K356" i="12" s="1"/>
  <c r="G375" i="4"/>
  <c r="H393" i="4"/>
  <c r="K393" i="12" s="1"/>
  <c r="G432" i="4"/>
  <c r="F432" i="4" s="1"/>
  <c r="G280" i="4"/>
  <c r="H278" i="4"/>
  <c r="K280" i="12" s="1"/>
  <c r="H258" i="4"/>
  <c r="K260" i="12" s="1"/>
  <c r="G236" i="4"/>
  <c r="H234" i="4"/>
  <c r="K236" i="12" s="1"/>
  <c r="G166" i="4"/>
  <c r="H151" i="4"/>
  <c r="K153" i="12" s="1"/>
  <c r="G210" i="4"/>
  <c r="G483" i="4"/>
  <c r="F483" i="4" s="1"/>
  <c r="G294" i="4"/>
  <c r="G282" i="4"/>
  <c r="H280" i="4"/>
  <c r="K282" i="12" s="1"/>
  <c r="G254" i="4"/>
  <c r="G230" i="4"/>
  <c r="H176" i="4"/>
  <c r="K178" i="12" s="1"/>
  <c r="H354" i="4"/>
  <c r="K355" i="12" s="1"/>
  <c r="H396" i="4"/>
  <c r="H429" i="4"/>
  <c r="G413" i="4"/>
  <c r="G189" i="4"/>
  <c r="H165" i="4"/>
  <c r="K167" i="12" s="1"/>
  <c r="G319" i="4"/>
  <c r="H351" i="4"/>
  <c r="K352" i="12" s="1"/>
  <c r="G367" i="4"/>
  <c r="H389" i="4"/>
  <c r="K389" i="12" s="1"/>
  <c r="G411" i="4"/>
  <c r="G175" i="4"/>
  <c r="G238" i="4"/>
  <c r="G222" i="4"/>
  <c r="G320" i="4"/>
  <c r="G378" i="4"/>
  <c r="G414" i="4"/>
  <c r="G194" i="4"/>
  <c r="G125" i="4"/>
  <c r="H213" i="4"/>
  <c r="K215" i="12" s="1"/>
  <c r="G193" i="4"/>
  <c r="G114" i="4"/>
  <c r="G174" i="4"/>
  <c r="H145" i="4"/>
  <c r="K147" i="12" s="1"/>
  <c r="H99" i="4"/>
  <c r="K101" i="12" s="1"/>
  <c r="H368" i="4"/>
  <c r="K369" i="12" s="1"/>
  <c r="H430" i="4"/>
  <c r="H125" i="4"/>
  <c r="K127" i="12" s="1"/>
  <c r="H439" i="4"/>
  <c r="H189" i="4"/>
  <c r="K191" i="12" s="1"/>
  <c r="G165" i="4"/>
  <c r="H114" i="4"/>
  <c r="K116" i="12" s="1"/>
  <c r="H294" i="4"/>
  <c r="K296" i="12" s="1"/>
  <c r="H282" i="4"/>
  <c r="K284" i="12" s="1"/>
  <c r="G276" i="4"/>
  <c r="H274" i="4"/>
  <c r="K276" i="12" s="1"/>
  <c r="G256" i="4"/>
  <c r="H254" i="4"/>
  <c r="K256" i="12" s="1"/>
  <c r="G240" i="4"/>
  <c r="H238" i="4"/>
  <c r="K240" i="12" s="1"/>
  <c r="G232" i="4"/>
  <c r="H230" i="4"/>
  <c r="K232" i="12" s="1"/>
  <c r="G224" i="4"/>
  <c r="H222" i="4"/>
  <c r="K224" i="12" s="1"/>
  <c r="H166" i="4"/>
  <c r="K168" i="12" s="1"/>
  <c r="G128" i="4"/>
  <c r="G113" i="4"/>
  <c r="H319" i="4"/>
  <c r="K321" i="12" s="1"/>
  <c r="G351" i="4"/>
  <c r="H367" i="4"/>
  <c r="K368" i="12" s="1"/>
  <c r="G389" i="4"/>
  <c r="H411" i="4"/>
  <c r="K403" i="12" s="1"/>
  <c r="G274" i="4"/>
  <c r="H236" i="4"/>
  <c r="K238" i="12" s="1"/>
  <c r="H144" i="4"/>
  <c r="K146" i="12" s="1"/>
  <c r="H323" i="4"/>
  <c r="K325" i="12" s="1"/>
  <c r="G355" i="4"/>
  <c r="H375" i="4"/>
  <c r="K376" i="12" s="1"/>
  <c r="G393" i="4"/>
  <c r="G354" i="4"/>
  <c r="G122" i="4"/>
  <c r="H300" i="4"/>
  <c r="K302" i="12" s="1"/>
  <c r="G167" i="4"/>
  <c r="H353" i="4"/>
  <c r="K354" i="12" s="1"/>
  <c r="H223" i="4"/>
  <c r="K225" i="12" s="1"/>
  <c r="H239" i="4"/>
  <c r="K241" i="12" s="1"/>
  <c r="H295" i="4"/>
  <c r="K297" i="12" s="1"/>
  <c r="G143" i="4"/>
  <c r="G211" i="4"/>
  <c r="G394" i="4"/>
  <c r="H146" i="4"/>
  <c r="K148" i="12" s="1"/>
  <c r="H301" i="4"/>
  <c r="K303" i="12" s="1"/>
  <c r="G335" i="4"/>
  <c r="G223" i="4"/>
  <c r="H237" i="4"/>
  <c r="K239" i="12" s="1"/>
  <c r="H394" i="4"/>
  <c r="K394" i="12" s="1"/>
  <c r="H410" i="4"/>
  <c r="K402" i="12" s="1"/>
  <c r="G486" i="4"/>
  <c r="F486" i="4" s="1"/>
  <c r="H167" i="4"/>
  <c r="K169" i="12" s="1"/>
  <c r="H369" i="4"/>
  <c r="K370" i="12" s="1"/>
  <c r="H101" i="4"/>
  <c r="K103" i="12" s="1"/>
  <c r="H143" i="4"/>
  <c r="K145" i="12" s="1"/>
  <c r="H195" i="4"/>
  <c r="K197" i="12" s="1"/>
  <c r="H426" i="4"/>
  <c r="K406" i="12" s="1"/>
  <c r="G376" i="4"/>
  <c r="G156" i="4"/>
  <c r="H129" i="4"/>
  <c r="K131" i="12" s="1"/>
  <c r="G212" i="4"/>
  <c r="H413" i="4"/>
  <c r="F413" i="4" s="1"/>
  <c r="G336" i="4"/>
  <c r="H150" i="4"/>
  <c r="K152" i="12" s="1"/>
  <c r="G395" i="4"/>
  <c r="H93" i="4"/>
  <c r="K95" i="12" s="1"/>
  <c r="G94" i="4"/>
  <c r="G126" i="4"/>
  <c r="G299" i="4"/>
  <c r="H336" i="4"/>
  <c r="K338" i="12" s="1"/>
  <c r="G145" i="4"/>
  <c r="H190" i="4"/>
  <c r="K192" i="12" s="1"/>
  <c r="H391" i="4"/>
  <c r="K391" i="12" s="1"/>
  <c r="G321" i="4"/>
  <c r="H231" i="4"/>
  <c r="K233" i="12" s="1"/>
  <c r="H279" i="4"/>
  <c r="K281" i="12" s="1"/>
  <c r="G177" i="4"/>
  <c r="H390" i="4"/>
  <c r="K390" i="12" s="1"/>
  <c r="G410" i="4"/>
  <c r="G163" i="4"/>
  <c r="G296" i="4"/>
  <c r="G150" i="4"/>
  <c r="H395" i="4"/>
  <c r="H229" i="4"/>
  <c r="K231" i="12" s="1"/>
  <c r="G239" i="4"/>
  <c r="H293" i="4"/>
  <c r="K295" i="12" s="1"/>
  <c r="G191" i="4"/>
  <c r="G426" i="4"/>
  <c r="G111" i="4"/>
  <c r="H155" i="4"/>
  <c r="K157" i="12" s="1"/>
  <c r="H299" i="4"/>
  <c r="K301" i="12" s="1"/>
  <c r="G190" i="4"/>
  <c r="G353" i="4"/>
  <c r="H235" i="4"/>
  <c r="K237" i="12" s="1"/>
  <c r="H259" i="4"/>
  <c r="K261" i="12" s="1"/>
  <c r="H283" i="4"/>
  <c r="K285" i="12" s="1"/>
  <c r="G203" i="4"/>
  <c r="H366" i="4"/>
  <c r="K367" i="12" s="1"/>
  <c r="G146" i="4"/>
  <c r="H297" i="4"/>
  <c r="K299" i="12" s="1"/>
  <c r="H412" i="4"/>
  <c r="K404" i="12" s="1"/>
  <c r="G429" i="4"/>
  <c r="F429" i="4" s="1"/>
  <c r="G392" i="4"/>
  <c r="H320" i="4"/>
  <c r="K322" i="12" s="1"/>
  <c r="H168" i="4"/>
  <c r="K170" i="12" s="1"/>
  <c r="G300" i="4"/>
  <c r="H335" i="4"/>
  <c r="K337" i="12" s="1"/>
  <c r="G101" i="4"/>
  <c r="H233" i="4"/>
  <c r="K235" i="12" s="1"/>
  <c r="H257" i="4"/>
  <c r="K259" i="12" s="1"/>
  <c r="H281" i="4"/>
  <c r="K283" i="12" s="1"/>
  <c r="H431" i="4"/>
  <c r="G322" i="4"/>
  <c r="G192" i="4"/>
  <c r="G396" i="4"/>
  <c r="F396" i="4" s="1"/>
  <c r="G176" i="4"/>
  <c r="H296" i="4"/>
  <c r="K298" i="12" s="1"/>
  <c r="H100" i="4"/>
  <c r="K102" i="12" s="1"/>
  <c r="G369" i="4"/>
  <c r="G93" i="4"/>
  <c r="G233" i="4"/>
  <c r="H255" i="4"/>
  <c r="K257" i="12" s="1"/>
  <c r="G281" i="4"/>
  <c r="G195" i="4"/>
  <c r="G485" i="4"/>
  <c r="G352" i="4"/>
  <c r="H111" i="4"/>
  <c r="K113" i="12" s="1"/>
  <c r="G129" i="4"/>
  <c r="H212" i="4"/>
  <c r="K214" i="12" s="1"/>
  <c r="H298" i="4"/>
  <c r="K300" i="12" s="1"/>
  <c r="G377" i="4"/>
  <c r="G231" i="4"/>
  <c r="H253" i="4"/>
  <c r="K255" i="12" s="1"/>
  <c r="H277" i="4"/>
  <c r="K279" i="12" s="1"/>
  <c r="G295" i="4"/>
  <c r="G366" i="4"/>
  <c r="G164" i="4"/>
  <c r="H120" i="4"/>
  <c r="K122" i="12" s="1"/>
  <c r="G415" i="4"/>
  <c r="F415" i="4" s="1"/>
  <c r="G391" i="4"/>
  <c r="G237" i="4"/>
  <c r="H275" i="4"/>
  <c r="K277" i="12" s="1"/>
  <c r="G293" i="4"/>
  <c r="H94" i="4"/>
  <c r="K96" i="12" s="1"/>
  <c r="H177" i="4"/>
  <c r="K179" i="12" s="1"/>
  <c r="H211" i="4"/>
  <c r="K213" i="12" s="1"/>
  <c r="G155" i="4"/>
  <c r="G301" i="4"/>
  <c r="H193" i="4"/>
  <c r="K195" i="12" s="1"/>
  <c r="H487" i="4"/>
  <c r="F487" i="4" s="1"/>
  <c r="H414" i="4"/>
  <c r="F414" i="4" s="1"/>
  <c r="H378" i="4"/>
  <c r="K379" i="12" s="1"/>
  <c r="G99" i="4"/>
  <c r="H415" i="4"/>
  <c r="H377" i="4"/>
  <c r="K378" i="12" s="1"/>
  <c r="G235" i="4"/>
  <c r="G259" i="4"/>
  <c r="G283" i="4"/>
  <c r="G127" i="4"/>
  <c r="G390" i="4"/>
  <c r="H318" i="4"/>
  <c r="K320" i="12" s="1"/>
  <c r="H164" i="4"/>
  <c r="K166" i="12" s="1"/>
  <c r="H137" i="4"/>
  <c r="K139" i="12" s="1"/>
  <c r="H428" i="4"/>
  <c r="H392" i="4"/>
  <c r="K392" i="12" s="1"/>
  <c r="G298" i="4"/>
  <c r="G108" i="4"/>
  <c r="G178" i="4"/>
  <c r="G257" i="4"/>
  <c r="H203" i="4"/>
  <c r="K205" i="12" s="1"/>
  <c r="H322" i="4"/>
  <c r="K324" i="12" s="1"/>
  <c r="H156" i="4"/>
  <c r="K158" i="12" s="1"/>
  <c r="G137" i="4"/>
  <c r="G297" i="4"/>
  <c r="G100" i="4"/>
  <c r="G427" i="4"/>
  <c r="H365" i="4"/>
  <c r="K366" i="12" s="1"/>
  <c r="G255" i="4"/>
  <c r="G279" i="4"/>
  <c r="H352" i="4"/>
  <c r="K353" i="12" s="1"/>
  <c r="H192" i="4"/>
  <c r="K194" i="12" s="1"/>
  <c r="H427" i="4"/>
  <c r="H321" i="4"/>
  <c r="K323" i="12" s="1"/>
  <c r="H178" i="4"/>
  <c r="K180" i="12" s="1"/>
  <c r="G229" i="4"/>
  <c r="G253" i="4"/>
  <c r="G277" i="4"/>
  <c r="H127" i="4"/>
  <c r="K129" i="12" s="1"/>
  <c r="G431" i="4"/>
  <c r="F431" i="4" s="1"/>
  <c r="H485" i="4"/>
  <c r="G318" i="4"/>
  <c r="H126" i="4"/>
  <c r="K128" i="12" s="1"/>
  <c r="G120" i="4"/>
  <c r="H163" i="4"/>
  <c r="K165" i="12" s="1"/>
  <c r="G428" i="4"/>
  <c r="F428" i="4" s="1"/>
  <c r="G484" i="4"/>
  <c r="F484" i="4" s="1"/>
  <c r="H122" i="4"/>
  <c r="K124" i="12" s="1"/>
  <c r="H108" i="4"/>
  <c r="K110" i="12" s="1"/>
  <c r="G365" i="4"/>
  <c r="G275" i="4"/>
  <c r="H191" i="4"/>
  <c r="K193" i="12" s="1"/>
  <c r="H376" i="4"/>
  <c r="K377" i="12" s="1"/>
  <c r="F39" i="4"/>
  <c r="J41" i="12"/>
  <c r="F42" i="4"/>
  <c r="J44" i="12"/>
  <c r="J83" i="12"/>
  <c r="F81" i="4"/>
  <c r="J55" i="12"/>
  <c r="F53" i="4"/>
  <c r="J81" i="12"/>
  <c r="F79" i="4"/>
  <c r="J8" i="12"/>
  <c r="F47" i="4"/>
  <c r="J49" i="12"/>
  <c r="F32" i="4"/>
  <c r="J34" i="12"/>
  <c r="F76" i="4"/>
  <c r="J78" i="12"/>
  <c r="F77" i="4"/>
  <c r="J79" i="12"/>
  <c r="J82" i="12"/>
  <c r="F80" i="4"/>
  <c r="F30" i="4"/>
  <c r="J32" i="12"/>
  <c r="F7" i="4"/>
  <c r="J9" i="12"/>
  <c r="J48" i="12"/>
  <c r="F46" i="4"/>
  <c r="F29" i="4"/>
  <c r="J31" i="12"/>
  <c r="F23" i="4"/>
  <c r="J25" i="12"/>
  <c r="F90" i="4"/>
  <c r="J92" i="12"/>
  <c r="F71" i="4"/>
  <c r="J73" i="12"/>
  <c r="F38" i="4"/>
  <c r="J40" i="12"/>
  <c r="F75" i="4"/>
  <c r="J77" i="12"/>
  <c r="J12" i="12"/>
  <c r="F10" i="4"/>
  <c r="F17" i="4"/>
  <c r="J19" i="12"/>
  <c r="J52" i="12"/>
  <c r="F50" i="4"/>
  <c r="F78" i="4"/>
  <c r="J80" i="12"/>
  <c r="F15" i="4"/>
  <c r="J17" i="12"/>
  <c r="F35" i="4"/>
  <c r="J37" i="12"/>
  <c r="U44" i="4"/>
  <c r="M46" i="12" s="1"/>
  <c r="AA44" i="4"/>
  <c r="I46" i="12"/>
  <c r="U462" i="4"/>
  <c r="AA462" i="4"/>
  <c r="U473" i="4"/>
  <c r="AA473" i="4"/>
  <c r="U457" i="4"/>
  <c r="AA457" i="4"/>
  <c r="U467" i="4"/>
  <c r="AA467" i="4"/>
  <c r="U466" i="4"/>
  <c r="AA466" i="4"/>
  <c r="F110" i="4"/>
  <c r="J112" i="12"/>
  <c r="U454" i="4"/>
  <c r="AA454" i="4"/>
  <c r="F89" i="4"/>
  <c r="J91" i="12"/>
  <c r="U453" i="4"/>
  <c r="AA453" i="4"/>
  <c r="F342" i="4"/>
  <c r="J344" i="12"/>
  <c r="U471" i="4"/>
  <c r="AA471" i="4"/>
  <c r="F441" i="4"/>
  <c r="F180" i="4"/>
  <c r="J182" i="12"/>
  <c r="U468" i="4"/>
  <c r="AA468" i="4"/>
  <c r="F455" i="4"/>
  <c r="F461" i="4"/>
  <c r="F459" i="4"/>
  <c r="F61" i="4"/>
  <c r="J63" i="12"/>
  <c r="F241" i="4"/>
  <c r="J243" i="12"/>
  <c r="F337" i="4"/>
  <c r="J339" i="12"/>
  <c r="F204" i="4"/>
  <c r="J206" i="12"/>
  <c r="F49" i="4"/>
  <c r="J51" i="12"/>
  <c r="F139" i="4"/>
  <c r="J141" i="12"/>
  <c r="F198" i="4"/>
  <c r="J200" i="12"/>
  <c r="F147" i="4"/>
  <c r="J149" i="12"/>
  <c r="F341" i="4"/>
  <c r="J343" i="12"/>
  <c r="F157" i="4"/>
  <c r="J159" i="12"/>
  <c r="F105" i="4"/>
  <c r="J107" i="12"/>
  <c r="F416" i="4"/>
  <c r="J405" i="12"/>
  <c r="F340" i="4"/>
  <c r="J342" i="12"/>
  <c r="F302" i="4"/>
  <c r="J304" i="12"/>
  <c r="F102" i="4"/>
  <c r="J104" i="12"/>
  <c r="F338" i="4"/>
  <c r="J340" i="12"/>
  <c r="F56" i="4"/>
  <c r="J58" i="12"/>
  <c r="F398" i="4"/>
  <c r="J396" i="12"/>
  <c r="F62" i="4"/>
  <c r="J64" i="12"/>
  <c r="F179" i="4"/>
  <c r="J181" i="12"/>
  <c r="AA18" i="4"/>
  <c r="U18" i="4"/>
  <c r="M20" i="12" s="1"/>
  <c r="I20" i="12"/>
  <c r="AA16" i="4"/>
  <c r="U16" i="4"/>
  <c r="M18" i="12" s="1"/>
  <c r="I18" i="12"/>
  <c r="I8" i="2"/>
  <c r="AE65" i="4"/>
  <c r="N67" i="12" s="1"/>
  <c r="AE87" i="4"/>
  <c r="N89" i="12" s="1"/>
  <c r="AE104" i="4"/>
  <c r="N106" i="12" s="1"/>
  <c r="AE98" i="4"/>
  <c r="N100" i="12" s="1"/>
  <c r="AE64" i="4"/>
  <c r="N66" i="12" s="1"/>
  <c r="AE73" i="4"/>
  <c r="N75" i="12" s="1"/>
  <c r="AE52" i="4"/>
  <c r="N54" i="12" s="1"/>
  <c r="AE67" i="4"/>
  <c r="N69" i="12" s="1"/>
  <c r="AE121" i="4"/>
  <c r="N123" i="12" s="1"/>
  <c r="AE117" i="4"/>
  <c r="N119" i="12" s="1"/>
  <c r="AE74" i="4"/>
  <c r="N76" i="12" s="1"/>
  <c r="AE107" i="4"/>
  <c r="N109" i="12" s="1"/>
  <c r="AE63" i="4"/>
  <c r="N65" i="12" s="1"/>
  <c r="AE59" i="4"/>
  <c r="N61" i="12" s="1"/>
  <c r="AE118" i="4"/>
  <c r="N120" i="12" s="1"/>
  <c r="AE119" i="4"/>
  <c r="N121" i="12" s="1"/>
  <c r="AE83" i="4"/>
  <c r="N85" i="12" s="1"/>
  <c r="AE84" i="4"/>
  <c r="N86" i="12" s="1"/>
  <c r="AE95" i="4"/>
  <c r="N97" i="12" s="1"/>
  <c r="AE112" i="4"/>
  <c r="N114" i="12" s="1"/>
  <c r="AE96" i="4"/>
  <c r="N98" i="12" s="1"/>
  <c r="AE68" i="4"/>
  <c r="N70" i="12" s="1"/>
  <c r="F119" i="4"/>
  <c r="J121" i="12"/>
  <c r="F121" i="4"/>
  <c r="J123" i="12"/>
  <c r="F83" i="4"/>
  <c r="J85" i="12"/>
  <c r="F64" i="4"/>
  <c r="J66" i="12"/>
  <c r="F74" i="4"/>
  <c r="J76" i="12"/>
  <c r="F98" i="4"/>
  <c r="J100" i="12"/>
  <c r="F95" i="4"/>
  <c r="J97" i="12"/>
  <c r="AA34" i="4"/>
  <c r="U34" i="4"/>
  <c r="M36" i="12" s="1"/>
  <c r="I36" i="12"/>
  <c r="AA25" i="4"/>
  <c r="U25" i="4"/>
  <c r="M27" i="12" s="1"/>
  <c r="I27" i="12"/>
  <c r="AE160" i="4"/>
  <c r="N162" i="12" s="1"/>
  <c r="AE133" i="4"/>
  <c r="N135" i="12" s="1"/>
  <c r="AE317" i="4"/>
  <c r="N319" i="12" s="1"/>
  <c r="AE332" i="4"/>
  <c r="N334" i="12" s="1"/>
  <c r="AE171" i="4"/>
  <c r="N173" i="12" s="1"/>
  <c r="AE315" i="4"/>
  <c r="N317" i="12" s="1"/>
  <c r="AE250" i="4"/>
  <c r="N252" i="12" s="1"/>
  <c r="AE290" i="4"/>
  <c r="N292" i="12" s="1"/>
  <c r="AE202" i="4"/>
  <c r="N204" i="12" s="1"/>
  <c r="AE264" i="4"/>
  <c r="N266" i="12" s="1"/>
  <c r="AE288" i="4"/>
  <c r="N290" i="12" s="1"/>
  <c r="AE409" i="4"/>
  <c r="AE148" i="4"/>
  <c r="N150" i="12" s="1"/>
  <c r="AE404" i="4"/>
  <c r="AE153" i="4"/>
  <c r="N155" i="12" s="1"/>
  <c r="AE425" i="4"/>
  <c r="AE402" i="4"/>
  <c r="N400" i="12" s="1"/>
  <c r="AE305" i="4"/>
  <c r="N307" i="12" s="1"/>
  <c r="AE405" i="4"/>
  <c r="AE346" i="4"/>
  <c r="N348" i="12" s="1"/>
  <c r="AE289" i="4"/>
  <c r="N291" i="12" s="1"/>
  <c r="AE407" i="4"/>
  <c r="AE207" i="4"/>
  <c r="N209" i="12" s="1"/>
  <c r="AE216" i="4"/>
  <c r="N218" i="12" s="1"/>
  <c r="AE311" i="4"/>
  <c r="N313" i="12" s="1"/>
  <c r="AE136" i="4"/>
  <c r="N138" i="12" s="1"/>
  <c r="AE228" i="4"/>
  <c r="N230" i="12" s="1"/>
  <c r="AE401" i="4"/>
  <c r="N399" i="12" s="1"/>
  <c r="AE437" i="4"/>
  <c r="AE132" i="4"/>
  <c r="N134" i="12" s="1"/>
  <c r="AE247" i="4"/>
  <c r="N249" i="12" s="1"/>
  <c r="AE263" i="4"/>
  <c r="N265" i="12" s="1"/>
  <c r="AE187" i="4"/>
  <c r="N189" i="12" s="1"/>
  <c r="AE356" i="4"/>
  <c r="N357" i="12" s="1"/>
  <c r="AE309" i="4"/>
  <c r="N311" i="12" s="1"/>
  <c r="AE219" i="4"/>
  <c r="N221" i="12" s="1"/>
  <c r="AE312" i="4"/>
  <c r="N314" i="12" s="1"/>
  <c r="AE154" i="4"/>
  <c r="N156" i="12" s="1"/>
  <c r="AE245" i="4"/>
  <c r="N247" i="12" s="1"/>
  <c r="AE161" i="4"/>
  <c r="N163" i="12" s="1"/>
  <c r="AE272" i="4"/>
  <c r="N274" i="12" s="1"/>
  <c r="AE383" i="4"/>
  <c r="N384" i="12" s="1"/>
  <c r="AE358" i="4"/>
  <c r="N359" i="12" s="1"/>
  <c r="AE141" i="4"/>
  <c r="N143" i="12" s="1"/>
  <c r="AE206" i="4"/>
  <c r="N208" i="12" s="1"/>
  <c r="AE124" i="4"/>
  <c r="N126" i="12" s="1"/>
  <c r="AE251" i="4"/>
  <c r="N253" i="12" s="1"/>
  <c r="AE267" i="4"/>
  <c r="N269" i="12" s="1"/>
  <c r="AE403" i="4"/>
  <c r="N401" i="12" s="1"/>
  <c r="AE172" i="4"/>
  <c r="N174" i="12" s="1"/>
  <c r="AE364" i="4"/>
  <c r="N365" i="12" s="1"/>
  <c r="AE220" i="4"/>
  <c r="N222" i="12" s="1"/>
  <c r="AE313" i="4"/>
  <c r="N315" i="12" s="1"/>
  <c r="AE266" i="4"/>
  <c r="N268" i="12" s="1"/>
  <c r="AE373" i="4"/>
  <c r="N374" i="12" s="1"/>
  <c r="AE286" i="4"/>
  <c r="N288" i="12" s="1"/>
  <c r="AE387" i="4"/>
  <c r="N388" i="12" s="1"/>
  <c r="AE173" i="4"/>
  <c r="N175" i="12" s="1"/>
  <c r="AE209" i="4"/>
  <c r="N211" i="12" s="1"/>
  <c r="AE372" i="4"/>
  <c r="N373" i="12" s="1"/>
  <c r="AE381" i="4"/>
  <c r="N382" i="12" s="1"/>
  <c r="AE424" i="4"/>
  <c r="AE406" i="4"/>
  <c r="AE184" i="4"/>
  <c r="N186" i="12" s="1"/>
  <c r="AE423" i="4"/>
  <c r="AE284" i="4"/>
  <c r="N286" i="12" s="1"/>
  <c r="AE361" i="4"/>
  <c r="N362" i="12" s="1"/>
  <c r="AE386" i="4"/>
  <c r="N387" i="12" s="1"/>
  <c r="AE140" i="4"/>
  <c r="N142" i="12" s="1"/>
  <c r="AE271" i="4"/>
  <c r="N273" i="12" s="1"/>
  <c r="AE385" i="4"/>
  <c r="N386" i="12" s="1"/>
  <c r="AE316" i="4"/>
  <c r="N318" i="12" s="1"/>
  <c r="AE477" i="4"/>
  <c r="AE135" i="4"/>
  <c r="N137" i="12" s="1"/>
  <c r="AE182" i="4"/>
  <c r="N184" i="12" s="1"/>
  <c r="AE436" i="4"/>
  <c r="AE269" i="4"/>
  <c r="N271" i="12" s="1"/>
  <c r="AE285" i="4"/>
  <c r="N287" i="12" s="1"/>
  <c r="AE399" i="4"/>
  <c r="N397" i="12" s="1"/>
  <c r="AE481" i="4"/>
  <c r="AE388" i="4"/>
  <c r="AE208" i="4"/>
  <c r="N210" i="12" s="1"/>
  <c r="AE476" i="4"/>
  <c r="AE248" i="4"/>
  <c r="N250" i="12" s="1"/>
  <c r="AE347" i="4"/>
  <c r="N349" i="12" s="1"/>
  <c r="AE181" i="4"/>
  <c r="N183" i="12" s="1"/>
  <c r="AE421" i="4"/>
  <c r="AE159" i="4"/>
  <c r="N161" i="12" s="1"/>
  <c r="AE310" i="4"/>
  <c r="N312" i="12" s="1"/>
  <c r="AE227" i="4"/>
  <c r="N229" i="12" s="1"/>
  <c r="AE291" i="4"/>
  <c r="N293" i="12" s="1"/>
  <c r="AE363" i="4"/>
  <c r="N364" i="12" s="1"/>
  <c r="AE475" i="4"/>
  <c r="N407" i="12" s="1"/>
  <c r="AE344" i="4"/>
  <c r="N346" i="12" s="1"/>
  <c r="AE188" i="4"/>
  <c r="N190" i="12" s="1"/>
  <c r="AE435" i="4"/>
  <c r="AE333" i="4"/>
  <c r="N335" i="12" s="1"/>
  <c r="AE185" i="4"/>
  <c r="N187" i="12" s="1"/>
  <c r="AE217" i="4"/>
  <c r="N219" i="12" s="1"/>
  <c r="AE246" i="4"/>
  <c r="N248" i="12" s="1"/>
  <c r="AE262" i="4"/>
  <c r="N264" i="12" s="1"/>
  <c r="AE357" i="4"/>
  <c r="N358" i="12" s="1"/>
  <c r="AE308" i="4"/>
  <c r="N310" i="12" s="1"/>
  <c r="AE249" i="4"/>
  <c r="N251" i="12" s="1"/>
  <c r="AE265" i="4"/>
  <c r="N267" i="12" s="1"/>
  <c r="AE408" i="4"/>
  <c r="AE345" i="4"/>
  <c r="N347" i="12" s="1"/>
  <c r="AE419" i="4"/>
  <c r="AE134" i="4"/>
  <c r="N136" i="12" s="1"/>
  <c r="AE374" i="4"/>
  <c r="N375" i="12" s="1"/>
  <c r="AE200" i="4"/>
  <c r="N202" i="12" s="1"/>
  <c r="AE422" i="4"/>
  <c r="AE244" i="4"/>
  <c r="N246" i="12" s="1"/>
  <c r="AE268" i="4"/>
  <c r="N270" i="12" s="1"/>
  <c r="AE292" i="4"/>
  <c r="N294" i="12" s="1"/>
  <c r="AE329" i="4"/>
  <c r="N331" i="12" s="1"/>
  <c r="AE205" i="4"/>
  <c r="N207" i="12" s="1"/>
  <c r="AE334" i="4"/>
  <c r="N336" i="12" s="1"/>
  <c r="AE306" i="4"/>
  <c r="N308" i="12" s="1"/>
  <c r="AE382" i="4"/>
  <c r="N383" i="12" s="1"/>
  <c r="AE218" i="4"/>
  <c r="N220" i="12" s="1"/>
  <c r="AE162" i="4"/>
  <c r="N164" i="12" s="1"/>
  <c r="AE287" i="4"/>
  <c r="N289" i="12" s="1"/>
  <c r="AE349" i="4"/>
  <c r="N351" i="12" s="1"/>
  <c r="AE330" i="4"/>
  <c r="N332" i="12" s="1"/>
  <c r="AE359" i="4"/>
  <c r="N360" i="12" s="1"/>
  <c r="AE183" i="4"/>
  <c r="N185" i="12" s="1"/>
  <c r="AE360" i="4"/>
  <c r="N361" i="12" s="1"/>
  <c r="AE307" i="4"/>
  <c r="N309" i="12" s="1"/>
  <c r="AE350" i="4"/>
  <c r="AE331" i="4"/>
  <c r="N333" i="12" s="1"/>
  <c r="AE149" i="4"/>
  <c r="N151" i="12" s="1"/>
  <c r="AE438" i="4"/>
  <c r="AE201" i="4"/>
  <c r="N203" i="12" s="1"/>
  <c r="AE400" i="4"/>
  <c r="N398" i="12" s="1"/>
  <c r="AE270" i="4"/>
  <c r="N272" i="12" s="1"/>
  <c r="AE434" i="4"/>
  <c r="AE479" i="4"/>
  <c r="AE186" i="4"/>
  <c r="N188" i="12" s="1"/>
  <c r="AE420" i="4"/>
  <c r="AE362" i="4"/>
  <c r="N363" i="12" s="1"/>
  <c r="AE273" i="4"/>
  <c r="N275" i="12" s="1"/>
  <c r="AE142" i="4"/>
  <c r="N144" i="12" s="1"/>
  <c r="AE348" i="4"/>
  <c r="N350" i="12" s="1"/>
  <c r="AE252" i="4"/>
  <c r="N254" i="12" s="1"/>
  <c r="AE221" i="4"/>
  <c r="N223" i="12" s="1"/>
  <c r="AE314" i="4"/>
  <c r="N316" i="12" s="1"/>
  <c r="AE384" i="4"/>
  <c r="N385" i="12" s="1"/>
  <c r="AA4" i="4"/>
  <c r="U4" i="4"/>
  <c r="M6" i="12" s="1"/>
  <c r="I6" i="12"/>
  <c r="AA37" i="4"/>
  <c r="U37" i="4"/>
  <c r="M39" i="12" s="1"/>
  <c r="I39" i="12"/>
  <c r="U431" i="4"/>
  <c r="AA431" i="4"/>
  <c r="AA19" i="4"/>
  <c r="U19" i="4"/>
  <c r="M21" i="12" s="1"/>
  <c r="I21" i="12"/>
  <c r="U472" i="4"/>
  <c r="AA472" i="4"/>
  <c r="F304" i="4"/>
  <c r="J306" i="12"/>
  <c r="U449" i="4"/>
  <c r="AA449" i="4"/>
  <c r="F303" i="4"/>
  <c r="J305" i="12"/>
  <c r="F123" i="4"/>
  <c r="J125" i="12"/>
  <c r="F158" i="4"/>
  <c r="J160" i="12"/>
  <c r="F474" i="4"/>
  <c r="F469" i="4"/>
  <c r="F464" i="4"/>
  <c r="F446" i="4"/>
  <c r="F458" i="4"/>
  <c r="F324" i="4"/>
  <c r="J326" i="12"/>
  <c r="F54" i="4"/>
  <c r="J56" i="12"/>
  <c r="AA490" i="4"/>
  <c r="U490" i="4"/>
  <c r="F371" i="4"/>
  <c r="J372" i="12"/>
  <c r="F115" i="4"/>
  <c r="J117" i="12"/>
  <c r="F170" i="4"/>
  <c r="J172" i="12"/>
  <c r="U417" i="4"/>
  <c r="AA417" i="4"/>
  <c r="F197" i="4"/>
  <c r="J199" i="12"/>
  <c r="F242" i="4"/>
  <c r="J244" i="12"/>
  <c r="F109" i="4"/>
  <c r="J111" i="12"/>
  <c r="U440" i="4"/>
  <c r="AA440" i="4"/>
  <c r="F196" i="4"/>
  <c r="J198" i="12"/>
  <c r="F97" i="4"/>
  <c r="J99" i="12"/>
  <c r="F214" i="4"/>
  <c r="J216" i="12"/>
  <c r="F433" i="4"/>
  <c r="F325" i="4"/>
  <c r="J327" i="12"/>
  <c r="F48" i="4"/>
  <c r="J50" i="12"/>
  <c r="F96" i="4"/>
  <c r="J98" i="12"/>
  <c r="F107" i="4"/>
  <c r="J109" i="12"/>
  <c r="F52" i="4"/>
  <c r="J54" i="12"/>
  <c r="G478" i="4"/>
  <c r="H438" i="4"/>
  <c r="G422" i="4"/>
  <c r="H435" i="4"/>
  <c r="G423" i="4"/>
  <c r="G315" i="4"/>
  <c r="H311" i="4"/>
  <c r="K313" i="12" s="1"/>
  <c r="G307" i="4"/>
  <c r="H216" i="4"/>
  <c r="K218" i="12" s="1"/>
  <c r="G208" i="4"/>
  <c r="H200" i="4"/>
  <c r="K202" i="12" s="1"/>
  <c r="H184" i="4"/>
  <c r="K186" i="12" s="1"/>
  <c r="G171" i="4"/>
  <c r="H344" i="4"/>
  <c r="K346" i="12" s="1"/>
  <c r="G348" i="4"/>
  <c r="H364" i="4"/>
  <c r="K365" i="12" s="1"/>
  <c r="G374" i="4"/>
  <c r="H402" i="4"/>
  <c r="K400" i="12" s="1"/>
  <c r="G406" i="4"/>
  <c r="H149" i="4"/>
  <c r="K151" i="12" s="1"/>
  <c r="H134" i="4"/>
  <c r="K136" i="12" s="1"/>
  <c r="H481" i="4"/>
  <c r="G424" i="4"/>
  <c r="G475" i="4"/>
  <c r="G419" i="4"/>
  <c r="H207" i="4"/>
  <c r="K209" i="12" s="1"/>
  <c r="G183" i="4"/>
  <c r="G161" i="4"/>
  <c r="H153" i="4"/>
  <c r="K155" i="12" s="1"/>
  <c r="G317" i="4"/>
  <c r="H345" i="4"/>
  <c r="K347" i="12" s="1"/>
  <c r="G359" i="4"/>
  <c r="H381" i="4"/>
  <c r="K382" i="12" s="1"/>
  <c r="G399" i="4"/>
  <c r="H407" i="4"/>
  <c r="G408" i="4"/>
  <c r="G291" i="4"/>
  <c r="H289" i="4"/>
  <c r="K291" i="12" s="1"/>
  <c r="H273" i="4"/>
  <c r="K275" i="12" s="1"/>
  <c r="G267" i="4"/>
  <c r="H265" i="4"/>
  <c r="K267" i="12" s="1"/>
  <c r="G251" i="4"/>
  <c r="H249" i="4"/>
  <c r="K251" i="12" s="1"/>
  <c r="G227" i="4"/>
  <c r="G154" i="4"/>
  <c r="H124" i="4"/>
  <c r="K126" i="12" s="1"/>
  <c r="G182" i="4"/>
  <c r="G133" i="4"/>
  <c r="H350" i="4"/>
  <c r="G362" i="4"/>
  <c r="H310" i="4"/>
  <c r="K312" i="12" s="1"/>
  <c r="G308" i="4"/>
  <c r="G160" i="4"/>
  <c r="G420" i="4"/>
  <c r="G202" i="4"/>
  <c r="H186" i="4"/>
  <c r="K188" i="12" s="1"/>
  <c r="H159" i="4"/>
  <c r="K161" i="12" s="1"/>
  <c r="H358" i="4"/>
  <c r="K359" i="12" s="1"/>
  <c r="G372" i="4"/>
  <c r="H404" i="4"/>
  <c r="G479" i="4"/>
  <c r="G434" i="4"/>
  <c r="G217" i="4"/>
  <c r="H209" i="4"/>
  <c r="K211" i="12" s="1"/>
  <c r="G201" i="4"/>
  <c r="G185" i="4"/>
  <c r="H173" i="4"/>
  <c r="K175" i="12" s="1"/>
  <c r="G333" i="4"/>
  <c r="H357" i="4"/>
  <c r="K358" i="12" s="1"/>
  <c r="G373" i="4"/>
  <c r="H387" i="4"/>
  <c r="K388" i="12" s="1"/>
  <c r="G405" i="4"/>
  <c r="G288" i="4"/>
  <c r="H286" i="4"/>
  <c r="K288" i="12" s="1"/>
  <c r="G272" i="4"/>
  <c r="H270" i="4"/>
  <c r="K272" i="12" s="1"/>
  <c r="G264" i="4"/>
  <c r="H262" i="4"/>
  <c r="K264" i="12" s="1"/>
  <c r="G248" i="4"/>
  <c r="H246" i="4"/>
  <c r="K248" i="12" s="1"/>
  <c r="G438" i="4"/>
  <c r="F438" i="4" s="1"/>
  <c r="G435" i="4"/>
  <c r="H313" i="4"/>
  <c r="K315" i="12" s="1"/>
  <c r="G309" i="4"/>
  <c r="H305" i="4"/>
  <c r="K307" i="12" s="1"/>
  <c r="H220" i="4"/>
  <c r="K222" i="12" s="1"/>
  <c r="H188" i="4"/>
  <c r="K190" i="12" s="1"/>
  <c r="H332" i="4"/>
  <c r="K334" i="12" s="1"/>
  <c r="G344" i="4"/>
  <c r="H360" i="4"/>
  <c r="K361" i="12" s="1"/>
  <c r="G364" i="4"/>
  <c r="H388" i="4"/>
  <c r="G402" i="4"/>
  <c r="H172" i="4"/>
  <c r="K174" i="12" s="1"/>
  <c r="H425" i="4"/>
  <c r="H475" i="4"/>
  <c r="K407" i="12" s="1"/>
  <c r="G219" i="4"/>
  <c r="G187" i="4"/>
  <c r="H161" i="4"/>
  <c r="K163" i="12" s="1"/>
  <c r="G135" i="4"/>
  <c r="H331" i="4"/>
  <c r="K333" i="12" s="1"/>
  <c r="G349" i="4"/>
  <c r="H363" i="4"/>
  <c r="K364" i="12" s="1"/>
  <c r="G385" i="4"/>
  <c r="H403" i="4"/>
  <c r="K401" i="12" s="1"/>
  <c r="H291" i="4"/>
  <c r="K293" i="12" s="1"/>
  <c r="G285" i="4"/>
  <c r="G269" i="4"/>
  <c r="H267" i="4"/>
  <c r="K269" i="12" s="1"/>
  <c r="H251" i="4"/>
  <c r="K253" i="12" s="1"/>
  <c r="G245" i="4"/>
  <c r="H227" i="4"/>
  <c r="K229" i="12" s="1"/>
  <c r="G162" i="4"/>
  <c r="G140" i="4"/>
  <c r="G132" i="4"/>
  <c r="H436" i="4"/>
  <c r="G218" i="4"/>
  <c r="H206" i="4"/>
  <c r="K208" i="12" s="1"/>
  <c r="H133" i="4"/>
  <c r="K135" i="12" s="1"/>
  <c r="H330" i="4"/>
  <c r="K332" i="12" s="1"/>
  <c r="G350" i="4"/>
  <c r="F350" i="4" s="1"/>
  <c r="H312" i="4"/>
  <c r="K314" i="12" s="1"/>
  <c r="G310" i="4"/>
  <c r="H160" i="4"/>
  <c r="K162" i="12" s="1"/>
  <c r="G476" i="4"/>
  <c r="H141" i="4"/>
  <c r="K143" i="12" s="1"/>
  <c r="H346" i="4"/>
  <c r="K348" i="12" s="1"/>
  <c r="G358" i="4"/>
  <c r="H400" i="4"/>
  <c r="K398" i="12" s="1"/>
  <c r="G404" i="4"/>
  <c r="G437" i="4"/>
  <c r="H421" i="4"/>
  <c r="G221" i="4"/>
  <c r="G205" i="4"/>
  <c r="H181" i="4"/>
  <c r="K183" i="12" s="1"/>
  <c r="H148" i="4"/>
  <c r="K150" i="12" s="1"/>
  <c r="G329" i="4"/>
  <c r="H347" i="4"/>
  <c r="K349" i="12" s="1"/>
  <c r="G361" i="4"/>
  <c r="H383" i="4"/>
  <c r="K384" i="12" s="1"/>
  <c r="G401" i="4"/>
  <c r="H409" i="4"/>
  <c r="G290" i="4"/>
  <c r="H288" i="4"/>
  <c r="K290" i="12" s="1"/>
  <c r="H272" i="4"/>
  <c r="K274" i="12" s="1"/>
  <c r="G266" i="4"/>
  <c r="H264" i="4"/>
  <c r="K266" i="12" s="1"/>
  <c r="G250" i="4"/>
  <c r="H248" i="4"/>
  <c r="K250" i="12" s="1"/>
  <c r="G136" i="4"/>
  <c r="H420" i="4"/>
  <c r="G334" i="4"/>
  <c r="H372" i="4"/>
  <c r="K373" i="12" s="1"/>
  <c r="G386" i="4"/>
  <c r="H437" i="4"/>
  <c r="G421" i="4"/>
  <c r="F421" i="4" s="1"/>
  <c r="H434" i="4"/>
  <c r="H221" i="4"/>
  <c r="K223" i="12" s="1"/>
  <c r="H205" i="4"/>
  <c r="K207" i="12" s="1"/>
  <c r="G181" i="4"/>
  <c r="G148" i="4"/>
  <c r="H329" i="4"/>
  <c r="K331" i="12" s="1"/>
  <c r="G347" i="4"/>
  <c r="H361" i="4"/>
  <c r="K362" i="12" s="1"/>
  <c r="G383" i="4"/>
  <c r="H401" i="4"/>
  <c r="K399" i="12" s="1"/>
  <c r="G270" i="4"/>
  <c r="H228" i="4"/>
  <c r="K230" i="12" s="1"/>
  <c r="H315" i="4"/>
  <c r="K317" i="12" s="1"/>
  <c r="G311" i="4"/>
  <c r="H307" i="4"/>
  <c r="K309" i="12" s="1"/>
  <c r="G216" i="4"/>
  <c r="H208" i="4"/>
  <c r="K210" i="12" s="1"/>
  <c r="G200" i="4"/>
  <c r="G184" i="4"/>
  <c r="H171" i="4"/>
  <c r="K173" i="12" s="1"/>
  <c r="H316" i="4"/>
  <c r="K318" i="12" s="1"/>
  <c r="G332" i="4"/>
  <c r="H356" i="4"/>
  <c r="K357" i="12" s="1"/>
  <c r="G360" i="4"/>
  <c r="H384" i="4"/>
  <c r="K385" i="12" s="1"/>
  <c r="G388" i="4"/>
  <c r="G142" i="4"/>
  <c r="G134" i="4"/>
  <c r="G481" i="4"/>
  <c r="F481" i="4" s="1"/>
  <c r="G207" i="4"/>
  <c r="H183" i="4"/>
  <c r="K185" i="12" s="1"/>
  <c r="H135" i="4"/>
  <c r="K137" i="12" s="1"/>
  <c r="H317" i="4"/>
  <c r="K319" i="12" s="1"/>
  <c r="G345" i="4"/>
  <c r="H359" i="4"/>
  <c r="K360" i="12" s="1"/>
  <c r="G381" i="4"/>
  <c r="H399" i="4"/>
  <c r="K397" i="12" s="1"/>
  <c r="G407" i="4"/>
  <c r="F407" i="4" s="1"/>
  <c r="G287" i="4"/>
  <c r="H285" i="4"/>
  <c r="K287" i="12" s="1"/>
  <c r="G271" i="4"/>
  <c r="H269" i="4"/>
  <c r="K271" i="12" s="1"/>
  <c r="G263" i="4"/>
  <c r="G247" i="4"/>
  <c r="H245" i="4"/>
  <c r="K247" i="12" s="1"/>
  <c r="H154" i="4"/>
  <c r="K156" i="12" s="1"/>
  <c r="H140" i="4"/>
  <c r="K142" i="12" s="1"/>
  <c r="G436" i="4"/>
  <c r="F436" i="4" s="1"/>
  <c r="H182" i="4"/>
  <c r="K184" i="12" s="1"/>
  <c r="G330" i="4"/>
  <c r="H382" i="4"/>
  <c r="K383" i="12" s="1"/>
  <c r="H314" i="4"/>
  <c r="K316" i="12" s="1"/>
  <c r="G312" i="4"/>
  <c r="H306" i="4"/>
  <c r="K308" i="12" s="1"/>
  <c r="H476" i="4"/>
  <c r="H202" i="4"/>
  <c r="K204" i="12" s="1"/>
  <c r="G186" i="4"/>
  <c r="H334" i="4"/>
  <c r="K336" i="12" s="1"/>
  <c r="G346" i="4"/>
  <c r="H386" i="4"/>
  <c r="K387" i="12" s="1"/>
  <c r="G400" i="4"/>
  <c r="H479" i="4"/>
  <c r="H217" i="4"/>
  <c r="K219" i="12" s="1"/>
  <c r="G209" i="4"/>
  <c r="H201" i="4"/>
  <c r="K203" i="12" s="1"/>
  <c r="H185" i="4"/>
  <c r="K187" i="12" s="1"/>
  <c r="G173" i="4"/>
  <c r="H333" i="4"/>
  <c r="K335" i="12" s="1"/>
  <c r="G357" i="4"/>
  <c r="H373" i="4"/>
  <c r="K374" i="12" s="1"/>
  <c r="G387" i="4"/>
  <c r="H405" i="4"/>
  <c r="G292" i="4"/>
  <c r="H290" i="4"/>
  <c r="K292" i="12" s="1"/>
  <c r="G284" i="4"/>
  <c r="G268" i="4"/>
  <c r="H266" i="4"/>
  <c r="K268" i="12" s="1"/>
  <c r="G252" i="4"/>
  <c r="H250" i="4"/>
  <c r="K252" i="12" s="1"/>
  <c r="G244" i="4"/>
  <c r="G228" i="4"/>
  <c r="H136" i="4"/>
  <c r="K138" i="12" s="1"/>
  <c r="G159" i="4"/>
  <c r="G141" i="4"/>
  <c r="G409" i="4"/>
  <c r="F409" i="4" s="1"/>
  <c r="H292" i="4"/>
  <c r="K294" i="12" s="1"/>
  <c r="G286" i="4"/>
  <c r="H284" i="4"/>
  <c r="K286" i="12" s="1"/>
  <c r="H268" i="4"/>
  <c r="K270" i="12" s="1"/>
  <c r="G262" i="4"/>
  <c r="H252" i="4"/>
  <c r="K254" i="12" s="1"/>
  <c r="G246" i="4"/>
  <c r="H244" i="4"/>
  <c r="K246" i="12" s="1"/>
  <c r="H480" i="4"/>
  <c r="H482" i="4"/>
  <c r="G477" i="4"/>
  <c r="H422" i="4"/>
  <c r="H423" i="4"/>
  <c r="G313" i="4"/>
  <c r="H309" i="4"/>
  <c r="K311" i="12" s="1"/>
  <c r="G305" i="4"/>
  <c r="G220" i="4"/>
  <c r="G188" i="4"/>
  <c r="G316" i="4"/>
  <c r="H348" i="4"/>
  <c r="K350" i="12" s="1"/>
  <c r="G356" i="4"/>
  <c r="H374" i="4"/>
  <c r="K375" i="12" s="1"/>
  <c r="G384" i="4"/>
  <c r="H406" i="4"/>
  <c r="G172" i="4"/>
  <c r="G149" i="4"/>
  <c r="H142" i="4"/>
  <c r="K144" i="12" s="1"/>
  <c r="H424" i="4"/>
  <c r="G425" i="4"/>
  <c r="F425" i="4" s="1"/>
  <c r="H419" i="4"/>
  <c r="H219" i="4"/>
  <c r="K221" i="12" s="1"/>
  <c r="H187" i="4"/>
  <c r="K189" i="12" s="1"/>
  <c r="G153" i="4"/>
  <c r="G331" i="4"/>
  <c r="H349" i="4"/>
  <c r="K351" i="12" s="1"/>
  <c r="G363" i="4"/>
  <c r="H385" i="4"/>
  <c r="K386" i="12" s="1"/>
  <c r="G403" i="4"/>
  <c r="H408" i="4"/>
  <c r="G289" i="4"/>
  <c r="H287" i="4"/>
  <c r="K289" i="12" s="1"/>
  <c r="G273" i="4"/>
  <c r="H271" i="4"/>
  <c r="K273" i="12" s="1"/>
  <c r="G265" i="4"/>
  <c r="H263" i="4"/>
  <c r="K265" i="12" s="1"/>
  <c r="G249" i="4"/>
  <c r="H247" i="4"/>
  <c r="K249" i="12" s="1"/>
  <c r="H162" i="4"/>
  <c r="K164" i="12" s="1"/>
  <c r="H132" i="4"/>
  <c r="K134" i="12" s="1"/>
  <c r="G124" i="4"/>
  <c r="H218" i="4"/>
  <c r="K220" i="12" s="1"/>
  <c r="G206" i="4"/>
  <c r="H362" i="4"/>
  <c r="K363" i="12" s="1"/>
  <c r="G382" i="4"/>
  <c r="G314" i="4"/>
  <c r="H308" i="4"/>
  <c r="K310" i="12" s="1"/>
  <c r="G306" i="4"/>
  <c r="G480" i="4"/>
  <c r="H477" i="4"/>
  <c r="H478" i="4"/>
  <c r="G482" i="4"/>
  <c r="F482" i="4" s="1"/>
  <c r="AA2" i="4"/>
  <c r="U2" i="4"/>
  <c r="M4" i="12" s="1"/>
  <c r="I4" i="12"/>
  <c r="I9" i="2"/>
  <c r="AE30" i="4"/>
  <c r="N32" i="12" s="1"/>
  <c r="AE23" i="4"/>
  <c r="N25" i="12" s="1"/>
  <c r="AE35" i="4"/>
  <c r="N37" i="12" s="1"/>
  <c r="AE38" i="4"/>
  <c r="N40" i="12" s="1"/>
  <c r="AE29" i="4"/>
  <c r="N31" i="12" s="1"/>
  <c r="AE24" i="4"/>
  <c r="N26" i="12" s="1"/>
  <c r="AE13" i="4"/>
  <c r="N15" i="12" s="1"/>
  <c r="AE32" i="4"/>
  <c r="N34" i="12" s="1"/>
  <c r="AE39" i="4"/>
  <c r="N41" i="12" s="1"/>
  <c r="AE27" i="4"/>
  <c r="N29" i="12" s="1"/>
  <c r="AE10" i="4"/>
  <c r="N12" i="12" s="1"/>
  <c r="AE15" i="4"/>
  <c r="N17" i="12" s="1"/>
  <c r="AE17" i="4"/>
  <c r="N19" i="12" s="1"/>
  <c r="AE42" i="4"/>
  <c r="N44" i="12" s="1"/>
  <c r="AE8" i="4"/>
  <c r="N10" i="12" s="1"/>
  <c r="AE90" i="4"/>
  <c r="N92" i="12" s="1"/>
  <c r="AE92" i="4"/>
  <c r="N94" i="12" s="1"/>
  <c r="AE53" i="4"/>
  <c r="N55" i="12" s="1"/>
  <c r="AE47" i="4"/>
  <c r="N49" i="12" s="1"/>
  <c r="AE77" i="4"/>
  <c r="N79" i="12" s="1"/>
  <c r="AE60" i="4"/>
  <c r="N62" i="12" s="1"/>
  <c r="AE66" i="4"/>
  <c r="N68" i="12" s="1"/>
  <c r="AE88" i="4"/>
  <c r="N90" i="12" s="1"/>
  <c r="AE80" i="4"/>
  <c r="N82" i="12" s="1"/>
  <c r="AE76" i="4"/>
  <c r="N78" i="12" s="1"/>
  <c r="AE78" i="4"/>
  <c r="N80" i="12" s="1"/>
  <c r="AE91" i="4"/>
  <c r="N93" i="12" s="1"/>
  <c r="AE81" i="4"/>
  <c r="N83" i="12" s="1"/>
  <c r="AE7" i="4"/>
  <c r="N9" i="12" s="1"/>
  <c r="AE50" i="4"/>
  <c r="N52" i="12" s="1"/>
  <c r="AE46" i="4"/>
  <c r="N48" i="12" s="1"/>
  <c r="AE79" i="4"/>
  <c r="N81" i="12" s="1"/>
  <c r="AE75" i="4"/>
  <c r="N77" i="12" s="1"/>
  <c r="AE71" i="4"/>
  <c r="N73" i="12" s="1"/>
  <c r="AA6" i="4"/>
  <c r="U6" i="4"/>
  <c r="M8" i="12" s="1"/>
  <c r="I8" i="12"/>
  <c r="AE482" i="4"/>
  <c r="AA14" i="4"/>
  <c r="U14" i="4"/>
  <c r="M16" i="12" s="1"/>
  <c r="I16" i="12"/>
  <c r="I10" i="2"/>
  <c r="AE3" i="4"/>
  <c r="N5" i="12" s="1"/>
  <c r="AE44" i="4"/>
  <c r="N46" i="12" s="1"/>
  <c r="AE5" i="4"/>
  <c r="N7" i="12" s="1"/>
  <c r="AE22" i="4"/>
  <c r="N24" i="12" s="1"/>
  <c r="AE16" i="4"/>
  <c r="N18" i="12" s="1"/>
  <c r="AE2" i="4"/>
  <c r="N4" i="12" s="1"/>
  <c r="AE14" i="4"/>
  <c r="N16" i="12" s="1"/>
  <c r="AE36" i="4"/>
  <c r="N38" i="12" s="1"/>
  <c r="AE9" i="4"/>
  <c r="N11" i="12" s="1"/>
  <c r="AE26" i="4"/>
  <c r="N28" i="12" s="1"/>
  <c r="AE12" i="4"/>
  <c r="N14" i="12" s="1"/>
  <c r="AE34" i="4"/>
  <c r="N36" i="12" s="1"/>
  <c r="AE4" i="4"/>
  <c r="N6" i="12" s="1"/>
  <c r="AE45" i="4"/>
  <c r="N47" i="12" s="1"/>
  <c r="AE19" i="4"/>
  <c r="N21" i="12" s="1"/>
  <c r="AE11" i="4"/>
  <c r="N13" i="12" s="1"/>
  <c r="AE37" i="4"/>
  <c r="N39" i="12" s="1"/>
  <c r="AE25" i="4"/>
  <c r="N27" i="12" s="1"/>
  <c r="AE31" i="4"/>
  <c r="N33" i="12" s="1"/>
  <c r="AE20" i="4"/>
  <c r="N22" i="12" s="1"/>
  <c r="AE33" i="4"/>
  <c r="N35" i="12" s="1"/>
  <c r="AE40" i="4"/>
  <c r="N42" i="12" s="1"/>
  <c r="AE18" i="4"/>
  <c r="N20" i="12" s="1"/>
  <c r="AE21" i="4"/>
  <c r="N23" i="12" s="1"/>
  <c r="F28" i="4"/>
  <c r="J30" i="12"/>
  <c r="I7" i="2"/>
  <c r="AE82" i="4"/>
  <c r="N84" i="12" s="1"/>
  <c r="AE58" i="4"/>
  <c r="N60" i="12" s="1"/>
  <c r="AE55" i="4"/>
  <c r="N57" i="12" s="1"/>
  <c r="AE70" i="4"/>
  <c r="N72" i="12" s="1"/>
  <c r="AE41" i="4"/>
  <c r="N43" i="12" s="1"/>
  <c r="AE69" i="4"/>
  <c r="N71" i="12" s="1"/>
  <c r="AE43" i="4"/>
  <c r="N45" i="12" s="1"/>
  <c r="AE51" i="4"/>
  <c r="N53" i="12" s="1"/>
  <c r="AA33" i="4"/>
  <c r="U33" i="4"/>
  <c r="M35" i="12" s="1"/>
  <c r="I35" i="12"/>
  <c r="AA40" i="4"/>
  <c r="U40" i="4"/>
  <c r="M42" i="12" s="1"/>
  <c r="I42" i="12"/>
  <c r="U428" i="4"/>
  <c r="AA428" i="4"/>
  <c r="F379" i="4"/>
  <c r="J380" i="12"/>
  <c r="U442" i="4"/>
  <c r="AA442" i="4"/>
  <c r="U470" i="4"/>
  <c r="AA470" i="4"/>
  <c r="U445" i="4"/>
  <c r="AA445" i="4"/>
  <c r="AA31" i="4"/>
  <c r="U31" i="4"/>
  <c r="M33" i="12" s="1"/>
  <c r="I33" i="12"/>
  <c r="U443" i="4"/>
  <c r="AA443" i="4"/>
  <c r="F343" i="4"/>
  <c r="J345" i="12"/>
  <c r="U460" i="4"/>
  <c r="AA460" i="4"/>
  <c r="U447" i="4"/>
  <c r="AA447" i="4"/>
  <c r="U451" i="4"/>
  <c r="AA451" i="4"/>
  <c r="U444" i="4"/>
  <c r="AA444" i="4"/>
  <c r="F448" i="4"/>
  <c r="F226" i="4"/>
  <c r="J228" i="12"/>
  <c r="U450" i="4"/>
  <c r="AA450" i="4"/>
  <c r="F261" i="4"/>
  <c r="J263" i="12"/>
  <c r="F116" i="4"/>
  <c r="J118" i="12"/>
  <c r="F380" i="4"/>
  <c r="J381" i="12"/>
  <c r="F86" i="4"/>
  <c r="J88" i="12"/>
  <c r="F72" i="4"/>
  <c r="J74" i="12"/>
  <c r="F85" i="4"/>
  <c r="J87" i="12"/>
  <c r="F326" i="4"/>
  <c r="J328" i="12"/>
  <c r="AA492" i="4"/>
  <c r="U492" i="4"/>
  <c r="F491" i="4"/>
  <c r="F488" i="4"/>
  <c r="F130" i="4"/>
  <c r="J132" i="12"/>
  <c r="F397" i="4"/>
  <c r="J395" i="12"/>
  <c r="F103" i="4"/>
  <c r="J105" i="12"/>
  <c r="F131" i="4"/>
  <c r="J133" i="12"/>
  <c r="F152" i="4"/>
  <c r="J154" i="12"/>
  <c r="F243" i="4"/>
  <c r="J245" i="12"/>
  <c r="F370" i="4"/>
  <c r="J371" i="12"/>
  <c r="AE6" i="4"/>
  <c r="N8" i="12" s="1"/>
  <c r="F118" i="4"/>
  <c r="J120" i="12"/>
  <c r="F84" i="4"/>
  <c r="J86" i="12"/>
  <c r="F65" i="4"/>
  <c r="J67" i="12"/>
  <c r="F63" i="4"/>
  <c r="J65" i="12"/>
  <c r="AA21" i="4"/>
  <c r="U21" i="4"/>
  <c r="M23" i="12" s="1"/>
  <c r="I23" i="12"/>
  <c r="AA36" i="4"/>
  <c r="U36" i="4"/>
  <c r="M38" i="12" s="1"/>
  <c r="I38" i="12"/>
  <c r="AA12" i="4"/>
  <c r="U12" i="4"/>
  <c r="M14" i="12" s="1"/>
  <c r="I14" i="12"/>
  <c r="AA20" i="4"/>
  <c r="U20" i="4"/>
  <c r="M22" i="12" s="1"/>
  <c r="I22" i="12"/>
  <c r="AA3" i="4"/>
  <c r="U3" i="4"/>
  <c r="M5" i="12" s="1"/>
  <c r="I5" i="12"/>
  <c r="U463" i="4"/>
  <c r="AA463" i="4"/>
  <c r="U456" i="4"/>
  <c r="AA456" i="4"/>
  <c r="F418" i="4"/>
  <c r="F106" i="4"/>
  <c r="J108" i="12"/>
  <c r="U452" i="4"/>
  <c r="AA452" i="4"/>
  <c r="F215" i="4"/>
  <c r="J217" i="12"/>
  <c r="F465" i="4"/>
  <c r="F339" i="4"/>
  <c r="J341" i="12"/>
  <c r="F225" i="4"/>
  <c r="J227" i="12"/>
  <c r="F57" i="4"/>
  <c r="J59" i="12"/>
  <c r="F260" i="4"/>
  <c r="J262" i="12"/>
  <c r="F328" i="4"/>
  <c r="J330" i="12"/>
  <c r="F169" i="4"/>
  <c r="J171" i="12"/>
  <c r="F138" i="4"/>
  <c r="J140" i="12"/>
  <c r="F327" i="4"/>
  <c r="J329" i="12"/>
  <c r="F199" i="4"/>
  <c r="J201" i="12"/>
  <c r="F489" i="4"/>
  <c r="AA26" i="4"/>
  <c r="U26" i="4"/>
  <c r="M28" i="12" s="1"/>
  <c r="I28" i="12"/>
  <c r="F59" i="4"/>
  <c r="J61" i="12"/>
  <c r="F87" i="4"/>
  <c r="J89" i="12"/>
  <c r="F104" i="4"/>
  <c r="J106" i="12"/>
  <c r="F117" i="4"/>
  <c r="J119" i="12"/>
  <c r="F73" i="4"/>
  <c r="J75" i="12"/>
  <c r="F68" i="4"/>
  <c r="J70" i="12"/>
  <c r="F67" i="4"/>
  <c r="J69" i="12"/>
  <c r="F112" i="4"/>
  <c r="J114" i="12"/>
  <c r="U415" i="4"/>
  <c r="AA415" i="4"/>
  <c r="AA22" i="4"/>
  <c r="U22" i="4"/>
  <c r="M24" i="12" s="1"/>
  <c r="I24" i="12"/>
  <c r="AA45" i="4"/>
  <c r="U45" i="4"/>
  <c r="M47" i="12" s="1"/>
  <c r="I47" i="12"/>
  <c r="AA15" i="4" l="1"/>
  <c r="U15" i="4"/>
  <c r="M17" i="12" s="1"/>
  <c r="I17" i="12"/>
  <c r="I40" i="12"/>
  <c r="AA38" i="4"/>
  <c r="U38" i="4"/>
  <c r="M40" i="12" s="1"/>
  <c r="U90" i="4"/>
  <c r="M92" i="12" s="1"/>
  <c r="I92" i="12"/>
  <c r="AA90" i="4"/>
  <c r="AA29" i="4"/>
  <c r="U29" i="4"/>
  <c r="M31" i="12" s="1"/>
  <c r="I31" i="12"/>
  <c r="U7" i="4"/>
  <c r="M9" i="12" s="1"/>
  <c r="I9" i="12"/>
  <c r="AA7" i="4"/>
  <c r="AA76" i="4"/>
  <c r="U76" i="4"/>
  <c r="M78" i="12" s="1"/>
  <c r="I78" i="12"/>
  <c r="AA47" i="4"/>
  <c r="U47" i="4"/>
  <c r="M49" i="12" s="1"/>
  <c r="I49" i="12"/>
  <c r="AA53" i="4"/>
  <c r="U53" i="4"/>
  <c r="M55" i="12" s="1"/>
  <c r="I55" i="12"/>
  <c r="F253" i="4"/>
  <c r="J255" i="12"/>
  <c r="F255" i="4"/>
  <c r="J257" i="12"/>
  <c r="F297" i="4"/>
  <c r="J299" i="12"/>
  <c r="J300" i="12"/>
  <c r="F298" i="4"/>
  <c r="F283" i="4"/>
  <c r="J285" i="12"/>
  <c r="AA487" i="4"/>
  <c r="U487" i="4"/>
  <c r="F352" i="4"/>
  <c r="J353" i="12"/>
  <c r="J194" i="12"/>
  <c r="F192" i="4"/>
  <c r="F300" i="4"/>
  <c r="J302" i="12"/>
  <c r="U429" i="4"/>
  <c r="AA429" i="4"/>
  <c r="J152" i="12"/>
  <c r="F150" i="4"/>
  <c r="F321" i="4"/>
  <c r="J323" i="12"/>
  <c r="U413" i="4"/>
  <c r="AA413" i="4"/>
  <c r="J377" i="12"/>
  <c r="F376" i="4"/>
  <c r="F335" i="4"/>
  <c r="J337" i="12"/>
  <c r="J213" i="12"/>
  <c r="F211" i="4"/>
  <c r="J124" i="12"/>
  <c r="F122" i="4"/>
  <c r="J356" i="12"/>
  <c r="F355" i="4"/>
  <c r="F274" i="4"/>
  <c r="J276" i="12"/>
  <c r="F351" i="4"/>
  <c r="J352" i="12"/>
  <c r="F232" i="4"/>
  <c r="J234" i="12"/>
  <c r="J258" i="12"/>
  <c r="F256" i="4"/>
  <c r="J195" i="12"/>
  <c r="F193" i="4"/>
  <c r="F238" i="4"/>
  <c r="J240" i="12"/>
  <c r="J368" i="12"/>
  <c r="F367" i="4"/>
  <c r="F189" i="4"/>
  <c r="J191" i="12"/>
  <c r="F210" i="4"/>
  <c r="J212" i="12"/>
  <c r="J238" i="12"/>
  <c r="F236" i="4"/>
  <c r="U432" i="4"/>
  <c r="AA432" i="4"/>
  <c r="F323" i="4"/>
  <c r="J325" i="12"/>
  <c r="F151" i="4"/>
  <c r="J153" i="12"/>
  <c r="F234" i="4"/>
  <c r="J236" i="12"/>
  <c r="F439" i="4"/>
  <c r="U92" i="4"/>
  <c r="M94" i="12" s="1"/>
  <c r="AA92" i="4"/>
  <c r="I94" i="12"/>
  <c r="AA8" i="4"/>
  <c r="U8" i="4"/>
  <c r="M10" i="12" s="1"/>
  <c r="I10" i="12"/>
  <c r="AA24" i="4"/>
  <c r="U24" i="4"/>
  <c r="M26" i="12" s="1"/>
  <c r="I26" i="12"/>
  <c r="I62" i="12"/>
  <c r="AA60" i="4"/>
  <c r="U60" i="4"/>
  <c r="M62" i="12" s="1"/>
  <c r="F480" i="4"/>
  <c r="U46" i="4"/>
  <c r="M48" i="12" s="1"/>
  <c r="AA46" i="4"/>
  <c r="I48" i="12"/>
  <c r="I44" i="12"/>
  <c r="AA42" i="4"/>
  <c r="U42" i="4"/>
  <c r="M44" i="12" s="1"/>
  <c r="J122" i="12"/>
  <c r="F120" i="4"/>
  <c r="J231" i="12"/>
  <c r="F229" i="4"/>
  <c r="F137" i="4"/>
  <c r="J139" i="12"/>
  <c r="F257" i="4"/>
  <c r="J259" i="12"/>
  <c r="F259" i="4"/>
  <c r="J261" i="12"/>
  <c r="F99" i="4"/>
  <c r="J101" i="12"/>
  <c r="F237" i="4"/>
  <c r="J239" i="12"/>
  <c r="F164" i="4"/>
  <c r="J166" i="12"/>
  <c r="F485" i="4"/>
  <c r="F233" i="4"/>
  <c r="J235" i="12"/>
  <c r="J324" i="12"/>
  <c r="F322" i="4"/>
  <c r="J205" i="12"/>
  <c r="F203" i="4"/>
  <c r="F353" i="4"/>
  <c r="J354" i="12"/>
  <c r="J113" i="12"/>
  <c r="F111" i="4"/>
  <c r="F239" i="4"/>
  <c r="J241" i="12"/>
  <c r="F296" i="4"/>
  <c r="J298" i="12"/>
  <c r="J179" i="12"/>
  <c r="F177" i="4"/>
  <c r="J301" i="12"/>
  <c r="F299" i="4"/>
  <c r="F395" i="4"/>
  <c r="F212" i="4"/>
  <c r="J214" i="12"/>
  <c r="F143" i="4"/>
  <c r="J145" i="12"/>
  <c r="F354" i="4"/>
  <c r="J355" i="12"/>
  <c r="J379" i="12"/>
  <c r="F378" i="4"/>
  <c r="J177" i="12"/>
  <c r="F175" i="4"/>
  <c r="F282" i="4"/>
  <c r="J284" i="12"/>
  <c r="F278" i="4"/>
  <c r="J280" i="12"/>
  <c r="J369" i="12"/>
  <c r="F368" i="4"/>
  <c r="AA27" i="4"/>
  <c r="U27" i="4"/>
  <c r="M29" i="12" s="1"/>
  <c r="I29" i="12"/>
  <c r="F388" i="4"/>
  <c r="F404" i="4"/>
  <c r="F435" i="4"/>
  <c r="U35" i="4"/>
  <c r="M37" i="12" s="1"/>
  <c r="I37" i="12"/>
  <c r="AA35" i="4"/>
  <c r="U78" i="4"/>
  <c r="M80" i="12" s="1"/>
  <c r="AA78" i="4"/>
  <c r="I80" i="12"/>
  <c r="U17" i="4"/>
  <c r="M19" i="12" s="1"/>
  <c r="I19" i="12"/>
  <c r="AA17" i="4"/>
  <c r="AA75" i="4"/>
  <c r="U75" i="4"/>
  <c r="M77" i="12" s="1"/>
  <c r="I77" i="12"/>
  <c r="AA71" i="4"/>
  <c r="U71" i="4"/>
  <c r="M73" i="12" s="1"/>
  <c r="I73" i="12"/>
  <c r="AA23" i="4"/>
  <c r="U23" i="4"/>
  <c r="M25" i="12" s="1"/>
  <c r="I25" i="12"/>
  <c r="I32" i="12"/>
  <c r="AA30" i="4"/>
  <c r="U30" i="4"/>
  <c r="M32" i="12" s="1"/>
  <c r="U77" i="4"/>
  <c r="M79" i="12" s="1"/>
  <c r="I79" i="12"/>
  <c r="AA77" i="4"/>
  <c r="U32" i="4"/>
  <c r="M34" i="12" s="1"/>
  <c r="I34" i="12"/>
  <c r="AA32" i="4"/>
  <c r="AA79" i="4"/>
  <c r="U79" i="4"/>
  <c r="M81" i="12" s="1"/>
  <c r="I81" i="12"/>
  <c r="I83" i="12"/>
  <c r="AA81" i="4"/>
  <c r="U81" i="4"/>
  <c r="M83" i="12" s="1"/>
  <c r="F275" i="4"/>
  <c r="J277" i="12"/>
  <c r="U484" i="4"/>
  <c r="AA484" i="4"/>
  <c r="F427" i="4"/>
  <c r="J180" i="12"/>
  <c r="F178" i="4"/>
  <c r="F390" i="4"/>
  <c r="J390" i="12"/>
  <c r="F235" i="4"/>
  <c r="J237" i="12"/>
  <c r="F301" i="4"/>
  <c r="J303" i="12"/>
  <c r="F391" i="4"/>
  <c r="J391" i="12"/>
  <c r="J367" i="12"/>
  <c r="F366" i="4"/>
  <c r="F231" i="4"/>
  <c r="J233" i="12"/>
  <c r="F129" i="4"/>
  <c r="J131" i="12"/>
  <c r="F195" i="4"/>
  <c r="J197" i="12"/>
  <c r="F93" i="4"/>
  <c r="J95" i="12"/>
  <c r="F176" i="4"/>
  <c r="J178" i="12"/>
  <c r="F101" i="4"/>
  <c r="J103" i="12"/>
  <c r="J192" i="12"/>
  <c r="F190" i="4"/>
  <c r="J406" i="12"/>
  <c r="F426" i="4"/>
  <c r="F163" i="4"/>
  <c r="J165" i="12"/>
  <c r="F126" i="4"/>
  <c r="J128" i="12"/>
  <c r="J169" i="12"/>
  <c r="F167" i="4"/>
  <c r="J393" i="12"/>
  <c r="F393" i="4"/>
  <c r="F389" i="4"/>
  <c r="J389" i="12"/>
  <c r="F113" i="4"/>
  <c r="J115" i="12"/>
  <c r="J226" i="12"/>
  <c r="F224" i="4"/>
  <c r="F240" i="4"/>
  <c r="J242" i="12"/>
  <c r="F276" i="4"/>
  <c r="J278" i="12"/>
  <c r="F165" i="4"/>
  <c r="J167" i="12"/>
  <c r="F174" i="4"/>
  <c r="J176" i="12"/>
  <c r="F125" i="4"/>
  <c r="J127" i="12"/>
  <c r="J322" i="12"/>
  <c r="F320" i="4"/>
  <c r="J403" i="12"/>
  <c r="F411" i="4"/>
  <c r="F319" i="4"/>
  <c r="J321" i="12"/>
  <c r="F230" i="4"/>
  <c r="J232" i="12"/>
  <c r="F294" i="4"/>
  <c r="J296" i="12"/>
  <c r="F166" i="4"/>
  <c r="J168" i="12"/>
  <c r="F375" i="4"/>
  <c r="J376" i="12"/>
  <c r="J404" i="12"/>
  <c r="F412" i="4"/>
  <c r="J170" i="12"/>
  <c r="F168" i="4"/>
  <c r="I15" i="12"/>
  <c r="AA13" i="4"/>
  <c r="U13" i="4"/>
  <c r="M15" i="12" s="1"/>
  <c r="U91" i="4"/>
  <c r="M93" i="12" s="1"/>
  <c r="I93" i="12"/>
  <c r="AA91" i="4"/>
  <c r="I90" i="12"/>
  <c r="U88" i="4"/>
  <c r="M90" i="12" s="1"/>
  <c r="AA88" i="4"/>
  <c r="U66" i="4"/>
  <c r="M68" i="12" s="1"/>
  <c r="AA66" i="4"/>
  <c r="I68" i="12"/>
  <c r="I52" i="12"/>
  <c r="U50" i="4"/>
  <c r="M52" i="12" s="1"/>
  <c r="AA50" i="4"/>
  <c r="AA10" i="4"/>
  <c r="U10" i="4"/>
  <c r="M12" i="12" s="1"/>
  <c r="I12" i="12"/>
  <c r="AA80" i="4"/>
  <c r="I82" i="12"/>
  <c r="U80" i="4"/>
  <c r="M82" i="12" s="1"/>
  <c r="I41" i="12"/>
  <c r="AA39" i="4"/>
  <c r="U39" i="4"/>
  <c r="M41" i="12" s="1"/>
  <c r="F365" i="4"/>
  <c r="J366" i="12"/>
  <c r="F318" i="4"/>
  <c r="J320" i="12"/>
  <c r="F277" i="4"/>
  <c r="J279" i="12"/>
  <c r="F279" i="4"/>
  <c r="J281" i="12"/>
  <c r="J102" i="12"/>
  <c r="F100" i="4"/>
  <c r="J110" i="12"/>
  <c r="F108" i="4"/>
  <c r="F127" i="4"/>
  <c r="J129" i="12"/>
  <c r="AA414" i="4"/>
  <c r="U414" i="4"/>
  <c r="F155" i="4"/>
  <c r="J157" i="12"/>
  <c r="F293" i="4"/>
  <c r="J295" i="12"/>
  <c r="F295" i="4"/>
  <c r="J297" i="12"/>
  <c r="F377" i="4"/>
  <c r="J378" i="12"/>
  <c r="F281" i="4"/>
  <c r="J283" i="12"/>
  <c r="F369" i="4"/>
  <c r="J370" i="12"/>
  <c r="U396" i="4"/>
  <c r="AA396" i="4"/>
  <c r="J392" i="12"/>
  <c r="F392" i="4"/>
  <c r="J148" i="12"/>
  <c r="F146" i="4"/>
  <c r="F191" i="4"/>
  <c r="J193" i="12"/>
  <c r="F410" i="4"/>
  <c r="J402" i="12"/>
  <c r="F145" i="4"/>
  <c r="J147" i="12"/>
  <c r="F94" i="4"/>
  <c r="J96" i="12"/>
  <c r="J338" i="12"/>
  <c r="F336" i="4"/>
  <c r="F156" i="4"/>
  <c r="J158" i="12"/>
  <c r="AA486" i="4"/>
  <c r="U486" i="4"/>
  <c r="F223" i="4"/>
  <c r="J225" i="12"/>
  <c r="J394" i="12"/>
  <c r="F394" i="4"/>
  <c r="F128" i="4"/>
  <c r="J130" i="12"/>
  <c r="J116" i="12"/>
  <c r="F114" i="4"/>
  <c r="F194" i="4"/>
  <c r="J196" i="12"/>
  <c r="F222" i="4"/>
  <c r="J224" i="12"/>
  <c r="F254" i="4"/>
  <c r="J256" i="12"/>
  <c r="AA483" i="4"/>
  <c r="U483" i="4"/>
  <c r="J282" i="12"/>
  <c r="F280" i="4"/>
  <c r="F144" i="4"/>
  <c r="J146" i="12"/>
  <c r="F258" i="4"/>
  <c r="J260" i="12"/>
  <c r="F213" i="4"/>
  <c r="J215" i="12"/>
  <c r="F430" i="4"/>
  <c r="AA67" i="4"/>
  <c r="U67" i="4"/>
  <c r="M69" i="12" s="1"/>
  <c r="I69" i="12"/>
  <c r="AA73" i="4"/>
  <c r="U73" i="4"/>
  <c r="M75" i="12" s="1"/>
  <c r="I75" i="12"/>
  <c r="AA104" i="4"/>
  <c r="U104" i="4"/>
  <c r="M106" i="12" s="1"/>
  <c r="I106" i="12"/>
  <c r="AA59" i="4"/>
  <c r="U59" i="4"/>
  <c r="M61" i="12" s="1"/>
  <c r="I61" i="12"/>
  <c r="AA489" i="4"/>
  <c r="U489" i="4"/>
  <c r="U327" i="4"/>
  <c r="M329" i="12" s="1"/>
  <c r="AA327" i="4"/>
  <c r="I329" i="12"/>
  <c r="AA169" i="4"/>
  <c r="U169" i="4"/>
  <c r="M171" i="12" s="1"/>
  <c r="I171" i="12"/>
  <c r="AA260" i="4"/>
  <c r="U260" i="4"/>
  <c r="M262" i="12" s="1"/>
  <c r="I262" i="12"/>
  <c r="AA225" i="4"/>
  <c r="U225" i="4"/>
  <c r="M227" i="12" s="1"/>
  <c r="I227" i="12"/>
  <c r="AA488" i="4"/>
  <c r="U488" i="4"/>
  <c r="U380" i="4"/>
  <c r="M381" i="12" s="1"/>
  <c r="AA380" i="4"/>
  <c r="I381" i="12"/>
  <c r="AA261" i="4"/>
  <c r="U261" i="4"/>
  <c r="M263" i="12" s="1"/>
  <c r="I263" i="12"/>
  <c r="AA226" i="4"/>
  <c r="U226" i="4"/>
  <c r="M228" i="12" s="1"/>
  <c r="I228" i="12"/>
  <c r="U379" i="4"/>
  <c r="M380" i="12" s="1"/>
  <c r="AA379" i="4"/>
  <c r="I380" i="12"/>
  <c r="AA28" i="4"/>
  <c r="U28" i="4"/>
  <c r="M30" i="12" s="1"/>
  <c r="I30" i="12"/>
  <c r="AA480" i="4"/>
  <c r="U480" i="4"/>
  <c r="F382" i="4"/>
  <c r="J383" i="12"/>
  <c r="F124" i="4"/>
  <c r="J126" i="12"/>
  <c r="F249" i="4"/>
  <c r="J251" i="12"/>
  <c r="F273" i="4"/>
  <c r="J275" i="12"/>
  <c r="F403" i="4"/>
  <c r="J401" i="12"/>
  <c r="F331" i="4"/>
  <c r="J333" i="12"/>
  <c r="F149" i="4"/>
  <c r="J151" i="12"/>
  <c r="F188" i="4"/>
  <c r="J190" i="12"/>
  <c r="F313" i="4"/>
  <c r="J315" i="12"/>
  <c r="F286" i="4"/>
  <c r="J288" i="12"/>
  <c r="F159" i="4"/>
  <c r="J161" i="12"/>
  <c r="F284" i="4"/>
  <c r="J286" i="12"/>
  <c r="F387" i="4"/>
  <c r="J388" i="12"/>
  <c r="F173" i="4"/>
  <c r="J175" i="12"/>
  <c r="F346" i="4"/>
  <c r="J348" i="12"/>
  <c r="F263" i="4"/>
  <c r="J265" i="12"/>
  <c r="F287" i="4"/>
  <c r="J289" i="12"/>
  <c r="F142" i="4"/>
  <c r="J144" i="12"/>
  <c r="F184" i="4"/>
  <c r="J186" i="12"/>
  <c r="F270" i="4"/>
  <c r="J272" i="12"/>
  <c r="F347" i="4"/>
  <c r="J349" i="12"/>
  <c r="F290" i="4"/>
  <c r="J292" i="12"/>
  <c r="F361" i="4"/>
  <c r="J362" i="12"/>
  <c r="F437" i="4"/>
  <c r="F310" i="4"/>
  <c r="J312" i="12"/>
  <c r="F132" i="4"/>
  <c r="J134" i="12"/>
  <c r="F245" i="4"/>
  <c r="J247" i="12"/>
  <c r="F285" i="4"/>
  <c r="J287" i="12"/>
  <c r="F364" i="4"/>
  <c r="J365" i="12"/>
  <c r="F248" i="4"/>
  <c r="J250" i="12"/>
  <c r="F272" i="4"/>
  <c r="J274" i="12"/>
  <c r="F217" i="4"/>
  <c r="J219" i="12"/>
  <c r="F372" i="4"/>
  <c r="J373" i="12"/>
  <c r="F202" i="4"/>
  <c r="J204" i="12"/>
  <c r="F182" i="4"/>
  <c r="J184" i="12"/>
  <c r="F183" i="4"/>
  <c r="J185" i="12"/>
  <c r="F424" i="4"/>
  <c r="F406" i="4"/>
  <c r="F348" i="4"/>
  <c r="J350" i="12"/>
  <c r="F422" i="4"/>
  <c r="U52" i="4"/>
  <c r="M54" i="12" s="1"/>
  <c r="AA52" i="4"/>
  <c r="I54" i="12"/>
  <c r="AA96" i="4"/>
  <c r="U96" i="4"/>
  <c r="M98" i="12" s="1"/>
  <c r="I98" i="12"/>
  <c r="AA214" i="4"/>
  <c r="U214" i="4"/>
  <c r="M216" i="12" s="1"/>
  <c r="I216" i="12"/>
  <c r="AA196" i="4"/>
  <c r="U196" i="4"/>
  <c r="M198" i="12" s="1"/>
  <c r="I198" i="12"/>
  <c r="AA109" i="4"/>
  <c r="U109" i="4"/>
  <c r="M111" i="12" s="1"/>
  <c r="I111" i="12"/>
  <c r="AA197" i="4"/>
  <c r="U197" i="4"/>
  <c r="M199" i="12" s="1"/>
  <c r="I199" i="12"/>
  <c r="AA170" i="4"/>
  <c r="U170" i="4"/>
  <c r="M172" i="12" s="1"/>
  <c r="I172" i="12"/>
  <c r="U371" i="4"/>
  <c r="M372" i="12" s="1"/>
  <c r="AA371" i="4"/>
  <c r="I372" i="12"/>
  <c r="AA54" i="4"/>
  <c r="U54" i="4"/>
  <c r="M56" i="12" s="1"/>
  <c r="I56" i="12"/>
  <c r="U446" i="4"/>
  <c r="AA446" i="4"/>
  <c r="AA95" i="4"/>
  <c r="U95" i="4"/>
  <c r="M97" i="12" s="1"/>
  <c r="I97" i="12"/>
  <c r="U74" i="4"/>
  <c r="M76" i="12" s="1"/>
  <c r="AA74" i="4"/>
  <c r="I76" i="12"/>
  <c r="AA83" i="4"/>
  <c r="U83" i="4"/>
  <c r="M85" i="12" s="1"/>
  <c r="I85" i="12"/>
  <c r="AA119" i="4"/>
  <c r="U119" i="4"/>
  <c r="M121" i="12" s="1"/>
  <c r="I121" i="12"/>
  <c r="U461" i="4"/>
  <c r="AA461" i="4"/>
  <c r="AA215" i="4"/>
  <c r="U215" i="4"/>
  <c r="M217" i="12" s="1"/>
  <c r="I217" i="12"/>
  <c r="U106" i="4"/>
  <c r="M108" i="12" s="1"/>
  <c r="AA106" i="4"/>
  <c r="I108" i="12"/>
  <c r="AA65" i="4"/>
  <c r="U65" i="4"/>
  <c r="M67" i="12" s="1"/>
  <c r="I67" i="12"/>
  <c r="U118" i="4"/>
  <c r="M120" i="12" s="1"/>
  <c r="AA118" i="4"/>
  <c r="I120" i="12"/>
  <c r="AA243" i="4"/>
  <c r="U243" i="4"/>
  <c r="M245" i="12" s="1"/>
  <c r="I245" i="12"/>
  <c r="AA131" i="4"/>
  <c r="U131" i="4"/>
  <c r="M133" i="12" s="1"/>
  <c r="I133" i="12"/>
  <c r="U397" i="4"/>
  <c r="M395" i="12" s="1"/>
  <c r="AA397" i="4"/>
  <c r="I395" i="12"/>
  <c r="AA491" i="4"/>
  <c r="U491" i="4"/>
  <c r="U326" i="4"/>
  <c r="M328" i="12" s="1"/>
  <c r="AA326" i="4"/>
  <c r="I328" i="12"/>
  <c r="U72" i="4"/>
  <c r="M74" i="12" s="1"/>
  <c r="AA72" i="4"/>
  <c r="I74" i="12"/>
  <c r="U448" i="4"/>
  <c r="AA448" i="4"/>
  <c r="AA482" i="4"/>
  <c r="U482" i="4"/>
  <c r="F306" i="4"/>
  <c r="J308" i="12"/>
  <c r="F153" i="4"/>
  <c r="J155" i="12"/>
  <c r="U425" i="4"/>
  <c r="AA425" i="4"/>
  <c r="F172" i="4"/>
  <c r="J174" i="12"/>
  <c r="F356" i="4"/>
  <c r="J357" i="12"/>
  <c r="F220" i="4"/>
  <c r="J222" i="12"/>
  <c r="F262" i="4"/>
  <c r="J264" i="12"/>
  <c r="F252" i="4"/>
  <c r="J254" i="12"/>
  <c r="F330" i="4"/>
  <c r="J332" i="12"/>
  <c r="U407" i="4"/>
  <c r="AA407" i="4"/>
  <c r="F345" i="4"/>
  <c r="J347" i="12"/>
  <c r="F207" i="4"/>
  <c r="J209" i="12"/>
  <c r="U388" i="4"/>
  <c r="AA388" i="4"/>
  <c r="F332" i="4"/>
  <c r="J334" i="12"/>
  <c r="F200" i="4"/>
  <c r="J202" i="12"/>
  <c r="F311" i="4"/>
  <c r="J313" i="12"/>
  <c r="F386" i="4"/>
  <c r="J387" i="12"/>
  <c r="F136" i="4"/>
  <c r="J138" i="12"/>
  <c r="F266" i="4"/>
  <c r="J268" i="12"/>
  <c r="F205" i="4"/>
  <c r="J207" i="12"/>
  <c r="U404" i="4"/>
  <c r="AA404" i="4"/>
  <c r="F140" i="4"/>
  <c r="J142" i="12"/>
  <c r="F349" i="4"/>
  <c r="J351" i="12"/>
  <c r="F187" i="4"/>
  <c r="J189" i="12"/>
  <c r="U435" i="4"/>
  <c r="AA435" i="4"/>
  <c r="F373" i="4"/>
  <c r="J374" i="12"/>
  <c r="F185" i="4"/>
  <c r="J187" i="12"/>
  <c r="F434" i="4"/>
  <c r="F420" i="4"/>
  <c r="F362" i="4"/>
  <c r="J363" i="12"/>
  <c r="F251" i="4"/>
  <c r="J253" i="12"/>
  <c r="F399" i="4"/>
  <c r="J397" i="12"/>
  <c r="F317" i="4"/>
  <c r="J319" i="12"/>
  <c r="F208" i="4"/>
  <c r="J210" i="12"/>
  <c r="F315" i="4"/>
  <c r="J317" i="12"/>
  <c r="U325" i="4"/>
  <c r="M327" i="12" s="1"/>
  <c r="AA325" i="4"/>
  <c r="I327" i="12"/>
  <c r="U464" i="4"/>
  <c r="AA464" i="4"/>
  <c r="AA158" i="4"/>
  <c r="U158" i="4"/>
  <c r="M160" i="12" s="1"/>
  <c r="I160" i="12"/>
  <c r="U303" i="4"/>
  <c r="M305" i="12" s="1"/>
  <c r="AA303" i="4"/>
  <c r="I305" i="12"/>
  <c r="U304" i="4"/>
  <c r="M306" i="12" s="1"/>
  <c r="AA304" i="4"/>
  <c r="I306" i="12"/>
  <c r="AA179" i="4"/>
  <c r="U179" i="4"/>
  <c r="M181" i="12" s="1"/>
  <c r="I181" i="12"/>
  <c r="U398" i="4"/>
  <c r="M396" i="12" s="1"/>
  <c r="AA398" i="4"/>
  <c r="I396" i="12"/>
  <c r="U338" i="4"/>
  <c r="M340" i="12" s="1"/>
  <c r="AA338" i="4"/>
  <c r="I340" i="12"/>
  <c r="U302" i="4"/>
  <c r="M304" i="12" s="1"/>
  <c r="AA302" i="4"/>
  <c r="I304" i="12"/>
  <c r="U416" i="4"/>
  <c r="M405" i="12" s="1"/>
  <c r="AA416" i="4"/>
  <c r="I405" i="12"/>
  <c r="AA157" i="4"/>
  <c r="U157" i="4"/>
  <c r="M159" i="12" s="1"/>
  <c r="I159" i="12"/>
  <c r="AA147" i="4"/>
  <c r="U147" i="4"/>
  <c r="M149" i="12" s="1"/>
  <c r="I149" i="12"/>
  <c r="AA139" i="4"/>
  <c r="U139" i="4"/>
  <c r="M141" i="12" s="1"/>
  <c r="I141" i="12"/>
  <c r="AA204" i="4"/>
  <c r="U204" i="4"/>
  <c r="M206" i="12" s="1"/>
  <c r="I206" i="12"/>
  <c r="AA241" i="4"/>
  <c r="U241" i="4"/>
  <c r="M243" i="12" s="1"/>
  <c r="I243" i="12"/>
  <c r="U455" i="4"/>
  <c r="AA455" i="4"/>
  <c r="AA180" i="4"/>
  <c r="U180" i="4"/>
  <c r="M182" i="12" s="1"/>
  <c r="I182" i="12"/>
  <c r="AA199" i="4"/>
  <c r="U199" i="4"/>
  <c r="M201" i="12" s="1"/>
  <c r="I201" i="12"/>
  <c r="AA138" i="4"/>
  <c r="U138" i="4"/>
  <c r="M140" i="12" s="1"/>
  <c r="I140" i="12"/>
  <c r="U328" i="4"/>
  <c r="M330" i="12" s="1"/>
  <c r="AA328" i="4"/>
  <c r="I330" i="12"/>
  <c r="AA57" i="4"/>
  <c r="U57" i="4"/>
  <c r="M59" i="12" s="1"/>
  <c r="I59" i="12"/>
  <c r="U339" i="4"/>
  <c r="M341" i="12" s="1"/>
  <c r="AA339" i="4"/>
  <c r="I341" i="12"/>
  <c r="U418" i="4"/>
  <c r="AA418" i="4"/>
  <c r="U116" i="4"/>
  <c r="M118" i="12" s="1"/>
  <c r="AA116" i="4"/>
  <c r="I118" i="12"/>
  <c r="F206" i="4"/>
  <c r="J208" i="12"/>
  <c r="F265" i="4"/>
  <c r="J267" i="12"/>
  <c r="F289" i="4"/>
  <c r="J291" i="12"/>
  <c r="F363" i="4"/>
  <c r="J364" i="12"/>
  <c r="F305" i="4"/>
  <c r="J307" i="12"/>
  <c r="U409" i="4"/>
  <c r="AA409" i="4"/>
  <c r="F228" i="4"/>
  <c r="J230" i="12"/>
  <c r="F292" i="4"/>
  <c r="J294" i="12"/>
  <c r="F357" i="4"/>
  <c r="J358" i="12"/>
  <c r="F400" i="4"/>
  <c r="J398" i="12"/>
  <c r="F186" i="4"/>
  <c r="J188" i="12"/>
  <c r="F312" i="4"/>
  <c r="J314" i="12"/>
  <c r="F271" i="4"/>
  <c r="J273" i="12"/>
  <c r="AA481" i="4"/>
  <c r="U481" i="4"/>
  <c r="F383" i="4"/>
  <c r="J384" i="12"/>
  <c r="F148" i="4"/>
  <c r="J150" i="12"/>
  <c r="F401" i="4"/>
  <c r="J399" i="12"/>
  <c r="F329" i="4"/>
  <c r="J331" i="12"/>
  <c r="F221" i="4"/>
  <c r="J223" i="12"/>
  <c r="F476" i="4"/>
  <c r="U350" i="4"/>
  <c r="AA350" i="4"/>
  <c r="F218" i="4"/>
  <c r="J220" i="12"/>
  <c r="F162" i="4"/>
  <c r="J164" i="12"/>
  <c r="F219" i="4"/>
  <c r="J221" i="12"/>
  <c r="F402" i="4"/>
  <c r="J400" i="12"/>
  <c r="F344" i="4"/>
  <c r="J346" i="12"/>
  <c r="U438" i="4"/>
  <c r="AA438" i="4"/>
  <c r="F264" i="4"/>
  <c r="J266" i="12"/>
  <c r="F288" i="4"/>
  <c r="J290" i="12"/>
  <c r="F201" i="4"/>
  <c r="J203" i="12"/>
  <c r="F479" i="4"/>
  <c r="F160" i="4"/>
  <c r="J162" i="12"/>
  <c r="F154" i="4"/>
  <c r="J156" i="12"/>
  <c r="F291" i="4"/>
  <c r="J293" i="12"/>
  <c r="F419" i="4"/>
  <c r="F374" i="4"/>
  <c r="J375" i="12"/>
  <c r="F171" i="4"/>
  <c r="J173" i="12"/>
  <c r="F423" i="4"/>
  <c r="F478" i="4"/>
  <c r="AA107" i="4"/>
  <c r="U107" i="4"/>
  <c r="M109" i="12" s="1"/>
  <c r="I109" i="12"/>
  <c r="U433" i="4"/>
  <c r="AA433" i="4"/>
  <c r="AA97" i="4"/>
  <c r="U97" i="4"/>
  <c r="M99" i="12" s="1"/>
  <c r="I99" i="12"/>
  <c r="AA242" i="4"/>
  <c r="U242" i="4"/>
  <c r="M244" i="12" s="1"/>
  <c r="I244" i="12"/>
  <c r="AA115" i="4"/>
  <c r="U115" i="4"/>
  <c r="M117" i="12" s="1"/>
  <c r="I117" i="12"/>
  <c r="U324" i="4"/>
  <c r="M326" i="12" s="1"/>
  <c r="AA324" i="4"/>
  <c r="I326" i="12"/>
  <c r="U469" i="4"/>
  <c r="AA469" i="4"/>
  <c r="U98" i="4"/>
  <c r="M100" i="12" s="1"/>
  <c r="AA98" i="4"/>
  <c r="I100" i="12"/>
  <c r="U64" i="4"/>
  <c r="M66" i="12" s="1"/>
  <c r="AA64" i="4"/>
  <c r="I66" i="12"/>
  <c r="AA121" i="4"/>
  <c r="U121" i="4"/>
  <c r="M123" i="12" s="1"/>
  <c r="I123" i="12"/>
  <c r="U441" i="4"/>
  <c r="AA441" i="4"/>
  <c r="U342" i="4"/>
  <c r="M344" i="12" s="1"/>
  <c r="AA342" i="4"/>
  <c r="I344" i="12"/>
  <c r="AA89" i="4"/>
  <c r="U89" i="4"/>
  <c r="M91" i="12" s="1"/>
  <c r="I91" i="12"/>
  <c r="U110" i="4"/>
  <c r="M112" i="12" s="1"/>
  <c r="AA110" i="4"/>
  <c r="I112" i="12"/>
  <c r="U112" i="4"/>
  <c r="M114" i="12" s="1"/>
  <c r="AA112" i="4"/>
  <c r="I114" i="12"/>
  <c r="AA68" i="4"/>
  <c r="U68" i="4"/>
  <c r="M70" i="12" s="1"/>
  <c r="I70" i="12"/>
  <c r="AA117" i="4"/>
  <c r="U117" i="4"/>
  <c r="M119" i="12" s="1"/>
  <c r="I119" i="12"/>
  <c r="AA87" i="4"/>
  <c r="U87" i="4"/>
  <c r="M89" i="12" s="1"/>
  <c r="I89" i="12"/>
  <c r="U465" i="4"/>
  <c r="AA465" i="4"/>
  <c r="AA63" i="4"/>
  <c r="U63" i="4"/>
  <c r="M65" i="12" s="1"/>
  <c r="I65" i="12"/>
  <c r="U84" i="4"/>
  <c r="M86" i="12" s="1"/>
  <c r="AA84" i="4"/>
  <c r="I86" i="12"/>
  <c r="U370" i="4"/>
  <c r="M371" i="12" s="1"/>
  <c r="AA370" i="4"/>
  <c r="I371" i="12"/>
  <c r="AA152" i="4"/>
  <c r="U152" i="4"/>
  <c r="M154" i="12" s="1"/>
  <c r="I154" i="12"/>
  <c r="AA103" i="4"/>
  <c r="U103" i="4"/>
  <c r="M105" i="12" s="1"/>
  <c r="I105" i="12"/>
  <c r="AA130" i="4"/>
  <c r="U130" i="4"/>
  <c r="M132" i="12" s="1"/>
  <c r="I132" i="12"/>
  <c r="AA85" i="4"/>
  <c r="U85" i="4"/>
  <c r="M87" i="12" s="1"/>
  <c r="I87" i="12"/>
  <c r="U86" i="4"/>
  <c r="M88" i="12" s="1"/>
  <c r="AA86" i="4"/>
  <c r="I88" i="12"/>
  <c r="U343" i="4"/>
  <c r="M345" i="12" s="1"/>
  <c r="AA343" i="4"/>
  <c r="I345" i="12"/>
  <c r="F314" i="4"/>
  <c r="J316" i="12"/>
  <c r="F384" i="4"/>
  <c r="J385" i="12"/>
  <c r="F316" i="4"/>
  <c r="J318" i="12"/>
  <c r="F477" i="4"/>
  <c r="F246" i="4"/>
  <c r="J248" i="12"/>
  <c r="F141" i="4"/>
  <c r="J143" i="12"/>
  <c r="F244" i="4"/>
  <c r="J246" i="12"/>
  <c r="F268" i="4"/>
  <c r="J270" i="12"/>
  <c r="F209" i="4"/>
  <c r="J211" i="12"/>
  <c r="U436" i="4"/>
  <c r="AA436" i="4"/>
  <c r="F247" i="4"/>
  <c r="J249" i="12"/>
  <c r="F381" i="4"/>
  <c r="J382" i="12"/>
  <c r="F134" i="4"/>
  <c r="J136" i="12"/>
  <c r="F360" i="4"/>
  <c r="J361" i="12"/>
  <c r="F216" i="4"/>
  <c r="J218" i="12"/>
  <c r="F181" i="4"/>
  <c r="J183" i="12"/>
  <c r="U421" i="4"/>
  <c r="AA421" i="4"/>
  <c r="F334" i="4"/>
  <c r="J336" i="12"/>
  <c r="F250" i="4"/>
  <c r="J252" i="12"/>
  <c r="F358" i="4"/>
  <c r="J359" i="12"/>
  <c r="F269" i="4"/>
  <c r="J271" i="12"/>
  <c r="F385" i="4"/>
  <c r="J386" i="12"/>
  <c r="F135" i="4"/>
  <c r="J137" i="12"/>
  <c r="F309" i="4"/>
  <c r="J311" i="12"/>
  <c r="F405" i="4"/>
  <c r="F333" i="4"/>
  <c r="J335" i="12"/>
  <c r="F308" i="4"/>
  <c r="J310" i="12"/>
  <c r="F133" i="4"/>
  <c r="J135" i="12"/>
  <c r="F227" i="4"/>
  <c r="J229" i="12"/>
  <c r="F267" i="4"/>
  <c r="J269" i="12"/>
  <c r="F408" i="4"/>
  <c r="F359" i="4"/>
  <c r="J360" i="12"/>
  <c r="F161" i="4"/>
  <c r="J163" i="12"/>
  <c r="F475" i="4"/>
  <c r="J407" i="12"/>
  <c r="F307" i="4"/>
  <c r="J309" i="12"/>
  <c r="U48" i="4"/>
  <c r="M50" i="12" s="1"/>
  <c r="AA48" i="4"/>
  <c r="I50" i="12"/>
  <c r="U458" i="4"/>
  <c r="AA458" i="4"/>
  <c r="U474" i="4"/>
  <c r="AA474" i="4"/>
  <c r="AA123" i="4"/>
  <c r="U123" i="4"/>
  <c r="M125" i="12" s="1"/>
  <c r="I125" i="12"/>
  <c r="U62" i="4"/>
  <c r="M64" i="12" s="1"/>
  <c r="AA62" i="4"/>
  <c r="I64" i="12"/>
  <c r="U56" i="4"/>
  <c r="M58" i="12" s="1"/>
  <c r="AA56" i="4"/>
  <c r="I58" i="12"/>
  <c r="U102" i="4"/>
  <c r="M104" i="12" s="1"/>
  <c r="AA102" i="4"/>
  <c r="I104" i="12"/>
  <c r="U340" i="4"/>
  <c r="M342" i="12" s="1"/>
  <c r="AA340" i="4"/>
  <c r="I342" i="12"/>
  <c r="AA105" i="4"/>
  <c r="U105" i="4"/>
  <c r="M107" i="12" s="1"/>
  <c r="I107" i="12"/>
  <c r="U341" i="4"/>
  <c r="M343" i="12" s="1"/>
  <c r="AA341" i="4"/>
  <c r="I343" i="12"/>
  <c r="AA198" i="4"/>
  <c r="U198" i="4"/>
  <c r="M200" i="12" s="1"/>
  <c r="I200" i="12"/>
  <c r="AA49" i="4"/>
  <c r="U49" i="4"/>
  <c r="M51" i="12" s="1"/>
  <c r="I51" i="12"/>
  <c r="U337" i="4"/>
  <c r="M339" i="12" s="1"/>
  <c r="AA337" i="4"/>
  <c r="I339" i="12"/>
  <c r="AA61" i="4"/>
  <c r="U61" i="4"/>
  <c r="M63" i="12" s="1"/>
  <c r="I63" i="12"/>
  <c r="U459" i="4"/>
  <c r="AA459" i="4"/>
  <c r="AA280" i="4" l="1"/>
  <c r="U280" i="4"/>
  <c r="M282" i="12" s="1"/>
  <c r="I282" i="12"/>
  <c r="AA146" i="4"/>
  <c r="U146" i="4"/>
  <c r="M148" i="12" s="1"/>
  <c r="I148" i="12"/>
  <c r="I102" i="12"/>
  <c r="U100" i="4"/>
  <c r="M102" i="12" s="1"/>
  <c r="AA100" i="4"/>
  <c r="U412" i="4"/>
  <c r="M404" i="12" s="1"/>
  <c r="AA412" i="4"/>
  <c r="I404" i="12"/>
  <c r="I403" i="12"/>
  <c r="U411" i="4"/>
  <c r="M403" i="12" s="1"/>
  <c r="AA411" i="4"/>
  <c r="U393" i="4"/>
  <c r="M393" i="12" s="1"/>
  <c r="AA393" i="4"/>
  <c r="I393" i="12"/>
  <c r="U426" i="4"/>
  <c r="M406" i="12" s="1"/>
  <c r="AA426" i="4"/>
  <c r="I406" i="12"/>
  <c r="U366" i="4"/>
  <c r="M367" i="12" s="1"/>
  <c r="AA366" i="4"/>
  <c r="I367" i="12"/>
  <c r="U427" i="4"/>
  <c r="AA427" i="4"/>
  <c r="AA275" i="4"/>
  <c r="U275" i="4"/>
  <c r="M277" i="12" s="1"/>
  <c r="I277" i="12"/>
  <c r="AA368" i="4"/>
  <c r="I369" i="12"/>
  <c r="U368" i="4"/>
  <c r="M369" i="12" s="1"/>
  <c r="U378" i="4"/>
  <c r="M379" i="12" s="1"/>
  <c r="AA378" i="4"/>
  <c r="I379" i="12"/>
  <c r="U395" i="4"/>
  <c r="AA395" i="4"/>
  <c r="U239" i="4"/>
  <c r="M241" i="12" s="1"/>
  <c r="I241" i="12"/>
  <c r="AA239" i="4"/>
  <c r="I354" i="12"/>
  <c r="U353" i="4"/>
  <c r="M354" i="12" s="1"/>
  <c r="AA353" i="4"/>
  <c r="U229" i="4"/>
  <c r="M231" i="12" s="1"/>
  <c r="I231" i="12"/>
  <c r="AA229" i="4"/>
  <c r="AA236" i="4"/>
  <c r="U236" i="4"/>
  <c r="M238" i="12" s="1"/>
  <c r="I238" i="12"/>
  <c r="AA256" i="4"/>
  <c r="U256" i="4"/>
  <c r="M258" i="12" s="1"/>
  <c r="I258" i="12"/>
  <c r="U355" i="4"/>
  <c r="M356" i="12" s="1"/>
  <c r="AA355" i="4"/>
  <c r="I356" i="12"/>
  <c r="U211" i="4"/>
  <c r="M213" i="12" s="1"/>
  <c r="I213" i="12"/>
  <c r="AA211" i="4"/>
  <c r="U376" i="4"/>
  <c r="M377" i="12" s="1"/>
  <c r="AA376" i="4"/>
  <c r="I377" i="12"/>
  <c r="AA192" i="4"/>
  <c r="U192" i="4"/>
  <c r="M194" i="12" s="1"/>
  <c r="I194" i="12"/>
  <c r="AA298" i="4"/>
  <c r="U298" i="4"/>
  <c r="M300" i="12" s="1"/>
  <c r="I300" i="12"/>
  <c r="U430" i="4"/>
  <c r="AA430" i="4"/>
  <c r="I260" i="12"/>
  <c r="AA258" i="4"/>
  <c r="U258" i="4"/>
  <c r="M260" i="12" s="1"/>
  <c r="I256" i="12"/>
  <c r="AA254" i="4"/>
  <c r="U254" i="4"/>
  <c r="M256" i="12" s="1"/>
  <c r="AA194" i="4"/>
  <c r="U194" i="4"/>
  <c r="M196" i="12" s="1"/>
  <c r="I196" i="12"/>
  <c r="AA128" i="4"/>
  <c r="U128" i="4"/>
  <c r="M130" i="12" s="1"/>
  <c r="I130" i="12"/>
  <c r="I225" i="12"/>
  <c r="AA223" i="4"/>
  <c r="U223" i="4"/>
  <c r="M225" i="12" s="1"/>
  <c r="U156" i="4"/>
  <c r="M158" i="12" s="1"/>
  <c r="I158" i="12"/>
  <c r="AA156" i="4"/>
  <c r="U94" i="4"/>
  <c r="M96" i="12" s="1"/>
  <c r="I96" i="12"/>
  <c r="AA94" i="4"/>
  <c r="I402" i="12"/>
  <c r="U410" i="4"/>
  <c r="M402" i="12" s="1"/>
  <c r="AA410" i="4"/>
  <c r="AA281" i="4"/>
  <c r="U281" i="4"/>
  <c r="M283" i="12" s="1"/>
  <c r="I283" i="12"/>
  <c r="I297" i="12"/>
  <c r="AA295" i="4"/>
  <c r="U295" i="4"/>
  <c r="M297" i="12" s="1"/>
  <c r="U155" i="4"/>
  <c r="M157" i="12" s="1"/>
  <c r="I157" i="12"/>
  <c r="AA155" i="4"/>
  <c r="U127" i="4"/>
  <c r="M129" i="12" s="1"/>
  <c r="I129" i="12"/>
  <c r="AA127" i="4"/>
  <c r="U277" i="4"/>
  <c r="M279" i="12" s="1"/>
  <c r="I279" i="12"/>
  <c r="AA277" i="4"/>
  <c r="AA365" i="4"/>
  <c r="I366" i="12"/>
  <c r="U365" i="4"/>
  <c r="M366" i="12" s="1"/>
  <c r="U166" i="4"/>
  <c r="M168" i="12" s="1"/>
  <c r="I168" i="12"/>
  <c r="AA166" i="4"/>
  <c r="AA230" i="4"/>
  <c r="U230" i="4"/>
  <c r="M232" i="12" s="1"/>
  <c r="I232" i="12"/>
  <c r="AA125" i="4"/>
  <c r="U125" i="4"/>
  <c r="M127" i="12" s="1"/>
  <c r="I127" i="12"/>
  <c r="AA165" i="4"/>
  <c r="U165" i="4"/>
  <c r="M167" i="12" s="1"/>
  <c r="I167" i="12"/>
  <c r="U240" i="4"/>
  <c r="M242" i="12" s="1"/>
  <c r="I242" i="12"/>
  <c r="AA240" i="4"/>
  <c r="AA113" i="4"/>
  <c r="U113" i="4"/>
  <c r="M115" i="12" s="1"/>
  <c r="I115" i="12"/>
  <c r="I128" i="12"/>
  <c r="U126" i="4"/>
  <c r="M128" i="12" s="1"/>
  <c r="AA126" i="4"/>
  <c r="AA101" i="4"/>
  <c r="U101" i="4"/>
  <c r="M103" i="12" s="1"/>
  <c r="I103" i="12"/>
  <c r="U93" i="4"/>
  <c r="M95" i="12" s="1"/>
  <c r="I95" i="12"/>
  <c r="AA93" i="4"/>
  <c r="U129" i="4"/>
  <c r="M131" i="12" s="1"/>
  <c r="I131" i="12"/>
  <c r="AA129" i="4"/>
  <c r="I303" i="12"/>
  <c r="U301" i="4"/>
  <c r="M303" i="12" s="1"/>
  <c r="AA301" i="4"/>
  <c r="I390" i="12"/>
  <c r="U390" i="4"/>
  <c r="M390" i="12" s="1"/>
  <c r="AA390" i="4"/>
  <c r="I284" i="12"/>
  <c r="AA282" i="4"/>
  <c r="U282" i="4"/>
  <c r="M284" i="12" s="1"/>
  <c r="I145" i="12"/>
  <c r="AA143" i="4"/>
  <c r="U143" i="4"/>
  <c r="M145" i="12" s="1"/>
  <c r="U299" i="4"/>
  <c r="M301" i="12" s="1"/>
  <c r="AA299" i="4"/>
  <c r="I301" i="12"/>
  <c r="I113" i="12"/>
  <c r="AA111" i="4"/>
  <c r="U111" i="4"/>
  <c r="M113" i="12" s="1"/>
  <c r="I205" i="12"/>
  <c r="AA203" i="4"/>
  <c r="U203" i="4"/>
  <c r="M205" i="12" s="1"/>
  <c r="I166" i="12"/>
  <c r="AA164" i="4"/>
  <c r="U164" i="4"/>
  <c r="M166" i="12" s="1"/>
  <c r="AA99" i="4"/>
  <c r="U99" i="4"/>
  <c r="M101" i="12" s="1"/>
  <c r="I101" i="12"/>
  <c r="I259" i="12"/>
  <c r="AA257" i="4"/>
  <c r="U257" i="4"/>
  <c r="M259" i="12" s="1"/>
  <c r="U234" i="4"/>
  <c r="M236" i="12" s="1"/>
  <c r="I236" i="12"/>
  <c r="AA234" i="4"/>
  <c r="I325" i="12"/>
  <c r="U323" i="4"/>
  <c r="M325" i="12" s="1"/>
  <c r="AA323" i="4"/>
  <c r="AA189" i="4"/>
  <c r="U189" i="4"/>
  <c r="M191" i="12" s="1"/>
  <c r="I191" i="12"/>
  <c r="U238" i="4"/>
  <c r="M240" i="12" s="1"/>
  <c r="I240" i="12"/>
  <c r="AA238" i="4"/>
  <c r="I352" i="12"/>
  <c r="U351" i="4"/>
  <c r="M352" i="12" s="1"/>
  <c r="AA351" i="4"/>
  <c r="I323" i="12"/>
  <c r="U321" i="4"/>
  <c r="M323" i="12" s="1"/>
  <c r="AA321" i="4"/>
  <c r="I257" i="12"/>
  <c r="AA255" i="4"/>
  <c r="U255" i="4"/>
  <c r="M257" i="12" s="1"/>
  <c r="U114" i="4"/>
  <c r="M116" i="12" s="1"/>
  <c r="AA114" i="4"/>
  <c r="I116" i="12"/>
  <c r="AA394" i="4"/>
  <c r="I394" i="12"/>
  <c r="U394" i="4"/>
  <c r="M394" i="12" s="1"/>
  <c r="I338" i="12"/>
  <c r="U336" i="4"/>
  <c r="M338" i="12" s="1"/>
  <c r="AA336" i="4"/>
  <c r="AA392" i="4"/>
  <c r="I392" i="12"/>
  <c r="U392" i="4"/>
  <c r="M392" i="12" s="1"/>
  <c r="I110" i="12"/>
  <c r="U108" i="4"/>
  <c r="M110" i="12" s="1"/>
  <c r="AA108" i="4"/>
  <c r="AA168" i="4"/>
  <c r="U168" i="4"/>
  <c r="M170" i="12" s="1"/>
  <c r="I170" i="12"/>
  <c r="U320" i="4"/>
  <c r="M322" i="12" s="1"/>
  <c r="AA320" i="4"/>
  <c r="I322" i="12"/>
  <c r="AA224" i="4"/>
  <c r="U224" i="4"/>
  <c r="M226" i="12" s="1"/>
  <c r="I226" i="12"/>
  <c r="AA167" i="4"/>
  <c r="U167" i="4"/>
  <c r="M169" i="12" s="1"/>
  <c r="I169" i="12"/>
  <c r="AA190" i="4"/>
  <c r="U190" i="4"/>
  <c r="M192" i="12" s="1"/>
  <c r="I192" i="12"/>
  <c r="AA178" i="4"/>
  <c r="I180" i="12"/>
  <c r="U178" i="4"/>
  <c r="M180" i="12" s="1"/>
  <c r="I177" i="12"/>
  <c r="AA175" i="4"/>
  <c r="U175" i="4"/>
  <c r="M177" i="12" s="1"/>
  <c r="AA296" i="4"/>
  <c r="I298" i="12"/>
  <c r="U296" i="4"/>
  <c r="M298" i="12" s="1"/>
  <c r="U233" i="4"/>
  <c r="M235" i="12" s="1"/>
  <c r="I235" i="12"/>
  <c r="AA233" i="4"/>
  <c r="AA120" i="4"/>
  <c r="I122" i="12"/>
  <c r="U120" i="4"/>
  <c r="M122" i="12" s="1"/>
  <c r="I368" i="12"/>
  <c r="U367" i="4"/>
  <c r="M368" i="12" s="1"/>
  <c r="AA367" i="4"/>
  <c r="U193" i="4"/>
  <c r="M195" i="12" s="1"/>
  <c r="AA193" i="4"/>
  <c r="I195" i="12"/>
  <c r="AA122" i="4"/>
  <c r="I124" i="12"/>
  <c r="U122" i="4"/>
  <c r="M124" i="12" s="1"/>
  <c r="AA150" i="4"/>
  <c r="U150" i="4"/>
  <c r="M152" i="12" s="1"/>
  <c r="I152" i="12"/>
  <c r="AA213" i="4"/>
  <c r="U213" i="4"/>
  <c r="M215" i="12" s="1"/>
  <c r="I215" i="12"/>
  <c r="I146" i="12"/>
  <c r="AA144" i="4"/>
  <c r="U144" i="4"/>
  <c r="M146" i="12" s="1"/>
  <c r="U222" i="4"/>
  <c r="M224" i="12" s="1"/>
  <c r="I224" i="12"/>
  <c r="AA222" i="4"/>
  <c r="AA145" i="4"/>
  <c r="U145" i="4"/>
  <c r="M147" i="12" s="1"/>
  <c r="I147" i="12"/>
  <c r="AA191" i="4"/>
  <c r="U191" i="4"/>
  <c r="M193" i="12" s="1"/>
  <c r="I193" i="12"/>
  <c r="U369" i="4"/>
  <c r="M370" i="12" s="1"/>
  <c r="AA369" i="4"/>
  <c r="I370" i="12"/>
  <c r="AA377" i="4"/>
  <c r="I378" i="12"/>
  <c r="U377" i="4"/>
  <c r="M378" i="12" s="1"/>
  <c r="U293" i="4"/>
  <c r="M295" i="12" s="1"/>
  <c r="I295" i="12"/>
  <c r="AA293" i="4"/>
  <c r="U279" i="4"/>
  <c r="M281" i="12" s="1"/>
  <c r="I281" i="12"/>
  <c r="AA279" i="4"/>
  <c r="AA318" i="4"/>
  <c r="I320" i="12"/>
  <c r="U318" i="4"/>
  <c r="M320" i="12" s="1"/>
  <c r="AA375" i="4"/>
  <c r="U375" i="4"/>
  <c r="M376" i="12" s="1"/>
  <c r="I376" i="12"/>
  <c r="I296" i="12"/>
  <c r="AA294" i="4"/>
  <c r="U294" i="4"/>
  <c r="M296" i="12" s="1"/>
  <c r="AA319" i="4"/>
  <c r="I321" i="12"/>
  <c r="U319" i="4"/>
  <c r="M321" i="12" s="1"/>
  <c r="AA174" i="4"/>
  <c r="U174" i="4"/>
  <c r="M176" i="12" s="1"/>
  <c r="I176" i="12"/>
  <c r="I278" i="12"/>
  <c r="AA276" i="4"/>
  <c r="U276" i="4"/>
  <c r="M278" i="12" s="1"/>
  <c r="I389" i="12"/>
  <c r="U389" i="4"/>
  <c r="M389" i="12" s="1"/>
  <c r="AA389" i="4"/>
  <c r="I165" i="12"/>
  <c r="AA163" i="4"/>
  <c r="U163" i="4"/>
  <c r="M165" i="12" s="1"/>
  <c r="U176" i="4"/>
  <c r="M178" i="12" s="1"/>
  <c r="I178" i="12"/>
  <c r="AA176" i="4"/>
  <c r="U195" i="4"/>
  <c r="M197" i="12" s="1"/>
  <c r="I197" i="12"/>
  <c r="AA195" i="4"/>
  <c r="I233" i="12"/>
  <c r="AA231" i="4"/>
  <c r="U231" i="4"/>
  <c r="M233" i="12" s="1"/>
  <c r="I391" i="12"/>
  <c r="U391" i="4"/>
  <c r="M391" i="12" s="1"/>
  <c r="AA391" i="4"/>
  <c r="AA235" i="4"/>
  <c r="U235" i="4"/>
  <c r="M237" i="12" s="1"/>
  <c r="I237" i="12"/>
  <c r="I280" i="12"/>
  <c r="AA278" i="4"/>
  <c r="U278" i="4"/>
  <c r="M280" i="12" s="1"/>
  <c r="AA354" i="4"/>
  <c r="U354" i="4"/>
  <c r="M355" i="12" s="1"/>
  <c r="I355" i="12"/>
  <c r="I214" i="12"/>
  <c r="AA212" i="4"/>
  <c r="U212" i="4"/>
  <c r="M214" i="12" s="1"/>
  <c r="U177" i="4"/>
  <c r="M179" i="12" s="1"/>
  <c r="AA177" i="4"/>
  <c r="I179" i="12"/>
  <c r="U322" i="4"/>
  <c r="M324" i="12" s="1"/>
  <c r="I324" i="12"/>
  <c r="AA322" i="4"/>
  <c r="AA485" i="4"/>
  <c r="U485" i="4"/>
  <c r="I239" i="12"/>
  <c r="AA237" i="4"/>
  <c r="U237" i="4"/>
  <c r="M239" i="12" s="1"/>
  <c r="AA259" i="4"/>
  <c r="U259" i="4"/>
  <c r="M261" i="12" s="1"/>
  <c r="I261" i="12"/>
  <c r="U137" i="4"/>
  <c r="M139" i="12" s="1"/>
  <c r="I139" i="12"/>
  <c r="AA137" i="4"/>
  <c r="U439" i="4"/>
  <c r="AA439" i="4"/>
  <c r="U151" i="4"/>
  <c r="M153" i="12" s="1"/>
  <c r="I153" i="12"/>
  <c r="AA151" i="4"/>
  <c r="U210" i="4"/>
  <c r="M212" i="12" s="1"/>
  <c r="I212" i="12"/>
  <c r="AA210" i="4"/>
  <c r="I234" i="12"/>
  <c r="AA232" i="4"/>
  <c r="U232" i="4"/>
  <c r="M234" i="12" s="1"/>
  <c r="I276" i="12"/>
  <c r="U274" i="4"/>
  <c r="M276" i="12" s="1"/>
  <c r="AA274" i="4"/>
  <c r="AA335" i="4"/>
  <c r="I337" i="12"/>
  <c r="U335" i="4"/>
  <c r="M337" i="12" s="1"/>
  <c r="U300" i="4"/>
  <c r="M302" i="12" s="1"/>
  <c r="AA300" i="4"/>
  <c r="I302" i="12"/>
  <c r="AA352" i="4"/>
  <c r="I353" i="12"/>
  <c r="U352" i="4"/>
  <c r="M353" i="12" s="1"/>
  <c r="U283" i="4"/>
  <c r="M285" i="12" s="1"/>
  <c r="I285" i="12"/>
  <c r="AA283" i="4"/>
  <c r="U297" i="4"/>
  <c r="M299" i="12" s="1"/>
  <c r="AA297" i="4"/>
  <c r="I299" i="12"/>
  <c r="AA253" i="4"/>
  <c r="U253" i="4"/>
  <c r="M255" i="12" s="1"/>
  <c r="I255" i="12"/>
  <c r="AA267" i="4"/>
  <c r="U267" i="4"/>
  <c r="M269" i="12" s="1"/>
  <c r="I269" i="12"/>
  <c r="U316" i="4"/>
  <c r="M318" i="12" s="1"/>
  <c r="AA316" i="4"/>
  <c r="I318" i="12"/>
  <c r="U344" i="4"/>
  <c r="M346" i="12" s="1"/>
  <c r="AA344" i="4"/>
  <c r="I346" i="12"/>
  <c r="U315" i="4"/>
  <c r="M317" i="12" s="1"/>
  <c r="AA315" i="4"/>
  <c r="I317" i="12"/>
  <c r="U434" i="4"/>
  <c r="AA434" i="4"/>
  <c r="AA140" i="4"/>
  <c r="U140" i="4"/>
  <c r="M142" i="12" s="1"/>
  <c r="I142" i="12"/>
  <c r="U311" i="4"/>
  <c r="M313" i="12" s="1"/>
  <c r="AA311" i="4"/>
  <c r="I313" i="12"/>
  <c r="AA207" i="4"/>
  <c r="U207" i="4"/>
  <c r="M209" i="12" s="1"/>
  <c r="I209" i="12"/>
  <c r="AA252" i="4"/>
  <c r="U252" i="4"/>
  <c r="M254" i="12" s="1"/>
  <c r="I254" i="12"/>
  <c r="AA172" i="4"/>
  <c r="U172" i="4"/>
  <c r="M174" i="12" s="1"/>
  <c r="I174" i="12"/>
  <c r="AA153" i="4"/>
  <c r="U153" i="4"/>
  <c r="M155" i="12" s="1"/>
  <c r="I155" i="12"/>
  <c r="AA290" i="4"/>
  <c r="U290" i="4"/>
  <c r="M292" i="12" s="1"/>
  <c r="I292" i="12"/>
  <c r="AA263" i="4"/>
  <c r="U263" i="4"/>
  <c r="M265" i="12" s="1"/>
  <c r="I265" i="12"/>
  <c r="AA286" i="4"/>
  <c r="U286" i="4"/>
  <c r="M288" i="12" s="1"/>
  <c r="I288" i="12"/>
  <c r="AA273" i="4"/>
  <c r="U273" i="4"/>
  <c r="M275" i="12" s="1"/>
  <c r="I275" i="12"/>
  <c r="U475" i="4"/>
  <c r="M407" i="12" s="1"/>
  <c r="AA475" i="4"/>
  <c r="I407" i="12"/>
  <c r="AA135" i="4"/>
  <c r="U135" i="4"/>
  <c r="M137" i="12" s="1"/>
  <c r="I137" i="12"/>
  <c r="AA250" i="4"/>
  <c r="U250" i="4"/>
  <c r="M252" i="12" s="1"/>
  <c r="I252" i="12"/>
  <c r="AA134" i="4"/>
  <c r="U134" i="4"/>
  <c r="M136" i="12" s="1"/>
  <c r="I136" i="12"/>
  <c r="AA247" i="4"/>
  <c r="U247" i="4"/>
  <c r="M249" i="12" s="1"/>
  <c r="I249" i="12"/>
  <c r="AA209" i="4"/>
  <c r="U209" i="4"/>
  <c r="M211" i="12" s="1"/>
  <c r="I211" i="12"/>
  <c r="AA244" i="4"/>
  <c r="U244" i="4"/>
  <c r="M246" i="12" s="1"/>
  <c r="I246" i="12"/>
  <c r="AA246" i="4"/>
  <c r="U246" i="4"/>
  <c r="M248" i="12" s="1"/>
  <c r="I248" i="12"/>
  <c r="AA478" i="4"/>
  <c r="U478" i="4"/>
  <c r="U383" i="4"/>
  <c r="M384" i="12" s="1"/>
  <c r="AA383" i="4"/>
  <c r="I384" i="12"/>
  <c r="AA186" i="4"/>
  <c r="U186" i="4"/>
  <c r="M188" i="12" s="1"/>
  <c r="I188" i="12"/>
  <c r="U305" i="4"/>
  <c r="M307" i="12" s="1"/>
  <c r="AA305" i="4"/>
  <c r="I307" i="12"/>
  <c r="AA206" i="4"/>
  <c r="U206" i="4"/>
  <c r="M208" i="12" s="1"/>
  <c r="I208" i="12"/>
  <c r="U348" i="4"/>
  <c r="M350" i="12" s="1"/>
  <c r="AA348" i="4"/>
  <c r="I350" i="12"/>
  <c r="U183" i="4"/>
  <c r="M185" i="12" s="1"/>
  <c r="AA183" i="4"/>
  <c r="I185" i="12"/>
  <c r="AA202" i="4"/>
  <c r="U202" i="4"/>
  <c r="M204" i="12" s="1"/>
  <c r="I204" i="12"/>
  <c r="AA217" i="4"/>
  <c r="U217" i="4"/>
  <c r="M219" i="12" s="1"/>
  <c r="I219" i="12"/>
  <c r="AA248" i="4"/>
  <c r="U248" i="4"/>
  <c r="M250" i="12" s="1"/>
  <c r="I250" i="12"/>
  <c r="AA285" i="4"/>
  <c r="U285" i="4"/>
  <c r="M287" i="12" s="1"/>
  <c r="I287" i="12"/>
  <c r="U132" i="4"/>
  <c r="M134" i="12" s="1"/>
  <c r="AA132" i="4"/>
  <c r="I134" i="12"/>
  <c r="U333" i="4"/>
  <c r="M335" i="12" s="1"/>
  <c r="AA333" i="4"/>
  <c r="I335" i="12"/>
  <c r="U314" i="4"/>
  <c r="M316" i="12" s="1"/>
  <c r="AA314" i="4"/>
  <c r="I316" i="12"/>
  <c r="AA171" i="4"/>
  <c r="U171" i="4"/>
  <c r="M173" i="12" s="1"/>
  <c r="I173" i="12"/>
  <c r="AA201" i="4"/>
  <c r="U201" i="4"/>
  <c r="M203" i="12" s="1"/>
  <c r="I203" i="12"/>
  <c r="AA219" i="4"/>
  <c r="U219" i="4"/>
  <c r="M221" i="12" s="1"/>
  <c r="I221" i="12"/>
  <c r="AA251" i="4"/>
  <c r="U251" i="4"/>
  <c r="M253" i="12" s="1"/>
  <c r="I253" i="12"/>
  <c r="AA187" i="4"/>
  <c r="U187" i="4"/>
  <c r="M189" i="12" s="1"/>
  <c r="I189" i="12"/>
  <c r="AA136" i="4"/>
  <c r="U136" i="4"/>
  <c r="M138" i="12" s="1"/>
  <c r="I138" i="12"/>
  <c r="U332" i="4"/>
  <c r="M334" i="12" s="1"/>
  <c r="AA332" i="4"/>
  <c r="I334" i="12"/>
  <c r="AA220" i="4"/>
  <c r="U220" i="4"/>
  <c r="M222" i="12" s="1"/>
  <c r="I222" i="12"/>
  <c r="AA270" i="4"/>
  <c r="U270" i="4"/>
  <c r="M272" i="12" s="1"/>
  <c r="I272" i="12"/>
  <c r="AA173" i="4"/>
  <c r="U173" i="4"/>
  <c r="M175" i="12" s="1"/>
  <c r="I175" i="12"/>
  <c r="AA188" i="4"/>
  <c r="U188" i="4"/>
  <c r="M190" i="12" s="1"/>
  <c r="I190" i="12"/>
  <c r="U331" i="4"/>
  <c r="M333" i="12" s="1"/>
  <c r="AA331" i="4"/>
  <c r="I333" i="12"/>
  <c r="U124" i="4"/>
  <c r="M126" i="12" s="1"/>
  <c r="AA124" i="4"/>
  <c r="I126" i="12"/>
  <c r="AA291" i="4"/>
  <c r="U291" i="4"/>
  <c r="M293" i="12" s="1"/>
  <c r="I293" i="12"/>
  <c r="AA160" i="4"/>
  <c r="U160" i="4"/>
  <c r="M162" i="12" s="1"/>
  <c r="I162" i="12"/>
  <c r="U401" i="4"/>
  <c r="M399" i="12" s="1"/>
  <c r="AA401" i="4"/>
  <c r="I399" i="12"/>
  <c r="U357" i="4"/>
  <c r="M358" i="12" s="1"/>
  <c r="AA357" i="4"/>
  <c r="I358" i="12"/>
  <c r="U408" i="4"/>
  <c r="AA408" i="4"/>
  <c r="U308" i="4"/>
  <c r="M310" i="12" s="1"/>
  <c r="AA308" i="4"/>
  <c r="I310" i="12"/>
  <c r="AA288" i="4"/>
  <c r="U288" i="4"/>
  <c r="M290" i="12" s="1"/>
  <c r="I290" i="12"/>
  <c r="U402" i="4"/>
  <c r="M400" i="12" s="1"/>
  <c r="AA402" i="4"/>
  <c r="I400" i="12"/>
  <c r="AA162" i="4"/>
  <c r="U162" i="4"/>
  <c r="M164" i="12" s="1"/>
  <c r="I164" i="12"/>
  <c r="AA208" i="4"/>
  <c r="U208" i="4"/>
  <c r="M210" i="12" s="1"/>
  <c r="I210" i="12"/>
  <c r="U399" i="4"/>
  <c r="M397" i="12" s="1"/>
  <c r="AA399" i="4"/>
  <c r="I397" i="12"/>
  <c r="U362" i="4"/>
  <c r="M363" i="12" s="1"/>
  <c r="AA362" i="4"/>
  <c r="I363" i="12"/>
  <c r="AA185" i="4"/>
  <c r="U185" i="4"/>
  <c r="M187" i="12" s="1"/>
  <c r="I187" i="12"/>
  <c r="U349" i="4"/>
  <c r="M351" i="12" s="1"/>
  <c r="AA349" i="4"/>
  <c r="I351" i="12"/>
  <c r="AA266" i="4"/>
  <c r="U266" i="4"/>
  <c r="M268" i="12" s="1"/>
  <c r="I268" i="12"/>
  <c r="U386" i="4"/>
  <c r="M387" i="12" s="1"/>
  <c r="AA386" i="4"/>
  <c r="I387" i="12"/>
  <c r="AA200" i="4"/>
  <c r="U200" i="4"/>
  <c r="M202" i="12" s="1"/>
  <c r="I202" i="12"/>
  <c r="U345" i="4"/>
  <c r="M347" i="12" s="1"/>
  <c r="AA345" i="4"/>
  <c r="I347" i="12"/>
  <c r="U330" i="4"/>
  <c r="M332" i="12" s="1"/>
  <c r="AA330" i="4"/>
  <c r="I332" i="12"/>
  <c r="AA262" i="4"/>
  <c r="U262" i="4"/>
  <c r="M264" i="12" s="1"/>
  <c r="I264" i="12"/>
  <c r="U356" i="4"/>
  <c r="M357" i="12" s="1"/>
  <c r="AA356" i="4"/>
  <c r="I357" i="12"/>
  <c r="U306" i="4"/>
  <c r="M308" i="12" s="1"/>
  <c r="AA306" i="4"/>
  <c r="I308" i="12"/>
  <c r="U406" i="4"/>
  <c r="AA406" i="4"/>
  <c r="U361" i="4"/>
  <c r="M362" i="12" s="1"/>
  <c r="AA361" i="4"/>
  <c r="I362" i="12"/>
  <c r="U347" i="4"/>
  <c r="M349" i="12" s="1"/>
  <c r="AA347" i="4"/>
  <c r="I349" i="12"/>
  <c r="AA184" i="4"/>
  <c r="U184" i="4"/>
  <c r="M186" i="12" s="1"/>
  <c r="I186" i="12"/>
  <c r="AA287" i="4"/>
  <c r="U287" i="4"/>
  <c r="M289" i="12" s="1"/>
  <c r="I289" i="12"/>
  <c r="U346" i="4"/>
  <c r="M348" i="12" s="1"/>
  <c r="AA346" i="4"/>
  <c r="I348" i="12"/>
  <c r="U387" i="4"/>
  <c r="M388" i="12" s="1"/>
  <c r="AA387" i="4"/>
  <c r="I388" i="12"/>
  <c r="AA159" i="4"/>
  <c r="U159" i="4"/>
  <c r="M161" i="12" s="1"/>
  <c r="I161" i="12"/>
  <c r="U313" i="4"/>
  <c r="M315" i="12" s="1"/>
  <c r="AA313" i="4"/>
  <c r="I315" i="12"/>
  <c r="AA149" i="4"/>
  <c r="U149" i="4"/>
  <c r="M151" i="12" s="1"/>
  <c r="I151" i="12"/>
  <c r="U403" i="4"/>
  <c r="M401" i="12" s="1"/>
  <c r="AA403" i="4"/>
  <c r="I401" i="12"/>
  <c r="AA249" i="4"/>
  <c r="U249" i="4"/>
  <c r="M251" i="12" s="1"/>
  <c r="I251" i="12"/>
  <c r="U382" i="4"/>
  <c r="M383" i="12" s="1"/>
  <c r="AA382" i="4"/>
  <c r="I383" i="12"/>
  <c r="AA133" i="4"/>
  <c r="U133" i="4"/>
  <c r="M135" i="12" s="1"/>
  <c r="I135" i="12"/>
  <c r="AA264" i="4"/>
  <c r="U264" i="4"/>
  <c r="M266" i="12" s="1"/>
  <c r="I266" i="12"/>
  <c r="AA218" i="4"/>
  <c r="U218" i="4"/>
  <c r="M220" i="12" s="1"/>
  <c r="I220" i="12"/>
  <c r="U317" i="4"/>
  <c r="M319" i="12" s="1"/>
  <c r="AA317" i="4"/>
  <c r="I319" i="12"/>
  <c r="U373" i="4"/>
  <c r="M374" i="12" s="1"/>
  <c r="AA373" i="4"/>
  <c r="I374" i="12"/>
  <c r="AA205" i="4"/>
  <c r="U205" i="4"/>
  <c r="M207" i="12" s="1"/>
  <c r="I207" i="12"/>
  <c r="U437" i="4"/>
  <c r="AA437" i="4"/>
  <c r="AA142" i="4"/>
  <c r="U142" i="4"/>
  <c r="M144" i="12" s="1"/>
  <c r="I144" i="12"/>
  <c r="AA284" i="4"/>
  <c r="U284" i="4"/>
  <c r="M286" i="12" s="1"/>
  <c r="I286" i="12"/>
  <c r="U359" i="4"/>
  <c r="M360" i="12" s="1"/>
  <c r="AA359" i="4"/>
  <c r="I360" i="12"/>
  <c r="U405" i="4"/>
  <c r="AA405" i="4"/>
  <c r="AA269" i="4"/>
  <c r="U269" i="4"/>
  <c r="M271" i="12" s="1"/>
  <c r="I271" i="12"/>
  <c r="AA216" i="4"/>
  <c r="U216" i="4"/>
  <c r="M218" i="12" s="1"/>
  <c r="I218" i="12"/>
  <c r="AA221" i="4"/>
  <c r="U221" i="4"/>
  <c r="M223" i="12" s="1"/>
  <c r="I223" i="12"/>
  <c r="AA271" i="4"/>
  <c r="U271" i="4"/>
  <c r="M273" i="12" s="1"/>
  <c r="I273" i="12"/>
  <c r="AA228" i="4"/>
  <c r="U228" i="4"/>
  <c r="M230" i="12" s="1"/>
  <c r="I230" i="12"/>
  <c r="AA289" i="4"/>
  <c r="U289" i="4"/>
  <c r="M291" i="12" s="1"/>
  <c r="I291" i="12"/>
  <c r="AA227" i="4"/>
  <c r="U227" i="4"/>
  <c r="M229" i="12" s="1"/>
  <c r="I229" i="12"/>
  <c r="AA477" i="4"/>
  <c r="U477" i="4"/>
  <c r="U384" i="4"/>
  <c r="M385" i="12" s="1"/>
  <c r="AA384" i="4"/>
  <c r="I385" i="12"/>
  <c r="U423" i="4"/>
  <c r="AA423" i="4"/>
  <c r="U374" i="4"/>
  <c r="M375" i="12" s="1"/>
  <c r="AA374" i="4"/>
  <c r="I375" i="12"/>
  <c r="AA479" i="4"/>
  <c r="U479" i="4"/>
  <c r="U307" i="4"/>
  <c r="M309" i="12" s="1"/>
  <c r="AA307" i="4"/>
  <c r="I309" i="12"/>
  <c r="AA161" i="4"/>
  <c r="U161" i="4"/>
  <c r="M163" i="12" s="1"/>
  <c r="I163" i="12"/>
  <c r="U309" i="4"/>
  <c r="M311" i="12" s="1"/>
  <c r="AA309" i="4"/>
  <c r="I311" i="12"/>
  <c r="U385" i="4"/>
  <c r="M386" i="12" s="1"/>
  <c r="AA385" i="4"/>
  <c r="I386" i="12"/>
  <c r="U358" i="4"/>
  <c r="M359" i="12" s="1"/>
  <c r="AA358" i="4"/>
  <c r="I359" i="12"/>
  <c r="U334" i="4"/>
  <c r="M336" i="12" s="1"/>
  <c r="AA334" i="4"/>
  <c r="I336" i="12"/>
  <c r="AA181" i="4"/>
  <c r="U181" i="4"/>
  <c r="M183" i="12" s="1"/>
  <c r="I183" i="12"/>
  <c r="U360" i="4"/>
  <c r="M361" i="12" s="1"/>
  <c r="AA360" i="4"/>
  <c r="I361" i="12"/>
  <c r="U381" i="4"/>
  <c r="M382" i="12" s="1"/>
  <c r="AA381" i="4"/>
  <c r="I382" i="12"/>
  <c r="AA268" i="4"/>
  <c r="U268" i="4"/>
  <c r="M270" i="12" s="1"/>
  <c r="I270" i="12"/>
  <c r="AA141" i="4"/>
  <c r="U141" i="4"/>
  <c r="M143" i="12" s="1"/>
  <c r="I143" i="12"/>
  <c r="U419" i="4"/>
  <c r="AA419" i="4"/>
  <c r="AA154" i="4"/>
  <c r="U154" i="4"/>
  <c r="M156" i="12" s="1"/>
  <c r="I156" i="12"/>
  <c r="U476" i="4"/>
  <c r="AA476" i="4"/>
  <c r="U329" i="4"/>
  <c r="M331" i="12" s="1"/>
  <c r="AA329" i="4"/>
  <c r="I331" i="12"/>
  <c r="AA148" i="4"/>
  <c r="U148" i="4"/>
  <c r="M150" i="12" s="1"/>
  <c r="I150" i="12"/>
  <c r="U312" i="4"/>
  <c r="M314" i="12" s="1"/>
  <c r="AA312" i="4"/>
  <c r="I314" i="12"/>
  <c r="U400" i="4"/>
  <c r="M398" i="12" s="1"/>
  <c r="AA400" i="4"/>
  <c r="I398" i="12"/>
  <c r="AA292" i="4"/>
  <c r="U292" i="4"/>
  <c r="M294" i="12" s="1"/>
  <c r="I294" i="12"/>
  <c r="U363" i="4"/>
  <c r="M364" i="12" s="1"/>
  <c r="AA363" i="4"/>
  <c r="I364" i="12"/>
  <c r="AA265" i="4"/>
  <c r="U265" i="4"/>
  <c r="M267" i="12" s="1"/>
  <c r="I267" i="12"/>
  <c r="U420" i="4"/>
  <c r="AA420" i="4"/>
  <c r="U422" i="4"/>
  <c r="AA422" i="4"/>
  <c r="U424" i="4"/>
  <c r="AA424" i="4"/>
  <c r="AA182" i="4"/>
  <c r="U182" i="4"/>
  <c r="M184" i="12" s="1"/>
  <c r="I184" i="12"/>
  <c r="U372" i="4"/>
  <c r="M373" i="12" s="1"/>
  <c r="AA372" i="4"/>
  <c r="I373" i="12"/>
  <c r="AA272" i="4"/>
  <c r="U272" i="4"/>
  <c r="M274" i="12" s="1"/>
  <c r="I274" i="12"/>
  <c r="U364" i="4"/>
  <c r="M365" i="12" s="1"/>
  <c r="AA364" i="4"/>
  <c r="I365" i="12"/>
  <c r="AA245" i="4"/>
  <c r="U245" i="4"/>
  <c r="M247" i="12" s="1"/>
  <c r="I247" i="12"/>
  <c r="U310" i="4"/>
  <c r="M312" i="12" s="1"/>
  <c r="AA310" i="4"/>
  <c r="I3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300-000001000000}">
      <text>
        <r>
          <rPr>
            <sz val="11"/>
            <color theme="1"/>
            <rFont val="Calibri"/>
            <family val="2"/>
            <charset val="1"/>
          </rPr>
          <t>Offerta Max ora tiene conto di: quotazione di mercato (Qt.A), budget/rosa della lega, modificatori difesa/centrocampo, aggressivita', whichlist E fantamedia reale 2025/26 rispetto alla media del ruolo (peso in Parametri Modello!B9).</t>
        </r>
      </text>
    </comment>
    <comment ref="G1" authorId="0" shapeId="0" xr:uid="{00000000-0006-0000-0300-000002000000}">
      <text>
        <r>
          <rPr>
            <sz val="11"/>
            <color theme="1"/>
            <rFont val="Calibri"/>
            <family val="2"/>
            <charset val="1"/>
          </rPr>
          <t>Prezzo base ora a due livelli: se il giocatore e' tra i migliori N per FVM nel ruolo (N = squadre x titolari da modulo preferito) prende la sua quota della fetta 'titolari' del budget di ruolo (85-96%, calibrato su aste reali); altrimenti prende la sua quota della piccola fetta 'riserve'. Sopra si applicano modificatori ruolo, performance storica e scarsita' live.</t>
        </r>
      </text>
    </comment>
    <comment ref="I1" authorId="0" shapeId="0" xr:uid="{00000000-0006-0000-0300-000003000000}">
      <text>
        <r>
          <rPr>
            <sz val="11"/>
            <color theme="1"/>
            <rFont val="Calibri"/>
            <family val="2"/>
            <charset val="1"/>
          </rPr>
          <t>Presenze (partite a voto) stagione 2025/26. Vuoto = nessuno storico disponibile (giocatore nuovo in Serie A o senza voti l'anno scorso).</t>
        </r>
      </text>
    </comment>
    <comment ref="M1" authorId="0" shapeId="0" xr:uid="{00000000-0006-0000-0300-000004000000}">
      <text>
        <r>
          <rPr>
            <sz val="11"/>
            <color theme="1"/>
            <rFont val="Calibri"/>
            <family val="2"/>
            <charset val="1"/>
          </rPr>
          <t>Inserisci qui il prezzo REALE pagato all'asta quando assegni un giocatore in colonna D. Serve per il tracking budget nel foglio 'La Mia Rosa'.</t>
        </r>
      </text>
    </comment>
    <comment ref="P1" authorId="0" shapeId="0" xr:uid="{00000000-0006-0000-0300-000005000000}">
      <text>
        <r>
          <rPr>
            <sz val="11"/>
            <color theme="1"/>
            <rFont val="Calibri"/>
            <family val="2"/>
            <charset val="1"/>
          </rPr>
          <t>Fascia calcolata sul posizionamento del FVM all'interno del ruolo (percentile). Non e' una previsione di rendimento: e' una lettura di quanto il mercato valuta gia' oggi quel giocatore rispetto ai suoi colleghi di ruolo.</t>
        </r>
      </text>
    </comment>
    <comment ref="AE1" authorId="0" shapeId="0" xr:uid="{00000000-0006-0000-0300-000006000000}">
      <text>
        <r>
          <rPr>
            <sz val="11"/>
            <color theme="1"/>
            <rFont val="Calibri"/>
            <family val="2"/>
            <charset val="1"/>
          </rPr>
          <t>Segnale informativo (Stato Asta): quanti giocatori Top/Buono restano nel tuo ruolo rispetto agli slot ancora da riempire in tutta la lega. NON influenza il prezzo consigliato (F/G/H) — e' solo per aiutarti a decidere se aspettare o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600-00000100000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Quanto e‘ aggressivo sui giocatori preferiti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O12" authorId="0" shapeId="0" xr:uid="{00000000-0006-0000-0C00-000001000000}">
      <text>
        <r>
          <rPr>
            <sz val="11"/>
            <color theme="1"/>
            <rFont val="Calibri"/>
            <family val="2"/>
            <charset val="1"/>
          </rPr>
          <t>Budget Rimanente diviso per gli slot che ti mancano ancora (di tutti i ruoli). E' la base per il segnale di Sostenibilita' Budget nei fogli Output Utente e Giocatori Liberi.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00000000-0006-0000-0D00-00000100000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FantaValoreMercato</t>
        </r>
      </text>
    </comment>
  </commentList>
</comments>
</file>

<file path=xl/sharedStrings.xml><?xml version="1.0" encoding="utf-8"?>
<sst xmlns="http://schemas.openxmlformats.org/spreadsheetml/2006/main" count="5785" uniqueCount="1257">
  <si>
    <t>Quotazioni Fantacalcio Stagione 2026 27</t>
  </si>
  <si>
    <t>Id</t>
  </si>
  <si>
    <t>R</t>
  </si>
  <si>
    <t>Nome</t>
  </si>
  <si>
    <t>Squadra</t>
  </si>
  <si>
    <t>Qt.A</t>
  </si>
  <si>
    <t>Qt.I</t>
  </si>
  <si>
    <t>FVM/1000</t>
  </si>
  <si>
    <t>P</t>
  </si>
  <si>
    <t>Svilar</t>
  </si>
  <si>
    <t>Roma</t>
  </si>
  <si>
    <t>Martinez Jo.</t>
  </si>
  <si>
    <t>Inter</t>
  </si>
  <si>
    <t>Carnesecchi</t>
  </si>
  <si>
    <t>Atalanta</t>
  </si>
  <si>
    <t>Butez</t>
  </si>
  <si>
    <t>Como</t>
  </si>
  <si>
    <t>Maignan</t>
  </si>
  <si>
    <t>Milan</t>
  </si>
  <si>
    <t>De Gea</t>
  </si>
  <si>
    <t>Fiorentina</t>
  </si>
  <si>
    <t>Meret</t>
  </si>
  <si>
    <t>Napoli</t>
  </si>
  <si>
    <t>Skorupski</t>
  </si>
  <si>
    <t>Bologna</t>
  </si>
  <si>
    <t>Caprile</t>
  </si>
  <si>
    <t>Cagliari</t>
  </si>
  <si>
    <t>Di Gregorio</t>
  </si>
  <si>
    <t>Juventus</t>
  </si>
  <si>
    <t>Mandas</t>
  </si>
  <si>
    <t>Lazio</t>
  </si>
  <si>
    <t>Okoye</t>
  </si>
  <si>
    <t>Udinese</t>
  </si>
  <si>
    <t>Bijlow</t>
  </si>
  <si>
    <t>Genoa</t>
  </si>
  <si>
    <t>Falcone</t>
  </si>
  <si>
    <t>Lecce</t>
  </si>
  <si>
    <t>Daffara</t>
  </si>
  <si>
    <t>Parma</t>
  </si>
  <si>
    <t>Suzuki</t>
  </si>
  <si>
    <t>Muric</t>
  </si>
  <si>
    <t>Sassuolo</t>
  </si>
  <si>
    <t>Perin</t>
  </si>
  <si>
    <t>Stankovic F.</t>
  </si>
  <si>
    <t>Venezia</t>
  </si>
  <si>
    <t>Thiam</t>
  </si>
  <si>
    <t>Monza</t>
  </si>
  <si>
    <t>Milinkovic-Savic V.</t>
  </si>
  <si>
    <t>Palmisani</t>
  </si>
  <si>
    <t>Frosinone</t>
  </si>
  <si>
    <t>Desplanches</t>
  </si>
  <si>
    <t>Provedel</t>
  </si>
  <si>
    <t>Rossi F.</t>
  </si>
  <si>
    <t>Sportiello</t>
  </si>
  <si>
    <t>Happonen</t>
  </si>
  <si>
    <t>Pessina Mas.</t>
  </si>
  <si>
    <t>Ciocci</t>
  </si>
  <si>
    <t>Sherri</t>
  </si>
  <si>
    <t>Tornqvist</t>
  </si>
  <si>
    <t>Vigorito</t>
  </si>
  <si>
    <t>Christensen O.</t>
  </si>
  <si>
    <t>Lezzerini</t>
  </si>
  <si>
    <t>Lolic</t>
  </si>
  <si>
    <t>Sommariva</t>
  </si>
  <si>
    <t>Stolz</t>
  </si>
  <si>
    <t>Di Gennaro</t>
  </si>
  <si>
    <t>Pinsoglio</t>
  </si>
  <si>
    <t>Motta</t>
  </si>
  <si>
    <t>Renzetti</t>
  </si>
  <si>
    <t>Samooja</t>
  </si>
  <si>
    <t>Terracciano</t>
  </si>
  <si>
    <t>Torriani</t>
  </si>
  <si>
    <t>Pizzignacco</t>
  </si>
  <si>
    <t>Strajnar</t>
  </si>
  <si>
    <t>Contini</t>
  </si>
  <si>
    <t>Corvi</t>
  </si>
  <si>
    <t>De Marzi</t>
  </si>
  <si>
    <t>Gollini</t>
  </si>
  <si>
    <t>Russo A.</t>
  </si>
  <si>
    <t>Turati</t>
  </si>
  <si>
    <t>Mascardi</t>
  </si>
  <si>
    <t>Torino</t>
  </si>
  <si>
    <t>Paleari</t>
  </si>
  <si>
    <t>Siviero</t>
  </si>
  <si>
    <t>Padelli</t>
  </si>
  <si>
    <t>Piana</t>
  </si>
  <si>
    <t>Grandi</t>
  </si>
  <si>
    <t>Pozzi</t>
  </si>
  <si>
    <t>D</t>
  </si>
  <si>
    <t>Dimarco</t>
  </si>
  <si>
    <t>Wesley</t>
  </si>
  <si>
    <t>Akanji</t>
  </si>
  <si>
    <t>Bremer</t>
  </si>
  <si>
    <t>Mancini</t>
  </si>
  <si>
    <t>Bastoni</t>
  </si>
  <si>
    <t>Pavlovic</t>
  </si>
  <si>
    <t>Rrahmani</t>
  </si>
  <si>
    <t>Kalulu</t>
  </si>
  <si>
    <t>N'Dicka</t>
  </si>
  <si>
    <t>Solet</t>
  </si>
  <si>
    <t>Stones</t>
  </si>
  <si>
    <t>Gila</t>
  </si>
  <si>
    <t>Di Lorenzo</t>
  </si>
  <si>
    <t>Ostigard</t>
  </si>
  <si>
    <t>Bisseck</t>
  </si>
  <si>
    <t>Scalvini</t>
  </si>
  <si>
    <t>Ramon</t>
  </si>
  <si>
    <t>Dodò</t>
  </si>
  <si>
    <t>Hermoso</t>
  </si>
  <si>
    <t>Vasquez</t>
  </si>
  <si>
    <t>Cambiaso</t>
  </si>
  <si>
    <t>Hien</t>
  </si>
  <si>
    <t>Zappacosta</t>
  </si>
  <si>
    <t>Lucumì</t>
  </si>
  <si>
    <t>Miranda J.</t>
  </si>
  <si>
    <t>Mina</t>
  </si>
  <si>
    <t>Dragusin</t>
  </si>
  <si>
    <t>Jimenez A.</t>
  </si>
  <si>
    <t>Norton-Cuffy</t>
  </si>
  <si>
    <t>Celik</t>
  </si>
  <si>
    <t>Bartesaghi</t>
  </si>
  <si>
    <t>Spinazzola</t>
  </si>
  <si>
    <t>Delprato</t>
  </si>
  <si>
    <t>Valeri</t>
  </si>
  <si>
    <t>Koulierakis</t>
  </si>
  <si>
    <t>Vojvoda</t>
  </si>
  <si>
    <t>Djimsiti</t>
  </si>
  <si>
    <t>Obert</t>
  </si>
  <si>
    <t>Kaiki</t>
  </si>
  <si>
    <t>Carlos Augusto</t>
  </si>
  <si>
    <t>Doekhi</t>
  </si>
  <si>
    <t>Romagnoli</t>
  </si>
  <si>
    <t>Tiago Gabriel</t>
  </si>
  <si>
    <t>Gabbia</t>
  </si>
  <si>
    <t>Tomori</t>
  </si>
  <si>
    <t>Buongiorno</t>
  </si>
  <si>
    <t>Idzes</t>
  </si>
  <si>
    <t>Coco</t>
  </si>
  <si>
    <t>Ismajli</t>
  </si>
  <si>
    <t>Kristensen T.</t>
  </si>
  <si>
    <t>Ahanor</t>
  </si>
  <si>
    <t>Bellanova</t>
  </si>
  <si>
    <t>Bernasconi</t>
  </si>
  <si>
    <t>Heggem</t>
  </si>
  <si>
    <t>Zortea</t>
  </si>
  <si>
    <t>Valle</t>
  </si>
  <si>
    <t>Valdepenas</t>
  </si>
  <si>
    <t>Viery</t>
  </si>
  <si>
    <t>Monterisi</t>
  </si>
  <si>
    <t>Marcandalli</t>
  </si>
  <si>
    <t>Pavard</t>
  </si>
  <si>
    <t>Tavares N.</t>
  </si>
  <si>
    <t>Marusic</t>
  </si>
  <si>
    <t>Gallo</t>
  </si>
  <si>
    <t>Mangas</t>
  </si>
  <si>
    <t>Beukema</t>
  </si>
  <si>
    <t>Circati</t>
  </si>
  <si>
    <t>Comuzzo</t>
  </si>
  <si>
    <t>Kamara H.</t>
  </si>
  <si>
    <t>Bella-Kotchap</t>
  </si>
  <si>
    <t>Kolasinac</t>
  </si>
  <si>
    <t>Vitik</t>
  </si>
  <si>
    <t>Holm</t>
  </si>
  <si>
    <t>Kofler</t>
  </si>
  <si>
    <t>Zè Pedro</t>
  </si>
  <si>
    <t>Kempf</t>
  </si>
  <si>
    <t>Parisi</t>
  </si>
  <si>
    <t>Bracaglia</t>
  </si>
  <si>
    <t>Oyono A.</t>
  </si>
  <si>
    <t>Martin</t>
  </si>
  <si>
    <t>Kelly L.</t>
  </si>
  <si>
    <t>Pedraza</t>
  </si>
  <si>
    <t>Gaspar K.</t>
  </si>
  <si>
    <t>Veiga D.</t>
  </si>
  <si>
    <t>Olivera</t>
  </si>
  <si>
    <t>Rensch</t>
  </si>
  <si>
    <t>Pedersen</t>
  </si>
  <si>
    <t>Moreno M.</t>
  </si>
  <si>
    <t>Haps</t>
  </si>
  <si>
    <t>Zappa</t>
  </si>
  <si>
    <t>Smolcic I.</t>
  </si>
  <si>
    <t>Pongracic</t>
  </si>
  <si>
    <t>Calvani</t>
  </si>
  <si>
    <t>Mitaj</t>
  </si>
  <si>
    <t>Gatti</t>
  </si>
  <si>
    <t>Siebert</t>
  </si>
  <si>
    <t>Delli Carri</t>
  </si>
  <si>
    <t>Lucchesi</t>
  </si>
  <si>
    <t>Birindelli</t>
  </si>
  <si>
    <t>Valenti</t>
  </si>
  <si>
    <t>Ghilardi</t>
  </si>
  <si>
    <t>Walukiewicz</t>
  </si>
  <si>
    <t>Doig</t>
  </si>
  <si>
    <t>Comert</t>
  </si>
  <si>
    <t>Kabasele</t>
  </si>
  <si>
    <t>Bertola</t>
  </si>
  <si>
    <t>Zanoli</t>
  </si>
  <si>
    <t>Arizala</t>
  </si>
  <si>
    <t>Halhal</t>
  </si>
  <si>
    <t>Correia T.</t>
  </si>
  <si>
    <t>Kossounou</t>
  </si>
  <si>
    <t>Casale</t>
  </si>
  <si>
    <t>Rodriguez Ju.</t>
  </si>
  <si>
    <t>Idrissi R.</t>
  </si>
  <si>
    <t>Ranieri L.</t>
  </si>
  <si>
    <t>Joao Mario</t>
  </si>
  <si>
    <t>Akpoguma</t>
  </si>
  <si>
    <t>Cittadini</t>
  </si>
  <si>
    <t>Provstgaard</t>
  </si>
  <si>
    <t>Floriani Mussolini</t>
  </si>
  <si>
    <t>De Winter</t>
  </si>
  <si>
    <t>Athekame</t>
  </si>
  <si>
    <t>Estupinan</t>
  </si>
  <si>
    <t>Kouadio</t>
  </si>
  <si>
    <t>Carboni A.</t>
  </si>
  <si>
    <t>Troilo</t>
  </si>
  <si>
    <t>Britschgi</t>
  </si>
  <si>
    <t>Candè</t>
  </si>
  <si>
    <t>Schingtienne</t>
  </si>
  <si>
    <t>Sverko</t>
  </si>
  <si>
    <t>Hainaut</t>
  </si>
  <si>
    <t>Helland</t>
  </si>
  <si>
    <t>Alhassane</t>
  </si>
  <si>
    <t>Van Der Brempt</t>
  </si>
  <si>
    <t>Otoa</t>
  </si>
  <si>
    <t>Puczka</t>
  </si>
  <si>
    <t>Sabelli</t>
  </si>
  <si>
    <t>Lazzari</t>
  </si>
  <si>
    <t>Pellegrini Lu.</t>
  </si>
  <si>
    <t>Jean</t>
  </si>
  <si>
    <t>Diawara S.</t>
  </si>
  <si>
    <t>Marin R.</t>
  </si>
  <si>
    <t>Biraghi</t>
  </si>
  <si>
    <t>Palma</t>
  </si>
  <si>
    <t>Ebosse</t>
  </si>
  <si>
    <t>Franjic</t>
  </si>
  <si>
    <t>Sagrado</t>
  </si>
  <si>
    <t>De Silvestri</t>
  </si>
  <si>
    <t>Raterink</t>
  </si>
  <si>
    <t>Goldaniga</t>
  </si>
  <si>
    <t>Cuenca A.</t>
  </si>
  <si>
    <t>Amey</t>
  </si>
  <si>
    <t>Gelli J.</t>
  </si>
  <si>
    <t>Oyono J.</t>
  </si>
  <si>
    <t>Corrado</t>
  </si>
  <si>
    <t>Vogliacco</t>
  </si>
  <si>
    <t>Matturro</t>
  </si>
  <si>
    <t>Rugani</t>
  </si>
  <si>
    <t>Cabal</t>
  </si>
  <si>
    <t>Patric</t>
  </si>
  <si>
    <t>Perez M.</t>
  </si>
  <si>
    <t>Ndaba</t>
  </si>
  <si>
    <t>Antov</t>
  </si>
  <si>
    <t>Bakoune</t>
  </si>
  <si>
    <t>Marianucci</t>
  </si>
  <si>
    <t>Mazzocchi</t>
  </si>
  <si>
    <t>Ndiaye</t>
  </si>
  <si>
    <t>Carboni F.</t>
  </si>
  <si>
    <t>Ziolkowski</t>
  </si>
  <si>
    <t>Missori</t>
  </si>
  <si>
    <t>Pieragnolo</t>
  </si>
  <si>
    <t>Mlacic</t>
  </si>
  <si>
    <t>Abankwah</t>
  </si>
  <si>
    <t>Gomes</t>
  </si>
  <si>
    <t>C</t>
  </si>
  <si>
    <t>Paz N.</t>
  </si>
  <si>
    <t>McTominay</t>
  </si>
  <si>
    <t>Calhanoglu</t>
  </si>
  <si>
    <t>Orsolini</t>
  </si>
  <si>
    <t>Pulisic</t>
  </si>
  <si>
    <t>Rabiot</t>
  </si>
  <si>
    <t>Baturina</t>
  </si>
  <si>
    <t>Da Cunha</t>
  </si>
  <si>
    <t>Zaniolo</t>
  </si>
  <si>
    <t>Atta</t>
  </si>
  <si>
    <t>Barella</t>
  </si>
  <si>
    <t>McKennie</t>
  </si>
  <si>
    <t>Zaccagni</t>
  </si>
  <si>
    <t>De Bruyne</t>
  </si>
  <si>
    <t>Vlasic</t>
  </si>
  <si>
    <t>Gudmundsson A.</t>
  </si>
  <si>
    <t>Taylor K.</t>
  </si>
  <si>
    <t>Ederson D.S.</t>
  </si>
  <si>
    <t>Samardzic</t>
  </si>
  <si>
    <t>Rodriguez Je.</t>
  </si>
  <si>
    <t>Alajbegovic</t>
  </si>
  <si>
    <t>Conceicao</t>
  </si>
  <si>
    <t>Modric</t>
  </si>
  <si>
    <t>Rowe</t>
  </si>
  <si>
    <t>Baldanzi</t>
  </si>
  <si>
    <t>Zambo Anguissa</t>
  </si>
  <si>
    <t>Perrone</t>
  </si>
  <si>
    <t>Zielinski</t>
  </si>
  <si>
    <t>Thuram K.</t>
  </si>
  <si>
    <t>Saelemaekers</t>
  </si>
  <si>
    <t>Politano</t>
  </si>
  <si>
    <t>Konè M.</t>
  </si>
  <si>
    <t>Thorstvedt</t>
  </si>
  <si>
    <t>Casadei</t>
  </si>
  <si>
    <t>Ekkelenkamp</t>
  </si>
  <si>
    <t>Pasalic</t>
  </si>
  <si>
    <t>Bernardeschi</t>
  </si>
  <si>
    <t>Mandragora</t>
  </si>
  <si>
    <t>Cancellieri</t>
  </si>
  <si>
    <t>Isaksen</t>
  </si>
  <si>
    <t>Konè I.</t>
  </si>
  <si>
    <t>Odgaard</t>
  </si>
  <si>
    <t>Cambiaghi</t>
  </si>
  <si>
    <t>Fagioli</t>
  </si>
  <si>
    <t>Ndour</t>
  </si>
  <si>
    <t>Diouf</t>
  </si>
  <si>
    <t>Sucic P.</t>
  </si>
  <si>
    <t>Locatelli</t>
  </si>
  <si>
    <t>Colpani</t>
  </si>
  <si>
    <t>Vergara</t>
  </si>
  <si>
    <t>Cristante</t>
  </si>
  <si>
    <t>Gaetano</t>
  </si>
  <si>
    <t>Ferguson</t>
  </si>
  <si>
    <t>Fazzini</t>
  </si>
  <si>
    <t>Calò</t>
  </si>
  <si>
    <t>Frendrup</t>
  </si>
  <si>
    <t>Frattesi</t>
  </si>
  <si>
    <t>Pessina</t>
  </si>
  <si>
    <t>Lobotka</t>
  </si>
  <si>
    <t>Bernabè</t>
  </si>
  <si>
    <t>Volpato</t>
  </si>
  <si>
    <t>Oristanio</t>
  </si>
  <si>
    <t>Unai Gomez</t>
  </si>
  <si>
    <t>Zalewski</t>
  </si>
  <si>
    <t>Pobega</t>
  </si>
  <si>
    <t>Adopo</t>
  </si>
  <si>
    <t>Winks</t>
  </si>
  <si>
    <t>Caqueret</t>
  </si>
  <si>
    <t>Liberali</t>
  </si>
  <si>
    <t>Oulai</t>
  </si>
  <si>
    <t>Ellertsson</t>
  </si>
  <si>
    <t>Zhegrova</t>
  </si>
  <si>
    <t>Rovella</t>
  </si>
  <si>
    <t>Coulibaly L.</t>
  </si>
  <si>
    <t>Pierotti</t>
  </si>
  <si>
    <t>Chukwueze</t>
  </si>
  <si>
    <t>Akinsanmiro</t>
  </si>
  <si>
    <t>Nicolussi Caviglia</t>
  </si>
  <si>
    <t>Karlstrom</t>
  </si>
  <si>
    <t>Basic</t>
  </si>
  <si>
    <t>Amondarain</t>
  </si>
  <si>
    <t>Romano</t>
  </si>
  <si>
    <t>Felici</t>
  </si>
  <si>
    <t>Milla</t>
  </si>
  <si>
    <t>Addai</t>
  </si>
  <si>
    <t>Zerbin</t>
  </si>
  <si>
    <t>Meichtry</t>
  </si>
  <si>
    <t>Traorè Hj.</t>
  </si>
  <si>
    <t>Mkhitaryan</t>
  </si>
  <si>
    <t>Koopmeiners</t>
  </si>
  <si>
    <t>Dele-Bashiru</t>
  </si>
  <si>
    <t>Berisha M.</t>
  </si>
  <si>
    <t>Gandelman</t>
  </si>
  <si>
    <t>Fofana Y.</t>
  </si>
  <si>
    <t>Keita M.</t>
  </si>
  <si>
    <t>Ondrejka</t>
  </si>
  <si>
    <t>Pisilli</t>
  </si>
  <si>
    <t>Matic</t>
  </si>
  <si>
    <t>Adzic</t>
  </si>
  <si>
    <t>Bakola</t>
  </si>
  <si>
    <t>Cacciamani</t>
  </si>
  <si>
    <t>Gineitis</t>
  </si>
  <si>
    <t>Piotrowski</t>
  </si>
  <si>
    <t>Busio</t>
  </si>
  <si>
    <t>Sohm</t>
  </si>
  <si>
    <t>Perez K.</t>
  </si>
  <si>
    <t>De Roon</t>
  </si>
  <si>
    <t>Moro N.</t>
  </si>
  <si>
    <t>Prati</t>
  </si>
  <si>
    <t>Fabbian</t>
  </si>
  <si>
    <t>Cichella</t>
  </si>
  <si>
    <t>Koutsoupias</t>
  </si>
  <si>
    <t>Amorim</t>
  </si>
  <si>
    <t>Luis Henrique</t>
  </si>
  <si>
    <t>Douglas Luiz</t>
  </si>
  <si>
    <t>Cataldi</t>
  </si>
  <si>
    <t>Ngom</t>
  </si>
  <si>
    <t>Ricci S.</t>
  </si>
  <si>
    <t>Jashari</t>
  </si>
  <si>
    <t>Loftus-Cheek</t>
  </si>
  <si>
    <t>Folorunsho</t>
  </si>
  <si>
    <t>Almqvist</t>
  </si>
  <si>
    <t>El Aynaoui</t>
  </si>
  <si>
    <t>Fitz-Jim</t>
  </si>
  <si>
    <t>Ilkhan</t>
  </si>
  <si>
    <t>Njie</t>
  </si>
  <si>
    <t>Sulemana I.</t>
  </si>
  <si>
    <t>Dominguez B.</t>
  </si>
  <si>
    <t>Deiola</t>
  </si>
  <si>
    <t>Brescianini</t>
  </si>
  <si>
    <t>Gelli F.</t>
  </si>
  <si>
    <t xml:space="preserve">Fini </t>
  </si>
  <si>
    <t>Messias</t>
  </si>
  <si>
    <t>Stankovic A.</t>
  </si>
  <si>
    <t>Miretti</t>
  </si>
  <si>
    <t>Colombo L.</t>
  </si>
  <si>
    <t>Gilmour</t>
  </si>
  <si>
    <t>Sorensen O.</t>
  </si>
  <si>
    <t>Diallo O.</t>
  </si>
  <si>
    <t>Aboukhlal</t>
  </si>
  <si>
    <t>Miller L.</t>
  </si>
  <si>
    <t>Helgason</t>
  </si>
  <si>
    <t>El Azzouzi O.</t>
  </si>
  <si>
    <t>Fadera</t>
  </si>
  <si>
    <t>Hasa</t>
  </si>
  <si>
    <t>Masini</t>
  </si>
  <si>
    <t>Venturino</t>
  </si>
  <si>
    <t>Maleh</t>
  </si>
  <si>
    <t>Musah</t>
  </si>
  <si>
    <t>Ciurria</t>
  </si>
  <si>
    <t>Ordonez C.</t>
  </si>
  <si>
    <t>Boloca</t>
  </si>
  <si>
    <t>Lipani</t>
  </si>
  <si>
    <t>Chakvetadze</t>
  </si>
  <si>
    <t>Duncan</t>
  </si>
  <si>
    <t>Liteta</t>
  </si>
  <si>
    <t>Lahdo</t>
  </si>
  <si>
    <t>El Azzouzi A.</t>
  </si>
  <si>
    <t>Kone B.</t>
  </si>
  <si>
    <t>Belahyane</t>
  </si>
  <si>
    <t>Przyborek</t>
  </si>
  <si>
    <t>Gorter</t>
  </si>
  <si>
    <t>Kaba</t>
  </si>
  <si>
    <t>Fofana Sa.</t>
  </si>
  <si>
    <t>Cremaschi</t>
  </si>
  <si>
    <t>Iannoni</t>
  </si>
  <si>
    <t>Ilic</t>
  </si>
  <si>
    <t>Anjorin</t>
  </si>
  <si>
    <t>Camara A.</t>
  </si>
  <si>
    <t>Zarraga</t>
  </si>
  <si>
    <t>Bjarkason</t>
  </si>
  <si>
    <t>Dagasso</t>
  </si>
  <si>
    <t>A</t>
  </si>
  <si>
    <t>Martinez L.</t>
  </si>
  <si>
    <t>Malen</t>
  </si>
  <si>
    <t>Thuram</t>
  </si>
  <si>
    <t>Hojlund</t>
  </si>
  <si>
    <t>Ramos G.</t>
  </si>
  <si>
    <t>Kolo Muani</t>
  </si>
  <si>
    <t>Kean</t>
  </si>
  <si>
    <t>Yildiz</t>
  </si>
  <si>
    <t>Douvikas</t>
  </si>
  <si>
    <t>Scamacca</t>
  </si>
  <si>
    <t>Davis K.</t>
  </si>
  <si>
    <t>Krstovic</t>
  </si>
  <si>
    <t>Leao</t>
  </si>
  <si>
    <t>Berardi</t>
  </si>
  <si>
    <t>De Ketelaere</t>
  </si>
  <si>
    <t>Dovbyk</t>
  </si>
  <si>
    <t>Esposito F.P.</t>
  </si>
  <si>
    <t>Pellegrino M.</t>
  </si>
  <si>
    <t>Laurientè</t>
  </si>
  <si>
    <t>Simeone</t>
  </si>
  <si>
    <t>Santos A.</t>
  </si>
  <si>
    <t>Dybala</t>
  </si>
  <si>
    <t>Castro S.</t>
  </si>
  <si>
    <t>Raspadori</t>
  </si>
  <si>
    <t>Esposito Se.</t>
  </si>
  <si>
    <t>Nkunku</t>
  </si>
  <si>
    <t>Pinamonti</t>
  </si>
  <si>
    <t>Soulè</t>
  </si>
  <si>
    <t>Adams A.</t>
  </si>
  <si>
    <t>Diao</t>
  </si>
  <si>
    <t>Colombo</t>
  </si>
  <si>
    <t>Dia</t>
  </si>
  <si>
    <t>Ratkov</t>
  </si>
  <si>
    <t>Lukaku</t>
  </si>
  <si>
    <t>Bowie</t>
  </si>
  <si>
    <t>Ghedjemis</t>
  </si>
  <si>
    <t>David</t>
  </si>
  <si>
    <t>Geubbels</t>
  </si>
  <si>
    <t>Cutrone</t>
  </si>
  <si>
    <t>Adams C.</t>
  </si>
  <si>
    <t>Dallinga</t>
  </si>
  <si>
    <t>Piccoli</t>
  </si>
  <si>
    <t>Vitinha O.</t>
  </si>
  <si>
    <t>Yeboah J.</t>
  </si>
  <si>
    <t>Rrahmani Al.</t>
  </si>
  <si>
    <t>Raimondo</t>
  </si>
  <si>
    <t>Bonny</t>
  </si>
  <si>
    <t>Stulic</t>
  </si>
  <si>
    <t>Zapata D.</t>
  </si>
  <si>
    <t>Sulemana K.</t>
  </si>
  <si>
    <t>Mutandwa</t>
  </si>
  <si>
    <t>Boga</t>
  </si>
  <si>
    <t>Noslin</t>
  </si>
  <si>
    <t>Gimenez</t>
  </si>
  <si>
    <t>Neres</t>
  </si>
  <si>
    <t>Maldini</t>
  </si>
  <si>
    <t>Camarda</t>
  </si>
  <si>
    <t>Mota</t>
  </si>
  <si>
    <t>Frigan</t>
  </si>
  <si>
    <t>Adorante</t>
  </si>
  <si>
    <t>Borrelli</t>
  </si>
  <si>
    <t>Mendy P.</t>
  </si>
  <si>
    <t>Morata</t>
  </si>
  <si>
    <t>Kvernadze</t>
  </si>
  <si>
    <t>Havel</t>
  </si>
  <si>
    <t>Giovane</t>
  </si>
  <si>
    <t>Kulenovic</t>
  </si>
  <si>
    <t>Gueye</t>
  </si>
  <si>
    <t>Kuhn</t>
  </si>
  <si>
    <t>Ekhator</t>
  </si>
  <si>
    <t>N'Dri</t>
  </si>
  <si>
    <t>Varela G.</t>
  </si>
  <si>
    <t>Lang</t>
  </si>
  <si>
    <t>Lucca</t>
  </si>
  <si>
    <t>Elphege</t>
  </si>
  <si>
    <t>Petagna</t>
  </si>
  <si>
    <t xml:space="preserve">Buksa </t>
  </si>
  <si>
    <t>Albarracin</t>
  </si>
  <si>
    <t>Trepy</t>
  </si>
  <si>
    <t>Azon</t>
  </si>
  <si>
    <t>Vaz</t>
  </si>
  <si>
    <t>Moro L.</t>
  </si>
  <si>
    <t>Bayo V.</t>
  </si>
  <si>
    <t>Lisman</t>
  </si>
  <si>
    <t>Lauberbach</t>
  </si>
  <si>
    <t>Guida — Motore Prezzi Asta Fantacalcio</t>
  </si>
  <si>
    <t>Questo file calcola automaticamente un prezzo massimo consigliato e un range di valutazione per ciascun giocatore, in base al budget, alla rosa, alle regole della lega e ai dati FVM/statistici. Il motore si aggiorna modificando i parametri e gli assegnamenti dell'asta.</t>
  </si>
  <si>
    <t>Come e' organizzato il file</t>
  </si>
  <si>
    <t>• Info Lega: dati della tua lega (budget, rosa, regole, nomi squadre). 'La Mia Squadra' (B28) identifica la tua squadra.</t>
  </si>
  <si>
    <t>• Info Strategia: modulo preferito, aggressivita' e lista 'Giocatori Preferiti' (colonna D).</t>
  </si>
  <si>
    <t>• Parametri Modello: tutte le leve del motore prezzi, incluse soglia minima di presenze storiche e gestione della scarsita'.</t>
  </si>
  <si>
    <t>• Input Giocatori 2026_27: il listone originale, invariato — e' la fonte dati.</t>
  </si>
  <si>
    <t>• Output Utente: tabella madre con un giocatore per riga, prezzo consigliato, range, statistiche e stato dell'asta.</t>
  </si>
  <si>
    <t>• Giocatori Liberi: elenco ordinato dei giocatori non ancora assegnati; il calcolo della scarsita' puo' escludere i giocatori con Qt.A=1.</t>
  </si>
  <si>
    <t>• La Mia Rosa: la tua rosa attuale + budget speso/rimanente + slot per ruolo, live durante l'asta.</t>
  </si>
  <si>
    <t>Come si calcola il prezzo (Output Utente)</t>
  </si>
  <si>
    <t>1. Prezzo Base FVM = (FVM del giocatore / Somma FVM Pool Totale) × Budget Totale Lega. Il pool comprende, per ciascun ruolo, i migliori N giocatori per FVM, dove N e' il numero totale di slot di quel ruolo nella lega. Il denominatore e' la somma dei pool di tutti i ruoli.</t>
  </si>
  <si>
    <t>2. Se il Modificatore Difesa o Centrocampo della tua lega e' attivo, il Prezzo Base del ruolo interessato viene aumentato del Boost Modificatore Ruolo (default +15%).</t>
  </si>
  <si>
    <t>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</si>
  <si>
    <t>4. Scarsita' di ruolo (fattore di Prezzo Base): confronta giocatori liberi e slot ancora da riempire IN TUTTA LA LEGA (titolari+riserve) per modulare leggermente il prezzo base di mercato. E' un segnale diverso dalla Quality Scarcity di Stato Asta/Dashboard (vedi riga 47): qui l'obiettivo e' la liquidita' generale del mercato, non 'quanto e' rischioso aspettare per un titolare'.</t>
  </si>
  <si>
    <t>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</si>
  <si>
    <t>Statistiche stagione precedente — filtro minimo presenze</t>
  </si>
  <si>
    <t>Le colonne Presenze / Gol / Assist / Media Voto / Fantamedia 2025/26 sono collegate al foglio 'Input Statistiche 2025_26'.</t>
  </si>
  <si>
    <t>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</si>
  <si>
    <t>I giocatori senza storico o sotto la soglia minima non ricevono bonus/malus dalla performance storica: il loro prezzo resta determinato dagli altri componenti del motore.</t>
  </si>
  <si>
    <t>Fascia Aspettativa</t>
  </si>
  <si>
    <t>Il posizionamento del FVM nel ruolo (Top / Buono / Nella Media / Scommessa) misura quanto il mercato valuta oggi il giocatore. E' complementare alla Fantamedia storica.</t>
  </si>
  <si>
    <t>Come usare il motore durante l'asta</t>
  </si>
  <si>
    <t>• Quando un giocatore viene acquistato, inserisci Squadra Assegnata e Prezzo Pagato: la scarsita' e i dati della rosa si aggiornano.</t>
  </si>
  <si>
    <t>• L'Offerta Max rappresenta il tetto consigliato dalla strategia. Per una versione live piu' avanzata, il prossimo passo e' confrontare questo tetto con budget residuo, slot residui e alternative ancora disponibili.</t>
  </si>
  <si>
    <t>• La logica puo' essere portata in una web app mantenendo Excel come ambiente di validazione e test del motore.</t>
  </si>
  <si>
    <t>Validazione del motore tramite simulazione</t>
  </si>
  <si>
    <t>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</si>
  <si>
    <t>Confidence Storico: indicatore informativo della solidita' del dato storico, basato sulle presenze. Non modifica il prezzo. Serve a distinguere una Fantamedia ottenuta su molte partite da una ottenuta su un campione molto piccolo.</t>
  </si>
  <si>
    <t>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</si>
  <si>
    <t>FantaAuction Engine — Cowork Final</t>
  </si>
  <si>
    <t>Nuovi fogli aggiunti in questa versione</t>
  </si>
  <si>
    <t>• Dashboard Asta: vista unica con stato asta, tabella qualita' TOP/BUONI/MEDIA/SCOMMESSE per ruolo, sintesi rosa e copertura titolari.</t>
  </si>
  <si>
    <t>• Decisione Live: scheda del singolo giocatore. Scrivi il nome e il prezzo attuale: FVM, Range, Max Bid, Pressione Competitiva e Decisione (BID/PASS/ATTENZIONE) con motivazione.</t>
  </si>
  <si>
    <t>• Pressione Competitiva + TeamDetail: stima, per ruolo, quante squadre avversarie cercano ancora un titolare e con quanto budget. E' informativa: NON moltiplica il FVM.</t>
  </si>
  <si>
    <t>• Giocatori Da Chiamare: griglia Ruolo x Fascia con i nomi ancora disponibili (non assegnati, Qt.A&gt;1). Risponde a 'se lo lascio andare, cosa mi resta?'.</t>
  </si>
  <si>
    <t>• Analisi Asta Reale 2025: benchmark su prezzi reali di un'asta 2025 vs FVM pre-stagione. Spiega i fenomeni (bidding war attaccanti, difensori a costo quasi nullo), non sostituisce il motore.</t>
  </si>
  <si>
    <t>• Simulazioni: struttura pronta per confrontare 6 varianti del motore (A-F) su 100-1000 aste simulate, obiettivo FVM totale rosa finale.</t>
  </si>
  <si>
    <t>Cosa e' cambiato nei fogli esistenti</t>
  </si>
  <si>
    <t>• Fascia Aspettativa (Output Utente) ora usa soglie percentile configurabili in Parametri Modello (righe 62-65), non piu' fisse all'85%/60%/30%.</t>
  </si>
  <si>
    <t>• Giocatori Liberi e Stato Asta ora escludono correttamente i giocatori con Qt.A=1 anche dai conteggi Top/Buoni Rimasti (prima erano esclusi solo dal rapporto di scarsita').</t>
  </si>
  <si>
    <t>• Stato Asta mostra Top/Buoni/Media/Scommesse Rimasti, Titolari Residui e Riserve Residue (separati), e la Quality Scarcity = Top+Buoni rimasti / TITOLARI RESIDUI (non piu' tutti gli slot residui: corretto in questa revisione, era il bug principale segnalato in una review esterna). Mostra anche un segnale parallelo di Pressione sulle Riserve (Media+Scommesse / Riserve Residue) e la Quality Coverage (Top+Buoni / Totale disponibili) come indicatore secondario.</t>
  </si>
  <si>
    <t>• Output Utente ha 7 colonne nuove: Titolare/Riserva (mercato), Pressione Competitiva Ruolo, Opportunity Gap (+ segnale), Motivo Decisione, e 2 colonne tecniche per la griglia Giocatori Da Chiamare.</t>
  </si>
  <si>
    <t>• La Mia Rosa mostra ora Prezzo Pagato, Differenza FVM-Prezzo, Titolare/Riserva per ogni giocatore (classificato per rank FVM nel ruolo, non per prezzo pagato), FVM Totale Acquistato, Crediti Spesi, Efficienza, e copertura titolari per ruolo.</t>
  </si>
  <si>
    <t>• Decisione Live (colonna in Output Utente) usa la stessa soglia parametrica dell'Opportunity Gap invece di un valore fisso 0.85 nascosto nella formula.</t>
  </si>
  <si>
    <t>• Pressione Ruolo (Output Utente, colonna AE) ora distingue: se il giocatore chiamato e' lui stesso di fascia Titolare, usa la Pressione Asta basata sui titolari residui; se e' di fascia Riserva, usa la nuova Pressione Riserve basata sulle riserve residue. Prima usava sempre lo stesso segnale (basato sui titolari) anche per le riserve, sovrastimando l'urgenza su giocatori che contano poco.</t>
  </si>
  <si>
    <t>VERSIONE / LOG DELLE MODIFICHE</t>
  </si>
  <si>
    <t>v9 — Auction State: prima gestione dello stato dell'asta (giocatori chiamati/assegnati).</t>
  </si>
  <si>
    <t>v10 — Calibrata: modello FVM-proporzionale calibrato su dati reali (sostituisce lo scaling da Qt.A).</t>
  </si>
  <si>
    <t>v11 — Titolari/Riserve: modello a due livelli (85-96% budget di ruolo ai titolari), scarsita' di ruolo con esclusione Qt.A=1, soglia minima presenze per le statistiche, fasce Top/Buono/Media/Scommessa per percentile.</t>
  </si>
  <si>
    <t>FINAL — Cowork: soglie fascia parametrizzate; Qt.A=1 escluso ovunque dai 'disponibili' (non solo dalla scarsita'); Quality Scarcity completa (4 fasce, non solo Top+Buoni); Pressione Competitiva per ruolo (nuova, informativa); Opportunity Gap esplicito con soglie configurabili; Dashboard Asta; Decisione Live (scheda giocatore); Giocatori Da Chiamare (griglia Ruolo x Fascia); La Mia Rosa con FVM Totale Acquistato e copertura titolari; Analisi Asta Reale 2025; scaffold Simulazioni A-F.</t>
  </si>
  <si>
    <t>REVIEW TECNICA (v.GPT) — Correzioni: Quality Scarcity ora divide per Titolari Residui invece che per tutti gli slot residui (bug principale segnalato); aggiunte colonne esplicite Titolari Residui / Riserve Residue / Valore Atteso per Titolare (Parametri Modello, Stato Asta, Dashboard Asta); Pressione Ruolo distingue titolare/riserva; Pressione Competitiva aggiunge 'N Squadre Candidate Reali' (bisogno + budget sufficiente, oltre al conteggio grezzo); Simulazioni estese con deviazione standard, % vittorie testa a testa e fallimenti completamento rosa (60 aste x strategia). Confermato senza modifiche: Titolare/Riserva (mercato) era gia' basato sul rank FVM nel ruolo, non sul prezzo pagato. CORREZIONE SUCCESSIVA: il file Rose_fantalba-2025.xlsx usato inizialmente era incompleto (solo 4 squadre su 8) — l'utente ha fornito il file originale corretto (8 squadre + Svincolati). L'etichetta '8 squadre' era giusta fin dall'inizio; la mia correzione a '6 squadre-stagione' era sbagliata, basata sul file incompleto. Foglio 'Analisi Asta Reale 2025' ricostruito da zero con il dataset completo (8 squadre 2025 + 2 squadre 2023 = 10 squadre-stagione).</t>
  </si>
  <si>
    <t>Generato: 2026-08-12</t>
  </si>
  <si>
    <t>DASHBOARD ASTA — vista live</t>
  </si>
  <si>
    <t>Giocatori chiamati / Totale</t>
  </si>
  <si>
    <t>% Asta completata</t>
  </si>
  <si>
    <t>Prezzo medio pagato</t>
  </si>
  <si>
    <t>Budget medio residuo squadre attive</t>
  </si>
  <si>
    <t>Ruolo</t>
  </si>
  <si>
    <t>TOP</t>
  </si>
  <si>
    <t>BUONI</t>
  </si>
  <si>
    <t>MEDIA</t>
  </si>
  <si>
    <t>SCOMMESSE</t>
  </si>
  <si>
    <t>Totale Disp.</t>
  </si>
  <si>
    <t>Slot Residui Lega</t>
  </si>
  <si>
    <t>Quality Coverage</t>
  </si>
  <si>
    <t>Pressione Asta (scarsita')</t>
  </si>
  <si>
    <t>Pressione Competitiva</t>
  </si>
  <si>
    <t>Titolari Residui</t>
  </si>
  <si>
    <t>Riserve Residue</t>
  </si>
  <si>
    <t>Squadre Candidate Reali</t>
  </si>
  <si>
    <t>LA MIA ROSA — sintesi</t>
  </si>
  <si>
    <t>Budget Residuo</t>
  </si>
  <si>
    <t>Slot Residui</t>
  </si>
  <si>
    <t>FVM Totale Acquistato</t>
  </si>
  <si>
    <t>Crediti Spesi</t>
  </si>
  <si>
    <t>Efficienza (FVM/credito)</t>
  </si>
  <si>
    <t>Copertura Titolari (prossimo bisogno)</t>
  </si>
  <si>
    <t>Titolari Coperti</t>
  </si>
  <si>
    <t>Titolari Necessari</t>
  </si>
  <si>
    <t>Riserve Coperte</t>
  </si>
  <si>
    <t>Prossimo Slot</t>
  </si>
  <si>
    <t>DECISIONE LIVE — scheda giocatore in asta</t>
  </si>
  <si>
    <t>Nome Giocatore (scrivi il nome esatto)</t>
  </si>
  <si>
    <t>Prezzo Attuale in Asta (crediti)</t>
  </si>
  <si>
    <t>FVM / 1000</t>
  </si>
  <si>
    <t>Fascia (mercato)</t>
  </si>
  <si>
    <t>Titolare/Riserva (mercato)</t>
  </si>
  <si>
    <t>E' un tuo Preferito (Whichlist)</t>
  </si>
  <si>
    <t>VALORE / RANGE / MAX BID</t>
  </si>
  <si>
    <t>Valutazione Min (Range Min)</t>
  </si>
  <si>
    <t>Prezzo ragionevole minimo secondo il motore.</t>
  </si>
  <si>
    <t>Valutazione Max (Range Max)</t>
  </si>
  <si>
    <t>Prezzo ragionevole massimo secondo il motore.</t>
  </si>
  <si>
    <t>Offerta Max Strategica</t>
  </si>
  <si>
    <t>Range + Aggressivita' + eventuale boost Preferito. Non ancora limitata dal budget.</t>
  </si>
  <si>
    <t>Budget Residuo (tuo)</t>
  </si>
  <si>
    <t>Slot Residui (tuoi, tutti i ruoli)</t>
  </si>
  <si>
    <t>OFFERTA MAX DINAMICA (il tuo vero tetto)</t>
  </si>
  <si>
    <t>MIN(Offerta Max Strategica, Budget Spendibile). Non puo' mai superare quanto puoi davvero permetterti.</t>
  </si>
  <si>
    <t>PRESSIONE COMPETITIVA (informativa)</t>
  </si>
  <si>
    <t>Pressione Competitiva sul ruolo</t>
  </si>
  <si>
    <t>Motivo</t>
  </si>
  <si>
    <t>DECISIONE</t>
  </si>
  <si>
    <t>Prezzo Attuale (da cella B4)</t>
  </si>
  <si>
    <t>Opportunity Gap (Max Bid Dinamica - Prezzo Attuale)</t>
  </si>
  <si>
    <t>Segnale</t>
  </si>
  <si>
    <t>Attenzione</t>
  </si>
  <si>
    <t>Squadra Assegnata</t>
  </si>
  <si>
    <t>Whichlist</t>
  </si>
  <si>
    <t>Offerta Max</t>
  </si>
  <si>
    <t>Valutazione Min</t>
  </si>
  <si>
    <t>Valutazione Max</t>
  </si>
  <si>
    <t>Presenze 25/26 (Pv)</t>
  </si>
  <si>
    <t>Assenze 25/26 (stim.)</t>
  </si>
  <si>
    <t>Gol 25/26</t>
  </si>
  <si>
    <t>Assist 25/26</t>
  </si>
  <si>
    <t>Prezzo Pagato</t>
  </si>
  <si>
    <t>_OrdineLiberi</t>
  </si>
  <si>
    <t>_OrdineMiaRosa</t>
  </si>
  <si>
    <t>Mv 25/26</t>
  </si>
  <si>
    <t>Fm 25/26</t>
  </si>
  <si>
    <t>Sostenibilità Budget</t>
  </si>
  <si>
    <t>Rank FVM nel Ruolo</t>
  </si>
  <si>
    <t>Budget Minimo Riserva</t>
  </si>
  <si>
    <t>Budget Spendibile</t>
  </si>
  <si>
    <t>Offerta Max Dinamica</t>
  </si>
  <si>
    <t>Prezzo Corrente</t>
  </si>
  <si>
    <t>Decisione Live</t>
  </si>
  <si>
    <t>Confidence Storico</t>
  </si>
  <si>
    <t>Pressione Ruolo</t>
  </si>
  <si>
    <t>Pressione Competitiva Ruolo</t>
  </si>
  <si>
    <t>Opportunity Gap</t>
  </si>
  <si>
    <t>Opportunity Gap Segnale</t>
  </si>
  <si>
    <t>Motivo Decisione</t>
  </si>
  <si>
    <t>_RankDisponibiliRuoloFascia</t>
  </si>
  <si>
    <t>_ChiaveRuoloFasciaRank</t>
  </si>
  <si>
    <t>STATO ASTA — Auction State (si aggiorna da solo mentre assegni giocatori)</t>
  </si>
  <si>
    <t>Giocatori chiamati / Totale listone</t>
  </si>
  <si>
    <t>Prezzo medio pagato finora (tutti i ruoli)</t>
  </si>
  <si>
    <t>Top Rimasti</t>
  </si>
  <si>
    <t>Buoni Rimasti</t>
  </si>
  <si>
    <t>Top+Buoni Rimasti</t>
  </si>
  <si>
    <t>Slot Ancora da Riempire (Lega)</t>
  </si>
  <si>
    <t>Rapporto Qualita'/Titolari Residui (Quality Scarcity corretta)</t>
  </si>
  <si>
    <t>Pressione Asta</t>
  </si>
  <si>
    <t>Prezzo Medio Pagato</t>
  </si>
  <si>
    <t>Media Rimasti</t>
  </si>
  <si>
    <t>Scommesse Rimaste</t>
  </si>
  <si>
    <t>Totale Disponibili Ruolo</t>
  </si>
  <si>
    <t>Quality Coverage (Top+Buoni / Totale)</t>
  </si>
  <si>
    <t>Titolari Residui (Lega)</t>
  </si>
  <si>
    <t>Riserve Residue (Lega)</t>
  </si>
  <si>
    <t>Rapporto Riserve (Media+Scommesse / Riserve Residue)</t>
  </si>
  <si>
    <t>Pressione Riserve</t>
  </si>
  <si>
    <t>Nota: Top/Buoni sono la Fascia Aspettativa di Output Utente (posizione nel FVM di ruolo), non una previsione — quindi "Top rimasti" scende man mano che chiami giocatori di quella fascia, indipendentemente da chi li compra.</t>
  </si>
  <si>
    <t>Nome Lega</t>
  </si>
  <si>
    <t>Lega Amici</t>
  </si>
  <si>
    <t>Opzionale</t>
  </si>
  <si>
    <t>Numero di Partecipanti</t>
  </si>
  <si>
    <t>Budget Iniziale</t>
  </si>
  <si>
    <t>Portieri Rosa</t>
  </si>
  <si>
    <t>Difensori Rosa</t>
  </si>
  <si>
    <t>Centrocampisti Rosa</t>
  </si>
  <si>
    <t>Attaccanti Rosa</t>
  </si>
  <si>
    <t>Attiva</t>
  </si>
  <si>
    <t>Nome Squadra 1</t>
  </si>
  <si>
    <t>xxx1</t>
  </si>
  <si>
    <t>Nome Squadra 2</t>
  </si>
  <si>
    <t>xxx2</t>
  </si>
  <si>
    <t>Nome Squadra 3</t>
  </si>
  <si>
    <t>xxx3</t>
  </si>
  <si>
    <t>Nome Squadra 4</t>
  </si>
  <si>
    <t>xxx4</t>
  </si>
  <si>
    <t>Nome Squadra 5</t>
  </si>
  <si>
    <t>xxx5</t>
  </si>
  <si>
    <t>Nome Squadra 6</t>
  </si>
  <si>
    <t>xxx6</t>
  </si>
  <si>
    <t>Nome Squadra 7</t>
  </si>
  <si>
    <t>xxx7</t>
  </si>
  <si>
    <t>Nome Squadra 8</t>
  </si>
  <si>
    <t>xxx8</t>
  </si>
  <si>
    <t>Nome Squadra 9</t>
  </si>
  <si>
    <t>xxx9</t>
  </si>
  <si>
    <t>Nome Squadra 10</t>
  </si>
  <si>
    <t>xxx10</t>
  </si>
  <si>
    <t>Nome Squadra 11</t>
  </si>
  <si>
    <t>xxx11</t>
  </si>
  <si>
    <t>Nome Squadra 12</t>
  </si>
  <si>
    <t>xxx12</t>
  </si>
  <si>
    <t>Nome Squadra 13</t>
  </si>
  <si>
    <t>xxx13</t>
  </si>
  <si>
    <t>Nome Squadra 14</t>
  </si>
  <si>
    <t>xxx14</t>
  </si>
  <si>
    <t>Nome Squadra 15</t>
  </si>
  <si>
    <t>xxx15</t>
  </si>
  <si>
    <t>Nome Squadra 16</t>
  </si>
  <si>
    <t>xxx16</t>
  </si>
  <si>
    <t>Modificatore Difesa</t>
  </si>
  <si>
    <t>Si</t>
  </si>
  <si>
    <t>Modificatore Centrocampo</t>
  </si>
  <si>
    <t>No</t>
  </si>
  <si>
    <t>Regole chiamata giocatori</t>
  </si>
  <si>
    <t>A Chiamata Libera</t>
  </si>
  <si>
    <t>La Mia Squadra</t>
  </si>
  <si>
    <t>Seleziona il tuo nome squadra dalla lista sopra (B9:B24)</t>
  </si>
  <si>
    <t>Modulo Preferito</t>
  </si>
  <si>
    <t>3-4-3</t>
  </si>
  <si>
    <t>Lista Giocatori Preferiti (nome esatto come in Input Giocatori)</t>
  </si>
  <si>
    <t>Giocatori Preferiti</t>
  </si>
  <si>
    <t>Aggressivita</t>
  </si>
  <si>
    <t>PARAMETRI MOTORE DI PRICING</t>
  </si>
  <si>
    <t>Budget Base Listone (standard Fantacalcio.it)</t>
  </si>
  <si>
    <t>Le quotazioni Qt.A del listone sono tarate su un budget standard di 500 crediti e una rosa 3P-8D-8C-6A. I prezzi vengono riscalati sul tuo Budget Iniziale (Info Lega!B4).</t>
  </si>
  <si>
    <t>Boost Modificatore Ruolo (%)</t>
  </si>
  <si>
    <t>Se attivo il Modificatore Difesa o Centrocampo (Info Lega), il prezzo base del ruolo interessato viene aumentato di questa percentuale.</t>
  </si>
  <si>
    <t>Boost Whichlist / Preferiti (%)</t>
  </si>
  <si>
    <t>Boost MASSIMO applicato all'Offerta Max se il giocatore e' whichlist. Ora scala con l'Aggressivita' (Info Strategia!B6): aggressivita'=0 -&gt; nessun sovrapprezzo, aggressivita'=1 -&gt; boost pieno.</t>
  </si>
  <si>
    <t>Peso Performance Storica (Fantamedia vs media ruolo, %)</t>
  </si>
  <si>
    <t>Quanto la Fantamedia reale 2025/26 (rispetto alla media di ruolo) sposta il prezzo in piu' o in meno. 0% = ignora la storia, guarda solo il mercato. Il fattore e' limitato a +/-25% per non far esplodere i prezzi su piccoli campioni.</t>
  </si>
  <si>
    <t>Ampiezza range di valutazione per ruolo (Spread %)</t>
  </si>
  <si>
    <t>Spread %</t>
  </si>
  <si>
    <t>Spread = quanto Valutazione Min/Max si allontanano dal prezzo base scalato. Ruoli piu' cari (A, C) hanno piu' varianza di mercato.</t>
  </si>
  <si>
    <t>Fantamedia media per ruolo (calcolata sui giocatori con dati storici)</t>
  </si>
  <si>
    <t>Media della Fantamedia per ruolo, calcolata solo sui giocatori che raggiungono la soglia minima di presenze.</t>
  </si>
  <si>
    <t>Fantamedia Media</t>
  </si>
  <si>
    <t>Presenze minime per storico (media/performance)</t>
  </si>
  <si>
    <t>Un giocatore con meno di questa soglia di presenze non influenza la Fantamedia media del ruolo e non riceve bonus/malus dalla performance storica. La soglia e' modificabile.</t>
  </si>
  <si>
    <t>Soglia 'OK' (x credito medio per slot rimanente)</t>
  </si>
  <si>
    <t>Sotto la soglia OK: offerta compatibile col ritmo di spesa che ti puoi permettere. Tra OK e Attenzione: fattibile ma ti restringe le prossime chiamate. Sopra: rischi di restare senza budget per gli slot che mancano.</t>
  </si>
  <si>
    <t>Soglia 'Attenzione' (x credito medio per slot rimanente)</t>
  </si>
  <si>
    <t>Fattore Scarsità di Ruolo attivo (Si/No)</t>
  </si>
  <si>
    <t>Confronta, per ogni ruolo, quanti giocatori disponibili restano rispetto agli slot ancora da riempire in tutta la lega. I giocatori con Qt.A=1 possono essere esclusi dal conteggio tramite il parametro dedicato. Il rapporto si aggiorna quando assegni giocatori in Output Utente.</t>
  </si>
  <si>
    <t>Peso massimo Scarsità (premio/sconto max, %)</t>
  </si>
  <si>
    <t>Escludi Qt.A=1 dalla scarsita' (Si/No)</t>
  </si>
  <si>
    <t>Se attivo, i giocatori con Qt.A=1 e ancora non assegnati non vengono conteggiati tra i giocatori disponibili per il calcolo della scarsita'. Restano comunque visibili nel listone.</t>
  </si>
  <si>
    <t>Riserva minima per slot (crediti)</t>
  </si>
  <si>
    <t>Crediti minimi da conservare per ogni slot ancora da riempire. Con base d'asta a 1, il minimo teorico è 1 credito per slot.</t>
  </si>
  <si>
    <t>Max Bid dinamico</t>
  </si>
  <si>
    <t>ATTIVO</t>
  </si>
  <si>
    <t>Il Max Bid dinamico viene limitato dal budget realmente spendibile: Budget residuo meno la riserva minima necessaria per tutti gli slot ancora vuoti.</t>
  </si>
  <si>
    <t>Slot Ancora da Riempire</t>
  </si>
  <si>
    <t>Giocatori Liberi nel Listone</t>
  </si>
  <si>
    <t>Rapporto Off./Dom.</t>
  </si>
  <si>
    <t>Base di prezzo: pool FVM proporzionale al budget di lega</t>
  </si>
  <si>
    <t>Pool FVM: per ogni ruolo prende tutti i giocatori fino alla soglia del N-esimo FVM (N = slot totali di quel ruolo nella lega). In caso di pari FVM sulla soglia, tutti i giocatori a pari FVM entrano nel pool. Questo evita un tie-break arbitrario.</t>
  </si>
  <si>
    <t>Slot Totali Lega</t>
  </si>
  <si>
    <t>Somma FVM Pool</t>
  </si>
  <si>
    <t>Somma FVM Pool TOTALE (tutti i ruoli, denominatore comune)</t>
  </si>
  <si>
    <t>Correzione: ogni ruolo deve condividere lo stesso budget di lega, non riceverne uno intero a testa. Questa e' la somma di TUTTI i pool per ruolo, usata come denominatore comune.</t>
  </si>
  <si>
    <t>Budget Totale Lega (Numero Partecipanti x Budget Iniziale)</t>
  </si>
  <si>
    <t>Soglia Pressione VERDE (Top+Buoni rimasti / slot residui lega, &gt;=)</t>
  </si>
  <si>
    <t>Sotto la soglia gialla: Pressione ROSSA (non aspettare). Esempio ChatGPT: 7 Top/Buoni per 3 slot=2.33 (verde), 4 per 3=1.33 (giallo), 2 per 3=0.67 (rosso).</t>
  </si>
  <si>
    <t>Soglia Pressione GIALLA (&gt;=)</t>
  </si>
  <si>
    <t>Target storico % budget per ruolo (calibrato su aste reali)</t>
  </si>
  <si>
    <t>Fonte: Rose_fantalba 2025 (8 squadre: NapoletanaGas, Napoli 1926, Aurora Ercolanese, PeppeNight, Oktoberfest Team, San Lorenzo, MYTHOS, eRasmus) + Rose_fantalba 2023 (2 squadre: NapoletanaGas, Napoli 1926, stagione precedente) = 10 squadre-stagione totali. Verificato con il dataset completo in 'Analisi Asta Reale 2025': tutti i ruoli entro 1.7 punti percentuali dai valori qui sotto — calibrazione confermata, non modificata. Sostituisce la distribuzione derivata dal solo FVM, che sovrastimava i difensori e sottostimava portieri e attaccanti.</t>
  </si>
  <si>
    <t>% Budget Target (storico)</t>
  </si>
  <si>
    <t>Modello a due livelli: Titolari vs Riserve (calibrato su aste reali 2023+2025)</t>
  </si>
  <si>
    <t>Nelle aste reali l'85-96% del budget di ruolo va ai 'titolari' (i migliori N per FVM, N = squadre x titolari-per-ruolo dal modulo preferito). Le riserve costano quasi niente indipendentemente dal loro FVM. Sostituisce la distribuzione proporzionale unica.</t>
  </si>
  <si>
    <t>Titolari per Squadra</t>
  </si>
  <si>
    <t>N Titolari Lega</t>
  </si>
  <si>
    <t>% Budget Ruolo ai Titolari</t>
  </si>
  <si>
    <t>Somma FVM Titolari</t>
  </si>
  <si>
    <t>Somma FVM Riserve</t>
  </si>
  <si>
    <t>Valore Atteso per Titolare (crediti)</t>
  </si>
  <si>
    <t>SOGLIE FASCIA QUALITATIVA (percentile del FVM nel ruolo)</t>
  </si>
  <si>
    <t>Determinano la Fascia Aspettativa (TOP/BUONO/MEDIA/SCOMMESSA) in 'Output Utente'. Basate su percentile, non su valori assoluti: funzionano anche se cambia il listone.</t>
  </si>
  <si>
    <t>Percentile minimo TOP (&gt;=)</t>
  </si>
  <si>
    <t>Es. 0.90 = miglior 10% del ruolo per FVM.</t>
  </si>
  <si>
    <t>Percentile minimo BUONO (&gt;=)</t>
  </si>
  <si>
    <t>Tra questa soglia e quella TOP.</t>
  </si>
  <si>
    <t>Percentile minimo MEDIA (&gt;=)</t>
  </si>
  <si>
    <t>Sotto questa soglia: SCOMMESSA. Tutte e tre le soglie sono modificabili.</t>
  </si>
  <si>
    <t>OPPORTUNITY GAP - soglie segnale (in 'Output Utente' e 'Decisione Live')</t>
  </si>
  <si>
    <t>Gap = Offerta Max Dinamica - Prezzo Attuale. Segnala se il prezzo in asta e' un'opportunita' o un sovrapprezzo rispetto al TUO tetto (non rispetto al FVM).</t>
  </si>
  <si>
    <t>Soglia Verde: Gap &gt;= % della Offerta Max Dinamica</t>
  </si>
  <si>
    <t>Sopra: opportunita' (verde). Sotto zero: hai superato il tuo tetto (rosso).</t>
  </si>
  <si>
    <t>Soglia Rossa: Gap &lt;= % della Offerta Max Dinamica</t>
  </si>
  <si>
    <t>Tra le due soglie: prezzo corretto (giallo).</t>
  </si>
  <si>
    <t>PRESSIONE COMPETITIVA (informativa - NON altera il FVM o l'Offerta Max)</t>
  </si>
  <si>
    <t>Stima quante squadre avversarie hanno ancora bisogno di un TITOLARE in quel ruolo e quanto budget hanno disponibile. Vedi foglio 'Pressione Competitiva'.</t>
  </si>
  <si>
    <t>Titolari Standard Assunti per Squadre Avversarie</t>
  </si>
  <si>
    <t>Fisso: ogni squadra gioca 1 portiere titolare a giornata.</t>
  </si>
  <si>
    <t>Assunzione: le avversarie cercano un numero di titolari per ruolo comparabile al TUO modulo (dato reale non osservabile). Modificabile con un numero fisso se preferisci.</t>
  </si>
  <si>
    <t>Soglia N Squadre Bisognose per Pressione ALTA (&gt;=)</t>
  </si>
  <si>
    <t>2+ squadre ancora a caccia di un titolare nello stesso ruolo = pressione competitiva concreta.</t>
  </si>
  <si>
    <t>Soglia Budget Medio Disponibile (di quelle squadre) per MOLTO ALTA (&gt;=, crediti)</t>
  </si>
  <si>
    <t>Se le squadre bisognose hanno anche molto budget, la pressione sale a MOLTO ALTA.</t>
  </si>
  <si>
    <t>Soglia Budget Minimo per Candidatura Reale (% Valore Atteso Titolare)</t>
  </si>
  <si>
    <t>Usata in 'Pressione Competitiva': una squadra bisognosa di un titolare conta come 'candidata reale' solo se il suo budget residuo e' almeno questa quota del Valore Atteso per Titolare del ruolo (colonna I qui sopra, righe 57-60). Filtra le squadre che sulla carta 'cercano ancora' un titolare ma non hanno piu' credito sufficiente per competere davvero.</t>
  </si>
  <si>
    <t>VERSIONE MOTORE</t>
  </si>
  <si>
    <t>Vedi 'Guida' &gt; Versione / Log delle modifiche per il dettaglio.</t>
  </si>
  <si>
    <t>PRESSIONE COMPETITIVA — quante avversarie cercano ancora un titolare di ruolo, e con quanto budget</t>
  </si>
  <si>
    <t>N Squadre Bisognose (titolare, escl. te)</t>
  </si>
  <si>
    <t>Budget Disponibile Combinato</t>
  </si>
  <si>
    <t>Budget Medio Disponibile</t>
  </si>
  <si>
    <t>N Squadre Candidate Reali (bisogno titolare + budget sufficiente)</t>
  </si>
  <si>
    <t>Valore Atteso Titolare (rif., crediti)</t>
  </si>
  <si>
    <t>Pressione Competitiva (su Candidate Reali)</t>
  </si>
  <si>
    <t>Nota: 'N Squadre Bisognose' (C) conta chiunque non abbia ancora completato i titolari del ruolo. 'N Squadre Candidate Reali' (H) filtra ulteriormente per budget residuo sufficiente (soglia configurabile in Parametri Modello B80) — e' la stima piu' vicina a 'quante squadre competeranno davvero' richiedibile dai dati disponibili. Interesse specifico per il singolo giocatore e alternative future percepite da ogni avversaria NON sono modellati (richiederebbero dati sulle preferenze altrui che non abbiamo): la Quality Scarcity di lega resta il proxy migliore disponibile per 'alternative insufficienti'.</t>
  </si>
  <si>
    <t>#</t>
  </si>
  <si>
    <t>Slot Residui Tot.</t>
  </si>
  <si>
    <t>Nome Squadra</t>
  </si>
  <si>
    <t>Mancanti P (titolare)</t>
  </si>
  <si>
    <t>Mancanti D (titolare)</t>
  </si>
  <si>
    <t>Mancanti C (titolare)</t>
  </si>
  <si>
    <t>Mancanti A (titolare)</t>
  </si>
  <si>
    <t>GIOCATORI ANCORA DA CHIAMARE — per ruolo e fascia</t>
  </si>
  <si>
    <t>Se lasci andare questo giocatore, quali alternative avrai piu' avanti? Solo giocatori non assegnati e con Qt.A&gt;1.</t>
  </si>
  <si>
    <t>Portieri</t>
  </si>
  <si>
    <t>Difensori</t>
  </si>
  <si>
    <t>Centrocampisti</t>
  </si>
  <si>
    <t>Attaccanti</t>
  </si>
  <si>
    <t>GIOCATORI ANCORA DISPONIBILI (non ancora chiamati all'asta)</t>
  </si>
  <si>
    <t>Squadra Serie A</t>
  </si>
  <si>
    <t>Sostenibilità</t>
  </si>
  <si>
    <t>LA MIA ROSA</t>
  </si>
  <si>
    <t>RIEPILOGO</t>
  </si>
  <si>
    <t>LIVE AUCTION</t>
  </si>
  <si>
    <t>Budget residuo</t>
  </si>
  <si>
    <t>Slot residui</t>
  </si>
  <si>
    <t>Diff. FVM-Prezzo</t>
  </si>
  <si>
    <t>Titolare/Riserva</t>
  </si>
  <si>
    <t>Budget Totale</t>
  </si>
  <si>
    <t>Budget Speso</t>
  </si>
  <si>
    <t>VALUTAZIONE ROSA</t>
  </si>
  <si>
    <t>Nota</t>
  </si>
  <si>
    <t>Budget Rimanente</t>
  </si>
  <si>
    <t>Portieri (presi/tot)</t>
  </si>
  <si>
    <t>Difensori (presi/tot)</t>
  </si>
  <si>
    <t>Efficienza (FVM / credito speso)</t>
  </si>
  <si>
    <t>Centrocampisti (presi/tot)</t>
  </si>
  <si>
    <t>Per ogni giocatore, Offerta Max Dinamica = MIN(Offerta Max strategica, Budget Spendibile). Il Budget Spendibile conserva 1 credito per ogni slot ancora vuoto.</t>
  </si>
  <si>
    <t>Attaccanti (presi/tot)</t>
  </si>
  <si>
    <t>Slot Totali Rimanenti</t>
  </si>
  <si>
    <t>COPERTURA TITOLARI (prossimo bisogno)</t>
  </si>
  <si>
    <t>Credito Medio per Slot Rimanente</t>
  </si>
  <si>
    <t>Statistiche reali Fantacalcio.it — Stagione 2025/26 (fonte: fantacalcio.it/statistiche-serie-a)</t>
  </si>
  <si>
    <t>Rm</t>
  </si>
  <si>
    <t>Pv</t>
  </si>
  <si>
    <t>Mv</t>
  </si>
  <si>
    <t>Fm</t>
  </si>
  <si>
    <t>Gf</t>
  </si>
  <si>
    <t>Gs</t>
  </si>
  <si>
    <t>Rp</t>
  </si>
  <si>
    <t>Rc</t>
  </si>
  <si>
    <t>R+</t>
  </si>
  <si>
    <t>R-</t>
  </si>
  <si>
    <t>Ass</t>
  </si>
  <si>
    <t>Amm</t>
  </si>
  <si>
    <t>Esp</t>
  </si>
  <si>
    <t>Au</t>
  </si>
  <si>
    <t>Por</t>
  </si>
  <si>
    <t>Sommer</t>
  </si>
  <si>
    <t>Audero</t>
  </si>
  <si>
    <t>Cremonese</t>
  </si>
  <si>
    <t>Montipò</t>
  </si>
  <si>
    <t>Verona</t>
  </si>
  <si>
    <t>Leali</t>
  </si>
  <si>
    <t>Semper</t>
  </si>
  <si>
    <t>Pisa</t>
  </si>
  <si>
    <t>Ravaglia F.</t>
  </si>
  <si>
    <t>Furlanetto</t>
  </si>
  <si>
    <t>Guaita</t>
  </si>
  <si>
    <t>Radunovic</t>
  </si>
  <si>
    <t>Nava</t>
  </si>
  <si>
    <t>Martinelli T.</t>
  </si>
  <si>
    <t>Siegrist</t>
  </si>
  <si>
    <t>Fruchtl</t>
  </si>
  <si>
    <t>Rinaldi</t>
  </si>
  <si>
    <t>Nicolas</t>
  </si>
  <si>
    <t>Scuffet</t>
  </si>
  <si>
    <t>Zelezny</t>
  </si>
  <si>
    <t>Satalino</t>
  </si>
  <si>
    <t>Donnarumma An.</t>
  </si>
  <si>
    <t>Israel</t>
  </si>
  <si>
    <t>Popa</t>
  </si>
  <si>
    <t>Sava</t>
  </si>
  <si>
    <t>Perilli</t>
  </si>
  <si>
    <t>Vasquez D.</t>
  </si>
  <si>
    <t>Nunziante</t>
  </si>
  <si>
    <t>Silvestri</t>
  </si>
  <si>
    <t>Toniolo</t>
  </si>
  <si>
    <t>Cavlina</t>
  </si>
  <si>
    <t>Ferrante</t>
  </si>
  <si>
    <t>Calligaris</t>
  </si>
  <si>
    <t>Pannozzo</t>
  </si>
  <si>
    <t>Giacomone</t>
  </si>
  <si>
    <t>E</t>
  </si>
  <si>
    <t>Dc</t>
  </si>
  <si>
    <t>Palestra</t>
  </si>
  <si>
    <t>Ds;E</t>
  </si>
  <si>
    <t>Dd;Dc</t>
  </si>
  <si>
    <t>B;Dd;E</t>
  </si>
  <si>
    <t>Dumfries</t>
  </si>
  <si>
    <t>Gosens</t>
  </si>
  <si>
    <t>Ds;Dc</t>
  </si>
  <si>
    <t>Dd;E</t>
  </si>
  <si>
    <t>B;Ds;E</t>
  </si>
  <si>
    <t>Belghali</t>
  </si>
  <si>
    <t>Gutierrez</t>
  </si>
  <si>
    <t>Obrador</t>
  </si>
  <si>
    <t>Posch</t>
  </si>
  <si>
    <t>Moreno Alb.</t>
  </si>
  <si>
    <t>Baschirotto</t>
  </si>
  <si>
    <t>Angori</t>
  </si>
  <si>
    <t>Luperto</t>
  </si>
  <si>
    <t>Dd;Ds;E</t>
  </si>
  <si>
    <t>Muharemovic</t>
  </si>
  <si>
    <t>Maripan</t>
  </si>
  <si>
    <t>Tchatchoua</t>
  </si>
  <si>
    <t>Diego Carlos</t>
  </si>
  <si>
    <t>Garcia U.</t>
  </si>
  <si>
    <t>Terracciano F.</t>
  </si>
  <si>
    <t>Leoni</t>
  </si>
  <si>
    <t>Angelino</t>
  </si>
  <si>
    <t>Ehizibue</t>
  </si>
  <si>
    <t>Frese</t>
  </si>
  <si>
    <t>Barbieri</t>
  </si>
  <si>
    <t>Caracciolo A.</t>
  </si>
  <si>
    <t>Bradaric</t>
  </si>
  <si>
    <t>Edmundsson</t>
  </si>
  <si>
    <t>Dossena</t>
  </si>
  <si>
    <t>Acerbi</t>
  </si>
  <si>
    <t>Canestrelli</t>
  </si>
  <si>
    <t>Cuadrado</t>
  </si>
  <si>
    <t>Nelsson</t>
  </si>
  <si>
    <t>Bianchetti</t>
  </si>
  <si>
    <t>Folino</t>
  </si>
  <si>
    <t>Pezzella Giu.</t>
  </si>
  <si>
    <t>Thiaw</t>
  </si>
  <si>
    <t>Juan Jesus</t>
  </si>
  <si>
    <t>Salah-Eddine</t>
  </si>
  <si>
    <t>Lazaro</t>
  </si>
  <si>
    <t>Unai Nunez</t>
  </si>
  <si>
    <t>Oyegoke</t>
  </si>
  <si>
    <t>Coulibaly W.</t>
  </si>
  <si>
    <t>Erlic</t>
  </si>
  <si>
    <t>Azzi</t>
  </si>
  <si>
    <t>De Vrij</t>
  </si>
  <si>
    <t>Darmian</t>
  </si>
  <si>
    <t>Savona</t>
  </si>
  <si>
    <t>Balogh</t>
  </si>
  <si>
    <t>Calabresi</t>
  </si>
  <si>
    <t>Giannetti L.</t>
  </si>
  <si>
    <t>Zemura</t>
  </si>
  <si>
    <t>Valentini N.</t>
  </si>
  <si>
    <t>Tsimikas</t>
  </si>
  <si>
    <t>Zatterstrom</t>
  </si>
  <si>
    <t>Pedro Felipe</t>
  </si>
  <si>
    <t>Bonfanti</t>
  </si>
  <si>
    <t>Lykogiannis</t>
  </si>
  <si>
    <t>Di Pardo</t>
  </si>
  <si>
    <t>Jack</t>
  </si>
  <si>
    <t>Ravanelli</t>
  </si>
  <si>
    <t>Marì</t>
  </si>
  <si>
    <t>Viti</t>
  </si>
  <si>
    <t>Fortini</t>
  </si>
  <si>
    <t>Lovik</t>
  </si>
  <si>
    <t>Mateus Lusuardi</t>
  </si>
  <si>
    <t>Rus</t>
  </si>
  <si>
    <t>Kumbulla</t>
  </si>
  <si>
    <t>Masina</t>
  </si>
  <si>
    <t>Slotsager</t>
  </si>
  <si>
    <t>Goglichidze</t>
  </si>
  <si>
    <t>Cham</t>
  </si>
  <si>
    <t>Nkounkou</t>
  </si>
  <si>
    <t>Lirola</t>
  </si>
  <si>
    <t>Tchoca</t>
  </si>
  <si>
    <t>Balbo</t>
  </si>
  <si>
    <t>Ilic M.</t>
  </si>
  <si>
    <t>Wieteska</t>
  </si>
  <si>
    <t>Veroli</t>
  </si>
  <si>
    <t>Ceccherini</t>
  </si>
  <si>
    <t>Quagliata</t>
  </si>
  <si>
    <t>Sernicola</t>
  </si>
  <si>
    <t>Rouhi</t>
  </si>
  <si>
    <t>Gigot</t>
  </si>
  <si>
    <t>Hysaj</t>
  </si>
  <si>
    <t>Kouassi</t>
  </si>
  <si>
    <t>Coppola F.</t>
  </si>
  <si>
    <t>Mbambi</t>
  </si>
  <si>
    <t>Esteves T.</t>
  </si>
  <si>
    <t>Abdulhamid</t>
  </si>
  <si>
    <t>Odenthal</t>
  </si>
  <si>
    <t>Romagna</t>
  </si>
  <si>
    <t>Paz Y.</t>
  </si>
  <si>
    <t>Schuurs</t>
  </si>
  <si>
    <t>Dembelè A.</t>
  </si>
  <si>
    <t>Rui Modesto</t>
  </si>
  <si>
    <t>Denoon</t>
  </si>
  <si>
    <t>B;Dd;Ds</t>
  </si>
  <si>
    <t>Godfrey</t>
  </si>
  <si>
    <t>Lamptey</t>
  </si>
  <si>
    <t>Faye</t>
  </si>
  <si>
    <t>Odogu</t>
  </si>
  <si>
    <t>Albiol</t>
  </si>
  <si>
    <t>Palacios T.</t>
  </si>
  <si>
    <t>Bozhinov</t>
  </si>
  <si>
    <t>T;A</t>
  </si>
  <si>
    <t>C;T</t>
  </si>
  <si>
    <t>T</t>
  </si>
  <si>
    <t>M;C</t>
  </si>
  <si>
    <t>C;W;T</t>
  </si>
  <si>
    <t>W</t>
  </si>
  <si>
    <t>Ndoye</t>
  </si>
  <si>
    <t>W;A</t>
  </si>
  <si>
    <t>C;W</t>
  </si>
  <si>
    <t>Malinovskyi</t>
  </si>
  <si>
    <t>E;W</t>
  </si>
  <si>
    <t>W;T</t>
  </si>
  <si>
    <t>Strefezza</t>
  </si>
  <si>
    <t>Vazquez</t>
  </si>
  <si>
    <t>Guendouzi</t>
  </si>
  <si>
    <t>Pellegrini Lo.</t>
  </si>
  <si>
    <t>Thorsby</t>
  </si>
  <si>
    <t>Vandeputte</t>
  </si>
  <si>
    <t>Man</t>
  </si>
  <si>
    <t>Harrison</t>
  </si>
  <si>
    <t>Leris</t>
  </si>
  <si>
    <t>Mazzitelli</t>
  </si>
  <si>
    <t>Kostic</t>
  </si>
  <si>
    <t>El Shaarawy</t>
  </si>
  <si>
    <t>Freuler</t>
  </si>
  <si>
    <t>Ramadani</t>
  </si>
  <si>
    <t>Sottil</t>
  </si>
  <si>
    <t>Bailey</t>
  </si>
  <si>
    <t>Weah</t>
  </si>
  <si>
    <t>Bernede</t>
  </si>
  <si>
    <t>Elmas</t>
  </si>
  <si>
    <t>Gagliardini</t>
  </si>
  <si>
    <t>Aebischer</t>
  </si>
  <si>
    <t>Vecino</t>
  </si>
  <si>
    <t>Tramoni M.</t>
  </si>
  <si>
    <t>Serdar</t>
  </si>
  <si>
    <t>Grassi</t>
  </si>
  <si>
    <t>Zanimacchia</t>
  </si>
  <si>
    <t>Bondo</t>
  </si>
  <si>
    <t>Estevez</t>
  </si>
  <si>
    <t>E;M</t>
  </si>
  <si>
    <t>Tourè I.</t>
  </si>
  <si>
    <t>Payero</t>
  </si>
  <si>
    <t>Akpa Akpro</t>
  </si>
  <si>
    <t>Loyola</t>
  </si>
  <si>
    <t>Carboni V.</t>
  </si>
  <si>
    <t>Piccinini G.</t>
  </si>
  <si>
    <t>Ghion</t>
  </si>
  <si>
    <t>Harroui</t>
  </si>
  <si>
    <t>Suslov</t>
  </si>
  <si>
    <t>W;T;A</t>
  </si>
  <si>
    <t>Zaragoza</t>
  </si>
  <si>
    <t>El Azzouzi</t>
  </si>
  <si>
    <t>Sergi Roberto</t>
  </si>
  <si>
    <t>Castagnetti</t>
  </si>
  <si>
    <t>Tete Morente</t>
  </si>
  <si>
    <t>Hojholt</t>
  </si>
  <si>
    <t>Vural</t>
  </si>
  <si>
    <t>Lovric</t>
  </si>
  <si>
    <t>Lorran</t>
  </si>
  <si>
    <t>Sarmiento J.</t>
  </si>
  <si>
    <t>Iling Junior</t>
  </si>
  <si>
    <t>Engelhardt</t>
  </si>
  <si>
    <t>Collocolo</t>
  </si>
  <si>
    <t>Pickel</t>
  </si>
  <si>
    <t>Richardson</t>
  </si>
  <si>
    <t>Sabiri</t>
  </si>
  <si>
    <t>Gronbaek</t>
  </si>
  <si>
    <t>Asllani</t>
  </si>
  <si>
    <t>Hernani</t>
  </si>
  <si>
    <t>Marin M.</t>
  </si>
  <si>
    <t>Niasse</t>
  </si>
  <si>
    <t>Fini</t>
  </si>
  <si>
    <t>Al-Musrati</t>
  </si>
  <si>
    <t>Cornet</t>
  </si>
  <si>
    <t>Braunoder</t>
  </si>
  <si>
    <t>Alli</t>
  </si>
  <si>
    <t>Valoti</t>
  </si>
  <si>
    <t>Bianco</t>
  </si>
  <si>
    <t>Stanciu</t>
  </si>
  <si>
    <t>Pierret</t>
  </si>
  <si>
    <t>Rafia</t>
  </si>
  <si>
    <t>Marchwinski</t>
  </si>
  <si>
    <t>Arena</t>
  </si>
  <si>
    <t>Tameze</t>
  </si>
  <si>
    <t>Pafundi</t>
  </si>
  <si>
    <t>Santiago</t>
  </si>
  <si>
    <t>Kastanos</t>
  </si>
  <si>
    <t>Cissè A.</t>
  </si>
  <si>
    <t>Rog</t>
  </si>
  <si>
    <t>Cuenca H.</t>
  </si>
  <si>
    <t>Vranckx</t>
  </si>
  <si>
    <t>Sala A.</t>
  </si>
  <si>
    <t>Stengs</t>
  </si>
  <si>
    <t>Onana J.</t>
  </si>
  <si>
    <t>Pc</t>
  </si>
  <si>
    <t>Bonazzoli</t>
  </si>
  <si>
    <t>Castellanos</t>
  </si>
  <si>
    <t>Vlahovic</t>
  </si>
  <si>
    <t>Pedro</t>
  </si>
  <si>
    <t>Moreo</t>
  </si>
  <si>
    <t>Thauvin</t>
  </si>
  <si>
    <t>Vardy</t>
  </si>
  <si>
    <t>Banda</t>
  </si>
  <si>
    <t>Lookman</t>
  </si>
  <si>
    <t>Orban G.</t>
  </si>
  <si>
    <t>Kilicsoy</t>
  </si>
  <si>
    <t>Ekuban</t>
  </si>
  <si>
    <t>Gonzalez N.</t>
  </si>
  <si>
    <t>Cheddira</t>
  </si>
  <si>
    <t>Okereke</t>
  </si>
  <si>
    <t>Ferguson E.</t>
  </si>
  <si>
    <t>Nzola</t>
  </si>
  <si>
    <t>Fullkrug</t>
  </si>
  <si>
    <t>Durosinmi</t>
  </si>
  <si>
    <t>Ngonge</t>
  </si>
  <si>
    <t>Benedyczak</t>
  </si>
  <si>
    <t>Solomon</t>
  </si>
  <si>
    <t>Tourè E.</t>
  </si>
  <si>
    <t>Johnsen</t>
  </si>
  <si>
    <t>Buksa</t>
  </si>
  <si>
    <t>Beltran L.</t>
  </si>
  <si>
    <t>Sanchez</t>
  </si>
  <si>
    <t>Djuric</t>
  </si>
  <si>
    <t>Meister</t>
  </si>
  <si>
    <t>Mulattieri</t>
  </si>
  <si>
    <t>Belotti</t>
  </si>
  <si>
    <t>Immobile</t>
  </si>
  <si>
    <t>Taremi</t>
  </si>
  <si>
    <t>Okafor</t>
  </si>
  <si>
    <t>Lind</t>
  </si>
  <si>
    <t>Sanabria</t>
  </si>
  <si>
    <t>Bravo</t>
  </si>
  <si>
    <t>Sarr A.</t>
  </si>
  <si>
    <t>Mosquera</t>
  </si>
  <si>
    <t>Openda</t>
  </si>
  <si>
    <t>Stojilkovic</t>
  </si>
  <si>
    <t>Karlsson</t>
  </si>
  <si>
    <t>Luvumbo</t>
  </si>
  <si>
    <t>Pavoletti</t>
  </si>
  <si>
    <t>De Luca</t>
  </si>
  <si>
    <t>Dzeko</t>
  </si>
  <si>
    <t>Brenner</t>
  </si>
  <si>
    <t>Rocha Livramento</t>
  </si>
  <si>
    <t>Pierini</t>
  </si>
  <si>
    <t>Alvarez A.</t>
  </si>
  <si>
    <t>Braschi</t>
  </si>
  <si>
    <t>Ambrosino</t>
  </si>
  <si>
    <t>Moumbagna</t>
  </si>
  <si>
    <t>Mikolajewski</t>
  </si>
  <si>
    <t>Gabrielloni</t>
  </si>
  <si>
    <t>Nasti</t>
  </si>
  <si>
    <t>Milik</t>
  </si>
  <si>
    <t>Buffon L.</t>
  </si>
  <si>
    <t>Bonfanti N.</t>
  </si>
  <si>
    <t>Skjellerup</t>
  </si>
  <si>
    <t>Pizarro</t>
  </si>
  <si>
    <t>Kouamè</t>
  </si>
  <si>
    <t>Balentien</t>
  </si>
  <si>
    <t>Arena A.</t>
  </si>
  <si>
    <t>Isaac</t>
  </si>
  <si>
    <t>Vermesan</t>
  </si>
  <si>
    <t>Mosconi</t>
  </si>
  <si>
    <t>Ordine Alfabetico</t>
  </si>
  <si>
    <t>3-5-2</t>
  </si>
  <si>
    <t>Ruolo &amp; Quotazione</t>
  </si>
  <si>
    <t>3-6-1</t>
  </si>
  <si>
    <t>Busta Chiusa</t>
  </si>
  <si>
    <t>4-3-3</t>
  </si>
  <si>
    <t>4-4-2</t>
  </si>
  <si>
    <t>4-5-1</t>
  </si>
  <si>
    <t>5-4-1</t>
  </si>
  <si>
    <t>5-3-2</t>
  </si>
  <si>
    <t>6-3-1</t>
  </si>
  <si>
    <t>ANALISI ASTA REALE 2025 — benchmark empirico (8 squadre, lega FantAlba)</t>
  </si>
  <si>
    <t>Fonte: Excel_Only/Dati/Rose_fantalba-2025.xlsx (prezzi reali pagati, 8 squadre: NapoletanaGas, Napoli 1926, Aurora Ercolanese, PeppeNight, Oktoberfest Team, San Lorenzo, MYTHOS, eRasmus) incrociato con Quotazioni_Fantacalcio_Stagione_2025_26 (listone pre-stagione, stesso periodo, per evitare look-ahead bias). 197 giocatori su 217 abbinati per nome (91%). Questi numeri NON sono usati per forzare i prezzi del motore: servono a capire la dinamica competitiva reale (bidding war, ruoli sotto-prezzati, distribuzione del budget).</t>
  </si>
  <si>
    <t>MULTIPLO PREZZO REALE / FVM per ruolo</t>
  </si>
  <si>
    <t>N</t>
  </si>
  <si>
    <t>Costo Medio</t>
  </si>
  <si>
    <t>FVM Medio</t>
  </si>
  <si>
    <t>Multiplo Medio</t>
  </si>
  <si>
    <t>Multiplo Mediano</t>
  </si>
  <si>
    <t>Lettura: Portieri vicino a 1x sulla mediana (mercato liquido). Difensori fortemente sotto 1x (molti costano 1 credito, pochi ne costano tanti: distribuzione a coda lunga). Centrocampisti leggermente sotto 1x sulla mediana. Attaccanti: media 2.33x ma mediana 0.89x — meta' degli attaccanti si paga circa il FVM o meno, ma una minoranza scatena vere bidding war (fino a 16x il FVM): e' il fenomeno bimodale tipico dei moduli con 3 attaccanti, dove pochi 'titolari sicuri' vengono pagati molto piu' del listone perche' piu' squadre li vogliono contemporaneamente.</t>
  </si>
  <si>
    <t>CASI PREZZO &gt;&gt; FVM (bidding war / necessita' di ruolo)</t>
  </si>
  <si>
    <t>Squadra Fantacalcio</t>
  </si>
  <si>
    <t>Costo Reale</t>
  </si>
  <si>
    <t>FVM</t>
  </si>
  <si>
    <t>Multiplo</t>
  </si>
  <si>
    <t>Napoli 1926</t>
  </si>
  <si>
    <t>MYTHOS</t>
  </si>
  <si>
    <t>Aurora Ercolanese</t>
  </si>
  <si>
    <t>San Lorenzo</t>
  </si>
  <si>
    <t>eRasmus</t>
  </si>
  <si>
    <t>NapoletanaGas</t>
  </si>
  <si>
    <t>CASI PREZZO &lt;&lt; FVM (scivolati, ruolo saturo, timing d'asta)</t>
  </si>
  <si>
    <t>Oktoberfest Team</t>
  </si>
  <si>
    <t>Limiti di questa analisi: (1) il file di quotazioni usato come FVM di riferimento e' uno snapshot che puo' essere leggermente successivo al giorno reale dell'asta, quindi alcuni FVM potrebbero essersi mossi nel frattempo (es. dopo un mercato dell'ultima ora) - alcuni multipli estremi (8-16x) vanno letti con questo margine di incertezza; (2) il match per nome esclude circa il 9% dei giocatori (differenze di grafia, accenti, calciatori trasferiti/ritirati tra le due stagioni).</t>
  </si>
  <si>
    <t>CORREZIONE RISPETTO ALLA REVISIONE PRECEDENTE: il file Rose_fantalba-2025.xlsx usato fino a questa revisione in Excel_Only/Dati/ era una versione INCOMPLETA (solo 4 squadre su 8: mancavano Oktoberfest Team, San Lorenzo, MYTHOS, eRasmus). L'etichetta originale '8 squadre' era corretta fin dall'inizio; la mia 'correzione' a '6 squadre-stagione' nella revisione precedente era quindi SBAGLIATA, basata su un file incompleto. L'utente ha fornito il file originale corretto (8 squadre + foglio Svincolati): questo foglio e' stato ricostruito da zero con il dataset completo. Verificato: 8 squadre nel 2025 + 2 squadre nel 2023 (NapoletanaGas e Napoli 1926, le stesse due, stagione precedente) = 10 squadre-stagione totali per la calibrazione % budget per ruolo (non 8, non 6: e' la somma dei due dataset separati usati per due scopi diversi — multiplo prezzo/FVM solo su 2025, % budget su 2023+2025 insieme).</t>
  </si>
  <si>
    <t>VERIFICA CALIBRAZIONE % BUDGET PER RUOLO (dataset completo e corretto)</t>
  </si>
  <si>
    <t>% Usata nel motore</t>
  </si>
  <si>
    <t>% Ricalcolata (2023+2025, 10 sq.-stagione, dataset completo)</t>
  </si>
  <si>
    <t>Lettura: con il dataset completo (10 squadre-stagione, non 6 come nella verifica sbagliata della revisione precedente) tutti e 4 i ruoli sono entro 1.7 punti percentuali dai valori attualmente usati nel motore (P e A entro 0.7 punti). La calibrazione esistente (Parametri Modello B50:B53) e' quindi confermata come solida — non e' necessario modificarla. Il problema era solo la fonte dati incompleta usata per la verifica, non la calibrazione stessa.</t>
  </si>
  <si>
    <t>SIMULAZIONI — confronto strategie A-F v4 (correzione 5: fascia quality-based)</t>
  </si>
  <si>
    <t>v4 aggiunge alla v3 la correzione 5: se il giocatore chiamato appartiene, per rank di mercato, a una fascia migliore di quella che la squadra sta riempiendo per conteggio, e il suo FVM supera del 30% la media della fascia-target, il peso del bid riflette la sua vera fascia di mercato (non solo quella bassa del conteggio). Risultato: fix implementato e verificato attivo (si attiva in ~88% dei casi controllati), ma l'effetto su E/F e' TRASCURABILE. Causa reale trovata (vedi note sotto): il floor di fine asta, non il ceiling di qualita', decide il bid nel 90% dei casi.</t>
  </si>
  <si>
    <t>Strategia</t>
  </si>
  <si>
    <t>Componenti Attivi</t>
  </si>
  <si>
    <t>FVM Mediana</t>
  </si>
  <si>
    <t>Deviazione Standard</t>
  </si>
  <si>
    <t>% Vittorie</t>
  </si>
  <si>
    <t>% Rose Complete</t>
  </si>
  <si>
    <t>Crediti Inutilizzati</t>
  </si>
  <si>
    <t>FVM per Credito</t>
  </si>
  <si>
    <t>Note</t>
  </si>
  <si>
    <t>Strategia A</t>
  </si>
  <si>
    <t>FVM puro</t>
  </si>
  <si>
    <t>Invariata nel principio.</t>
  </si>
  <si>
    <t>Strategia B</t>
  </si>
  <si>
    <t>+ Performance storica</t>
  </si>
  <si>
    <t>Effetto marginale confermato ancora una volta.</t>
  </si>
  <si>
    <t>Strategia C</t>
  </si>
  <si>
    <t>+ Scarsita' di ruolo</t>
  </si>
  <si>
    <t>Ancora identica a B (la scarsita' di ruolo come definita raramente scende sotto 1).</t>
  </si>
  <si>
    <t>Strategia D</t>
  </si>
  <si>
    <t>+ Quality Scarcity</t>
  </si>
  <si>
    <t>Sostanzialmente invariata vs C.</t>
  </si>
  <si>
    <t>Strategia E</t>
  </si>
  <si>
    <t>+ Auction State (4 fasce, urgenza per fascia, fascia quality-based)</t>
  </si>
  <si>
    <t>SOSTANZIALMENTE INVARIATA rispetto a v3 (807 -&gt; 806 FVM medio). La correzione 5 e' implementata correttamente e si attiva regolarmente (su 200 aste-test: 4860 casi in cui un giocatore di fascia migliore capitava in uno slot peggiore, upgrade applicato in 4288 di questi = 88%), ma il suo effetto e' quasi sempre annullato da un meccanismo piu' forte: il floor di fine asta (budget residuo / slot residui * urgenza) decide il prezzo finale nel 89.6% delle decisioni di bid di questa strategia, contro solo il 10.4% in cui conta il ceiling 'di qualita'' (quello che la correzione 5 migliora). Il floor NON dipende affatto da quale giocatore e' chiamato: e' cieco alla qualita' tanto quanto lo era prima di ogni correzione.</t>
  </si>
  <si>
    <t>Strategia F</t>
  </si>
  <si>
    <t>+ Competition Pressure (gated sulle riserve)</t>
  </si>
  <si>
    <t>Sostanzialmente invariata (738 vs 744 in v3). Eredita lo stesso problema di E.</t>
  </si>
  <si>
    <t>STATO: correzione 5 (fascia quality-based) applicata e verificata attiva, ma NON risolutiva.</t>
  </si>
  <si>
    <t>Diagnosi finale (misurata su 200 aste-test con instrumentazione dedicata, non solo ipotizzata): il 89.6% delle decisioni di bid di Team1 in strategia E sono decise dal floor di fine asta, non dal ceiling che incorpora fasce/qualita'/correzioni 3-4-5. Il floor = (budget residuo squadra / slot residui totali) * fattore di ritmo * urgenza-fascia: non contiene alcun riferimento al FVM del giocatore chiamato in quel momento. Qualsiasi correzione al ceiling (comprese tutte quelle fatte finora: 3, 4, 4bis, 5) puo' quindi migliorare al massimo il 10% delle decisioni — il resto e' deciso da un meccanismo che tratta un giocatore fortissimo e uno scarso allo stesso modo, purche' capitino nello stesso slot/fascia/momento dell'asta.</t>
  </si>
  <si>
    <t>Prossimo passo suggerito (non ancora implementato, da confermare): rendere anche il floor di fine asta sensibile al FVM del giocatore chiamato (es. scalarlo per lo stesso 'weight' di qualita' gia' calcolato per il ceiling, invece di applicarlo come valore fisso per slot). Senza questo, le correzioni al solo ceiling hanno un tetto strutturale di efficacia intorno al 10% delle decisioni.</t>
  </si>
  <si>
    <t>Nessuna modifica alle formule del motore live in questo passaggio.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</si>
</sst>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4" x14ac:knownFonts="1">
    <font>
      <sz val="11"/>
      <color theme="1"/>
      <name val="Calibri"/>
      <family val="2"/>
      <charset val="1"/>
    </font>
    <font>
      <b/>
      <sz val="16"/>
      <color rgb="FF203864"/>
      <name val="Cambria"/>
      <family val="1"/>
    </font>
    <font>
      <sz val="11"/>
      <name val="Cambria"/>
      <family val="1"/>
    </font>
    <font>
      <b/>
      <sz val="12"/>
      <color rgb="FF203864"/>
      <name val="Cambria"/>
      <family val="1"/>
    </font>
    <font>
      <i/>
      <sz val="11"/>
      <color rgb="FF375623"/>
      <name val="Cambria"/>
      <family val="1"/>
    </font>
    <font>
      <b/>
      <sz val="13"/>
      <color rgb="FFFFFFFF"/>
      <name val="Cambria"/>
      <family val="1"/>
    </font>
    <font>
      <sz val="11"/>
      <color rgb="FF000000"/>
      <name val="Calibri"/>
      <family val="2"/>
    </font>
    <font>
      <b/>
      <sz val="11"/>
      <name val="Calibri"/>
      <family val="2"/>
    </font>
    <font>
      <i/>
      <sz val="9"/>
      <color rgb="FF808080"/>
      <name val="Cambria"/>
      <family val="1"/>
    </font>
    <font>
      <sz val="11"/>
      <color rgb="FFFF0000"/>
      <name val="Calibri"/>
      <family val="2"/>
      <charset val="1"/>
    </font>
    <font>
      <sz val="11"/>
      <color rgb="FFFF0000"/>
      <name val="Calibri"/>
      <family val="2"/>
    </font>
    <font>
      <b/>
      <sz val="11"/>
      <name val="Calibri"/>
      <family val="2"/>
      <charset val="1"/>
    </font>
    <font>
      <sz val="9"/>
      <color rgb="FFBFBFBF"/>
      <name val="Cambria"/>
      <family val="1"/>
    </font>
    <font>
      <b/>
      <sz val="11"/>
      <color theme="1"/>
      <name val="Calibri"/>
      <family val="2"/>
      <charset val="1"/>
    </font>
    <font>
      <b/>
      <sz val="13"/>
      <name val="Cambria"/>
      <family val="1"/>
    </font>
    <font>
      <i/>
      <sz val="9"/>
      <color rgb="FFC00000"/>
      <name val="Cambria"/>
      <family val="1"/>
    </font>
    <font>
      <b/>
      <sz val="10"/>
      <color rgb="FF203864"/>
      <name val="Calibri"/>
      <family val="2"/>
    </font>
    <font>
      <b/>
      <sz val="13"/>
      <color rgb="FFFFFFFF"/>
      <name val="Cambria"/>
      <family val="1"/>
    </font>
    <font>
      <b/>
      <sz val="11"/>
      <color rgb="FFFFFFFF"/>
      <name val="Cambria"/>
      <family val="1"/>
    </font>
    <font>
      <i/>
      <sz val="9"/>
      <color rgb="FF666666"/>
      <name val="Calibri"/>
      <family val="2"/>
    </font>
    <font>
      <b/>
      <sz val="16"/>
      <color rgb="FFFFFFFF"/>
      <name val="Cambria"/>
      <family val="1"/>
    </font>
    <font>
      <b/>
      <sz val="9"/>
      <color rgb="FF203864"/>
      <name val="Calibri"/>
      <family val="2"/>
    </font>
    <font>
      <b/>
      <sz val="13"/>
      <name val="Calibri"/>
      <family val="2"/>
    </font>
    <font>
      <b/>
      <sz val="11"/>
      <color rgb="FF203864"/>
      <name val="Calibri"/>
      <family val="2"/>
    </font>
    <font>
      <b/>
      <sz val="11"/>
      <name val="Calibri"/>
      <family val="2"/>
    </font>
    <font>
      <b/>
      <sz val="12"/>
      <color rgb="FF203864"/>
      <name val="Calibri"/>
      <family val="2"/>
    </font>
    <font>
      <b/>
      <sz val="16"/>
      <name val="Calibri"/>
      <family val="2"/>
    </font>
    <font>
      <b/>
      <sz val="12"/>
      <color rgb="FFFFFFFF"/>
      <name val="Cambria"/>
      <family val="1"/>
    </font>
    <font>
      <b/>
      <sz val="16"/>
      <color rgb="FF203864"/>
      <name val="Cambria"/>
      <family val="1"/>
    </font>
    <font>
      <b/>
      <sz val="13"/>
      <color rgb="FF203864"/>
      <name val="Cambria"/>
      <family val="1"/>
    </font>
    <font>
      <sz val="10"/>
      <name val="Calibri"/>
      <family val="2"/>
    </font>
    <font>
      <i/>
      <sz val="10"/>
      <name val="Calibri"/>
      <family val="2"/>
    </font>
    <font>
      <b/>
      <sz val="11"/>
      <name val="Calibri"/>
      <family val="2"/>
    </font>
    <font>
      <i/>
      <sz val="9"/>
      <color rgb="FF666666"/>
      <name val="Calibri"/>
      <family val="2"/>
    </font>
  </fonts>
  <fills count="12">
    <fill>
      <patternFill patternType="none"/>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
      <patternFill patternType="solid">
        <fgColor rgb="FFF2F2F2"/>
      </patternFill>
    </fill>
    <fill>
      <patternFill patternType="solid">
        <fgColor rgb="FF7030A0"/>
      </patternFill>
    </fill>
    <fill>
      <patternFill patternType="solid">
        <fgColor rgb="FFFFF2CC"/>
      </patternFill>
    </fill>
    <fill>
      <patternFill patternType="solid">
        <fgColor rgb="FF203864"/>
      </patternFill>
    </fill>
  </fills>
  <borders count="3">
    <border>
      <left/>
      <right/>
      <top/>
      <bottom/>
      <diagonal/>
    </border>
    <border>
      <left/>
      <right/>
      <top/>
      <bottom style="thin">
        <color auto="1"/>
      </bottom>
      <diagonal/>
    </border>
    <border>
      <left/>
      <right/>
      <top/>
      <bottom style="thin">
        <color rgb="FFD9D9D9"/>
      </bottom>
      <diagonal/>
    </border>
  </borders>
  <cellStyleXfs count="1">
    <xf numFmtId="0" fontId="0" fillId="0" borderId="0"/>
  </cellStyleXfs>
  <cellXfs count="8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xf numFmtId="0" fontId="7" fillId="0" borderId="0" xfId="0" applyFont="1"/>
    <xf numFmtId="164" fontId="7" fillId="0" borderId="0" xfId="0" applyNumberFormat="1" applyFont="1"/>
    <xf numFmtId="1" fontId="7" fillId="0" borderId="0" xfId="0" applyNumberFormat="1" applyFont="1"/>
    <xf numFmtId="165" fontId="7" fillId="0" borderId="0" xfId="0" applyNumberFormat="1" applyFont="1"/>
    <xf numFmtId="0" fontId="7" fillId="3" borderId="0" xfId="0" applyFont="1" applyFill="1"/>
    <xf numFmtId="2" fontId="6" fillId="0" borderId="0" xfId="0" applyNumberFormat="1" applyFont="1"/>
    <xf numFmtId="165" fontId="6" fillId="0" borderId="0" xfId="0" applyNumberFormat="1" applyFont="1"/>
    <xf numFmtId="0" fontId="8" fillId="0" borderId="0" xfId="0" applyFont="1" applyAlignment="1">
      <alignment wrapText="1"/>
    </xf>
    <xf numFmtId="0" fontId="9" fillId="0" borderId="0" xfId="0" applyFont="1" applyAlignment="1">
      <alignment horizontal="right"/>
    </xf>
    <xf numFmtId="0" fontId="10" fillId="0" borderId="0" xfId="0" applyFont="1"/>
    <xf numFmtId="0" fontId="9" fillId="0" borderId="0" xfId="0" applyFont="1"/>
    <xf numFmtId="0" fontId="7" fillId="0" borderId="0" xfId="0" applyFont="1" applyAlignment="1">
      <alignment wrapText="1"/>
    </xf>
    <xf numFmtId="0" fontId="0" fillId="0" borderId="2" xfId="0" applyBorder="1"/>
    <xf numFmtId="0" fontId="0" fillId="3" borderId="2" xfId="0" applyFill="1" applyBorder="1"/>
    <xf numFmtId="0" fontId="0" fillId="5" borderId="2" xfId="0" applyFill="1" applyBorder="1"/>
    <xf numFmtId="0" fontId="7" fillId="5" borderId="2" xfId="0" applyFont="1" applyFill="1" applyBorder="1"/>
    <xf numFmtId="0" fontId="7" fillId="3" borderId="2" xfId="0" applyFont="1" applyFill="1" applyBorder="1"/>
    <xf numFmtId="0" fontId="6" fillId="0" borderId="2" xfId="0" applyFont="1" applyBorder="1"/>
    <xf numFmtId="1" fontId="6" fillId="0" borderId="2" xfId="0" applyNumberFormat="1" applyFont="1" applyBorder="1"/>
    <xf numFmtId="1" fontId="10" fillId="0" borderId="0" xfId="0" applyNumberFormat="1" applyFont="1"/>
    <xf numFmtId="0" fontId="12" fillId="0" borderId="2" xfId="0" applyFont="1" applyBorder="1"/>
    <xf numFmtId="2" fontId="6" fillId="0" borderId="2" xfId="0" applyNumberFormat="1" applyFont="1" applyBorder="1"/>
    <xf numFmtId="166" fontId="0" fillId="0" borderId="2" xfId="0" applyNumberFormat="1" applyBorder="1"/>
    <xf numFmtId="0" fontId="13" fillId="0" borderId="0" xfId="0" applyFont="1"/>
    <xf numFmtId="49" fontId="0" fillId="0" borderId="0" xfId="0" applyNumberFormat="1"/>
    <xf numFmtId="0" fontId="14" fillId="0" borderId="2" xfId="0" applyFont="1" applyBorder="1"/>
    <xf numFmtId="0" fontId="10" fillId="0" borderId="2" xfId="0" applyFont="1" applyBorder="1"/>
    <xf numFmtId="0" fontId="8" fillId="0" borderId="2" xfId="0" applyFont="1" applyBorder="1" applyAlignment="1">
      <alignment wrapText="1"/>
    </xf>
    <xf numFmtId="164" fontId="10" fillId="0" borderId="2" xfId="0" applyNumberFormat="1" applyFont="1" applyBorder="1"/>
    <xf numFmtId="0" fontId="7" fillId="0" borderId="2" xfId="0" applyFont="1" applyBorder="1"/>
    <xf numFmtId="0" fontId="8" fillId="0" borderId="2" xfId="0" applyFont="1" applyBorder="1"/>
    <xf numFmtId="165" fontId="10" fillId="0" borderId="2" xfId="0" applyNumberFormat="1" applyFont="1" applyBorder="1"/>
    <xf numFmtId="0" fontId="15" fillId="0" borderId="2" xfId="0" applyFont="1" applyBorder="1" applyAlignment="1">
      <alignment wrapText="1"/>
    </xf>
    <xf numFmtId="165" fontId="10" fillId="0" borderId="0" xfId="0" applyNumberFormat="1" applyFont="1"/>
    <xf numFmtId="164" fontId="10" fillId="0" borderId="0" xfId="0" applyNumberFormat="1" applyFont="1"/>
    <xf numFmtId="0" fontId="12" fillId="0" borderId="0" xfId="0" applyFont="1"/>
    <xf numFmtId="1" fontId="6" fillId="0" borderId="0" xfId="0" applyNumberFormat="1" applyFont="1"/>
    <xf numFmtId="1" fontId="7" fillId="0" borderId="2" xfId="0" applyNumberFormat="1" applyFont="1" applyBorder="1"/>
    <xf numFmtId="0" fontId="0" fillId="0" borderId="0" xfId="0" applyAlignment="1">
      <alignment vertical="top" wrapText="1"/>
    </xf>
    <xf numFmtId="0" fontId="16" fillId="8" borderId="0" xfId="0" applyFont="1" applyFill="1" applyAlignment="1">
      <alignment vertical="center" wrapText="1"/>
    </xf>
    <xf numFmtId="9" fontId="0" fillId="0" borderId="0" xfId="0" applyNumberFormat="1"/>
    <xf numFmtId="0" fontId="18" fillId="9" borderId="0" xfId="0" applyFont="1" applyFill="1"/>
    <xf numFmtId="0" fontId="19" fillId="0" borderId="0" xfId="0" applyFont="1" applyAlignment="1">
      <alignment vertical="top" wrapText="1"/>
    </xf>
    <xf numFmtId="0" fontId="21" fillId="0" borderId="0" xfId="0" applyFont="1"/>
    <xf numFmtId="0" fontId="22" fillId="0" borderId="0" xfId="0" applyFont="1"/>
    <xf numFmtId="0" fontId="23" fillId="0" borderId="0" xfId="0" applyFont="1"/>
    <xf numFmtId="0" fontId="24" fillId="0" borderId="0" xfId="0" applyFont="1"/>
    <xf numFmtId="0" fontId="0" fillId="10" borderId="0" xfId="0" applyFill="1"/>
    <xf numFmtId="0" fontId="25" fillId="0" borderId="0" xfId="0" applyFont="1"/>
    <xf numFmtId="0" fontId="26" fillId="0" borderId="0" xfId="0" applyFont="1"/>
    <xf numFmtId="0" fontId="28" fillId="0" borderId="0" xfId="0" applyFont="1"/>
    <xf numFmtId="0" fontId="29" fillId="0" borderId="0" xfId="0" applyFont="1"/>
    <xf numFmtId="0" fontId="30" fillId="0" borderId="0" xfId="0" applyFont="1" applyAlignment="1">
      <alignment wrapText="1"/>
    </xf>
    <xf numFmtId="0" fontId="31" fillId="0" borderId="0" xfId="0" applyFont="1" applyAlignment="1">
      <alignment wrapText="1"/>
    </xf>
    <xf numFmtId="0" fontId="32" fillId="0" borderId="0" xfId="0" applyFont="1"/>
    <xf numFmtId="0" fontId="20" fillId="9" borderId="0" xfId="0" applyFont="1" applyFill="1"/>
    <xf numFmtId="0" fontId="33" fillId="0" borderId="0" xfId="0" applyFont="1" applyAlignment="1">
      <alignment wrapText="1"/>
    </xf>
    <xf numFmtId="0" fontId="11" fillId="4" borderId="1" xfId="0" applyFont="1" applyFill="1" applyBorder="1" applyAlignment="1">
      <alignment horizontal="center"/>
    </xf>
    <xf numFmtId="0" fontId="0" fillId="0" borderId="1" xfId="0" applyBorder="1"/>
    <xf numFmtId="0" fontId="20" fillId="9" borderId="0" xfId="0" applyFont="1" applyFill="1"/>
    <xf numFmtId="0" fontId="0" fillId="0" borderId="0" xfId="0"/>
    <xf numFmtId="0" fontId="21" fillId="0" borderId="0" xfId="0" applyFont="1"/>
    <xf numFmtId="0" fontId="22" fillId="0" borderId="0" xfId="0" applyFont="1"/>
    <xf numFmtId="0" fontId="17" fillId="9" borderId="0" xfId="0" applyFont="1" applyFill="1"/>
    <xf numFmtId="0" fontId="19" fillId="0" borderId="0" xfId="0" applyFont="1" applyAlignment="1">
      <alignment vertical="top" wrapText="1"/>
    </xf>
    <xf numFmtId="0" fontId="5" fillId="2" borderId="0" xfId="0" applyFont="1" applyFill="1"/>
    <xf numFmtId="0" fontId="8" fillId="0" borderId="0" xfId="0" applyFont="1" applyAlignment="1">
      <alignment wrapText="1"/>
    </xf>
    <xf numFmtId="0" fontId="27" fillId="11" borderId="0" xfId="0" applyFont="1" applyFill="1"/>
    <xf numFmtId="0" fontId="5" fillId="6" borderId="0" xfId="0" applyFont="1" applyFill="1" applyAlignment="1">
      <alignment horizontal="left" vertical="center"/>
    </xf>
    <xf numFmtId="0" fontId="5" fillId="7" borderId="2" xfId="0" applyFont="1" applyFill="1" applyBorder="1" applyAlignment="1">
      <alignment horizontal="left" vertical="center"/>
    </xf>
    <xf numFmtId="0" fontId="0" fillId="0" borderId="2" xfId="0" applyBorder="1"/>
    <xf numFmtId="0" fontId="5" fillId="7" borderId="2" xfId="0" applyFont="1" applyFill="1" applyBorder="1"/>
    <xf numFmtId="0" fontId="18" fillId="9" borderId="0" xfId="0" applyFont="1" applyFill="1"/>
    <xf numFmtId="0" fontId="5" fillId="6" borderId="0" xfId="0" applyFont="1" applyFill="1"/>
  </cellXfs>
  <cellStyles count="1">
    <cellStyle name="Normal" xfId="0" builtinId="0"/>
  </cellStyles>
  <dxfs count="3">
    <dxf>
      <font>
        <b/>
        <color rgb="FF375623"/>
      </font>
    </dxf>
    <dxf>
      <font>
        <b/>
        <color rgb="FFBF8F00"/>
      </font>
    </dxf>
    <dxf>
      <font>
        <b/>
        <color rgb="FFC0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8"/>
  <sheetViews>
    <sheetView showGridLines="0" topLeftCell="A17" zoomScaleNormal="100" workbookViewId="0"/>
  </sheetViews>
  <sheetFormatPr defaultColWidth="8.5703125" defaultRowHeight="15" x14ac:dyDescent="0.25"/>
  <cols>
    <col min="1" max="1" width="100" customWidth="1"/>
  </cols>
  <sheetData>
    <row r="1" spans="1:1" ht="25.5" customHeight="1" x14ac:dyDescent="0.25">
      <c r="A1" s="1" t="s">
        <v>523</v>
      </c>
    </row>
    <row r="2" spans="1:1" ht="31.5" customHeight="1" x14ac:dyDescent="0.25">
      <c r="A2" s="2" t="s">
        <v>524</v>
      </c>
    </row>
    <row r="3" spans="1:1" ht="19.5" customHeight="1" x14ac:dyDescent="0.25">
      <c r="A3" s="3" t="s">
        <v>525</v>
      </c>
    </row>
    <row r="5" spans="1:1" ht="31.5" customHeight="1" x14ac:dyDescent="0.25">
      <c r="A5" s="2" t="s">
        <v>526</v>
      </c>
    </row>
    <row r="6" spans="1:1" ht="31.5" customHeight="1" x14ac:dyDescent="0.25">
      <c r="A6" s="2" t="s">
        <v>527</v>
      </c>
    </row>
    <row r="7" spans="1:1" ht="31.5" customHeight="1" x14ac:dyDescent="0.25">
      <c r="A7" s="2" t="s">
        <v>528</v>
      </c>
    </row>
    <row r="8" spans="1:1" ht="31.5" customHeight="1" x14ac:dyDescent="0.25">
      <c r="A8" s="2" t="s">
        <v>529</v>
      </c>
    </row>
    <row r="9" spans="1:1" ht="31.5" customHeight="1" x14ac:dyDescent="0.25">
      <c r="A9" s="2" t="s">
        <v>530</v>
      </c>
    </row>
    <row r="10" spans="1:1" ht="31.5" customHeight="1" x14ac:dyDescent="0.25">
      <c r="A10" s="2" t="s">
        <v>531</v>
      </c>
    </row>
    <row r="11" spans="1:1" ht="31.5" customHeight="1" x14ac:dyDescent="0.25">
      <c r="A11" s="2" t="s">
        <v>532</v>
      </c>
    </row>
    <row r="12" spans="1:1" ht="19.5" customHeight="1" x14ac:dyDescent="0.25">
      <c r="A12" s="3" t="s">
        <v>533</v>
      </c>
    </row>
    <row r="14" spans="1:1" ht="31.5" customHeight="1" x14ac:dyDescent="0.25">
      <c r="A14" s="2" t="s">
        <v>534</v>
      </c>
    </row>
    <row r="15" spans="1:1" ht="31.5" customHeight="1" x14ac:dyDescent="0.25">
      <c r="A15" s="2" t="s">
        <v>535</v>
      </c>
    </row>
    <row r="16" spans="1:1" ht="31.5" customHeight="1" x14ac:dyDescent="0.25">
      <c r="A16" s="2" t="s">
        <v>536</v>
      </c>
    </row>
    <row r="17" spans="1:1" ht="31.5" customHeight="1" x14ac:dyDescent="0.25">
      <c r="A17" s="2" t="s">
        <v>537</v>
      </c>
    </row>
    <row r="18" spans="1:1" ht="31.5" customHeight="1" x14ac:dyDescent="0.25">
      <c r="A18" s="2" t="s">
        <v>538</v>
      </c>
    </row>
    <row r="19" spans="1:1" ht="19.5" customHeight="1" x14ac:dyDescent="0.25">
      <c r="A19" s="3" t="s">
        <v>539</v>
      </c>
    </row>
    <row r="20" spans="1:1" ht="42" customHeight="1" x14ac:dyDescent="0.25">
      <c r="A20" s="4" t="s">
        <v>540</v>
      </c>
    </row>
    <row r="21" spans="1:1" ht="42" customHeight="1" x14ac:dyDescent="0.25">
      <c r="A21" s="4" t="s">
        <v>541</v>
      </c>
    </row>
    <row r="22" spans="1:1" ht="31.5" customHeight="1" x14ac:dyDescent="0.25">
      <c r="A22" s="2" t="s">
        <v>542</v>
      </c>
    </row>
    <row r="23" spans="1:1" ht="19.5" customHeight="1" x14ac:dyDescent="0.25">
      <c r="A23" s="3" t="s">
        <v>543</v>
      </c>
    </row>
    <row r="24" spans="1:1" ht="31.5" customHeight="1" x14ac:dyDescent="0.25">
      <c r="A24" s="2" t="s">
        <v>544</v>
      </c>
    </row>
    <row r="25" spans="1:1" ht="19.5" customHeight="1" x14ac:dyDescent="0.25">
      <c r="A25" s="3" t="s">
        <v>545</v>
      </c>
    </row>
    <row r="26" spans="1:1" ht="31.5" customHeight="1" x14ac:dyDescent="0.25">
      <c r="A26" s="2" t="s">
        <v>546</v>
      </c>
    </row>
    <row r="27" spans="1:1" ht="31.5" customHeight="1" x14ac:dyDescent="0.25">
      <c r="A27" s="2" t="s">
        <v>547</v>
      </c>
    </row>
    <row r="28" spans="1:1" ht="31.5" customHeight="1" x14ac:dyDescent="0.25">
      <c r="A28" s="2" t="s">
        <v>548</v>
      </c>
    </row>
    <row r="30" spans="1:1" ht="14.25" customHeight="1" x14ac:dyDescent="0.25">
      <c r="A30" t="s">
        <v>549</v>
      </c>
    </row>
    <row r="31" spans="1:1" ht="14.25" customHeight="1" x14ac:dyDescent="0.25">
      <c r="A31" t="s">
        <v>550</v>
      </c>
    </row>
    <row r="32" spans="1:1" ht="14.25" customHeight="1" x14ac:dyDescent="0.25">
      <c r="A32" t="s">
        <v>551</v>
      </c>
    </row>
    <row r="33" spans="1:1" ht="14.25" customHeight="1" x14ac:dyDescent="0.25">
      <c r="A33" t="s">
        <v>552</v>
      </c>
    </row>
    <row r="35" spans="1:1" ht="20.25" customHeight="1" x14ac:dyDescent="0.3">
      <c r="A35" s="56" t="s">
        <v>553</v>
      </c>
    </row>
    <row r="36" spans="1:1" ht="16.5" customHeight="1" x14ac:dyDescent="0.25">
      <c r="A36" s="57" t="s">
        <v>554</v>
      </c>
    </row>
    <row r="37" spans="1:1" ht="26.25" customHeight="1" x14ac:dyDescent="0.25">
      <c r="A37" s="58" t="s">
        <v>555</v>
      </c>
    </row>
    <row r="38" spans="1:1" ht="26.25" customHeight="1" x14ac:dyDescent="0.25">
      <c r="A38" s="58" t="s">
        <v>556</v>
      </c>
    </row>
    <row r="39" spans="1:1" ht="26.25" customHeight="1" x14ac:dyDescent="0.25">
      <c r="A39" s="58" t="s">
        <v>557</v>
      </c>
    </row>
    <row r="40" spans="1:1" ht="26.25" customHeight="1" x14ac:dyDescent="0.25">
      <c r="A40" s="58" t="s">
        <v>558</v>
      </c>
    </row>
    <row r="41" spans="1:1" ht="26.25" customHeight="1" x14ac:dyDescent="0.25">
      <c r="A41" s="58" t="s">
        <v>559</v>
      </c>
    </row>
    <row r="42" spans="1:1" ht="26.25" customHeight="1" x14ac:dyDescent="0.25">
      <c r="A42" s="58" t="s">
        <v>560</v>
      </c>
    </row>
    <row r="44" spans="1:1" ht="16.5" customHeight="1" x14ac:dyDescent="0.25">
      <c r="A44" s="57" t="s">
        <v>561</v>
      </c>
    </row>
    <row r="45" spans="1:1" ht="26.25" customHeight="1" x14ac:dyDescent="0.25">
      <c r="A45" s="58" t="s">
        <v>562</v>
      </c>
    </row>
    <row r="46" spans="1:1" ht="26.25" customHeight="1" x14ac:dyDescent="0.25">
      <c r="A46" s="58" t="s">
        <v>563</v>
      </c>
    </row>
    <row r="47" spans="1:1" ht="26.25" customHeight="1" x14ac:dyDescent="0.25">
      <c r="A47" s="58" t="s">
        <v>564</v>
      </c>
    </row>
    <row r="48" spans="1:1" ht="26.25" customHeight="1" x14ac:dyDescent="0.25">
      <c r="A48" s="58" t="s">
        <v>565</v>
      </c>
    </row>
    <row r="49" spans="1:1" ht="26.25" customHeight="1" x14ac:dyDescent="0.25">
      <c r="A49" s="58" t="s">
        <v>566</v>
      </c>
    </row>
    <row r="50" spans="1:1" ht="26.25" customHeight="1" x14ac:dyDescent="0.25">
      <c r="A50" s="58" t="s">
        <v>567</v>
      </c>
    </row>
    <row r="51" spans="1:1" x14ac:dyDescent="0.25">
      <c r="A51" t="s">
        <v>568</v>
      </c>
    </row>
    <row r="52" spans="1:1" ht="20.25" customHeight="1" x14ac:dyDescent="0.3">
      <c r="A52" s="56" t="s">
        <v>569</v>
      </c>
    </row>
    <row r="53" spans="1:1" x14ac:dyDescent="0.25">
      <c r="A53" s="58" t="s">
        <v>570</v>
      </c>
    </row>
    <row r="54" spans="1:1" x14ac:dyDescent="0.25">
      <c r="A54" s="58" t="s">
        <v>571</v>
      </c>
    </row>
    <row r="55" spans="1:1" ht="26.25" customHeight="1" x14ac:dyDescent="0.25">
      <c r="A55" s="58" t="s">
        <v>572</v>
      </c>
    </row>
    <row r="56" spans="1:1" ht="64.5" customHeight="1" x14ac:dyDescent="0.25">
      <c r="A56" s="58" t="s">
        <v>573</v>
      </c>
    </row>
    <row r="57" spans="1:1" x14ac:dyDescent="0.25">
      <c r="A57" t="s">
        <v>574</v>
      </c>
    </row>
    <row r="58" spans="1:1" x14ac:dyDescent="0.25">
      <c r="A58" s="59" t="s">
        <v>575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showGridLines="0" workbookViewId="0">
      <selection sqref="A1:J1"/>
    </sheetView>
  </sheetViews>
  <sheetFormatPr defaultRowHeight="15" x14ac:dyDescent="0.25"/>
  <cols>
    <col min="1" max="2" width="10" customWidth="1"/>
    <col min="3" max="6" width="9" customWidth="1"/>
    <col min="7" max="7" width="14" customWidth="1"/>
    <col min="8" max="9" width="16" customWidth="1"/>
    <col min="10" max="10" width="18" customWidth="1"/>
  </cols>
  <sheetData>
    <row r="1" spans="1:13" ht="20.25" customHeight="1" x14ac:dyDescent="0.3">
      <c r="A1" s="65" t="s">
        <v>576</v>
      </c>
      <c r="B1" s="66"/>
      <c r="C1" s="66"/>
      <c r="D1" s="66"/>
      <c r="E1" s="66"/>
      <c r="F1" s="66"/>
      <c r="G1" s="66"/>
      <c r="H1" s="66"/>
      <c r="I1" s="66"/>
      <c r="J1" s="66"/>
    </row>
    <row r="3" spans="1:13" x14ac:dyDescent="0.25">
      <c r="A3" s="49" t="s">
        <v>577</v>
      </c>
      <c r="D3" s="49" t="s">
        <v>578</v>
      </c>
      <c r="G3" s="49" t="s">
        <v>579</v>
      </c>
      <c r="I3" s="49" t="s">
        <v>580</v>
      </c>
    </row>
    <row r="4" spans="1:13" ht="17.25" customHeight="1" x14ac:dyDescent="0.3">
      <c r="A4" s="50" t="str">
        <f>'Stato Asta'!$C$3</f>
        <v>0 / 491</v>
      </c>
      <c r="D4" s="50">
        <f>'Stato Asta'!$C$4</f>
        <v>0</v>
      </c>
      <c r="G4" s="50" t="str">
        <f>'Stato Asta'!$C$6</f>
        <v/>
      </c>
      <c r="I4" s="50">
        <f>'Stato Asta'!$C$5</f>
        <v>1000</v>
      </c>
    </row>
    <row r="6" spans="1:13" ht="25.5" customHeight="1" x14ac:dyDescent="0.25">
      <c r="A6" s="45" t="s">
        <v>581</v>
      </c>
      <c r="B6" s="45" t="s">
        <v>582</v>
      </c>
      <c r="C6" s="45" t="s">
        <v>583</v>
      </c>
      <c r="D6" s="45" t="s">
        <v>584</v>
      </c>
      <c r="E6" s="45" t="s">
        <v>585</v>
      </c>
      <c r="F6" s="45" t="s">
        <v>586</v>
      </c>
      <c r="G6" s="45" t="s">
        <v>587</v>
      </c>
      <c r="H6" s="45" t="s">
        <v>588</v>
      </c>
      <c r="I6" s="45" t="s">
        <v>589</v>
      </c>
      <c r="J6" s="45" t="s">
        <v>590</v>
      </c>
      <c r="K6" t="s">
        <v>591</v>
      </c>
      <c r="L6" t="s">
        <v>592</v>
      </c>
      <c r="M6" t="s">
        <v>593</v>
      </c>
    </row>
    <row r="7" spans="1:13" x14ac:dyDescent="0.25">
      <c r="A7" t="s">
        <v>8</v>
      </c>
      <c r="B7">
        <f>'Stato Asta'!$B$9</f>
        <v>7</v>
      </c>
      <c r="C7">
        <f>'Stato Asta'!$C$9</f>
        <v>11</v>
      </c>
      <c r="D7">
        <f>'Stato Asta'!$I$9</f>
        <v>6</v>
      </c>
      <c r="E7">
        <f>'Stato Asta'!$J$9</f>
        <v>0</v>
      </c>
      <c r="F7">
        <f>'Stato Asta'!$K$9</f>
        <v>24</v>
      </c>
      <c r="G7">
        <f>'Stato Asta'!$E$9</f>
        <v>24</v>
      </c>
      <c r="H7" s="46">
        <f>'Stato Asta'!$L$9</f>
        <v>0.75</v>
      </c>
      <c r="I7" t="str">
        <f>'Stato Asta'!$G$9</f>
        <v>🟢 Puoi aspettare</v>
      </c>
      <c r="J7" t="str">
        <f>'Pressione Competitiva'!$F$3</f>
        <v>🔴 Molto Alta</v>
      </c>
      <c r="K7">
        <f>'Stato Asta'!$M$9</f>
        <v>8</v>
      </c>
      <c r="L7">
        <f>'Stato Asta'!$N$9</f>
        <v>16</v>
      </c>
      <c r="M7">
        <f>'Pressione Competitiva'!$H$3</f>
        <v>7</v>
      </c>
    </row>
    <row r="8" spans="1:13" x14ac:dyDescent="0.25">
      <c r="A8" t="s">
        <v>88</v>
      </c>
      <c r="B8">
        <f>'Stato Asta'!$B$10</f>
        <v>18</v>
      </c>
      <c r="C8">
        <f>'Stato Asta'!$C$10</f>
        <v>37</v>
      </c>
      <c r="D8">
        <f>'Stato Asta'!$I$10</f>
        <v>56</v>
      </c>
      <c r="E8">
        <f>'Stato Asta'!$J$10</f>
        <v>37</v>
      </c>
      <c r="F8">
        <f>'Stato Asta'!$K$10</f>
        <v>148</v>
      </c>
      <c r="G8">
        <f>'Stato Asta'!$E$10</f>
        <v>64</v>
      </c>
      <c r="H8" s="46">
        <f>'Stato Asta'!$L$10</f>
        <v>0.3716216216216216</v>
      </c>
      <c r="I8" t="str">
        <f>'Stato Asta'!$G$10</f>
        <v>🟢 Puoi aspettare</v>
      </c>
      <c r="J8" t="str">
        <f>'Pressione Competitiva'!$F$4</f>
        <v>🔴 Molto Alta</v>
      </c>
      <c r="K8">
        <f>'Stato Asta'!$M$10</f>
        <v>24</v>
      </c>
      <c r="L8">
        <f>'Stato Asta'!$N$10</f>
        <v>40</v>
      </c>
      <c r="M8">
        <f>'Pressione Competitiva'!$H$4</f>
        <v>7</v>
      </c>
    </row>
    <row r="9" spans="1:13" x14ac:dyDescent="0.25">
      <c r="A9" t="s">
        <v>264</v>
      </c>
      <c r="B9">
        <f>'Stato Asta'!$B$11</f>
        <v>18</v>
      </c>
      <c r="C9">
        <f>'Stato Asta'!$C$11</f>
        <v>37</v>
      </c>
      <c r="D9">
        <f>'Stato Asta'!$I$11</f>
        <v>49</v>
      </c>
      <c r="E9">
        <f>'Stato Asta'!$J$11</f>
        <v>51</v>
      </c>
      <c r="F9">
        <f>'Stato Asta'!$K$11</f>
        <v>155</v>
      </c>
      <c r="G9">
        <f>'Stato Asta'!$E$11</f>
        <v>64</v>
      </c>
      <c r="H9" s="46">
        <f>'Stato Asta'!$L$11</f>
        <v>0.35483870967741937</v>
      </c>
      <c r="I9" t="str">
        <f>'Stato Asta'!$G$11</f>
        <v>🟡 Attesa rischiosa</v>
      </c>
      <c r="J9" t="str">
        <f>'Pressione Competitiva'!$F$5</f>
        <v>🔴 Molto Alta</v>
      </c>
      <c r="K9">
        <f>'Stato Asta'!$M$11</f>
        <v>32</v>
      </c>
      <c r="L9">
        <f>'Stato Asta'!$N$11</f>
        <v>32</v>
      </c>
      <c r="M9">
        <f>'Pressione Competitiva'!$H$5</f>
        <v>7</v>
      </c>
    </row>
    <row r="10" spans="1:13" x14ac:dyDescent="0.25">
      <c r="A10" t="s">
        <v>437</v>
      </c>
      <c r="B10">
        <f>'Stato Asta'!$B$12</f>
        <v>9</v>
      </c>
      <c r="C10">
        <f>'Stato Asta'!$C$12</f>
        <v>17</v>
      </c>
      <c r="D10">
        <f>'Stato Asta'!$I$12</f>
        <v>28</v>
      </c>
      <c r="E10">
        <f>'Stato Asta'!$J$12</f>
        <v>23</v>
      </c>
      <c r="F10">
        <f>'Stato Asta'!$K$12</f>
        <v>77</v>
      </c>
      <c r="G10">
        <f>'Stato Asta'!$E$12</f>
        <v>48</v>
      </c>
      <c r="H10" s="46">
        <f>'Stato Asta'!$L$12</f>
        <v>0.33766233766233766</v>
      </c>
      <c r="I10" t="str">
        <f>'Stato Asta'!$G$12</f>
        <v>🟡 Attesa rischiosa</v>
      </c>
      <c r="J10" t="str">
        <f>'Pressione Competitiva'!$F$6</f>
        <v>🔴 Molto Alta</v>
      </c>
      <c r="K10">
        <f>'Stato Asta'!$M$12</f>
        <v>24</v>
      </c>
      <c r="L10">
        <f>'Stato Asta'!$N$12</f>
        <v>24</v>
      </c>
      <c r="M10">
        <f>'Pressione Competitiva'!$H$6</f>
        <v>7</v>
      </c>
    </row>
    <row r="12" spans="1:13" ht="16.5" customHeight="1" x14ac:dyDescent="0.25">
      <c r="A12" s="69" t="s">
        <v>594</v>
      </c>
      <c r="B12" s="66"/>
      <c r="C12" s="66"/>
      <c r="D12" s="66"/>
      <c r="E12" s="66"/>
      <c r="F12" s="66"/>
      <c r="G12" s="66"/>
      <c r="H12" s="66"/>
      <c r="I12" s="66"/>
      <c r="J12" s="66"/>
    </row>
    <row r="13" spans="1:13" x14ac:dyDescent="0.25">
      <c r="A13" s="67" t="s">
        <v>595</v>
      </c>
      <c r="B13" s="66"/>
      <c r="C13" s="67" t="s">
        <v>596</v>
      </c>
      <c r="D13" s="66"/>
      <c r="E13" s="67" t="s">
        <v>597</v>
      </c>
      <c r="F13" s="66"/>
      <c r="G13" s="67" t="s">
        <v>598</v>
      </c>
      <c r="H13" s="66"/>
      <c r="I13" s="67" t="s">
        <v>599</v>
      </c>
      <c r="J13" s="66"/>
    </row>
    <row r="14" spans="1:13" ht="17.25" customHeight="1" x14ac:dyDescent="0.3">
      <c r="A14" s="68">
        <f>'La Mia Rosa'!$S$2</f>
        <v>1000</v>
      </c>
      <c r="B14" s="66"/>
      <c r="C14" s="68">
        <f>'La Mia Rosa'!$S$3</f>
        <v>25</v>
      </c>
      <c r="D14" s="66"/>
      <c r="E14" s="68">
        <f>'La Mia Rosa'!$R$6</f>
        <v>0</v>
      </c>
      <c r="F14" s="66"/>
      <c r="G14" s="68">
        <f>'La Mia Rosa'!$R$7</f>
        <v>0</v>
      </c>
      <c r="H14" s="66"/>
      <c r="I14" s="68" t="str">
        <f>'La Mia Rosa'!$R$8</f>
        <v/>
      </c>
      <c r="J14" s="66"/>
    </row>
    <row r="16" spans="1:13" x14ac:dyDescent="0.25">
      <c r="A16" s="51" t="s">
        <v>600</v>
      </c>
    </row>
    <row r="17" spans="1:5" ht="25.5" customHeight="1" x14ac:dyDescent="0.25">
      <c r="A17" s="45" t="s">
        <v>581</v>
      </c>
      <c r="B17" s="45" t="s">
        <v>601</v>
      </c>
      <c r="C17" s="45" t="s">
        <v>602</v>
      </c>
      <c r="D17" s="45" t="s">
        <v>603</v>
      </c>
      <c r="E17" s="45" t="s">
        <v>604</v>
      </c>
    </row>
    <row r="18" spans="1:5" x14ac:dyDescent="0.25">
      <c r="A18" t="s">
        <v>8</v>
      </c>
      <c r="B18">
        <f>'La Mia Rosa'!$R$13</f>
        <v>0</v>
      </c>
      <c r="C18">
        <f>'La Mia Rosa'!$S$13</f>
        <v>1</v>
      </c>
      <c r="D18">
        <f>'La Mia Rosa'!$T$13</f>
        <v>0</v>
      </c>
      <c r="E18" t="str">
        <f>'La Mia Rosa'!$U$13</f>
        <v>Titolare</v>
      </c>
    </row>
    <row r="19" spans="1:5" x14ac:dyDescent="0.25">
      <c r="A19" t="s">
        <v>88</v>
      </c>
      <c r="B19">
        <f>'La Mia Rosa'!$R$14</f>
        <v>0</v>
      </c>
      <c r="C19">
        <f>'La Mia Rosa'!$S$14</f>
        <v>3</v>
      </c>
      <c r="D19">
        <f>'La Mia Rosa'!$T$14</f>
        <v>0</v>
      </c>
      <c r="E19" t="str">
        <f>'La Mia Rosa'!$U$14</f>
        <v>Titolare</v>
      </c>
    </row>
    <row r="20" spans="1:5" x14ac:dyDescent="0.25">
      <c r="A20" t="s">
        <v>264</v>
      </c>
      <c r="B20">
        <f>'La Mia Rosa'!$R$15</f>
        <v>0</v>
      </c>
      <c r="C20">
        <f>'La Mia Rosa'!$S$15</f>
        <v>4</v>
      </c>
      <c r="D20">
        <f>'La Mia Rosa'!$T$15</f>
        <v>0</v>
      </c>
      <c r="E20" t="str">
        <f>'La Mia Rosa'!$U$15</f>
        <v>Titolare</v>
      </c>
    </row>
    <row r="21" spans="1:5" x14ac:dyDescent="0.25">
      <c r="A21" t="s">
        <v>437</v>
      </c>
      <c r="B21">
        <f>'La Mia Rosa'!$R$16</f>
        <v>0</v>
      </c>
      <c r="C21">
        <f>'La Mia Rosa'!$S$16</f>
        <v>3</v>
      </c>
      <c r="D21">
        <f>'La Mia Rosa'!$T$16</f>
        <v>0</v>
      </c>
      <c r="E21" t="str">
        <f>'La Mia Rosa'!$U$16</f>
        <v>Titolare</v>
      </c>
    </row>
  </sheetData>
  <mergeCells count="12">
    <mergeCell ref="A1:J1"/>
    <mergeCell ref="A13:B13"/>
    <mergeCell ref="A14:B14"/>
    <mergeCell ref="A12:J12"/>
    <mergeCell ref="C13:D13"/>
    <mergeCell ref="C14:D14"/>
    <mergeCell ref="I14:J14"/>
    <mergeCell ref="E13:F13"/>
    <mergeCell ref="E14:F14"/>
    <mergeCell ref="G14:H14"/>
    <mergeCell ref="I13:J13"/>
    <mergeCell ref="G13:H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showGridLines="0" workbookViewId="0"/>
  </sheetViews>
  <sheetFormatPr defaultRowHeight="15" x14ac:dyDescent="0.25"/>
  <cols>
    <col min="1" max="1" width="34" customWidth="1"/>
    <col min="2" max="2" width="22" customWidth="1"/>
    <col min="3" max="3" width="55" customWidth="1"/>
  </cols>
  <sheetData>
    <row r="1" spans="1:3" ht="20.25" customHeight="1" x14ac:dyDescent="0.3">
      <c r="A1" s="65" t="s">
        <v>605</v>
      </c>
      <c r="B1" s="66"/>
      <c r="C1" s="66"/>
    </row>
    <row r="3" spans="1:3" x14ac:dyDescent="0.25">
      <c r="A3" s="52" t="s">
        <v>606</v>
      </c>
      <c r="B3" s="53"/>
    </row>
    <row r="4" spans="1:3" x14ac:dyDescent="0.25">
      <c r="A4" s="52" t="s">
        <v>607</v>
      </c>
      <c r="B4" s="53"/>
    </row>
    <row r="6" spans="1:3" x14ac:dyDescent="0.25">
      <c r="A6" t="s">
        <v>581</v>
      </c>
      <c r="B6" t="str">
        <f>IFERROR(INDEX('Output Utente'!$B$2:$B$492,MATCH($B$3,'Output Utente'!$C$2:$C$492,0)),"")</f>
        <v/>
      </c>
    </row>
    <row r="7" spans="1:3" x14ac:dyDescent="0.25">
      <c r="A7" t="s">
        <v>608</v>
      </c>
      <c r="B7" t="str">
        <f>IFERROR(INDEX('Output Utente'!$O$2:$O$492,MATCH($B$3,'Output Utente'!$C$2:$C$492,0)),"")</f>
        <v/>
      </c>
    </row>
    <row r="8" spans="1:3" x14ac:dyDescent="0.25">
      <c r="A8" t="s">
        <v>609</v>
      </c>
      <c r="B8" t="str">
        <f>IFERROR(INDEX('Output Utente'!$P$2:$P$492,MATCH($B$3,'Output Utente'!$C$2:$C$492,0)),"")</f>
        <v/>
      </c>
    </row>
    <row r="9" spans="1:3" x14ac:dyDescent="0.25">
      <c r="A9" t="s">
        <v>610</v>
      </c>
      <c r="B9" t="str">
        <f>IFERROR(INDEX('Output Utente'!$AF$2:$AF$492,MATCH($B$3,'Output Utente'!$C$2:$C$492,0)),"")</f>
        <v/>
      </c>
    </row>
    <row r="10" spans="1:3" x14ac:dyDescent="0.25">
      <c r="A10" t="s">
        <v>611</v>
      </c>
      <c r="B10" t="str">
        <f>IFERROR(INDEX('Output Utente'!$E$2:$E$492,MATCH($B$3,'Output Utente'!$C$2:$C$492,0)),"")</f>
        <v/>
      </c>
    </row>
    <row r="12" spans="1:3" ht="15.75" customHeight="1" x14ac:dyDescent="0.25">
      <c r="A12" s="54" t="s">
        <v>612</v>
      </c>
    </row>
    <row r="13" spans="1:3" x14ac:dyDescent="0.25">
      <c r="A13" t="s">
        <v>613</v>
      </c>
      <c r="B13" t="str">
        <f>IFERROR(INDEX('Output Utente'!$G$2:$G$492,MATCH($B$3,'Output Utente'!$C$2:$C$492,0)),"")</f>
        <v/>
      </c>
      <c r="C13" s="48" t="s">
        <v>614</v>
      </c>
    </row>
    <row r="14" spans="1:3" x14ac:dyDescent="0.25">
      <c r="A14" t="s">
        <v>615</v>
      </c>
      <c r="B14" t="str">
        <f>IFERROR(INDEX('Output Utente'!$H$2:$H$492,MATCH($B$3,'Output Utente'!$C$2:$C$492,0)),"")</f>
        <v/>
      </c>
      <c r="C14" s="48" t="s">
        <v>616</v>
      </c>
    </row>
    <row r="15" spans="1:3" ht="24" customHeight="1" x14ac:dyDescent="0.25">
      <c r="A15" t="s">
        <v>617</v>
      </c>
      <c r="B15" t="str">
        <f>IFERROR(INDEX('Output Utente'!$F$2:$F$492,MATCH($B$3,'Output Utente'!$C$2:$C$492,0)),"")</f>
        <v/>
      </c>
      <c r="C15" s="48" t="s">
        <v>618</v>
      </c>
    </row>
    <row r="16" spans="1:3" x14ac:dyDescent="0.25">
      <c r="A16" t="s">
        <v>619</v>
      </c>
      <c r="B16" t="str">
        <f>IFERROR(INDEX('Output Utente'!$W$2:$W$492,MATCH($B$3,'Output Utente'!$C$2:$C$492,0)),"")</f>
        <v/>
      </c>
    </row>
    <row r="17" spans="1:3" x14ac:dyDescent="0.25">
      <c r="A17" t="s">
        <v>620</v>
      </c>
      <c r="B17" t="str">
        <f>IFERROR(INDEX('Output Utente'!$X$2:$X$492,MATCH($B$3,'Output Utente'!$C$2:$C$492,0)),"")</f>
        <v/>
      </c>
    </row>
    <row r="18" spans="1:3" ht="24" customHeight="1" x14ac:dyDescent="0.3">
      <c r="A18" s="52" t="s">
        <v>621</v>
      </c>
      <c r="B18" s="50" t="str">
        <f>IFERROR(INDEX('Output Utente'!$AA$2:$AA$492,MATCH($B$3,'Output Utente'!$C$2:$C$492,0)),"")</f>
        <v/>
      </c>
      <c r="C18" s="48" t="s">
        <v>622</v>
      </c>
    </row>
    <row r="20" spans="1:3" ht="15.75" customHeight="1" x14ac:dyDescent="0.25">
      <c r="A20" s="54" t="s">
        <v>623</v>
      </c>
    </row>
    <row r="21" spans="1:3" x14ac:dyDescent="0.25">
      <c r="A21" t="s">
        <v>624</v>
      </c>
      <c r="B21" t="str">
        <f>IFERROR(INDEX('Pressione Competitiva'!$F$3:$F$6,MATCH($B$6,'Pressione Competitiva'!$B$3:$B$6,0)),"")</f>
        <v/>
      </c>
    </row>
    <row r="22" spans="1:3" x14ac:dyDescent="0.25">
      <c r="A22" t="s">
        <v>625</v>
      </c>
      <c r="B22" t="str">
        <f>IFERROR(INDEX('Pressione Competitiva'!$G$3:$G$6,MATCH($B$6,'Pressione Competitiva'!$B$3:$B$6,0)),"")</f>
        <v/>
      </c>
    </row>
    <row r="24" spans="1:3" ht="15.75" customHeight="1" x14ac:dyDescent="0.25">
      <c r="A24" s="54" t="s">
        <v>626</v>
      </c>
    </row>
    <row r="25" spans="1:3" x14ac:dyDescent="0.25">
      <c r="A25" t="s">
        <v>627</v>
      </c>
      <c r="B25">
        <f>$B$4</f>
        <v>0</v>
      </c>
    </row>
    <row r="26" spans="1:3" x14ac:dyDescent="0.25">
      <c r="A26" t="s">
        <v>628</v>
      </c>
      <c r="B26" t="str">
        <f>IF($B$4="","",$B$18-$B$4)</f>
        <v/>
      </c>
    </row>
    <row r="27" spans="1:3" x14ac:dyDescent="0.25">
      <c r="A27" t="s">
        <v>629</v>
      </c>
      <c r="B27" t="str">
        <f>IFERROR(IF($B$4="","",IF($B$26&gt;=$B$18*'Parametri Modello'!$B$68,"🟢 Opportunita'",IF($B$26&lt;=$B$18*'Parametri Modello'!$B$69,"🔴 Sovrapprezzo","🟡 Prezzo Corretto"))),"")</f>
        <v/>
      </c>
    </row>
    <row r="28" spans="1:3" ht="21" customHeight="1" x14ac:dyDescent="0.35">
      <c r="A28" s="50" t="s">
        <v>626</v>
      </c>
      <c r="B28" s="55" t="str">
        <f>IF($B$4="","",IF($B$4&gt;$B$18,"🔴 PASS",IF($B$4&lt;=$B$18*(1-'Parametri Modello'!$B$68),"🟢 BID","🟡 ATTENZIONE")))</f>
        <v/>
      </c>
    </row>
    <row r="29" spans="1:3" x14ac:dyDescent="0.25">
      <c r="A29" t="s">
        <v>625</v>
      </c>
      <c r="B29" t="str">
        <f>IF($B$4="","",IF($B$4&gt;$B$18,"Hai superato il tuo tetto di "&amp;($B$4-$B$18)&amp;" crediti.",IF($B$4&lt;=$B$18*(1-'Parametri Modello'!$B$68),"Margine ampio: "&amp;$B$26&amp;" crediti sotto il tuo tetto.","Margine ridotto: solo "&amp;$B$26&amp;" crediti sotto il tuo tetto.")))</f>
        <v/>
      </c>
    </row>
    <row r="31" spans="1:3" x14ac:dyDescent="0.25">
      <c r="A31" t="s">
        <v>630</v>
      </c>
      <c r="B31" s="70" t="str">
        <f>"Sovrapprezzo rispetto al FVM non significa automaticamente non comprarlo: se la Pressione Competitiva e' alta e ti serve ancora un titolare "&amp;IF($B$6&lt;&gt;"",$B$6,"in questo ruolo")&amp;", puo' comunque valere il tuo Max Bid Dinamico."</f>
        <v>Sovrapprezzo rispetto al FVM non significa automaticamente non comprarlo: se la Pressione Competitiva e' alta e ti serve ancora un titolare in questo ruolo, puo' comunque valere il tuo Max Bid Dinamico.</v>
      </c>
      <c r="C31" s="66"/>
    </row>
  </sheetData>
  <mergeCells count="2">
    <mergeCell ref="A1:C1"/>
    <mergeCell ref="B31:C3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92"/>
  <sheetViews>
    <sheetView zoomScaleNormal="100" workbookViewId="0">
      <pane ySplit="1" topLeftCell="A2" activePane="bottomLeft" state="frozen"/>
      <selection sqref="A1:J1"/>
      <selection pane="bottomLeft" sqref="A1:J1"/>
    </sheetView>
  </sheetViews>
  <sheetFormatPr defaultColWidth="8.5703125" defaultRowHeight="15" x14ac:dyDescent="0.25"/>
  <cols>
    <col min="1" max="1" width="4.85546875" customWidth="1"/>
    <col min="2" max="2" width="2.140625" customWidth="1"/>
    <col min="3" max="3" width="16.140625" customWidth="1"/>
    <col min="4" max="4" width="16.7109375" customWidth="1"/>
    <col min="5" max="5" width="8.42578125" customWidth="1"/>
    <col min="6" max="6" width="10.85546875" customWidth="1"/>
    <col min="7" max="7" width="14.42578125" customWidth="1"/>
    <col min="8" max="8" width="14.7109375" customWidth="1"/>
    <col min="9" max="9" width="12.42578125" customWidth="1"/>
    <col min="11" max="11" width="7.42578125" customWidth="1"/>
    <col min="12" max="12" width="7.28515625" customWidth="1"/>
    <col min="13" max="13" width="12" customWidth="1"/>
    <col min="14" max="14" width="8" customWidth="1"/>
    <col min="15" max="15" width="10" customWidth="1"/>
    <col min="16" max="16" width="16" customWidth="1"/>
    <col min="17" max="18" width="13" hidden="1" customWidth="1"/>
    <col min="19" max="20" width="9" customWidth="1"/>
    <col min="21" max="21" width="16" customWidth="1"/>
    <col min="22" max="22" width="14" customWidth="1"/>
    <col min="23" max="30" width="20" customWidth="1"/>
    <col min="31" max="31" width="18" customWidth="1"/>
  </cols>
  <sheetData>
    <row r="1" spans="1:38" ht="14.25" customHeight="1" x14ac:dyDescent="0.25">
      <c r="A1" s="18" t="s">
        <v>1</v>
      </c>
      <c r="B1" s="18" t="s">
        <v>2</v>
      </c>
      <c r="C1" s="18" t="s">
        <v>3</v>
      </c>
      <c r="D1" s="18" t="s">
        <v>631</v>
      </c>
      <c r="E1" s="19" t="s">
        <v>632</v>
      </c>
      <c r="F1" s="19" t="s">
        <v>633</v>
      </c>
      <c r="G1" s="19" t="s">
        <v>634</v>
      </c>
      <c r="H1" s="19" t="s">
        <v>635</v>
      </c>
      <c r="I1" s="20" t="s">
        <v>636</v>
      </c>
      <c r="J1" s="20" t="s">
        <v>637</v>
      </c>
      <c r="K1" s="20" t="s">
        <v>638</v>
      </c>
      <c r="L1" s="20" t="s">
        <v>639</v>
      </c>
      <c r="M1" s="21" t="s">
        <v>640</v>
      </c>
      <c r="N1" s="22" t="s">
        <v>5</v>
      </c>
      <c r="O1" s="22" t="s">
        <v>7</v>
      </c>
      <c r="P1" s="22" t="s">
        <v>543</v>
      </c>
      <c r="Q1" s="22" t="s">
        <v>641</v>
      </c>
      <c r="R1" s="22" t="s">
        <v>642</v>
      </c>
      <c r="S1" s="22" t="s">
        <v>643</v>
      </c>
      <c r="T1" s="22" t="s">
        <v>644</v>
      </c>
      <c r="U1" s="22" t="s">
        <v>645</v>
      </c>
      <c r="V1" s="22" t="s">
        <v>646</v>
      </c>
      <c r="W1" s="18" t="s">
        <v>595</v>
      </c>
      <c r="X1" s="18" t="s">
        <v>596</v>
      </c>
      <c r="Y1" s="18" t="s">
        <v>647</v>
      </c>
      <c r="Z1" s="18" t="s">
        <v>648</v>
      </c>
      <c r="AA1" s="18" t="s">
        <v>649</v>
      </c>
      <c r="AB1" s="18" t="s">
        <v>650</v>
      </c>
      <c r="AC1" s="18" t="s">
        <v>651</v>
      </c>
      <c r="AD1" s="18" t="s">
        <v>652</v>
      </c>
      <c r="AE1" s="10" t="s">
        <v>653</v>
      </c>
      <c r="AF1" t="s">
        <v>610</v>
      </c>
      <c r="AG1" t="s">
        <v>654</v>
      </c>
      <c r="AH1" t="s">
        <v>655</v>
      </c>
      <c r="AI1" t="s">
        <v>656</v>
      </c>
      <c r="AJ1" t="s">
        <v>657</v>
      </c>
      <c r="AK1" t="s">
        <v>658</v>
      </c>
      <c r="AL1" t="s">
        <v>659</v>
      </c>
    </row>
    <row r="2" spans="1:38" ht="14.25" customHeight="1" x14ac:dyDescent="0.25">
      <c r="A2" s="18">
        <v>2764</v>
      </c>
      <c r="B2" s="18" t="s">
        <v>437</v>
      </c>
      <c r="C2" s="18" t="s">
        <v>438</v>
      </c>
      <c r="E2" s="23" t="str">
        <f>IF(COUNTIF('Info Strategia'!$D$2:$D$51,$C2)&gt;0,"SI","NO")</f>
        <v>NO</v>
      </c>
      <c r="F2" s="24">
        <f>IFERROR(ROUND(($G2+($H2-$G2)*'Info Strategia'!$B$6)*(1+IF($E2="SI",'Parametri Modello'!$B$7*'Info Strategia'!$B$6,0)),0),"")</f>
        <v>397</v>
      </c>
      <c r="G2" s="24">
        <f>IFERROR(ROUND(MAX(1,(IF($V2&lt;=INDEX('Parametri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248</v>
      </c>
      <c r="H2" s="24">
        <f>IFERROR(ROUND((IF($V2&lt;=INDEX('Parametri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461</v>
      </c>
      <c r="I2" s="23">
        <f>IFERROR(INDEX('Input Statistiche 2025_26'!$F$3:$F$665,MATCH($A2,'Input Statistiche 2025_26'!$A$3:$A$665,0)),"")</f>
        <v>30</v>
      </c>
      <c r="J2" s="23">
        <f t="shared" ref="J2:J65" si="0">IFERROR(IF($I2="","",MAX(0,38-$I2)),"")</f>
        <v>8</v>
      </c>
      <c r="K2" s="23">
        <f>IFERROR(INDEX('Input Statistiche 2025_26'!$I$3:$I$665,MATCH($A2,'Input Statistiche 2025_26'!$A$3:$A$665,0)),"")</f>
        <v>17</v>
      </c>
      <c r="L2" s="23">
        <f>IFERROR(INDEX('Input Statistiche 2025_26'!$O$3:$O$665,MATCH($A2,'Input Statistiche 2025_26'!$A$3:$A$665,0)),"")</f>
        <v>6</v>
      </c>
      <c r="M2" s="25"/>
      <c r="N2" s="24">
        <f>IFERROR(INDEX('Input Giocatori 2026_27'!$E$3:$E$493,MATCH($A2,'Input Giocatori 2026_27'!$A$3:$A$493,0)),"")</f>
        <v>35</v>
      </c>
      <c r="O2" s="24">
        <f>IFERROR(INDEX('Input Giocatori 2026_27'!$G$3:$G$493,MATCH($A2,'Input Giocatori 2026_27'!$A$3:$A$493,0)),"")</f>
        <v>370</v>
      </c>
      <c r="P2" s="23" t="str">
        <f>IFERROR(IF($O2="","",IF((1-(COUNTIFS($B$2:$B$492,$B2,$O$2:$O$492,"&gt;"&amp;$O2)+1-1)/COUNTIF($B$2:$B$492,$B2))&gt;='Parametri Modello'!$B$63,"Top",IF((1-(COUNTIFS($B$2:$B$492,$B2,$O$2:$O$492,"&gt;"&amp;$O2)+1-1)/COUNTIF($B$2:$B$492,$B2))&gt;='Parametri Modello'!$B$64,"Buono",IF((1-(COUNTIFS($B$2:$B$492,$B2,$O$2:$O$492,"&gt;"&amp;$O2)+1-1)/COUNTIF($B$2:$B$492,$B2))&gt;='Parametri Modello'!$B$65,"Nella Media","Scommessa/Riserva")))),"")</f>
        <v>Top</v>
      </c>
      <c r="Q2" s="26">
        <f>IF(AND($D2="",$N2&gt;1),SUMPRODUCT(($D$2:$D2="")*($N$2:$N2&gt;1)),"")</f>
        <v>1</v>
      </c>
      <c r="R2" s="26" t="str">
        <f>IF($D2='Info Lega'!$B$28,COUNTIFS($D$2:$D2,'Info Lega'!$B$28),"")</f>
        <v/>
      </c>
      <c r="S2" s="27">
        <f>IFERROR(INDEX('Input Statistiche 2025_26'!$G$3:$G$665,MATCH($A2,'Input Statistiche 2025_26'!$A$3:$A$665,0)),"")</f>
        <v>6.42</v>
      </c>
      <c r="T2" s="27">
        <f>IFERROR(INDEX('Input Statistiche 2025_26'!$H$3:$H$665,MATCH($A2,'Input Statistiche 2025_26'!$A$3:$A$665,0)),"")</f>
        <v>8.25</v>
      </c>
      <c r="U2" s="23" t="str">
        <f>IF(OR('La Mia Rosa'!$O$12="",$D2&lt;&gt;""),"",IF($F2&lt;='La Mia Rosa'!$O$12*'Parametri Modello'!$B$24,"OK",IF($F2&lt;='La Mia Rosa'!$O$12*'Parametri Modello'!$B$25,"Attenzione","Rischio Alto")))</f>
        <v>Rischio Alto</v>
      </c>
      <c r="V2" s="23">
        <f t="shared" ref="V2:V65" si="1">IFERROR(COUNTIFS($B$2:$B$492,$B2,$O$2:$O$492,"&gt;"&amp;$O2)+1,"")</f>
        <v>1</v>
      </c>
      <c r="W2" s="18">
        <f>'Info Lega'!$B$4-SUMIFS($M$2:$M$492,$D$2:$D$492,'Info Lega'!$B$28)</f>
        <v>1000</v>
      </c>
      <c r="X2" s="18">
        <f>('Info Lega'!$B$5-COUNTIFS($D$2:$D$492,'Info Lega'!$B$28,$B$2:$B$492,"P"))+('Info Lega'!$B$6-COUNTIFS($D$2:$D$492,'Info Lega'!$B$28,$B$2:$B$492,"D"))+('Info Lega'!$B$7-COUNTIFS($D$2:$D$492,'Info Lega'!$B$28,$B$2:$B$492,"C"))+('Info Lega'!$B$8-COUNTIFS($D$2:$D$492,'Info Lega'!$B$28,$B$2:$B$492,"A"))</f>
        <v>25</v>
      </c>
      <c r="Y2" s="18">
        <f>X2*'Parametri Modello'!$B$30</f>
        <v>25</v>
      </c>
      <c r="Z2" s="18">
        <f t="shared" ref="Z2:Z65" si="2">MAX(0,W2-Y2)</f>
        <v>975</v>
      </c>
      <c r="AA2" s="18">
        <f t="shared" ref="AA2:AA65" si="3">MIN(F2,Z2)</f>
        <v>397</v>
      </c>
      <c r="AB2" s="18"/>
      <c r="AC2" s="18" t="str">
        <f>IF($AB2="","",IF($AB2&gt;$AA2,"PASS",IF($AB2&lt;=$AA2*(1-'Parametri Modello'!$B$68),"BID","ATTENZIONE")))</f>
        <v/>
      </c>
      <c r="AD2" s="28">
        <f t="shared" ref="AD2:AD65" si="4">IF(I2="","",ROUND(100*(1-EXP(-I2/30)),0))</f>
        <v>63</v>
      </c>
      <c r="AE2" s="5" t="str">
        <f>IFERROR(IF($AF2="Titolare",INDEX('Stato Asta'!$G$9:$G$12,MATCH($B2,'Stato Asta'!$A$9:$A$12,0)),INDEX('Stato Asta'!$P$9:$P$12,MATCH($B2,'Stato Asta'!$A$9:$A$12,0))),"")</f>
        <v>🟡 Attesa rischiosa</v>
      </c>
      <c r="AF2" t="str">
        <f>IFERROR(IF($V2&lt;=INDEX('Parametri Modello'!$C$57:$C$60,MATCH($B2,'Parametri Modello'!$A$57:$A$60,0)),"Titolare","Riserva"),"")</f>
        <v>Titolare</v>
      </c>
      <c r="AG2" t="str">
        <f>IFERROR(INDEX('Pressione Competitiva'!$F$3:$F$6,MATCH($B2,'Pressione Competitiva'!$B$3:$B$6,0)),"")</f>
        <v>🔴 Molto Alta</v>
      </c>
      <c r="AH2" t="str">
        <f t="shared" ref="AH2:AH65" si="5">IF($AB2="","",$AA2-$AB2)</f>
        <v/>
      </c>
      <c r="AI2" t="str">
        <f>IFERROR(IF($AH2="","",IF($AH2&gt;=$AA2*'Parametri Modello'!$B$68,"🟢 Opportunita'",IF($AH2&lt;=$AA2*'Parametri Modello'!$B$69,"🔴 Sovrapprezzo","🟡 Prezzo Corretto"))),"")</f>
        <v/>
      </c>
      <c r="AJ2" t="str">
        <f t="shared" ref="AJ2:AJ65" si="6">IF($AB2="","",IF($AC2="PASS","Prezzo sopra la tua Offerta Max Dinamica ("&amp;$AA2&amp;" cr).",IF($AC2="BID","Margine ampio sul tuo tetto (+"&amp;($AA2-$AB2)&amp;" cr).","Margine ridotto: sei vicino al tuo tetto ("&amp;($AA2-$AB2)&amp;" cr residui).")))</f>
        <v/>
      </c>
      <c r="AK2">
        <f t="shared" ref="AK2:AK65" si="7">IF(AND($D2="",$N2&gt;1),COUNTIFS($B$2:$B$492,$B2,$P$2:$P$492,$P2,$D$2:$D$492,"",$N$2:$N$492,"&gt;1",$O$2:$O$492,"&gt;"&amp;$O2)+1,"")</f>
        <v>1</v>
      </c>
      <c r="AL2" t="str">
        <f t="shared" ref="AL2:AL65" si="8">IF($AK2="","",$B2&amp;"|"&amp;$P2&amp;"|"&amp;$AK2)</f>
        <v>A|Top|1</v>
      </c>
    </row>
    <row r="3" spans="1:38" ht="14.25" customHeight="1" x14ac:dyDescent="0.25">
      <c r="A3" s="18">
        <v>5585</v>
      </c>
      <c r="B3" s="18" t="s">
        <v>437</v>
      </c>
      <c r="C3" s="18" t="s">
        <v>439</v>
      </c>
      <c r="E3" s="23" t="str">
        <f>IF(COUNTIF('Info Strategia'!$D$2:$D$51,$C3)&gt;0,"SI","NO")</f>
        <v>NO</v>
      </c>
      <c r="F3" s="24">
        <f>IFERROR(ROUND(($G3+($H3-$G3)*'Info Strategia'!$B$6)*(1+IF($E3="SI",'Parametri Modello'!$B$7*'Info Strategia'!$B$6,0)),0),"")</f>
        <v>400</v>
      </c>
      <c r="G3" s="24">
        <f>IFERROR(ROUND(MAX(1,(IF($V3&lt;=INDEX('Parametri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250</v>
      </c>
      <c r="H3" s="24">
        <f>IFERROR(ROUND((IF($V3&lt;=INDEX('Parametri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464</v>
      </c>
      <c r="I3" s="23">
        <f>IFERROR(INDEX('Input Statistiche 2025_26'!$F$3:$F$665,MATCH($A3,'Input Statistiche 2025_26'!$A$3:$A$665,0)),"")</f>
        <v>18</v>
      </c>
      <c r="J3" s="23">
        <f t="shared" si="0"/>
        <v>20</v>
      </c>
      <c r="K3" s="23">
        <f>IFERROR(INDEX('Input Statistiche 2025_26'!$I$3:$I$665,MATCH($A3,'Input Statistiche 2025_26'!$A$3:$A$665,0)),"")</f>
        <v>14</v>
      </c>
      <c r="L3" s="23">
        <f>IFERROR(INDEX('Input Statistiche 2025_26'!$O$3:$O$665,MATCH($A3,'Input Statistiche 2025_26'!$A$3:$A$665,0)),"")</f>
        <v>2</v>
      </c>
      <c r="M3" s="25"/>
      <c r="N3" s="24">
        <f>IFERROR(INDEX('Input Giocatori 2026_27'!$E$3:$E$493,MATCH($A3,'Input Giocatori 2026_27'!$A$3:$A$493,0)),"")</f>
        <v>34</v>
      </c>
      <c r="O3" s="24">
        <f>IFERROR(INDEX('Input Giocatori 2026_27'!$G$3:$G$493,MATCH($A3,'Input Giocatori 2026_27'!$A$3:$A$493,0)),"")</f>
        <v>365</v>
      </c>
      <c r="P3" s="23" t="str">
        <f>IFERROR(IF($O3="","",IF((1-(COUNTIFS($B$2:$B$492,$B3,$O$2:$O$492,"&gt;"&amp;$O3)+1-1)/COUNTIF($B$2:$B$492,$B3))&gt;='Parametri Modello'!$B$63,"Top",IF((1-(COUNTIFS($B$2:$B$492,$B3,$O$2:$O$492,"&gt;"&amp;$O3)+1-1)/COUNTIF($B$2:$B$492,$B3))&gt;='Parametri Modello'!$B$64,"Buono",IF((1-(COUNTIFS($B$2:$B$492,$B3,$O$2:$O$492,"&gt;"&amp;$O3)+1-1)/COUNTIF($B$2:$B$492,$B3))&gt;='Parametri Modello'!$B$65,"Nella Media","Scommessa/Riserva")))),"")</f>
        <v>Top</v>
      </c>
      <c r="Q3" s="26">
        <f>IF(AND($D3="",$N3&gt;1),SUMPRODUCT(($D$2:$D3="")*($N$2:$N3&gt;1)),"")</f>
        <v>2</v>
      </c>
      <c r="R3" s="26" t="str">
        <f>IF($D3='Info Lega'!$B$28,COUNTIFS($D$2:$D3,'Info Lega'!$B$28),"")</f>
        <v/>
      </c>
      <c r="S3" s="27">
        <f>IFERROR(INDEX('Input Statistiche 2025_26'!$G$3:$G$665,MATCH($A3,'Input Statistiche 2025_26'!$A$3:$A$665,0)),"")</f>
        <v>6.72</v>
      </c>
      <c r="T3" s="27">
        <f>IFERROR(INDEX('Input Statistiche 2025_26'!$H$3:$H$665,MATCH($A3,'Input Statistiche 2025_26'!$A$3:$A$665,0)),"")</f>
        <v>8.9700000000000006</v>
      </c>
      <c r="U3" s="23" t="str">
        <f>IF(OR('La Mia Rosa'!$O$12="",$D3&lt;&gt;""),"",IF($F3&lt;='La Mia Rosa'!$O$12*'Parametri Modello'!$B$24,"OK",IF($F3&lt;='La Mia Rosa'!$O$12*'Parametri Modello'!$B$25,"Attenzione","Rischio Alto")))</f>
        <v>Rischio Alto</v>
      </c>
      <c r="V3" s="23">
        <f t="shared" si="1"/>
        <v>2</v>
      </c>
      <c r="W3" s="18">
        <f>'Info Lega'!$B$4-SUMIFS($M$2:$M$492,$D$2:$D$492,'Info Lega'!$B$28)</f>
        <v>1000</v>
      </c>
      <c r="X3" s="18">
        <f>('Info Lega'!$B$5-COUNTIFS($D$2:$D$492,'Info Lega'!$B$28,$B$2:$B$492,"P"))+('Info Lega'!$B$6-COUNTIFS($D$2:$D$492,'Info Lega'!$B$28,$B$2:$B$492,"D"))+('Info Lega'!$B$7-COUNTIFS($D$2:$D$492,'Info Lega'!$B$28,$B$2:$B$492,"C"))+('Info Lega'!$B$8-COUNTIFS($D$2:$D$492,'Info Lega'!$B$28,$B$2:$B$492,"A"))</f>
        <v>25</v>
      </c>
      <c r="Y3" s="18">
        <f>X3*'Parametri Modello'!$B$30</f>
        <v>25</v>
      </c>
      <c r="Z3" s="18">
        <f t="shared" si="2"/>
        <v>975</v>
      </c>
      <c r="AA3" s="18">
        <f t="shared" si="3"/>
        <v>400</v>
      </c>
      <c r="AB3" s="18"/>
      <c r="AC3" s="18" t="str">
        <f>IF($AB3="","",IF($AB3&gt;$AA3,"PASS",IF($AB3&lt;=$AA3*(1-'Parametri Modello'!$B$68),"BID","ATTENZIONE")))</f>
        <v/>
      </c>
      <c r="AD3" s="28">
        <f t="shared" si="4"/>
        <v>45</v>
      </c>
      <c r="AE3" s="5" t="str">
        <f>IFERROR(IF($AF3="Titolare",INDEX('Stato Asta'!$G$9:$G$12,MATCH($B3,'Stato Asta'!$A$9:$A$12,0)),INDEX('Stato Asta'!$P$9:$P$12,MATCH($B3,'Stato Asta'!$A$9:$A$12,0))),"")</f>
        <v>🟡 Attesa rischiosa</v>
      </c>
      <c r="AF3" t="str">
        <f>IFERROR(IF($V3&lt;=INDEX('Parametri Modello'!$C$57:$C$60,MATCH($B3,'Parametri Modello'!$A$57:$A$60,0)),"Titolare","Riserva"),"")</f>
        <v>Titolare</v>
      </c>
      <c r="AG3" t="str">
        <f>IFERROR(INDEX('Pressione Competitiva'!$F$3:$F$6,MATCH($B3,'Pressione Competitiva'!$B$3:$B$6,0)),"")</f>
        <v>🔴 Molto Alta</v>
      </c>
      <c r="AH3" t="str">
        <f t="shared" si="5"/>
        <v/>
      </c>
      <c r="AI3" t="str">
        <f>IFERROR(IF($AH3="","",IF($AH3&gt;=$AA3*'Parametri Modello'!$B$68,"🟢 Opportunita'",IF($AH3&lt;=$AA3*'Parametri Modello'!$B$69,"🔴 Sovrapprezzo","🟡 Prezzo Corretto"))),"")</f>
        <v/>
      </c>
      <c r="AJ3" t="str">
        <f t="shared" si="6"/>
        <v/>
      </c>
      <c r="AK3">
        <f t="shared" si="7"/>
        <v>2</v>
      </c>
      <c r="AL3" t="str">
        <f t="shared" si="8"/>
        <v>A|Top|2</v>
      </c>
    </row>
    <row r="4" spans="1:38" ht="14.25" customHeight="1" x14ac:dyDescent="0.25">
      <c r="A4" s="18">
        <v>4871</v>
      </c>
      <c r="B4" s="18" t="s">
        <v>437</v>
      </c>
      <c r="C4" s="18" t="s">
        <v>440</v>
      </c>
      <c r="E4" s="23" t="str">
        <f>IF(COUNTIF('Info Strategia'!$D$2:$D$51,$C4)&gt;0,"SI","NO")</f>
        <v>NO</v>
      </c>
      <c r="F4" s="24">
        <f>IFERROR(ROUND(($G4+($H4-$G4)*'Info Strategia'!$B$6)*(1+IF($E4="SI",'Parametri Modello'!$B$7*'Info Strategia'!$B$6,0)),0),"")</f>
        <v>298</v>
      </c>
      <c r="G4" s="24">
        <f>IFERROR(ROUND(MAX(1,(IF($V4&lt;=INDEX('Parametri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186</v>
      </c>
      <c r="H4" s="24">
        <f>IFERROR(ROUND((IF($V4&lt;=INDEX('Parametri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346</v>
      </c>
      <c r="I4" s="23">
        <f>IFERROR(INDEX('Input Statistiche 2025_26'!$F$3:$F$665,MATCH($A4,'Input Statistiche 2025_26'!$A$3:$A$665,0)),"")</f>
        <v>29</v>
      </c>
      <c r="J4" s="23">
        <f t="shared" si="0"/>
        <v>9</v>
      </c>
      <c r="K4" s="23">
        <f>IFERROR(INDEX('Input Statistiche 2025_26'!$I$3:$I$665,MATCH($A4,'Input Statistiche 2025_26'!$A$3:$A$665,0)),"")</f>
        <v>13</v>
      </c>
      <c r="L4" s="23">
        <f>IFERROR(INDEX('Input Statistiche 2025_26'!$O$3:$O$665,MATCH($A4,'Input Statistiche 2025_26'!$A$3:$A$665,0)),"")</f>
        <v>6</v>
      </c>
      <c r="M4" s="25"/>
      <c r="N4" s="24">
        <f>IFERROR(INDEX('Input Giocatori 2026_27'!$E$3:$E$493,MATCH($A4,'Input Giocatori 2026_27'!$A$3:$A$493,0)),"")</f>
        <v>29</v>
      </c>
      <c r="O4" s="24">
        <f>IFERROR(INDEX('Input Giocatori 2026_27'!$G$3:$G$493,MATCH($A4,'Input Giocatori 2026_27'!$A$3:$A$493,0)),"")</f>
        <v>280</v>
      </c>
      <c r="P4" s="23" t="str">
        <f>IFERROR(IF($O4="","",IF((1-(COUNTIFS($B$2:$B$492,$B4,$O$2:$O$492,"&gt;"&amp;$O4)+1-1)/COUNTIF($B$2:$B$492,$B4))&gt;='Parametri Modello'!$B$63,"Top",IF((1-(COUNTIFS($B$2:$B$492,$B4,$O$2:$O$492,"&gt;"&amp;$O4)+1-1)/COUNTIF($B$2:$B$492,$B4))&gt;='Parametri Modello'!$B$64,"Buono",IF((1-(COUNTIFS($B$2:$B$492,$B4,$O$2:$O$492,"&gt;"&amp;$O4)+1-1)/COUNTIF($B$2:$B$492,$B4))&gt;='Parametri Modello'!$B$65,"Nella Media","Scommessa/Riserva")))),"")</f>
        <v>Top</v>
      </c>
      <c r="Q4" s="26">
        <f>IF(AND($D4="",$N4&gt;1),SUMPRODUCT(($D$2:$D4="")*($N$2:$N4&gt;1)),"")</f>
        <v>3</v>
      </c>
      <c r="R4" s="26" t="str">
        <f>IF($D4='Info Lega'!$B$28,COUNTIFS($D$2:$D4,'Info Lega'!$B$28),"")</f>
        <v/>
      </c>
      <c r="S4" s="27">
        <f>IFERROR(INDEX('Input Statistiche 2025_26'!$G$3:$G$665,MATCH($A4,'Input Statistiche 2025_26'!$A$3:$A$665,0)),"")</f>
        <v>6.43</v>
      </c>
      <c r="T4" s="27">
        <f>IFERROR(INDEX('Input Statistiche 2025_26'!$H$3:$H$665,MATCH($A4,'Input Statistiche 2025_26'!$A$3:$A$665,0)),"")</f>
        <v>7.95</v>
      </c>
      <c r="U4" s="23" t="str">
        <f>IF(OR('La Mia Rosa'!$O$12="",$D4&lt;&gt;""),"",IF($F4&lt;='La Mia Rosa'!$O$12*'Parametri Modello'!$B$24,"OK",IF($F4&lt;='La Mia Rosa'!$O$12*'Parametri Modello'!$B$25,"Attenzione","Rischio Alto")))</f>
        <v>Rischio Alto</v>
      </c>
      <c r="V4" s="23">
        <f t="shared" si="1"/>
        <v>3</v>
      </c>
      <c r="W4" s="18">
        <f>'Info Lega'!$B$4-SUMIFS($M$2:$M$492,$D$2:$D$492,'Info Lega'!$B$28)</f>
        <v>1000</v>
      </c>
      <c r="X4" s="18">
        <f>('Info Lega'!$B$5-COUNTIFS($D$2:$D$492,'Info Lega'!$B$28,$B$2:$B$492,"P"))+('Info Lega'!$B$6-COUNTIFS($D$2:$D$492,'Info Lega'!$B$28,$B$2:$B$492,"D"))+('Info Lega'!$B$7-COUNTIFS($D$2:$D$492,'Info Lega'!$B$28,$B$2:$B$492,"C"))+('Info Lega'!$B$8-COUNTIFS($D$2:$D$492,'Info Lega'!$B$28,$B$2:$B$492,"A"))</f>
        <v>25</v>
      </c>
      <c r="Y4" s="18">
        <f>X4*'Parametri Modello'!$B$30</f>
        <v>25</v>
      </c>
      <c r="Z4" s="18">
        <f t="shared" si="2"/>
        <v>975</v>
      </c>
      <c r="AA4" s="18">
        <f t="shared" si="3"/>
        <v>298</v>
      </c>
      <c r="AB4" s="18"/>
      <c r="AC4" s="18" t="str">
        <f>IF($AB4="","",IF($AB4&gt;$AA4,"PASS",IF($AB4&lt;=$AA4*(1-'Parametri Modello'!$B$68),"BID","ATTENZIONE")))</f>
        <v/>
      </c>
      <c r="AD4" s="28">
        <f t="shared" si="4"/>
        <v>62</v>
      </c>
      <c r="AE4" s="5" t="str">
        <f>IFERROR(IF($AF4="Titolare",INDEX('Stato Asta'!$G$9:$G$12,MATCH($B4,'Stato Asta'!$A$9:$A$12,0)),INDEX('Stato Asta'!$P$9:$P$12,MATCH($B4,'Stato Asta'!$A$9:$A$12,0))),"")</f>
        <v>🟡 Attesa rischiosa</v>
      </c>
      <c r="AF4" t="str">
        <f>IFERROR(IF($V4&lt;=INDEX('Parametri Modello'!$C$57:$C$60,MATCH($B4,'Parametri Modello'!$A$57:$A$60,0)),"Titolare","Riserva"),"")</f>
        <v>Titolare</v>
      </c>
      <c r="AG4" t="str">
        <f>IFERROR(INDEX('Pressione Competitiva'!$F$3:$F$6,MATCH($B4,'Pressione Competitiva'!$B$3:$B$6,0)),"")</f>
        <v>🔴 Molto Alta</v>
      </c>
      <c r="AH4" t="str">
        <f t="shared" si="5"/>
        <v/>
      </c>
      <c r="AI4" t="str">
        <f>IFERROR(IF($AH4="","",IF($AH4&gt;=$AA4*'Parametri Modello'!$B$68,"🟢 Opportunita'",IF($AH4&lt;=$AA4*'Parametri Modello'!$B$69,"🔴 Sovrapprezzo","🟡 Prezzo Corretto"))),"")</f>
        <v/>
      </c>
      <c r="AJ4" t="str">
        <f t="shared" si="6"/>
        <v/>
      </c>
      <c r="AK4">
        <f t="shared" si="7"/>
        <v>3</v>
      </c>
      <c r="AL4" t="str">
        <f t="shared" si="8"/>
        <v>A|Top|3</v>
      </c>
    </row>
    <row r="5" spans="1:38" ht="14.25" customHeight="1" x14ac:dyDescent="0.25">
      <c r="A5" s="18">
        <v>6052</v>
      </c>
      <c r="B5" s="18" t="s">
        <v>437</v>
      </c>
      <c r="C5" s="18" t="s">
        <v>441</v>
      </c>
      <c r="E5" s="23" t="str">
        <f>IF(COUNTIF('Info Strategia'!$D$2:$D$51,$C5)&gt;0,"SI","NO")</f>
        <v>NO</v>
      </c>
      <c r="F5" s="24">
        <f>IFERROR(ROUND(($G5+($H5-$G5)*'Info Strategia'!$B$6)*(1+IF($E5="SI",'Parametri Modello'!$B$7*'Info Strategia'!$B$6,0)),0),"")</f>
        <v>284</v>
      </c>
      <c r="G5" s="24">
        <f>IFERROR(ROUND(MAX(1,(IF($V5&lt;=INDEX('Parametri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178</v>
      </c>
      <c r="H5" s="24">
        <f>IFERROR(ROUND((IF($V5&lt;=INDEX('Parametri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330</v>
      </c>
      <c r="I5" s="23">
        <f>IFERROR(INDEX('Input Statistiche 2025_26'!$F$3:$F$665,MATCH($A5,'Input Statistiche 2025_26'!$A$3:$A$665,0)),"")</f>
        <v>33</v>
      </c>
      <c r="J5" s="23">
        <f t="shared" si="0"/>
        <v>5</v>
      </c>
      <c r="K5" s="23">
        <f>IFERROR(INDEX('Input Statistiche 2025_26'!$I$3:$I$665,MATCH($A5,'Input Statistiche 2025_26'!$A$3:$A$665,0)),"")</f>
        <v>12</v>
      </c>
      <c r="L5" s="23">
        <f>IFERROR(INDEX('Input Statistiche 2025_26'!$O$3:$O$665,MATCH($A5,'Input Statistiche 2025_26'!$A$3:$A$665,0)),"")</f>
        <v>5</v>
      </c>
      <c r="M5" s="25"/>
      <c r="N5" s="24">
        <f>IFERROR(INDEX('Input Giocatori 2026_27'!$E$3:$E$493,MATCH($A5,'Input Giocatori 2026_27'!$A$3:$A$493,0)),"")</f>
        <v>28</v>
      </c>
      <c r="O5" s="24">
        <f>IFERROR(INDEX('Input Giocatori 2026_27'!$G$3:$G$493,MATCH($A5,'Input Giocatori 2026_27'!$A$3:$A$493,0)),"")</f>
        <v>271</v>
      </c>
      <c r="P5" s="23" t="str">
        <f>IFERROR(IF($O5="","",IF((1-(COUNTIFS($B$2:$B$492,$B5,$O$2:$O$492,"&gt;"&amp;$O5)+1-1)/COUNTIF($B$2:$B$492,$B5))&gt;='Parametri Modello'!$B$63,"Top",IF((1-(COUNTIFS($B$2:$B$492,$B5,$O$2:$O$492,"&gt;"&amp;$O5)+1-1)/COUNTIF($B$2:$B$492,$B5))&gt;='Parametri Modello'!$B$64,"Buono",IF((1-(COUNTIFS($B$2:$B$492,$B5,$O$2:$O$492,"&gt;"&amp;$O5)+1-1)/COUNTIF($B$2:$B$492,$B5))&gt;='Parametri Modello'!$B$65,"Nella Media","Scommessa/Riserva")))),"")</f>
        <v>Top</v>
      </c>
      <c r="Q5" s="26">
        <f>IF(AND($D5="",$N5&gt;1),SUMPRODUCT(($D$2:$D5="")*($N$2:$N5&gt;1)),"")</f>
        <v>4</v>
      </c>
      <c r="R5" s="26" t="str">
        <f>IF($D5='Info Lega'!$B$28,COUNTIFS($D$2:$D5,'Info Lega'!$B$28),"")</f>
        <v/>
      </c>
      <c r="S5" s="27">
        <f>IFERROR(INDEX('Input Statistiche 2025_26'!$G$3:$G$665,MATCH($A5,'Input Statistiche 2025_26'!$A$3:$A$665,0)),"")</f>
        <v>6.21</v>
      </c>
      <c r="T5" s="27">
        <f>IFERROR(INDEX('Input Statistiche 2025_26'!$H$3:$H$665,MATCH($A5,'Input Statistiche 2025_26'!$A$3:$A$665,0)),"")</f>
        <v>7.44</v>
      </c>
      <c r="U5" s="23" t="str">
        <f>IF(OR('La Mia Rosa'!$O$12="",$D5&lt;&gt;""),"",IF($F5&lt;='La Mia Rosa'!$O$12*'Parametri Modello'!$B$24,"OK",IF($F5&lt;='La Mia Rosa'!$O$12*'Parametri Modello'!$B$25,"Attenzione","Rischio Alto")))</f>
        <v>Rischio Alto</v>
      </c>
      <c r="V5" s="23">
        <f t="shared" si="1"/>
        <v>4</v>
      </c>
      <c r="W5" s="18">
        <f>'Info Lega'!$B$4-SUMIFS($M$2:$M$492,$D$2:$D$492,'Info Lega'!$B$28)</f>
        <v>1000</v>
      </c>
      <c r="X5" s="18">
        <f>('Info Lega'!$B$5-COUNTIFS($D$2:$D$492,'Info Lega'!$B$28,$B$2:$B$492,"P"))+('Info Lega'!$B$6-COUNTIFS($D$2:$D$492,'Info Lega'!$B$28,$B$2:$B$492,"D"))+('Info Lega'!$B$7-COUNTIFS($D$2:$D$492,'Info Lega'!$B$28,$B$2:$B$492,"C"))+('Info Lega'!$B$8-COUNTIFS($D$2:$D$492,'Info Lega'!$B$28,$B$2:$B$492,"A"))</f>
        <v>25</v>
      </c>
      <c r="Y5" s="18">
        <f>X5*'Parametri Modello'!$B$30</f>
        <v>25</v>
      </c>
      <c r="Z5" s="18">
        <f t="shared" si="2"/>
        <v>975</v>
      </c>
      <c r="AA5" s="18">
        <f t="shared" si="3"/>
        <v>284</v>
      </c>
      <c r="AB5" s="18"/>
      <c r="AC5" s="18" t="str">
        <f>IF($AB5="","",IF($AB5&gt;$AA5,"PASS",IF($AB5&lt;=$AA5*(1-'Parametri Modello'!$B$68),"BID","ATTENZIONE")))</f>
        <v/>
      </c>
      <c r="AD5" s="28">
        <f t="shared" si="4"/>
        <v>67</v>
      </c>
      <c r="AE5" s="5" t="str">
        <f>IFERROR(IF($AF5="Titolare",INDEX('Stato Asta'!$G$9:$G$12,MATCH($B5,'Stato Asta'!$A$9:$A$12,0)),INDEX('Stato Asta'!$P$9:$P$12,MATCH($B5,'Stato Asta'!$A$9:$A$12,0))),"")</f>
        <v>🟡 Attesa rischiosa</v>
      </c>
      <c r="AF5" t="str">
        <f>IFERROR(IF($V5&lt;=INDEX('Parametri Modello'!$C$57:$C$60,MATCH($B5,'Parametri Modello'!$A$57:$A$60,0)),"Titolare","Riserva"),"")</f>
        <v>Titolare</v>
      </c>
      <c r="AG5" t="str">
        <f>IFERROR(INDEX('Pressione Competitiva'!$F$3:$F$6,MATCH($B5,'Pressione Competitiva'!$B$3:$B$6,0)),"")</f>
        <v>🔴 Molto Alta</v>
      </c>
      <c r="AH5" t="str">
        <f t="shared" si="5"/>
        <v/>
      </c>
      <c r="AI5" t="str">
        <f>IFERROR(IF($AH5="","",IF($AH5&gt;=$AA5*'Parametri Modello'!$B$68,"🟢 Opportunita'",IF($AH5&lt;=$AA5*'Parametri Modello'!$B$69,"🔴 Sovrapprezzo","🟡 Prezzo Corretto"))),"")</f>
        <v/>
      </c>
      <c r="AJ5" t="str">
        <f t="shared" si="6"/>
        <v/>
      </c>
      <c r="AK5">
        <f t="shared" si="7"/>
        <v>4</v>
      </c>
      <c r="AL5" t="str">
        <f t="shared" si="8"/>
        <v>A|Top|4</v>
      </c>
    </row>
    <row r="6" spans="1:38" ht="14.25" customHeight="1" x14ac:dyDescent="0.25">
      <c r="A6" s="18">
        <v>254</v>
      </c>
      <c r="B6" s="18" t="s">
        <v>88</v>
      </c>
      <c r="C6" s="18" t="s">
        <v>89</v>
      </c>
      <c r="E6" s="23" t="str">
        <f>IF(COUNTIF('Info Strategia'!$D$2:$D$51,$C6)&gt;0,"SI","NO")</f>
        <v>NO</v>
      </c>
      <c r="F6" s="24">
        <f>IFERROR(ROUND(($G6+($H6-$G6)*'Info Strategia'!$B$6)*(1+IF($E6="SI",'Parametri Modello'!$B$7*'Info Strategia'!$B$6,0)),0),"")</f>
        <v>190</v>
      </c>
      <c r="G6" s="24">
        <f>IFERROR(ROUND(MAX(1,(IF($V6&lt;=INDEX('Parametri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141</v>
      </c>
      <c r="H6" s="24">
        <f>IFERROR(ROUND((IF($V6&lt;=INDEX('Parametri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211</v>
      </c>
      <c r="I6" s="23">
        <f>IFERROR(INDEX('Input Statistiche 2025_26'!$F$3:$F$665,MATCH($A6,'Input Statistiche 2025_26'!$A$3:$A$665,0)),"")</f>
        <v>35</v>
      </c>
      <c r="J6" s="23">
        <f t="shared" si="0"/>
        <v>3</v>
      </c>
      <c r="K6" s="23">
        <f>IFERROR(INDEX('Input Statistiche 2025_26'!$I$3:$I$665,MATCH($A6,'Input Statistiche 2025_26'!$A$3:$A$665,0)),"")</f>
        <v>7</v>
      </c>
      <c r="L6" s="23">
        <f>IFERROR(INDEX('Input Statistiche 2025_26'!$O$3:$O$665,MATCH($A6,'Input Statistiche 2025_26'!$A$3:$A$665,0)),"")</f>
        <v>17</v>
      </c>
      <c r="M6" s="25"/>
      <c r="N6" s="24">
        <f>IFERROR(INDEX('Input Giocatori 2026_27'!$E$3:$E$493,MATCH($A6,'Input Giocatori 2026_27'!$A$3:$A$493,0)),"")</f>
        <v>32</v>
      </c>
      <c r="O6" s="24">
        <f>IFERROR(INDEX('Input Giocatori 2026_27'!$G$3:$G$493,MATCH($A6,'Input Giocatori 2026_27'!$A$3:$A$493,0)),"")</f>
        <v>265</v>
      </c>
      <c r="P6" s="23" t="str">
        <f>IFERROR(IF($O6="","",IF((1-(COUNTIFS($B$2:$B$492,$B6,$O$2:$O$492,"&gt;"&amp;$O6)+1-1)/COUNTIF($B$2:$B$492,$B6))&gt;='Parametri Modello'!$B$63,"Top",IF((1-(COUNTIFS($B$2:$B$492,$B6,$O$2:$O$492,"&gt;"&amp;$O6)+1-1)/COUNTIF($B$2:$B$492,$B6))&gt;='Parametri Modello'!$B$64,"Buono",IF((1-(COUNTIFS($B$2:$B$492,$B6,$O$2:$O$492,"&gt;"&amp;$O6)+1-1)/COUNTIF($B$2:$B$492,$B6))&gt;='Parametri Modello'!$B$65,"Nella Media","Scommessa/Riserva")))),"")</f>
        <v>Top</v>
      </c>
      <c r="Q6" s="26">
        <f>IF(AND($D6="",$N6&gt;1),SUMPRODUCT(($D$2:$D6="")*($N$2:$N6&gt;1)),"")</f>
        <v>5</v>
      </c>
      <c r="R6" s="26" t="str">
        <f>IF($D6='Info Lega'!$B$28,COUNTIFS($D$2:$D6,'Info Lega'!$B$28),"")</f>
        <v/>
      </c>
      <c r="S6" s="27">
        <f>IFERROR(INDEX('Input Statistiche 2025_26'!$G$3:$G$665,MATCH($A6,'Input Statistiche 2025_26'!$A$3:$A$665,0)),"")</f>
        <v>6.6</v>
      </c>
      <c r="T6" s="27">
        <f>IFERROR(INDEX('Input Statistiche 2025_26'!$H$3:$H$665,MATCH($A6,'Input Statistiche 2025_26'!$A$3:$A$665,0)),"")</f>
        <v>7.64</v>
      </c>
      <c r="U6" s="23" t="str">
        <f>IF(OR('La Mia Rosa'!$O$12="",$D6&lt;&gt;""),"",IF($F6&lt;='La Mia Rosa'!$O$12*'Parametri Modello'!$B$24,"OK",IF($F6&lt;='La Mia Rosa'!$O$12*'Parametri Modello'!$B$25,"Attenzione","Rischio Alto")))</f>
        <v>Rischio Alto</v>
      </c>
      <c r="V6" s="23">
        <f t="shared" si="1"/>
        <v>1</v>
      </c>
      <c r="W6" s="18">
        <f>'Info Lega'!$B$4-SUMIFS($M$2:$M$492,$D$2:$D$492,'Info Lega'!$B$28)</f>
        <v>1000</v>
      </c>
      <c r="X6" s="18">
        <f>('Info Lega'!$B$5-COUNTIFS($D$2:$D$492,'Info Lega'!$B$28,$B$2:$B$492,"P"))+('Info Lega'!$B$6-COUNTIFS($D$2:$D$492,'Info Lega'!$B$28,$B$2:$B$492,"D"))+('Info Lega'!$B$7-COUNTIFS($D$2:$D$492,'Info Lega'!$B$28,$B$2:$B$492,"C"))+('Info Lega'!$B$8-COUNTIFS($D$2:$D$492,'Info Lega'!$B$28,$B$2:$B$492,"A"))</f>
        <v>25</v>
      </c>
      <c r="Y6" s="18">
        <f>X6*'Parametri Modello'!$B$30</f>
        <v>25</v>
      </c>
      <c r="Z6" s="18">
        <f t="shared" si="2"/>
        <v>975</v>
      </c>
      <c r="AA6" s="18">
        <f t="shared" si="3"/>
        <v>190</v>
      </c>
      <c r="AB6" s="18"/>
      <c r="AC6" s="18" t="str">
        <f>IF($AB6="","",IF($AB6&gt;$AA6,"PASS",IF($AB6&lt;=$AA6*(1-'Parametri Modello'!$B$68),"BID","ATTENZIONE")))</f>
        <v/>
      </c>
      <c r="AD6" s="28">
        <f t="shared" si="4"/>
        <v>69</v>
      </c>
      <c r="AE6" s="5" t="str">
        <f>IFERROR(IF($AF6="Titolare",INDEX('Stato Asta'!$G$9:$G$12,MATCH($B6,'Stato Asta'!$A$9:$A$12,0)),INDEX('Stato Asta'!$P$9:$P$12,MATCH($B6,'Stato Asta'!$A$9:$A$12,0))),"")</f>
        <v>🟢 Puoi aspettare</v>
      </c>
      <c r="AF6" t="str">
        <f>IFERROR(IF($V6&lt;=INDEX('Parametri Modello'!$C$57:$C$60,MATCH($B6,'Parametri Modello'!$A$57:$A$60,0)),"Titolare","Riserva"),"")</f>
        <v>Titolare</v>
      </c>
      <c r="AG6" t="str">
        <f>IFERROR(INDEX('Pressione Competitiva'!$F$3:$F$6,MATCH($B6,'Pressione Competitiva'!$B$3:$B$6,0)),"")</f>
        <v>🔴 Molto Alta</v>
      </c>
      <c r="AH6" t="str">
        <f t="shared" si="5"/>
        <v/>
      </c>
      <c r="AI6" t="str">
        <f>IFERROR(IF($AH6="","",IF($AH6&gt;=$AA6*'Parametri Modello'!$B$68,"🟢 Opportunita'",IF($AH6&lt;=$AA6*'Parametri Modello'!$B$69,"🔴 Sovrapprezzo","🟡 Prezzo Corretto"))),"")</f>
        <v/>
      </c>
      <c r="AJ6" t="str">
        <f t="shared" si="6"/>
        <v/>
      </c>
      <c r="AK6">
        <f t="shared" si="7"/>
        <v>1</v>
      </c>
      <c r="AL6" t="str">
        <f t="shared" si="8"/>
        <v>D|Top|1</v>
      </c>
    </row>
    <row r="7" spans="1:38" ht="14.25" customHeight="1" x14ac:dyDescent="0.25">
      <c r="A7" s="18">
        <v>6875</v>
      </c>
      <c r="B7" s="18" t="s">
        <v>264</v>
      </c>
      <c r="C7" s="18" t="s">
        <v>265</v>
      </c>
      <c r="E7" s="23" t="str">
        <f>IF(COUNTIF('Info Strategia'!$D$2:$D$51,$C7)&gt;0,"SI","NO")</f>
        <v>NO</v>
      </c>
      <c r="F7" s="24">
        <f>IFERROR(ROUND(($G7+($H7-$G7)*'Info Strategia'!$B$6)*(1+IF($E7="SI",'Parametri Modello'!$B$7*'Info Strategia'!$B$6,0)),0),"")</f>
        <v>171</v>
      </c>
      <c r="G7" s="24">
        <f>IFERROR(ROUND(MAX(1,(IF($V7&lt;=INDEX('Parametri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116</v>
      </c>
      <c r="H7" s="24">
        <f>IFERROR(ROUND((IF($V7&lt;=INDEX('Parametri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194</v>
      </c>
      <c r="I7" s="23">
        <f>IFERROR(INDEX('Input Statistiche 2025_26'!$F$3:$F$665,MATCH($A7,'Input Statistiche 2025_26'!$A$3:$A$665,0)),"")</f>
        <v>35</v>
      </c>
      <c r="J7" s="23">
        <f t="shared" si="0"/>
        <v>3</v>
      </c>
      <c r="K7" s="23">
        <f>IFERROR(INDEX('Input Statistiche 2025_26'!$I$3:$I$665,MATCH($A7,'Input Statistiche 2025_26'!$A$3:$A$665,0)),"")</f>
        <v>12</v>
      </c>
      <c r="L7" s="23">
        <f>IFERROR(INDEX('Input Statistiche 2025_26'!$O$3:$O$665,MATCH($A7,'Input Statistiche 2025_26'!$A$3:$A$665,0)),"")</f>
        <v>5</v>
      </c>
      <c r="M7" s="25"/>
      <c r="N7" s="24">
        <f>IFERROR(INDEX('Input Giocatori 2026_27'!$E$3:$E$493,MATCH($A7,'Input Giocatori 2026_27'!$A$3:$A$493,0)),"")</f>
        <v>30</v>
      </c>
      <c r="O7" s="24">
        <f>IFERROR(INDEX('Input Giocatori 2026_27'!$G$3:$G$493,MATCH($A7,'Input Giocatori 2026_27'!$A$3:$A$493,0)),"")</f>
        <v>250</v>
      </c>
      <c r="P7" s="23" t="str">
        <f>IFERROR(IF($O7="","",IF((1-(COUNTIFS($B$2:$B$492,$B7,$O$2:$O$492,"&gt;"&amp;$O7)+1-1)/COUNTIF($B$2:$B$492,$B7))&gt;='Parametri Modello'!$B$63,"Top",IF((1-(COUNTIFS($B$2:$B$492,$B7,$O$2:$O$492,"&gt;"&amp;$O7)+1-1)/COUNTIF($B$2:$B$492,$B7))&gt;='Parametri Modello'!$B$64,"Buono",IF((1-(COUNTIFS($B$2:$B$492,$B7,$O$2:$O$492,"&gt;"&amp;$O7)+1-1)/COUNTIF($B$2:$B$492,$B7))&gt;='Parametri Modello'!$B$65,"Nella Media","Scommessa/Riserva")))),"")</f>
        <v>Top</v>
      </c>
      <c r="Q7" s="26">
        <f>IF(AND($D7="",$N7&gt;1),SUMPRODUCT(($D$2:$D7="")*($N$2:$N7&gt;1)),"")</f>
        <v>6</v>
      </c>
      <c r="R7" s="26" t="str">
        <f>IF($D7='Info Lega'!$B$28,COUNTIFS($D$2:$D7,'Info Lega'!$B$28),"")</f>
        <v/>
      </c>
      <c r="S7" s="27">
        <f>IFERROR(INDEX('Input Statistiche 2025_26'!$G$3:$G$665,MATCH($A7,'Input Statistiche 2025_26'!$A$3:$A$665,0)),"")</f>
        <v>6.37</v>
      </c>
      <c r="T7" s="27">
        <f>IFERROR(INDEX('Input Statistiche 2025_26'!$H$3:$H$665,MATCH($A7,'Input Statistiche 2025_26'!$A$3:$A$665,0)),"")</f>
        <v>7.3</v>
      </c>
      <c r="U7" s="23" t="str">
        <f>IF(OR('La Mia Rosa'!$O$12="",$D7&lt;&gt;""),"",IF($F7&lt;='La Mia Rosa'!$O$12*'Parametri Modello'!$B$24,"OK",IF($F7&lt;='La Mia Rosa'!$O$12*'Parametri Modello'!$B$25,"Attenzione","Rischio Alto")))</f>
        <v>Rischio Alto</v>
      </c>
      <c r="V7" s="23">
        <f t="shared" si="1"/>
        <v>1</v>
      </c>
      <c r="W7" s="18">
        <f>'Info Lega'!$B$4-SUMIFS($M$2:$M$492,$D$2:$D$492,'Info Lega'!$B$28)</f>
        <v>1000</v>
      </c>
      <c r="X7" s="18">
        <f>('Info Lega'!$B$5-COUNTIFS($D$2:$D$492,'Info Lega'!$B$28,$B$2:$B$492,"P"))+('Info Lega'!$B$6-COUNTIFS($D$2:$D$492,'Info Lega'!$B$28,$B$2:$B$492,"D"))+('Info Lega'!$B$7-COUNTIFS($D$2:$D$492,'Info Lega'!$B$28,$B$2:$B$492,"C"))+('Info Lega'!$B$8-COUNTIFS($D$2:$D$492,'Info Lega'!$B$28,$B$2:$B$492,"A"))</f>
        <v>25</v>
      </c>
      <c r="Y7" s="18">
        <f>X7*'Parametri Modello'!$B$30</f>
        <v>25</v>
      </c>
      <c r="Z7" s="18">
        <f t="shared" si="2"/>
        <v>975</v>
      </c>
      <c r="AA7" s="18">
        <f t="shared" si="3"/>
        <v>171</v>
      </c>
      <c r="AB7" s="18"/>
      <c r="AC7" s="18" t="str">
        <f>IF($AB7="","",IF($AB7&gt;$AA7,"PASS",IF($AB7&lt;=$AA7*(1-'Parametri Modello'!$B$68),"BID","ATTENZIONE")))</f>
        <v/>
      </c>
      <c r="AD7" s="28">
        <f t="shared" si="4"/>
        <v>69</v>
      </c>
      <c r="AE7" s="5" t="str">
        <f>IFERROR(IF($AF7="Titolare",INDEX('Stato Asta'!$G$9:$G$12,MATCH($B7,'Stato Asta'!$A$9:$A$12,0)),INDEX('Stato Asta'!$P$9:$P$12,MATCH($B7,'Stato Asta'!$A$9:$A$12,0))),"")</f>
        <v>🟡 Attesa rischiosa</v>
      </c>
      <c r="AF7" t="str">
        <f>IFERROR(IF($V7&lt;=INDEX('Parametri Modello'!$C$57:$C$60,MATCH($B7,'Parametri Modello'!$A$57:$A$60,0)),"Titolare","Riserva"),"")</f>
        <v>Titolare</v>
      </c>
      <c r="AG7" t="str">
        <f>IFERROR(INDEX('Pressione Competitiva'!$F$3:$F$6,MATCH($B7,'Pressione Competitiva'!$B$3:$B$6,0)),"")</f>
        <v>🔴 Molto Alta</v>
      </c>
      <c r="AH7" t="str">
        <f t="shared" si="5"/>
        <v/>
      </c>
      <c r="AI7" t="str">
        <f>IFERROR(IF($AH7="","",IF($AH7&gt;=$AA7*'Parametri Modello'!$B$68,"🟢 Opportunita'",IF($AH7&lt;=$AA7*'Parametri Modello'!$B$69,"🔴 Sovrapprezzo","🟡 Prezzo Corretto"))),"")</f>
        <v/>
      </c>
      <c r="AJ7" t="str">
        <f t="shared" si="6"/>
        <v/>
      </c>
      <c r="AK7">
        <f t="shared" si="7"/>
        <v>1</v>
      </c>
      <c r="AL7" t="str">
        <f t="shared" si="8"/>
        <v>C|Top|1</v>
      </c>
    </row>
    <row r="8" spans="1:38" ht="14.25" customHeight="1" x14ac:dyDescent="0.25">
      <c r="A8" s="18">
        <v>4777</v>
      </c>
      <c r="B8" s="18" t="s">
        <v>264</v>
      </c>
      <c r="C8" s="18" t="s">
        <v>266</v>
      </c>
      <c r="E8" s="23" t="str">
        <f>IF(COUNTIF('Info Strategia'!$D$2:$D$51,$C8)&gt;0,"SI","NO")</f>
        <v>NO</v>
      </c>
      <c r="F8" s="24">
        <f>IFERROR(ROUND(($G8+($H8-$G8)*'Info Strategia'!$B$6)*(1+IF($E8="SI",'Parametri Modello'!$B$7*'Info Strategia'!$B$6,0)),0),"")</f>
        <v>164</v>
      </c>
      <c r="G8" s="24">
        <f>IFERROR(ROUND(MAX(1,(IF($V8&lt;=INDEX('Parametri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112</v>
      </c>
      <c r="H8" s="24">
        <f>IFERROR(ROUND((IF($V8&lt;=INDEX('Parametri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186</v>
      </c>
      <c r="I8" s="23">
        <f>IFERROR(INDEX('Input Statistiche 2025_26'!$F$3:$F$665,MATCH($A8,'Input Statistiche 2025_26'!$A$3:$A$665,0)),"")</f>
        <v>33</v>
      </c>
      <c r="J8" s="23">
        <f t="shared" si="0"/>
        <v>5</v>
      </c>
      <c r="K8" s="23">
        <f>IFERROR(INDEX('Input Statistiche 2025_26'!$I$3:$I$665,MATCH($A8,'Input Statistiche 2025_26'!$A$3:$A$665,0)),"")</f>
        <v>10</v>
      </c>
      <c r="L8" s="23">
        <f>IFERROR(INDEX('Input Statistiche 2025_26'!$O$3:$O$665,MATCH($A8,'Input Statistiche 2025_26'!$A$3:$A$665,0)),"")</f>
        <v>2</v>
      </c>
      <c r="M8" s="25"/>
      <c r="N8" s="24">
        <f>IFERROR(INDEX('Input Giocatori 2026_27'!$E$3:$E$493,MATCH($A8,'Input Giocatori 2026_27'!$A$3:$A$493,0)),"")</f>
        <v>28</v>
      </c>
      <c r="O8" s="24">
        <f>IFERROR(INDEX('Input Giocatori 2026_27'!$G$3:$G$493,MATCH($A8,'Input Giocatori 2026_27'!$A$3:$A$493,0)),"")</f>
        <v>240</v>
      </c>
      <c r="P8" s="23" t="str">
        <f>IFERROR(IF($O8="","",IF((1-(COUNTIFS($B$2:$B$492,$B8,$O$2:$O$492,"&gt;"&amp;$O8)+1-1)/COUNTIF($B$2:$B$492,$B8))&gt;='Parametri Modello'!$B$63,"Top",IF((1-(COUNTIFS($B$2:$B$492,$B8,$O$2:$O$492,"&gt;"&amp;$O8)+1-1)/COUNTIF($B$2:$B$492,$B8))&gt;='Parametri Modello'!$B$64,"Buono",IF((1-(COUNTIFS($B$2:$B$492,$B8,$O$2:$O$492,"&gt;"&amp;$O8)+1-1)/COUNTIF($B$2:$B$492,$B8))&gt;='Parametri Modello'!$B$65,"Nella Media","Scommessa/Riserva")))),"")</f>
        <v>Top</v>
      </c>
      <c r="Q8" s="26">
        <f>IF(AND($D8="",$N8&gt;1),SUMPRODUCT(($D$2:$D8="")*($N$2:$N8&gt;1)),"")</f>
        <v>7</v>
      </c>
      <c r="R8" s="26" t="str">
        <f>IF($D8='Info Lega'!$B$28,COUNTIFS($D$2:$D8,'Info Lega'!$B$28),"")</f>
        <v/>
      </c>
      <c r="S8" s="27">
        <f>IFERROR(INDEX('Input Statistiche 2025_26'!$G$3:$G$665,MATCH($A8,'Input Statistiche 2025_26'!$A$3:$A$665,0)),"")</f>
        <v>6.39</v>
      </c>
      <c r="T8" s="27">
        <f>IFERROR(INDEX('Input Statistiche 2025_26'!$H$3:$H$665,MATCH($A8,'Input Statistiche 2025_26'!$A$3:$A$665,0)),"")</f>
        <v>7.26</v>
      </c>
      <c r="U8" s="23" t="str">
        <f>IF(OR('La Mia Rosa'!$O$12="",$D8&lt;&gt;""),"",IF($F8&lt;='La Mia Rosa'!$O$12*'Parametri Modello'!$B$24,"OK",IF($F8&lt;='La Mia Rosa'!$O$12*'Parametri Modello'!$B$25,"Attenzione","Rischio Alto")))</f>
        <v>Rischio Alto</v>
      </c>
      <c r="V8" s="23">
        <f t="shared" si="1"/>
        <v>2</v>
      </c>
      <c r="W8" s="18">
        <f>'Info Lega'!$B$4-SUMIFS($M$2:$M$492,$D$2:$D$492,'Info Lega'!$B$28)</f>
        <v>1000</v>
      </c>
      <c r="X8" s="18">
        <f>('Info Lega'!$B$5-COUNTIFS($D$2:$D$492,'Info Lega'!$B$28,$B$2:$B$492,"P"))+('Info Lega'!$B$6-COUNTIFS($D$2:$D$492,'Info Lega'!$B$28,$B$2:$B$492,"D"))+('Info Lega'!$B$7-COUNTIFS($D$2:$D$492,'Info Lega'!$B$28,$B$2:$B$492,"C"))+('Info Lega'!$B$8-COUNTIFS($D$2:$D$492,'Info Lega'!$B$28,$B$2:$B$492,"A"))</f>
        <v>25</v>
      </c>
      <c r="Y8" s="18">
        <f>X8*'Parametri Modello'!$B$30</f>
        <v>25</v>
      </c>
      <c r="Z8" s="18">
        <f t="shared" si="2"/>
        <v>975</v>
      </c>
      <c r="AA8" s="18">
        <f t="shared" si="3"/>
        <v>164</v>
      </c>
      <c r="AB8" s="18"/>
      <c r="AC8" s="18" t="str">
        <f>IF($AB8="","",IF($AB8&gt;$AA8,"PASS",IF($AB8&lt;=$AA8*(1-'Parametri Modello'!$B$68),"BID","ATTENZIONE")))</f>
        <v/>
      </c>
      <c r="AD8" s="28">
        <f t="shared" si="4"/>
        <v>67</v>
      </c>
      <c r="AE8" s="5" t="str">
        <f>IFERROR(IF($AF8="Titolare",INDEX('Stato Asta'!$G$9:$G$12,MATCH($B8,'Stato Asta'!$A$9:$A$12,0)),INDEX('Stato Asta'!$P$9:$P$12,MATCH($B8,'Stato Asta'!$A$9:$A$12,0))),"")</f>
        <v>🟡 Attesa rischiosa</v>
      </c>
      <c r="AF8" t="str">
        <f>IFERROR(IF($V8&lt;=INDEX('Parametri Modello'!$C$57:$C$60,MATCH($B8,'Parametri Modello'!$A$57:$A$60,0)),"Titolare","Riserva"),"")</f>
        <v>Titolare</v>
      </c>
      <c r="AG8" t="str">
        <f>IFERROR(INDEX('Pressione Competitiva'!$F$3:$F$6,MATCH($B8,'Pressione Competitiva'!$B$3:$B$6,0)),"")</f>
        <v>🔴 Molto Alta</v>
      </c>
      <c r="AH8" t="str">
        <f t="shared" si="5"/>
        <v/>
      </c>
      <c r="AI8" t="str">
        <f>IFERROR(IF($AH8="","",IF($AH8&gt;=$AA8*'Parametri Modello'!$B$68,"🟢 Opportunita'",IF($AH8&lt;=$AA8*'Parametri Modello'!$B$69,"🔴 Sovrapprezzo","🟡 Prezzo Corretto"))),"")</f>
        <v/>
      </c>
      <c r="AJ8" t="str">
        <f t="shared" si="6"/>
        <v/>
      </c>
      <c r="AK8">
        <f t="shared" si="7"/>
        <v>2</v>
      </c>
      <c r="AL8" t="str">
        <f t="shared" si="8"/>
        <v>C|Top|2</v>
      </c>
    </row>
    <row r="9" spans="1:38" ht="14.25" customHeight="1" x14ac:dyDescent="0.25">
      <c r="A9" s="18">
        <v>6397</v>
      </c>
      <c r="B9" s="18" t="s">
        <v>437</v>
      </c>
      <c r="C9" s="18" t="s">
        <v>442</v>
      </c>
      <c r="E9" s="23" t="str">
        <f>IF(COUNTIF('Info Strategia'!$D$2:$D$51,$C9)&gt;0,"SI","NO")</f>
        <v>NO</v>
      </c>
      <c r="F9" s="24">
        <f>IFERROR(ROUND(($G9+($H9-$G9)*'Info Strategia'!$B$6)*(1+IF($E9="SI",'Parametri Modello'!$B$7*'Info Strategia'!$B$6,0)),0),"")</f>
        <v>246</v>
      </c>
      <c r="G9" s="24">
        <f>IFERROR(ROUND(MAX(1,(IF($V9&lt;=INDEX('Parametri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154</v>
      </c>
      <c r="H9" s="24">
        <f>IFERROR(ROUND((IF($V9&lt;=INDEX('Parametri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286</v>
      </c>
      <c r="I9" s="23" t="str">
        <f>IFERROR(INDEX('Input Statistiche 2025_26'!$F$3:$F$665,MATCH($A9,'Input Statistiche 2025_26'!$A$3:$A$665,0)),"")</f>
        <v/>
      </c>
      <c r="J9" s="23" t="str">
        <f t="shared" si="0"/>
        <v/>
      </c>
      <c r="K9" s="23" t="str">
        <f>IFERROR(INDEX('Input Statistiche 2025_26'!$I$3:$I$665,MATCH($A9,'Input Statistiche 2025_26'!$A$3:$A$665,0)),"")</f>
        <v/>
      </c>
      <c r="L9" s="23" t="str">
        <f>IFERROR(INDEX('Input Statistiche 2025_26'!$O$3:$O$665,MATCH($A9,'Input Statistiche 2025_26'!$A$3:$A$665,0)),"")</f>
        <v/>
      </c>
      <c r="M9" s="25"/>
      <c r="N9" s="24">
        <f>IFERROR(INDEX('Input Giocatori 2026_27'!$E$3:$E$493,MATCH($A9,'Input Giocatori 2026_27'!$A$3:$A$493,0)),"")</f>
        <v>27</v>
      </c>
      <c r="O9" s="24">
        <f>IFERROR(INDEX('Input Giocatori 2026_27'!$G$3:$G$493,MATCH($A9,'Input Giocatori 2026_27'!$A$3:$A$493,0)),"")</f>
        <v>240</v>
      </c>
      <c r="P9" s="23" t="str">
        <f>IFERROR(IF($O9="","",IF((1-(COUNTIFS($B$2:$B$492,$B9,$O$2:$O$492,"&gt;"&amp;$O9)+1-1)/COUNTIF($B$2:$B$492,$B9))&gt;='Parametri Modello'!$B$63,"Top",IF((1-(COUNTIFS($B$2:$B$492,$B9,$O$2:$O$492,"&gt;"&amp;$O9)+1-1)/COUNTIF($B$2:$B$492,$B9))&gt;='Parametri Modello'!$B$64,"Buono",IF((1-(COUNTIFS($B$2:$B$492,$B9,$O$2:$O$492,"&gt;"&amp;$O9)+1-1)/COUNTIF($B$2:$B$492,$B9))&gt;='Parametri Modello'!$B$65,"Nella Media","Scommessa/Riserva")))),"")</f>
        <v>Top</v>
      </c>
      <c r="Q9" s="26">
        <f>IF(AND($D9="",$N9&gt;1),SUMPRODUCT(($D$2:$D9="")*($N$2:$N9&gt;1)),"")</f>
        <v>8</v>
      </c>
      <c r="R9" s="26" t="str">
        <f>IF($D9='Info Lega'!$B$28,COUNTIFS($D$2:$D9,'Info Lega'!$B$28),"")</f>
        <v/>
      </c>
      <c r="S9" s="27" t="str">
        <f>IFERROR(INDEX('Input Statistiche 2025_26'!$G$3:$G$665,MATCH($A9,'Input Statistiche 2025_26'!$A$3:$A$665,0)),"")</f>
        <v/>
      </c>
      <c r="T9" s="27" t="str">
        <f>IFERROR(INDEX('Input Statistiche 2025_26'!$H$3:$H$665,MATCH($A9,'Input Statistiche 2025_26'!$A$3:$A$665,0)),"")</f>
        <v/>
      </c>
      <c r="U9" s="23" t="str">
        <f>IF(OR('La Mia Rosa'!$O$12="",$D9&lt;&gt;""),"",IF($F9&lt;='La Mia Rosa'!$O$12*'Parametri Modello'!$B$24,"OK",IF($F9&lt;='La Mia Rosa'!$O$12*'Parametri Modello'!$B$25,"Attenzione","Rischio Alto")))</f>
        <v>Rischio Alto</v>
      </c>
      <c r="V9" s="23">
        <f t="shared" si="1"/>
        <v>5</v>
      </c>
      <c r="W9" s="18">
        <f>'Info Lega'!$B$4-SUMIFS($M$2:$M$492,$D$2:$D$492,'Info Lega'!$B$28)</f>
        <v>1000</v>
      </c>
      <c r="X9" s="18">
        <f>('Info Lega'!$B$5-COUNTIFS($D$2:$D$492,'Info Lega'!$B$28,$B$2:$B$492,"P"))+('Info Lega'!$B$6-COUNTIFS($D$2:$D$492,'Info Lega'!$B$28,$B$2:$B$492,"D"))+('Info Lega'!$B$7-COUNTIFS($D$2:$D$492,'Info Lega'!$B$28,$B$2:$B$492,"C"))+('Info Lega'!$B$8-COUNTIFS($D$2:$D$492,'Info Lega'!$B$28,$B$2:$B$492,"A"))</f>
        <v>25</v>
      </c>
      <c r="Y9" s="18">
        <f>X9*'Parametri Modello'!$B$30</f>
        <v>25</v>
      </c>
      <c r="Z9" s="18">
        <f t="shared" si="2"/>
        <v>975</v>
      </c>
      <c r="AA9" s="18">
        <f t="shared" si="3"/>
        <v>246</v>
      </c>
      <c r="AB9" s="18"/>
      <c r="AC9" s="18" t="str">
        <f>IF($AB9="","",IF($AB9&gt;$AA9,"PASS",IF($AB9&lt;=$AA9*(1-'Parametri Modello'!$B$68),"BID","ATTENZIONE")))</f>
        <v/>
      </c>
      <c r="AD9" s="28" t="str">
        <f t="shared" si="4"/>
        <v/>
      </c>
      <c r="AE9" s="5" t="str">
        <f>IFERROR(IF($AF9="Titolare",INDEX('Stato Asta'!$G$9:$G$12,MATCH($B9,'Stato Asta'!$A$9:$A$12,0)),INDEX('Stato Asta'!$P$9:$P$12,MATCH($B9,'Stato Asta'!$A$9:$A$12,0))),"")</f>
        <v>🟡 Attesa rischiosa</v>
      </c>
      <c r="AF9" t="str">
        <f>IFERROR(IF($V9&lt;=INDEX('Parametri Modello'!$C$57:$C$60,MATCH($B9,'Parametri Modello'!$A$57:$A$60,0)),"Titolare","Riserva"),"")</f>
        <v>Titolare</v>
      </c>
      <c r="AG9" t="str">
        <f>IFERROR(INDEX('Pressione Competitiva'!$F$3:$F$6,MATCH($B9,'Pressione Competitiva'!$B$3:$B$6,0)),"")</f>
        <v>🔴 Molto Alta</v>
      </c>
      <c r="AH9" t="str">
        <f t="shared" si="5"/>
        <v/>
      </c>
      <c r="AI9" t="str">
        <f>IFERROR(IF($AH9="","",IF($AH9&gt;=$AA9*'Parametri Modello'!$B$68,"🟢 Opportunita'",IF($AH9&lt;=$AA9*'Parametri Modello'!$B$69,"🔴 Sovrapprezzo","🟡 Prezzo Corretto"))),"")</f>
        <v/>
      </c>
      <c r="AJ9" t="str">
        <f t="shared" si="6"/>
        <v/>
      </c>
      <c r="AK9">
        <f t="shared" si="7"/>
        <v>5</v>
      </c>
      <c r="AL9" t="str">
        <f t="shared" si="8"/>
        <v>A|Top|5</v>
      </c>
    </row>
    <row r="10" spans="1:38" ht="14.25" customHeight="1" x14ac:dyDescent="0.25">
      <c r="A10" s="18">
        <v>2194</v>
      </c>
      <c r="B10" s="18" t="s">
        <v>264</v>
      </c>
      <c r="C10" s="18" t="s">
        <v>267</v>
      </c>
      <c r="E10" s="23" t="str">
        <f>IF(COUNTIF('Info Strategia'!$D$2:$D$51,$C10)&gt;0,"SI","NO")</f>
        <v>NO</v>
      </c>
      <c r="F10" s="24">
        <f>IFERROR(ROUND(($G10+($H10-$G10)*'Info Strategia'!$B$6)*(1+IF($E10="SI",'Parametri Modello'!$B$7*'Info Strategia'!$B$6,0)),0),"")</f>
        <v>158</v>
      </c>
      <c r="G10" s="24">
        <f>IFERROR(ROUND(MAX(1,(IF($V10&lt;=INDEX('Parametri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108</v>
      </c>
      <c r="H10" s="24">
        <f>IFERROR(ROUND((IF($V10&lt;=INDEX('Parametri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180</v>
      </c>
      <c r="I10" s="23">
        <f>IFERROR(INDEX('Input Statistiche 2025_26'!$F$3:$F$665,MATCH($A10,'Input Statistiche 2025_26'!$A$3:$A$665,0)),"")</f>
        <v>22</v>
      </c>
      <c r="J10" s="23">
        <f t="shared" si="0"/>
        <v>16</v>
      </c>
      <c r="K10" s="23">
        <f>IFERROR(INDEX('Input Statistiche 2025_26'!$I$3:$I$665,MATCH($A10,'Input Statistiche 2025_26'!$A$3:$A$665,0)),"")</f>
        <v>9</v>
      </c>
      <c r="L10" s="23">
        <f>IFERROR(INDEX('Input Statistiche 2025_26'!$O$3:$O$665,MATCH($A10,'Input Statistiche 2025_26'!$A$3:$A$665,0)),"")</f>
        <v>4</v>
      </c>
      <c r="M10" s="25"/>
      <c r="N10" s="24">
        <f>IFERROR(INDEX('Input Giocatori 2026_27'!$E$3:$E$493,MATCH($A10,'Input Giocatori 2026_27'!$A$3:$A$493,0)),"")</f>
        <v>27</v>
      </c>
      <c r="O10" s="24">
        <f>IFERROR(INDEX('Input Giocatori 2026_27'!$G$3:$G$493,MATCH($A10,'Input Giocatori 2026_27'!$A$3:$A$493,0)),"")</f>
        <v>230</v>
      </c>
      <c r="P10" s="23" t="str">
        <f>IFERROR(IF($O10="","",IF((1-(COUNTIFS($B$2:$B$492,$B10,$O$2:$O$492,"&gt;"&amp;$O10)+1-1)/COUNTIF($B$2:$B$492,$B10))&gt;='Parametri Modello'!$B$63,"Top",IF((1-(COUNTIFS($B$2:$B$492,$B10,$O$2:$O$492,"&gt;"&amp;$O10)+1-1)/COUNTIF($B$2:$B$492,$B10))&gt;='Parametri Modello'!$B$64,"Buono",IF((1-(COUNTIFS($B$2:$B$492,$B10,$O$2:$O$492,"&gt;"&amp;$O10)+1-1)/COUNTIF($B$2:$B$492,$B10))&gt;='Parametri Modello'!$B$65,"Nella Media","Scommessa/Riserva")))),"")</f>
        <v>Top</v>
      </c>
      <c r="Q10" s="26">
        <f>IF(AND($D10="",$N10&gt;1),SUMPRODUCT(($D$2:$D10="")*($N$2:$N10&gt;1)),"")</f>
        <v>9</v>
      </c>
      <c r="R10" s="26" t="str">
        <f>IF($D10='Info Lega'!$B$28,COUNTIFS($D$2:$D10,'Info Lega'!$B$28),"")</f>
        <v/>
      </c>
      <c r="S10" s="27">
        <f>IFERROR(INDEX('Input Statistiche 2025_26'!$G$3:$G$665,MATCH($A10,'Input Statistiche 2025_26'!$A$3:$A$665,0)),"")</f>
        <v>6.52</v>
      </c>
      <c r="T10" s="27">
        <f>IFERROR(INDEX('Input Statistiche 2025_26'!$H$3:$H$665,MATCH($A10,'Input Statistiche 2025_26'!$A$3:$A$665,0)),"")</f>
        <v>7.64</v>
      </c>
      <c r="U10" s="23" t="str">
        <f>IF(OR('La Mia Rosa'!$O$12="",$D10&lt;&gt;""),"",IF($F10&lt;='La Mia Rosa'!$O$12*'Parametri Modello'!$B$24,"OK",IF($F10&lt;='La Mia Rosa'!$O$12*'Parametri Modello'!$B$25,"Attenzione","Rischio Alto")))</f>
        <v>Rischio Alto</v>
      </c>
      <c r="V10" s="23">
        <f t="shared" si="1"/>
        <v>3</v>
      </c>
      <c r="W10" s="18">
        <f>'Info Lega'!$B$4-SUMIFS($M$2:$M$492,$D$2:$D$492,'Info Lega'!$B$28)</f>
        <v>1000</v>
      </c>
      <c r="X10" s="18">
        <f>('Info Lega'!$B$5-COUNTIFS($D$2:$D$492,'Info Lega'!$B$28,$B$2:$B$492,"P"))+('Info Lega'!$B$6-COUNTIFS($D$2:$D$492,'Info Lega'!$B$28,$B$2:$B$492,"D"))+('Info Lega'!$B$7-COUNTIFS($D$2:$D$492,'Info Lega'!$B$28,$B$2:$B$492,"C"))+('Info Lega'!$B$8-COUNTIFS($D$2:$D$492,'Info Lega'!$B$28,$B$2:$B$492,"A"))</f>
        <v>25</v>
      </c>
      <c r="Y10" s="18">
        <f>X10*'Parametri Modello'!$B$30</f>
        <v>25</v>
      </c>
      <c r="Z10" s="18">
        <f t="shared" si="2"/>
        <v>975</v>
      </c>
      <c r="AA10" s="18">
        <f t="shared" si="3"/>
        <v>158</v>
      </c>
      <c r="AB10" s="18"/>
      <c r="AC10" s="18" t="str">
        <f>IF($AB10="","",IF($AB10&gt;$AA10,"PASS",IF($AB10&lt;=$AA10*(1-'Parametri Modello'!$B$68),"BID","ATTENZIONE")))</f>
        <v/>
      </c>
      <c r="AD10" s="28">
        <f t="shared" si="4"/>
        <v>52</v>
      </c>
      <c r="AE10" s="5" t="str">
        <f>IFERROR(IF($AF10="Titolare",INDEX('Stato Asta'!$G$9:$G$12,MATCH($B10,'Stato Asta'!$A$9:$A$12,0)),INDEX('Stato Asta'!$P$9:$P$12,MATCH($B10,'Stato Asta'!$A$9:$A$12,0))),"")</f>
        <v>🟡 Attesa rischiosa</v>
      </c>
      <c r="AF10" t="str">
        <f>IFERROR(IF($V10&lt;=INDEX('Parametri Modello'!$C$57:$C$60,MATCH($B10,'Parametri Modello'!$A$57:$A$60,0)),"Titolare","Riserva"),"")</f>
        <v>Titolare</v>
      </c>
      <c r="AG10" t="str">
        <f>IFERROR(INDEX('Pressione Competitiva'!$F$3:$F$6,MATCH($B10,'Pressione Competitiva'!$B$3:$B$6,0)),"")</f>
        <v>🔴 Molto Alta</v>
      </c>
      <c r="AH10" t="str">
        <f t="shared" si="5"/>
        <v/>
      </c>
      <c r="AI10" t="str">
        <f>IFERROR(IF($AH10="","",IF($AH10&gt;=$AA10*'Parametri Modello'!$B$68,"🟢 Opportunita'",IF($AH10&lt;=$AA10*'Parametri Modello'!$B$69,"🔴 Sovrapprezzo","🟡 Prezzo Corretto"))),"")</f>
        <v/>
      </c>
      <c r="AJ10" t="str">
        <f t="shared" si="6"/>
        <v/>
      </c>
      <c r="AK10">
        <f t="shared" si="7"/>
        <v>3</v>
      </c>
      <c r="AL10" t="str">
        <f t="shared" si="8"/>
        <v>C|Top|3</v>
      </c>
    </row>
    <row r="11" spans="1:38" ht="14.25" customHeight="1" x14ac:dyDescent="0.25">
      <c r="A11" s="18">
        <v>5951</v>
      </c>
      <c r="B11" s="18" t="s">
        <v>437</v>
      </c>
      <c r="C11" s="18" t="s">
        <v>443</v>
      </c>
      <c r="E11" s="23" t="str">
        <f>IF(COUNTIF('Info Strategia'!$D$2:$D$51,$C11)&gt;0,"SI","NO")</f>
        <v>NO</v>
      </c>
      <c r="F11" s="24">
        <f>IFERROR(ROUND(($G11+($H11-$G11)*'Info Strategia'!$B$6)*(1+IF($E11="SI",'Parametri Modello'!$B$7*'Info Strategia'!$B$6,0)),0),"")</f>
        <v>231</v>
      </c>
      <c r="G11" s="24">
        <f>IFERROR(ROUND(MAX(1,(IF($V11&lt;=INDEX('Parametri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144</v>
      </c>
      <c r="H11" s="24">
        <f>IFERROR(ROUND((IF($V11&lt;=INDEX('Parametri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268</v>
      </c>
      <c r="I11" s="23" t="str">
        <f>IFERROR(INDEX('Input Statistiche 2025_26'!$F$3:$F$665,MATCH($A11,'Input Statistiche 2025_26'!$A$3:$A$665,0)),"")</f>
        <v/>
      </c>
      <c r="J11" s="23" t="str">
        <f t="shared" si="0"/>
        <v/>
      </c>
      <c r="K11" s="23" t="str">
        <f>IFERROR(INDEX('Input Statistiche 2025_26'!$I$3:$I$665,MATCH($A11,'Input Statistiche 2025_26'!$A$3:$A$665,0)),"")</f>
        <v/>
      </c>
      <c r="L11" s="23" t="str">
        <f>IFERROR(INDEX('Input Statistiche 2025_26'!$O$3:$O$665,MATCH($A11,'Input Statistiche 2025_26'!$A$3:$A$665,0)),"")</f>
        <v/>
      </c>
      <c r="M11" s="25"/>
      <c r="N11" s="24">
        <f>IFERROR(INDEX('Input Giocatori 2026_27'!$E$3:$E$493,MATCH($A11,'Input Giocatori 2026_27'!$A$3:$A$493,0)),"")</f>
        <v>26</v>
      </c>
      <c r="O11" s="24">
        <f>IFERROR(INDEX('Input Giocatori 2026_27'!$G$3:$G$493,MATCH($A11,'Input Giocatori 2026_27'!$A$3:$A$493,0)),"")</f>
        <v>225</v>
      </c>
      <c r="P11" s="23" t="str">
        <f>IFERROR(IF($O11="","",IF((1-(COUNTIFS($B$2:$B$492,$B11,$O$2:$O$492,"&gt;"&amp;$O11)+1-1)/COUNTIF($B$2:$B$492,$B11))&gt;='Parametri Modello'!$B$63,"Top",IF((1-(COUNTIFS($B$2:$B$492,$B11,$O$2:$O$492,"&gt;"&amp;$O11)+1-1)/COUNTIF($B$2:$B$492,$B11))&gt;='Parametri Modello'!$B$64,"Buono",IF((1-(COUNTIFS($B$2:$B$492,$B11,$O$2:$O$492,"&gt;"&amp;$O11)+1-1)/COUNTIF($B$2:$B$492,$B11))&gt;='Parametri Modello'!$B$65,"Nella Media","Scommessa/Riserva")))),"")</f>
        <v>Top</v>
      </c>
      <c r="Q11" s="26">
        <f>IF(AND($D11="",$N11&gt;1),SUMPRODUCT(($D$2:$D11="")*($N$2:$N11&gt;1)),"")</f>
        <v>10</v>
      </c>
      <c r="R11" s="26" t="str">
        <f>IF($D11='Info Lega'!$B$28,COUNTIFS($D$2:$D11,'Info Lega'!$B$28),"")</f>
        <v/>
      </c>
      <c r="S11" s="27" t="str">
        <f>IFERROR(INDEX('Input Statistiche 2025_26'!$G$3:$G$665,MATCH($A11,'Input Statistiche 2025_26'!$A$3:$A$665,0)),"")</f>
        <v/>
      </c>
      <c r="T11" s="27" t="str">
        <f>IFERROR(INDEX('Input Statistiche 2025_26'!$H$3:$H$665,MATCH($A11,'Input Statistiche 2025_26'!$A$3:$A$665,0)),"")</f>
        <v/>
      </c>
      <c r="U11" s="23" t="str">
        <f>IF(OR('La Mia Rosa'!$O$12="",$D11&lt;&gt;""),"",IF($F11&lt;='La Mia Rosa'!$O$12*'Parametri Modello'!$B$24,"OK",IF($F11&lt;='La Mia Rosa'!$O$12*'Parametri Modello'!$B$25,"Attenzione","Rischio Alto")))</f>
        <v>Rischio Alto</v>
      </c>
      <c r="V11" s="23">
        <f t="shared" si="1"/>
        <v>6</v>
      </c>
      <c r="W11" s="18">
        <f>'Info Lega'!$B$4-SUMIFS($M$2:$M$492,$D$2:$D$492,'Info Lega'!$B$28)</f>
        <v>1000</v>
      </c>
      <c r="X11" s="18">
        <f>('Info Lega'!$B$5-COUNTIFS($D$2:$D$492,'Info Lega'!$B$28,$B$2:$B$492,"P"))+('Info Lega'!$B$6-COUNTIFS($D$2:$D$492,'Info Lega'!$B$28,$B$2:$B$492,"D"))+('Info Lega'!$B$7-COUNTIFS($D$2:$D$492,'Info Lega'!$B$28,$B$2:$B$492,"C"))+('Info Lega'!$B$8-COUNTIFS($D$2:$D$492,'Info Lega'!$B$28,$B$2:$B$492,"A"))</f>
        <v>25</v>
      </c>
      <c r="Y11" s="18">
        <f>X11*'Parametri Modello'!$B$30</f>
        <v>25</v>
      </c>
      <c r="Z11" s="18">
        <f t="shared" si="2"/>
        <v>975</v>
      </c>
      <c r="AA11" s="18">
        <f t="shared" si="3"/>
        <v>231</v>
      </c>
      <c r="AB11" s="18"/>
      <c r="AC11" s="18" t="str">
        <f>IF($AB11="","",IF($AB11&gt;$AA11,"PASS",IF($AB11&lt;=$AA11*(1-'Parametri Modello'!$B$68),"BID","ATTENZIONE")))</f>
        <v/>
      </c>
      <c r="AD11" s="28" t="str">
        <f t="shared" si="4"/>
        <v/>
      </c>
      <c r="AE11" s="5" t="str">
        <f>IFERROR(IF($AF11="Titolare",INDEX('Stato Asta'!$G$9:$G$12,MATCH($B11,'Stato Asta'!$A$9:$A$12,0)),INDEX('Stato Asta'!$P$9:$P$12,MATCH($B11,'Stato Asta'!$A$9:$A$12,0))),"")</f>
        <v>🟡 Attesa rischiosa</v>
      </c>
      <c r="AF11" t="str">
        <f>IFERROR(IF($V11&lt;=INDEX('Parametri Modello'!$C$57:$C$60,MATCH($B11,'Parametri Modello'!$A$57:$A$60,0)),"Titolare","Riserva"),"")</f>
        <v>Titolare</v>
      </c>
      <c r="AG11" t="str">
        <f>IFERROR(INDEX('Pressione Competitiva'!$F$3:$F$6,MATCH($B11,'Pressione Competitiva'!$B$3:$B$6,0)),"")</f>
        <v>🔴 Molto Alta</v>
      </c>
      <c r="AH11" t="str">
        <f t="shared" si="5"/>
        <v/>
      </c>
      <c r="AI11" t="str">
        <f>IFERROR(IF($AH11="","",IF($AH11&gt;=$AA11*'Parametri Modello'!$B$68,"🟢 Opportunita'",IF($AH11&lt;=$AA11*'Parametri Modello'!$B$69,"🔴 Sovrapprezzo","🟡 Prezzo Corretto"))),"")</f>
        <v/>
      </c>
      <c r="AJ11" t="str">
        <f t="shared" si="6"/>
        <v/>
      </c>
      <c r="AK11">
        <f t="shared" si="7"/>
        <v>6</v>
      </c>
      <c r="AL11" t="str">
        <f t="shared" si="8"/>
        <v>A|Top|6</v>
      </c>
    </row>
    <row r="12" spans="1:38" ht="14.25" customHeight="1" x14ac:dyDescent="0.25">
      <c r="A12" s="18">
        <v>2097</v>
      </c>
      <c r="B12" s="18" t="s">
        <v>437</v>
      </c>
      <c r="C12" s="18" t="s">
        <v>444</v>
      </c>
      <c r="E12" s="23" t="str">
        <f>IF(COUNTIF('Info Strategia'!$D$2:$D$51,$C12)&gt;0,"SI","NO")</f>
        <v>NO</v>
      </c>
      <c r="F12" s="24">
        <f>IFERROR(ROUND(($G12+($H12-$G12)*'Info Strategia'!$B$6)*(1+IF($E12="SI",'Parametri Modello'!$B$7*'Info Strategia'!$B$6,0)),0),"")</f>
        <v>218</v>
      </c>
      <c r="G12" s="24">
        <f>IFERROR(ROUND(MAX(1,(IF($V12&lt;=INDEX('Parametri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136</v>
      </c>
      <c r="H12" s="24">
        <f>IFERROR(ROUND((IF($V12&lt;=INDEX('Parametri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253</v>
      </c>
      <c r="I12" s="23">
        <f>IFERROR(INDEX('Input Statistiche 2025_26'!$F$3:$F$665,MATCH($A12,'Input Statistiche 2025_26'!$A$3:$A$665,0)),"")</f>
        <v>26</v>
      </c>
      <c r="J12" s="23">
        <f t="shared" si="0"/>
        <v>12</v>
      </c>
      <c r="K12" s="23">
        <f>IFERROR(INDEX('Input Statistiche 2025_26'!$I$3:$I$665,MATCH($A12,'Input Statistiche 2025_26'!$A$3:$A$665,0)),"")</f>
        <v>8</v>
      </c>
      <c r="L12" s="23">
        <f>IFERROR(INDEX('Input Statistiche 2025_26'!$O$3:$O$665,MATCH($A12,'Input Statistiche 2025_26'!$A$3:$A$665,0)),"")</f>
        <v>1</v>
      </c>
      <c r="M12" s="25"/>
      <c r="N12" s="24">
        <f>IFERROR(INDEX('Input Giocatori 2026_27'!$E$3:$E$493,MATCH($A12,'Input Giocatori 2026_27'!$A$3:$A$493,0)),"")</f>
        <v>25</v>
      </c>
      <c r="O12" s="24">
        <f>IFERROR(INDEX('Input Giocatori 2026_27'!$G$3:$G$493,MATCH($A12,'Input Giocatori 2026_27'!$A$3:$A$493,0)),"")</f>
        <v>212</v>
      </c>
      <c r="P12" s="23" t="str">
        <f>IFERROR(IF($O12="","",IF((1-(COUNTIFS($B$2:$B$492,$B12,$O$2:$O$492,"&gt;"&amp;$O12)+1-1)/COUNTIF($B$2:$B$492,$B12))&gt;='Parametri Modello'!$B$63,"Top",IF((1-(COUNTIFS($B$2:$B$492,$B12,$O$2:$O$492,"&gt;"&amp;$O12)+1-1)/COUNTIF($B$2:$B$492,$B12))&gt;='Parametri Modello'!$B$64,"Buono",IF((1-(COUNTIFS($B$2:$B$492,$B12,$O$2:$O$492,"&gt;"&amp;$O12)+1-1)/COUNTIF($B$2:$B$492,$B12))&gt;='Parametri Modello'!$B$65,"Nella Media","Scommessa/Riserva")))),"")</f>
        <v>Top</v>
      </c>
      <c r="Q12" s="26">
        <f>IF(AND($D12="",$N12&gt;1),SUMPRODUCT(($D$2:$D12="")*($N$2:$N12&gt;1)),"")</f>
        <v>11</v>
      </c>
      <c r="R12" s="26" t="str">
        <f>IF($D12='Info Lega'!$B$28,COUNTIFS($D$2:$D12,'Info Lega'!$B$28),"")</f>
        <v/>
      </c>
      <c r="S12" s="27">
        <f>IFERROR(INDEX('Input Statistiche 2025_26'!$G$3:$G$665,MATCH($A12,'Input Statistiche 2025_26'!$A$3:$A$665,0)),"")</f>
        <v>5.88</v>
      </c>
      <c r="T12" s="27">
        <f>IFERROR(INDEX('Input Statistiche 2025_26'!$H$3:$H$665,MATCH($A12,'Input Statistiche 2025_26'!$A$3:$A$665,0)),"")</f>
        <v>6.77</v>
      </c>
      <c r="U12" s="23" t="str">
        <f>IF(OR('La Mia Rosa'!$O$12="",$D12&lt;&gt;""),"",IF($F12&lt;='La Mia Rosa'!$O$12*'Parametri Modello'!$B$24,"OK",IF($F12&lt;='La Mia Rosa'!$O$12*'Parametri Modello'!$B$25,"Attenzione","Rischio Alto")))</f>
        <v>Rischio Alto</v>
      </c>
      <c r="V12" s="23">
        <f t="shared" si="1"/>
        <v>7</v>
      </c>
      <c r="W12" s="18">
        <f>'Info Lega'!$B$4-SUMIFS($M$2:$M$492,$D$2:$D$492,'Info Lega'!$B$28)</f>
        <v>1000</v>
      </c>
      <c r="X12" s="18">
        <f>('Info Lega'!$B$5-COUNTIFS($D$2:$D$492,'Info Lega'!$B$28,$B$2:$B$492,"P"))+('Info Lega'!$B$6-COUNTIFS($D$2:$D$492,'Info Lega'!$B$28,$B$2:$B$492,"D"))+('Info Lega'!$B$7-COUNTIFS($D$2:$D$492,'Info Lega'!$B$28,$B$2:$B$492,"C"))+('Info Lega'!$B$8-COUNTIFS($D$2:$D$492,'Info Lega'!$B$28,$B$2:$B$492,"A"))</f>
        <v>25</v>
      </c>
      <c r="Y12" s="18">
        <f>X12*'Parametri Modello'!$B$30</f>
        <v>25</v>
      </c>
      <c r="Z12" s="18">
        <f t="shared" si="2"/>
        <v>975</v>
      </c>
      <c r="AA12" s="18">
        <f t="shared" si="3"/>
        <v>218</v>
      </c>
      <c r="AB12" s="18"/>
      <c r="AC12" s="18" t="str">
        <f>IF($AB12="","",IF($AB12&gt;$AA12,"PASS",IF($AB12&lt;=$AA12*(1-'Parametri Modello'!$B$68),"BID","ATTENZIONE")))</f>
        <v/>
      </c>
      <c r="AD12" s="28">
        <f t="shared" si="4"/>
        <v>58</v>
      </c>
      <c r="AE12" s="5" t="str">
        <f>IFERROR(IF($AF12="Titolare",INDEX('Stato Asta'!$G$9:$G$12,MATCH($B12,'Stato Asta'!$A$9:$A$12,0)),INDEX('Stato Asta'!$P$9:$P$12,MATCH($B12,'Stato Asta'!$A$9:$A$12,0))),"")</f>
        <v>🟡 Attesa rischiosa</v>
      </c>
      <c r="AF12" t="str">
        <f>IFERROR(IF($V12&lt;=INDEX('Parametri Modello'!$C$57:$C$60,MATCH($B12,'Parametri Modello'!$A$57:$A$60,0)),"Titolare","Riserva"),"")</f>
        <v>Titolare</v>
      </c>
      <c r="AG12" t="str">
        <f>IFERROR(INDEX('Pressione Competitiva'!$F$3:$F$6,MATCH($B12,'Pressione Competitiva'!$B$3:$B$6,0)),"")</f>
        <v>🔴 Molto Alta</v>
      </c>
      <c r="AH12" t="str">
        <f t="shared" si="5"/>
        <v/>
      </c>
      <c r="AI12" t="str">
        <f>IFERROR(IF($AH12="","",IF($AH12&gt;=$AA12*'Parametri Modello'!$B$68,"🟢 Opportunita'",IF($AH12&lt;=$AA12*'Parametri Modello'!$B$69,"🔴 Sovrapprezzo","🟡 Prezzo Corretto"))),"")</f>
        <v/>
      </c>
      <c r="AJ12" t="str">
        <f t="shared" si="6"/>
        <v/>
      </c>
      <c r="AK12">
        <f t="shared" si="7"/>
        <v>7</v>
      </c>
      <c r="AL12" t="str">
        <f t="shared" si="8"/>
        <v>A|Top|7</v>
      </c>
    </row>
    <row r="13" spans="1:38" ht="14.25" customHeight="1" x14ac:dyDescent="0.25">
      <c r="A13" s="18">
        <v>2167</v>
      </c>
      <c r="B13" s="18" t="s">
        <v>264</v>
      </c>
      <c r="C13" s="18" t="s">
        <v>268</v>
      </c>
      <c r="E13" s="23" t="str">
        <f>IF(COUNTIF('Info Strategia'!$D$2:$D$51,$C13)&gt;0,"SI","NO")</f>
        <v>NO</v>
      </c>
      <c r="F13" s="24">
        <f>IFERROR(ROUND(($G13+($H13-$G13)*'Info Strategia'!$B$6)*(1+IF($E13="SI",'Parametri Modello'!$B$7*'Info Strategia'!$B$6,0)),0),"")</f>
        <v>135</v>
      </c>
      <c r="G13" s="24">
        <f>IFERROR(ROUND(MAX(1,(IF($V13&lt;=INDEX('Parametri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92</v>
      </c>
      <c r="H13" s="24">
        <f>IFERROR(ROUND((IF($V13&lt;=INDEX('Parametri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153</v>
      </c>
      <c r="I13" s="23">
        <f>IFERROR(INDEX('Input Statistiche 2025_26'!$F$3:$F$665,MATCH($A13,'Input Statistiche 2025_26'!$A$3:$A$665,0)),"")</f>
        <v>34</v>
      </c>
      <c r="J13" s="23">
        <f t="shared" si="0"/>
        <v>4</v>
      </c>
      <c r="K13" s="23">
        <f>IFERROR(INDEX('Input Statistiche 2025_26'!$I$3:$I$665,MATCH($A13,'Input Statistiche 2025_26'!$A$3:$A$665,0)),"")</f>
        <v>10</v>
      </c>
      <c r="L13" s="23">
        <f>IFERROR(INDEX('Input Statistiche 2025_26'!$O$3:$O$665,MATCH($A13,'Input Statistiche 2025_26'!$A$3:$A$665,0)),"")</f>
        <v>1</v>
      </c>
      <c r="M13" s="25"/>
      <c r="N13" s="24">
        <f>IFERROR(INDEX('Input Giocatori 2026_27'!$E$3:$E$493,MATCH($A13,'Input Giocatori 2026_27'!$A$3:$A$493,0)),"")</f>
        <v>26</v>
      </c>
      <c r="O13" s="24">
        <f>IFERROR(INDEX('Input Giocatori 2026_27'!$G$3:$G$493,MATCH($A13,'Input Giocatori 2026_27'!$A$3:$A$493,0)),"")</f>
        <v>200</v>
      </c>
      <c r="P13" s="23" t="str">
        <f>IFERROR(IF($O13="","",IF((1-(COUNTIFS($B$2:$B$492,$B13,$O$2:$O$492,"&gt;"&amp;$O13)+1-1)/COUNTIF($B$2:$B$492,$B13))&gt;='Parametri Modello'!$B$63,"Top",IF((1-(COUNTIFS($B$2:$B$492,$B13,$O$2:$O$492,"&gt;"&amp;$O13)+1-1)/COUNTIF($B$2:$B$492,$B13))&gt;='Parametri Modello'!$B$64,"Buono",IF((1-(COUNTIFS($B$2:$B$492,$B13,$O$2:$O$492,"&gt;"&amp;$O13)+1-1)/COUNTIF($B$2:$B$492,$B13))&gt;='Parametri Modello'!$B$65,"Nella Media","Scommessa/Riserva")))),"")</f>
        <v>Top</v>
      </c>
      <c r="Q13" s="26">
        <f>IF(AND($D13="",$N13&gt;1),SUMPRODUCT(($D$2:$D13="")*($N$2:$N13&gt;1)),"")</f>
        <v>12</v>
      </c>
      <c r="R13" s="26" t="str">
        <f>IF($D13='Info Lega'!$B$28,COUNTIFS($D$2:$D13,'Info Lega'!$B$28),"")</f>
        <v/>
      </c>
      <c r="S13" s="27">
        <f>IFERROR(INDEX('Input Statistiche 2025_26'!$G$3:$G$665,MATCH($A13,'Input Statistiche 2025_26'!$A$3:$A$665,0)),"")</f>
        <v>6.06</v>
      </c>
      <c r="T13" s="27">
        <f>IFERROR(INDEX('Input Statistiche 2025_26'!$H$3:$H$665,MATCH($A13,'Input Statistiche 2025_26'!$A$3:$A$665,0)),"")</f>
        <v>6.76</v>
      </c>
      <c r="U13" s="23" t="str">
        <f>IF(OR('La Mia Rosa'!$O$12="",$D13&lt;&gt;""),"",IF($F13&lt;='La Mia Rosa'!$O$12*'Parametri Modello'!$B$24,"OK",IF($F13&lt;='La Mia Rosa'!$O$12*'Parametri Modello'!$B$25,"Attenzione","Rischio Alto")))</f>
        <v>Rischio Alto</v>
      </c>
      <c r="V13" s="23">
        <f t="shared" si="1"/>
        <v>4</v>
      </c>
      <c r="W13" s="18">
        <f>'Info Lega'!$B$4-SUMIFS($M$2:$M$492,$D$2:$D$492,'Info Lega'!$B$28)</f>
        <v>1000</v>
      </c>
      <c r="X13" s="18">
        <f>('Info Lega'!$B$5-COUNTIFS($D$2:$D$492,'Info Lega'!$B$28,$B$2:$B$492,"P"))+('Info Lega'!$B$6-COUNTIFS($D$2:$D$492,'Info Lega'!$B$28,$B$2:$B$492,"D"))+('Info Lega'!$B$7-COUNTIFS($D$2:$D$492,'Info Lega'!$B$28,$B$2:$B$492,"C"))+('Info Lega'!$B$8-COUNTIFS($D$2:$D$492,'Info Lega'!$B$28,$B$2:$B$492,"A"))</f>
        <v>25</v>
      </c>
      <c r="Y13" s="18">
        <f>X13*'Parametri Modello'!$B$30</f>
        <v>25</v>
      </c>
      <c r="Z13" s="18">
        <f t="shared" si="2"/>
        <v>975</v>
      </c>
      <c r="AA13" s="18">
        <f t="shared" si="3"/>
        <v>135</v>
      </c>
      <c r="AB13" s="18"/>
      <c r="AC13" s="18" t="str">
        <f>IF($AB13="","",IF($AB13&gt;$AA13,"PASS",IF($AB13&lt;=$AA13*(1-'Parametri Modello'!$B$68),"BID","ATTENZIONE")))</f>
        <v/>
      </c>
      <c r="AD13" s="28">
        <f t="shared" si="4"/>
        <v>68</v>
      </c>
      <c r="AE13" s="5" t="str">
        <f>IFERROR(IF($AF13="Titolare",INDEX('Stato Asta'!$G$9:$G$12,MATCH($B13,'Stato Asta'!$A$9:$A$12,0)),INDEX('Stato Asta'!$P$9:$P$12,MATCH($B13,'Stato Asta'!$A$9:$A$12,0))),"")</f>
        <v>🟡 Attesa rischiosa</v>
      </c>
      <c r="AF13" t="str">
        <f>IFERROR(IF($V13&lt;=INDEX('Parametri Modello'!$C$57:$C$60,MATCH($B13,'Parametri Modello'!$A$57:$A$60,0)),"Titolare","Riserva"),"")</f>
        <v>Titolare</v>
      </c>
      <c r="AG13" t="str">
        <f>IFERROR(INDEX('Pressione Competitiva'!$F$3:$F$6,MATCH($B13,'Pressione Competitiva'!$B$3:$B$6,0)),"")</f>
        <v>🔴 Molto Alta</v>
      </c>
      <c r="AH13" t="str">
        <f t="shared" si="5"/>
        <v/>
      </c>
      <c r="AI13" t="str">
        <f>IFERROR(IF($AH13="","",IF($AH13&gt;=$AA13*'Parametri Modello'!$B$68,"🟢 Opportunita'",IF($AH13&lt;=$AA13*'Parametri Modello'!$B$69,"🔴 Sovrapprezzo","🟡 Prezzo Corretto"))),"")</f>
        <v/>
      </c>
      <c r="AJ13" t="str">
        <f t="shared" si="6"/>
        <v/>
      </c>
      <c r="AK13">
        <f t="shared" si="7"/>
        <v>4</v>
      </c>
      <c r="AL13" t="str">
        <f t="shared" si="8"/>
        <v>C|Top|4</v>
      </c>
    </row>
    <row r="14" spans="1:38" ht="14.25" customHeight="1" x14ac:dyDescent="0.25">
      <c r="A14" s="18">
        <v>6434</v>
      </c>
      <c r="B14" s="18" t="s">
        <v>437</v>
      </c>
      <c r="C14" s="18" t="s">
        <v>445</v>
      </c>
      <c r="E14" s="23" t="str">
        <f>IF(COUNTIF('Info Strategia'!$D$2:$D$51,$C14)&gt;0,"SI","NO")</f>
        <v>NO</v>
      </c>
      <c r="F14" s="24">
        <f>IFERROR(ROUND(($G14+($H14-$G14)*'Info Strategia'!$B$6)*(1+IF($E14="SI",'Parametri Modello'!$B$7*'Info Strategia'!$B$6,0)),0),"")</f>
        <v>209</v>
      </c>
      <c r="G14" s="24">
        <f>IFERROR(ROUND(MAX(1,(IF($V14&lt;=INDEX('Parametri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131</v>
      </c>
      <c r="H14" s="24">
        <f>IFERROR(ROUND((IF($V14&lt;=INDEX('Parametri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243</v>
      </c>
      <c r="I14" s="23">
        <f>IFERROR(INDEX('Input Statistiche 2025_26'!$F$3:$F$665,MATCH($A14,'Input Statistiche 2025_26'!$A$3:$A$665,0)),"")</f>
        <v>35</v>
      </c>
      <c r="J14" s="23">
        <f t="shared" si="0"/>
        <v>3</v>
      </c>
      <c r="K14" s="23">
        <f>IFERROR(INDEX('Input Statistiche 2025_26'!$I$3:$I$665,MATCH($A14,'Input Statistiche 2025_26'!$A$3:$A$665,0)),"")</f>
        <v>10</v>
      </c>
      <c r="L14" s="23">
        <f>IFERROR(INDEX('Input Statistiche 2025_26'!$O$3:$O$665,MATCH($A14,'Input Statistiche 2025_26'!$A$3:$A$665,0)),"")</f>
        <v>6</v>
      </c>
      <c r="M14" s="25"/>
      <c r="N14" s="24">
        <f>IFERROR(INDEX('Input Giocatori 2026_27'!$E$3:$E$493,MATCH($A14,'Input Giocatori 2026_27'!$A$3:$A$493,0)),"")</f>
        <v>23</v>
      </c>
      <c r="O14" s="24">
        <f>IFERROR(INDEX('Input Giocatori 2026_27'!$G$3:$G$493,MATCH($A14,'Input Giocatori 2026_27'!$A$3:$A$493,0)),"")</f>
        <v>200</v>
      </c>
      <c r="P14" s="23" t="str">
        <f>IFERROR(IF($O14="","",IF((1-(COUNTIFS($B$2:$B$492,$B14,$O$2:$O$492,"&gt;"&amp;$O14)+1-1)/COUNTIF($B$2:$B$492,$B14))&gt;='Parametri Modello'!$B$63,"Top",IF((1-(COUNTIFS($B$2:$B$492,$B14,$O$2:$O$492,"&gt;"&amp;$O14)+1-1)/COUNTIF($B$2:$B$492,$B14))&gt;='Parametri Modello'!$B$64,"Buono",IF((1-(COUNTIFS($B$2:$B$492,$B14,$O$2:$O$492,"&gt;"&amp;$O14)+1-1)/COUNTIF($B$2:$B$492,$B14))&gt;='Parametri Modello'!$B$65,"Nella Media","Scommessa/Riserva")))),"")</f>
        <v>Top</v>
      </c>
      <c r="Q14" s="26">
        <f>IF(AND($D14="",$N14&gt;1),SUMPRODUCT(($D$2:$D14="")*($N$2:$N14&gt;1)),"")</f>
        <v>13</v>
      </c>
      <c r="R14" s="26" t="str">
        <f>IF($D14='Info Lega'!$B$28,COUNTIFS($D$2:$D14,'Info Lega'!$B$28),"")</f>
        <v/>
      </c>
      <c r="S14" s="27">
        <f>IFERROR(INDEX('Input Statistiche 2025_26'!$G$3:$G$665,MATCH($A14,'Input Statistiche 2025_26'!$A$3:$A$665,0)),"")</f>
        <v>6.39</v>
      </c>
      <c r="T14" s="27">
        <f>IFERROR(INDEX('Input Statistiche 2025_26'!$H$3:$H$665,MATCH($A14,'Input Statistiche 2025_26'!$A$3:$A$665,0)),"")</f>
        <v>7.3</v>
      </c>
      <c r="U14" s="23" t="str">
        <f>IF(OR('La Mia Rosa'!$O$12="",$D14&lt;&gt;""),"",IF($F14&lt;='La Mia Rosa'!$O$12*'Parametri Modello'!$B$24,"OK",IF($F14&lt;='La Mia Rosa'!$O$12*'Parametri Modello'!$B$25,"Attenzione","Rischio Alto")))</f>
        <v>Rischio Alto</v>
      </c>
      <c r="V14" s="23">
        <f t="shared" si="1"/>
        <v>8</v>
      </c>
      <c r="W14" s="18">
        <f>'Info Lega'!$B$4-SUMIFS($M$2:$M$492,$D$2:$D$492,'Info Lega'!$B$28)</f>
        <v>1000</v>
      </c>
      <c r="X14" s="18">
        <f>('Info Lega'!$B$5-COUNTIFS($D$2:$D$492,'Info Lega'!$B$28,$B$2:$B$492,"P"))+('Info Lega'!$B$6-COUNTIFS($D$2:$D$492,'Info Lega'!$B$28,$B$2:$B$492,"D"))+('Info Lega'!$B$7-COUNTIFS($D$2:$D$492,'Info Lega'!$B$28,$B$2:$B$492,"C"))+('Info Lega'!$B$8-COUNTIFS($D$2:$D$492,'Info Lega'!$B$28,$B$2:$B$492,"A"))</f>
        <v>25</v>
      </c>
      <c r="Y14" s="18">
        <f>X14*'Parametri Modello'!$B$30</f>
        <v>25</v>
      </c>
      <c r="Z14" s="18">
        <f t="shared" si="2"/>
        <v>975</v>
      </c>
      <c r="AA14" s="18">
        <f t="shared" si="3"/>
        <v>209</v>
      </c>
      <c r="AB14" s="18"/>
      <c r="AC14" s="18" t="str">
        <f>IF($AB14="","",IF($AB14&gt;$AA14,"PASS",IF($AB14&lt;=$AA14*(1-'Parametri Modello'!$B$68),"BID","ATTENZIONE")))</f>
        <v/>
      </c>
      <c r="AD14" s="28">
        <f t="shared" si="4"/>
        <v>69</v>
      </c>
      <c r="AE14" s="5" t="str">
        <f>IFERROR(IF($AF14="Titolare",INDEX('Stato Asta'!$G$9:$G$12,MATCH($B14,'Stato Asta'!$A$9:$A$12,0)),INDEX('Stato Asta'!$P$9:$P$12,MATCH($B14,'Stato Asta'!$A$9:$A$12,0))),"")</f>
        <v>🟡 Attesa rischiosa</v>
      </c>
      <c r="AF14" t="str">
        <f>IFERROR(IF($V14&lt;=INDEX('Parametri Modello'!$C$57:$C$60,MATCH($B14,'Parametri Modello'!$A$57:$A$60,0)),"Titolare","Riserva"),"")</f>
        <v>Titolare</v>
      </c>
      <c r="AG14" t="str">
        <f>IFERROR(INDEX('Pressione Competitiva'!$F$3:$F$6,MATCH($B14,'Pressione Competitiva'!$B$3:$B$6,0)),"")</f>
        <v>🔴 Molto Alta</v>
      </c>
      <c r="AH14" t="str">
        <f t="shared" si="5"/>
        <v/>
      </c>
      <c r="AI14" t="str">
        <f>IFERROR(IF($AH14="","",IF($AH14&gt;=$AA14*'Parametri Modello'!$B$68,"🟢 Opportunita'",IF($AH14&lt;=$AA14*'Parametri Modello'!$B$69,"🔴 Sovrapprezzo","🟡 Prezzo Corretto"))),"")</f>
        <v/>
      </c>
      <c r="AJ14" t="str">
        <f t="shared" si="6"/>
        <v/>
      </c>
      <c r="AK14">
        <f t="shared" si="7"/>
        <v>8</v>
      </c>
      <c r="AL14" t="str">
        <f t="shared" si="8"/>
        <v>A|Top|8</v>
      </c>
    </row>
    <row r="15" spans="1:38" ht="14.25" customHeight="1" x14ac:dyDescent="0.25">
      <c r="A15" s="18">
        <v>2423</v>
      </c>
      <c r="B15" s="18" t="s">
        <v>264</v>
      </c>
      <c r="C15" s="18" t="s">
        <v>269</v>
      </c>
      <c r="E15" s="23" t="str">
        <f>IF(COUNTIF('Info Strategia'!$D$2:$D$51,$C15)&gt;0,"SI","NO")</f>
        <v>NO</v>
      </c>
      <c r="F15" s="24">
        <f>IFERROR(ROUND(($G15+($H15-$G15)*'Info Strategia'!$B$6)*(1+IF($E15="SI",'Parametri Modello'!$B$7*'Info Strategia'!$B$6,0)),0),"")</f>
        <v>122</v>
      </c>
      <c r="G15" s="24">
        <f>IFERROR(ROUND(MAX(1,(IF($V15&lt;=INDEX('Parametri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83</v>
      </c>
      <c r="H15" s="24">
        <f>IFERROR(ROUND((IF($V15&lt;=INDEX('Parametri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139</v>
      </c>
      <c r="I15" s="23">
        <f>IFERROR(INDEX('Input Statistiche 2025_26'!$F$3:$F$665,MATCH($A15,'Input Statistiche 2025_26'!$A$3:$A$665,0)),"")</f>
        <v>27</v>
      </c>
      <c r="J15" s="23">
        <f t="shared" si="0"/>
        <v>11</v>
      </c>
      <c r="K15" s="23">
        <f>IFERROR(INDEX('Input Statistiche 2025_26'!$I$3:$I$665,MATCH($A15,'Input Statistiche 2025_26'!$A$3:$A$665,0)),"")</f>
        <v>8</v>
      </c>
      <c r="L15" s="23">
        <f>IFERROR(INDEX('Input Statistiche 2025_26'!$O$3:$O$665,MATCH($A15,'Input Statistiche 2025_26'!$A$3:$A$665,0)),"")</f>
        <v>4</v>
      </c>
      <c r="M15" s="25"/>
      <c r="N15" s="24">
        <f>IFERROR(INDEX('Input Giocatori 2026_27'!$E$3:$E$493,MATCH($A15,'Input Giocatori 2026_27'!$A$3:$A$493,0)),"")</f>
        <v>25</v>
      </c>
      <c r="O15" s="24">
        <f>IFERROR(INDEX('Input Giocatori 2026_27'!$G$3:$G$493,MATCH($A15,'Input Giocatori 2026_27'!$A$3:$A$493,0)),"")</f>
        <v>180</v>
      </c>
      <c r="P15" s="23" t="str">
        <f>IFERROR(IF($O15="","",IF((1-(COUNTIFS($B$2:$B$492,$B15,$O$2:$O$492,"&gt;"&amp;$O15)+1-1)/COUNTIF($B$2:$B$492,$B15))&gt;='Parametri Modello'!$B$63,"Top",IF((1-(COUNTIFS($B$2:$B$492,$B15,$O$2:$O$492,"&gt;"&amp;$O15)+1-1)/COUNTIF($B$2:$B$492,$B15))&gt;='Parametri Modello'!$B$64,"Buono",IF((1-(COUNTIFS($B$2:$B$492,$B15,$O$2:$O$492,"&gt;"&amp;$O15)+1-1)/COUNTIF($B$2:$B$492,$B15))&gt;='Parametri Modello'!$B$65,"Nella Media","Scommessa/Riserva")))),"")</f>
        <v>Top</v>
      </c>
      <c r="Q15" s="26">
        <f>IF(AND($D15="",$N15&gt;1),SUMPRODUCT(($D$2:$D15="")*($N$2:$N15&gt;1)),"")</f>
        <v>14</v>
      </c>
      <c r="R15" s="26" t="str">
        <f>IF($D15='Info Lega'!$B$28,COUNTIFS($D$2:$D15,'Info Lega'!$B$28),"")</f>
        <v/>
      </c>
      <c r="S15" s="27">
        <f>IFERROR(INDEX('Input Statistiche 2025_26'!$G$3:$G$665,MATCH($A15,'Input Statistiche 2025_26'!$A$3:$A$665,0)),"")</f>
        <v>6.15</v>
      </c>
      <c r="T15" s="27">
        <f>IFERROR(INDEX('Input Statistiche 2025_26'!$H$3:$H$665,MATCH($A15,'Input Statistiche 2025_26'!$A$3:$A$665,0)),"")</f>
        <v>7.07</v>
      </c>
      <c r="U15" s="23" t="str">
        <f>IF(OR('La Mia Rosa'!$O$12="",$D15&lt;&gt;""),"",IF($F15&lt;='La Mia Rosa'!$O$12*'Parametri Modello'!$B$24,"OK",IF($F15&lt;='La Mia Rosa'!$O$12*'Parametri Modello'!$B$25,"Attenzione","Rischio Alto")))</f>
        <v>Rischio Alto</v>
      </c>
      <c r="V15" s="23">
        <f t="shared" si="1"/>
        <v>5</v>
      </c>
      <c r="W15" s="18">
        <f>'Info Lega'!$B$4-SUMIFS($M$2:$M$492,$D$2:$D$492,'Info Lega'!$B$28)</f>
        <v>1000</v>
      </c>
      <c r="X15" s="18">
        <f>('Info Lega'!$B$5-COUNTIFS($D$2:$D$492,'Info Lega'!$B$28,$B$2:$B$492,"P"))+('Info Lega'!$B$6-COUNTIFS($D$2:$D$492,'Info Lega'!$B$28,$B$2:$B$492,"D"))+('Info Lega'!$B$7-COUNTIFS($D$2:$D$492,'Info Lega'!$B$28,$B$2:$B$492,"C"))+('Info Lega'!$B$8-COUNTIFS($D$2:$D$492,'Info Lega'!$B$28,$B$2:$B$492,"A"))</f>
        <v>25</v>
      </c>
      <c r="Y15" s="18">
        <f>X15*'Parametri Modello'!$B$30</f>
        <v>25</v>
      </c>
      <c r="Z15" s="18">
        <f t="shared" si="2"/>
        <v>975</v>
      </c>
      <c r="AA15" s="18">
        <f t="shared" si="3"/>
        <v>122</v>
      </c>
      <c r="AB15" s="18"/>
      <c r="AC15" s="18" t="str">
        <f>IF($AB15="","",IF($AB15&gt;$AA15,"PASS",IF($AB15&lt;=$AA15*(1-'Parametri Modello'!$B$68),"BID","ATTENZIONE")))</f>
        <v/>
      </c>
      <c r="AD15" s="28">
        <f t="shared" si="4"/>
        <v>59</v>
      </c>
      <c r="AE15" s="5" t="str">
        <f>IFERROR(IF($AF15="Titolare",INDEX('Stato Asta'!$G$9:$G$12,MATCH($B15,'Stato Asta'!$A$9:$A$12,0)),INDEX('Stato Asta'!$P$9:$P$12,MATCH($B15,'Stato Asta'!$A$9:$A$12,0))),"")</f>
        <v>🟡 Attesa rischiosa</v>
      </c>
      <c r="AF15" t="str">
        <f>IFERROR(IF($V15&lt;=INDEX('Parametri Modello'!$C$57:$C$60,MATCH($B15,'Parametri Modello'!$A$57:$A$60,0)),"Titolare","Riserva"),"")</f>
        <v>Titolare</v>
      </c>
      <c r="AG15" t="str">
        <f>IFERROR(INDEX('Pressione Competitiva'!$F$3:$F$6,MATCH($B15,'Pressione Competitiva'!$B$3:$B$6,0)),"")</f>
        <v>🔴 Molto Alta</v>
      </c>
      <c r="AH15" t="str">
        <f t="shared" si="5"/>
        <v/>
      </c>
      <c r="AI15" t="str">
        <f>IFERROR(IF($AH15="","",IF($AH15&gt;=$AA15*'Parametri Modello'!$B$68,"🟢 Opportunita'",IF($AH15&lt;=$AA15*'Parametri Modello'!$B$69,"🔴 Sovrapprezzo","🟡 Prezzo Corretto"))),"")</f>
        <v/>
      </c>
      <c r="AJ15" t="str">
        <f t="shared" si="6"/>
        <v/>
      </c>
      <c r="AK15">
        <f t="shared" si="7"/>
        <v>5</v>
      </c>
      <c r="AL15" t="str">
        <f t="shared" si="8"/>
        <v>C|Top|5</v>
      </c>
    </row>
    <row r="16" spans="1:38" ht="14.25" customHeight="1" x14ac:dyDescent="0.25">
      <c r="A16" s="18">
        <v>7017</v>
      </c>
      <c r="B16" s="18" t="s">
        <v>437</v>
      </c>
      <c r="C16" s="18" t="s">
        <v>446</v>
      </c>
      <c r="E16" s="23" t="str">
        <f>IF(COUNTIF('Info Strategia'!$D$2:$D$51,$C16)&gt;0,"SI","NO")</f>
        <v>NO</v>
      </c>
      <c r="F16" s="24">
        <f>IFERROR(ROUND(($G16+($H16-$G16)*'Info Strategia'!$B$6)*(1+IF($E16="SI",'Parametri Modello'!$B$7*'Info Strategia'!$B$6,0)),0),"")</f>
        <v>165</v>
      </c>
      <c r="G16" s="24">
        <f>IFERROR(ROUND(MAX(1,(IF($V16&lt;=INDEX('Parametri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103</v>
      </c>
      <c r="H16" s="24">
        <f>IFERROR(ROUND((IF($V16&lt;=INDEX('Parametri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191</v>
      </c>
      <c r="I16" s="23">
        <f>IFERROR(INDEX('Input Statistiche 2025_26'!$F$3:$F$665,MATCH($A16,'Input Statistiche 2025_26'!$A$3:$A$665,0)),"")</f>
        <v>36</v>
      </c>
      <c r="J16" s="23">
        <f t="shared" si="0"/>
        <v>2</v>
      </c>
      <c r="K16" s="23">
        <f>IFERROR(INDEX('Input Statistiche 2025_26'!$I$3:$I$665,MATCH($A16,'Input Statistiche 2025_26'!$A$3:$A$665,0)),"")</f>
        <v>14</v>
      </c>
      <c r="L16" s="23">
        <f>IFERROR(INDEX('Input Statistiche 2025_26'!$O$3:$O$665,MATCH($A16,'Input Statistiche 2025_26'!$A$3:$A$665,0)),"")</f>
        <v>1</v>
      </c>
      <c r="M16" s="25"/>
      <c r="N16" s="24">
        <f>IFERROR(INDEX('Input Giocatori 2026_27'!$E$3:$E$493,MATCH($A16,'Input Giocatori 2026_27'!$A$3:$A$493,0)),"")</f>
        <v>20</v>
      </c>
      <c r="O16" s="24">
        <f>IFERROR(INDEX('Input Giocatori 2026_27'!$G$3:$G$493,MATCH($A16,'Input Giocatori 2026_27'!$A$3:$A$493,0)),"")</f>
        <v>157</v>
      </c>
      <c r="P16" s="23" t="str">
        <f>IFERROR(IF($O16="","",IF((1-(COUNTIFS($B$2:$B$492,$B16,$O$2:$O$492,"&gt;"&amp;$O16)+1-1)/COUNTIF($B$2:$B$492,$B16))&gt;='Parametri Modello'!$B$63,"Top",IF((1-(COUNTIFS($B$2:$B$492,$B16,$O$2:$O$492,"&gt;"&amp;$O16)+1-1)/COUNTIF($B$2:$B$492,$B16))&gt;='Parametri Modello'!$B$64,"Buono",IF((1-(COUNTIFS($B$2:$B$492,$B16,$O$2:$O$492,"&gt;"&amp;$O16)+1-1)/COUNTIF($B$2:$B$492,$B16))&gt;='Parametri Modello'!$B$65,"Nella Media","Scommessa/Riserva")))),"")</f>
        <v>Top</v>
      </c>
      <c r="Q16" s="26">
        <f>IF(AND($D16="",$N16&gt;1),SUMPRODUCT(($D$2:$D16="")*($N$2:$N16&gt;1)),"")</f>
        <v>15</v>
      </c>
      <c r="R16" s="26" t="str">
        <f>IF($D16='Info Lega'!$B$28,COUNTIFS($D$2:$D16,'Info Lega'!$B$28),"")</f>
        <v/>
      </c>
      <c r="S16" s="27">
        <f>IFERROR(INDEX('Input Statistiche 2025_26'!$G$3:$G$665,MATCH($A16,'Input Statistiche 2025_26'!$A$3:$A$665,0)),"")</f>
        <v>6.18</v>
      </c>
      <c r="T16" s="27">
        <f>IFERROR(INDEX('Input Statistiche 2025_26'!$H$3:$H$665,MATCH($A16,'Input Statistiche 2025_26'!$A$3:$A$665,0)),"")</f>
        <v>7.38</v>
      </c>
      <c r="U16" s="23" t="str">
        <f>IF(OR('La Mia Rosa'!$O$12="",$D16&lt;&gt;""),"",IF($F16&lt;='La Mia Rosa'!$O$12*'Parametri Modello'!$B$24,"OK",IF($F16&lt;='La Mia Rosa'!$O$12*'Parametri Modello'!$B$25,"Attenzione","Rischio Alto")))</f>
        <v>Rischio Alto</v>
      </c>
      <c r="V16" s="23">
        <f t="shared" si="1"/>
        <v>9</v>
      </c>
      <c r="W16" s="18">
        <f>'Info Lega'!$B$4-SUMIFS($M$2:$M$492,$D$2:$D$492,'Info Lega'!$B$28)</f>
        <v>1000</v>
      </c>
      <c r="X16" s="18">
        <f>('Info Lega'!$B$5-COUNTIFS($D$2:$D$492,'Info Lega'!$B$28,$B$2:$B$492,"P"))+('Info Lega'!$B$6-COUNTIFS($D$2:$D$492,'Info Lega'!$B$28,$B$2:$B$492,"D"))+('Info Lega'!$B$7-COUNTIFS($D$2:$D$492,'Info Lega'!$B$28,$B$2:$B$492,"C"))+('Info Lega'!$B$8-COUNTIFS($D$2:$D$492,'Info Lega'!$B$28,$B$2:$B$492,"A"))</f>
        <v>25</v>
      </c>
      <c r="Y16" s="18">
        <f>X16*'Parametri Modello'!$B$30</f>
        <v>25</v>
      </c>
      <c r="Z16" s="18">
        <f t="shared" si="2"/>
        <v>975</v>
      </c>
      <c r="AA16" s="18">
        <f t="shared" si="3"/>
        <v>165</v>
      </c>
      <c r="AB16" s="18"/>
      <c r="AC16" s="18" t="str">
        <f>IF($AB16="","",IF($AB16&gt;$AA16,"PASS",IF($AB16&lt;=$AA16*(1-'Parametri Modello'!$B$68),"BID","ATTENZIONE")))</f>
        <v/>
      </c>
      <c r="AD16" s="28">
        <f t="shared" si="4"/>
        <v>70</v>
      </c>
      <c r="AE16" s="5" t="str">
        <f>IFERROR(IF($AF16="Titolare",INDEX('Stato Asta'!$G$9:$G$12,MATCH($B16,'Stato Asta'!$A$9:$A$12,0)),INDEX('Stato Asta'!$P$9:$P$12,MATCH($B16,'Stato Asta'!$A$9:$A$12,0))),"")</f>
        <v>🟡 Attesa rischiosa</v>
      </c>
      <c r="AF16" t="str">
        <f>IFERROR(IF($V16&lt;=INDEX('Parametri Modello'!$C$57:$C$60,MATCH($B16,'Parametri Modello'!$A$57:$A$60,0)),"Titolare","Riserva"),"")</f>
        <v>Titolare</v>
      </c>
      <c r="AG16" t="str">
        <f>IFERROR(INDEX('Pressione Competitiva'!$F$3:$F$6,MATCH($B16,'Pressione Competitiva'!$B$3:$B$6,0)),"")</f>
        <v>🔴 Molto Alta</v>
      </c>
      <c r="AH16" t="str">
        <f t="shared" si="5"/>
        <v/>
      </c>
      <c r="AI16" t="str">
        <f>IFERROR(IF($AH16="","",IF($AH16&gt;=$AA16*'Parametri Modello'!$B$68,"🟢 Opportunita'",IF($AH16&lt;=$AA16*'Parametri Modello'!$B$69,"🔴 Sovrapprezzo","🟡 Prezzo Corretto"))),"")</f>
        <v/>
      </c>
      <c r="AJ16" t="str">
        <f t="shared" si="6"/>
        <v/>
      </c>
      <c r="AK16">
        <f t="shared" si="7"/>
        <v>9</v>
      </c>
      <c r="AL16" t="str">
        <f t="shared" si="8"/>
        <v>A|Top|9</v>
      </c>
    </row>
    <row r="17" spans="1:38" ht="14.25" customHeight="1" x14ac:dyDescent="0.25">
      <c r="A17" s="18">
        <v>2379</v>
      </c>
      <c r="B17" s="18" t="s">
        <v>264</v>
      </c>
      <c r="C17" s="18" t="s">
        <v>270</v>
      </c>
      <c r="E17" s="23" t="str">
        <f>IF(COUNTIF('Info Strategia'!$D$2:$D$51,$C17)&gt;0,"SI","NO")</f>
        <v>NO</v>
      </c>
      <c r="F17" s="24">
        <f>IFERROR(ROUND(($G17+($H17-$G17)*'Info Strategia'!$B$6)*(1+IF($E17="SI",'Parametri Modello'!$B$7*'Info Strategia'!$B$6,0)),0),"")</f>
        <v>86</v>
      </c>
      <c r="G17" s="24">
        <f>IFERROR(ROUND(MAX(1,(IF($V17&lt;=INDEX('Parametri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59</v>
      </c>
      <c r="H17" s="24">
        <f>IFERROR(ROUND((IF($V17&lt;=INDEX('Parametri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98</v>
      </c>
      <c r="I17" s="23">
        <f>IFERROR(INDEX('Input Statistiche 2025_26'!$F$3:$F$665,MATCH($A17,'Input Statistiche 2025_26'!$A$3:$A$665,0)),"")</f>
        <v>29</v>
      </c>
      <c r="J17" s="23">
        <f t="shared" si="0"/>
        <v>9</v>
      </c>
      <c r="K17" s="23">
        <f>IFERROR(INDEX('Input Statistiche 2025_26'!$I$3:$I$665,MATCH($A17,'Input Statistiche 2025_26'!$A$3:$A$665,0)),"")</f>
        <v>6</v>
      </c>
      <c r="L17" s="23">
        <f>IFERROR(INDEX('Input Statistiche 2025_26'!$O$3:$O$665,MATCH($A17,'Input Statistiche 2025_26'!$A$3:$A$665,0)),"")</f>
        <v>4</v>
      </c>
      <c r="M17" s="25"/>
      <c r="N17" s="24">
        <f>IFERROR(INDEX('Input Giocatori 2026_27'!$E$3:$E$493,MATCH($A17,'Input Giocatori 2026_27'!$A$3:$A$493,0)),"")</f>
        <v>22</v>
      </c>
      <c r="O17" s="24">
        <f>IFERROR(INDEX('Input Giocatori 2026_27'!$G$3:$G$493,MATCH($A17,'Input Giocatori 2026_27'!$A$3:$A$493,0)),"")</f>
        <v>128</v>
      </c>
      <c r="P17" s="23" t="str">
        <f>IFERROR(IF($O17="","",IF((1-(COUNTIFS($B$2:$B$492,$B17,$O$2:$O$492,"&gt;"&amp;$O17)+1-1)/COUNTIF($B$2:$B$492,$B17))&gt;='Parametri Modello'!$B$63,"Top",IF((1-(COUNTIFS($B$2:$B$492,$B17,$O$2:$O$492,"&gt;"&amp;$O17)+1-1)/COUNTIF($B$2:$B$492,$B17))&gt;='Parametri Modello'!$B$64,"Buono",IF((1-(COUNTIFS($B$2:$B$492,$B17,$O$2:$O$492,"&gt;"&amp;$O17)+1-1)/COUNTIF($B$2:$B$492,$B17))&gt;='Parametri Modello'!$B$65,"Nella Media","Scommessa/Riserva")))),"")</f>
        <v>Top</v>
      </c>
      <c r="Q17" s="26">
        <f>IF(AND($D17="",$N17&gt;1),SUMPRODUCT(($D$2:$D17="")*($N$2:$N17&gt;1)),"")</f>
        <v>16</v>
      </c>
      <c r="R17" s="26" t="str">
        <f>IF($D17='Info Lega'!$B$28,COUNTIFS($D$2:$D17,'Info Lega'!$B$28),"")</f>
        <v/>
      </c>
      <c r="S17" s="27">
        <f>IFERROR(INDEX('Input Statistiche 2025_26'!$G$3:$G$665,MATCH($A17,'Input Statistiche 2025_26'!$A$3:$A$665,0)),"")</f>
        <v>6.33</v>
      </c>
      <c r="T17" s="27">
        <f>IFERROR(INDEX('Input Statistiche 2025_26'!$H$3:$H$665,MATCH($A17,'Input Statistiche 2025_26'!$A$3:$A$665,0)),"")</f>
        <v>6.98</v>
      </c>
      <c r="U17" s="23" t="str">
        <f>IF(OR('La Mia Rosa'!$O$12="",$D17&lt;&gt;""),"",IF($F17&lt;='La Mia Rosa'!$O$12*'Parametri Modello'!$B$24,"OK",IF($F17&lt;='La Mia Rosa'!$O$12*'Parametri Modello'!$B$25,"Attenzione","Rischio Alto")))</f>
        <v>Attenzione</v>
      </c>
      <c r="V17" s="23">
        <f t="shared" si="1"/>
        <v>6</v>
      </c>
      <c r="W17" s="18">
        <f>'Info Lega'!$B$4-SUMIFS($M$2:$M$492,$D$2:$D$492,'Info Lega'!$B$28)</f>
        <v>1000</v>
      </c>
      <c r="X17" s="18">
        <f>('Info Lega'!$B$5-COUNTIFS($D$2:$D$492,'Info Lega'!$B$28,$B$2:$B$492,"P"))+('Info Lega'!$B$6-COUNTIFS($D$2:$D$492,'Info Lega'!$B$28,$B$2:$B$492,"D"))+('Info Lega'!$B$7-COUNTIFS($D$2:$D$492,'Info Lega'!$B$28,$B$2:$B$492,"C"))+('Info Lega'!$B$8-COUNTIFS($D$2:$D$492,'Info Lega'!$B$28,$B$2:$B$492,"A"))</f>
        <v>25</v>
      </c>
      <c r="Y17" s="18">
        <f>X17*'Parametri Modello'!$B$30</f>
        <v>25</v>
      </c>
      <c r="Z17" s="18">
        <f t="shared" si="2"/>
        <v>975</v>
      </c>
      <c r="AA17" s="18">
        <f t="shared" si="3"/>
        <v>86</v>
      </c>
      <c r="AB17" s="18"/>
      <c r="AC17" s="18" t="str">
        <f>IF($AB17="","",IF($AB17&gt;$AA17,"PASS",IF($AB17&lt;=$AA17*(1-'Parametri Modello'!$B$68),"BID","ATTENZIONE")))</f>
        <v/>
      </c>
      <c r="AD17" s="28">
        <f t="shared" si="4"/>
        <v>62</v>
      </c>
      <c r="AE17" s="5" t="str">
        <f>IFERROR(IF($AF17="Titolare",INDEX('Stato Asta'!$G$9:$G$12,MATCH($B17,'Stato Asta'!$A$9:$A$12,0)),INDEX('Stato Asta'!$P$9:$P$12,MATCH($B17,'Stato Asta'!$A$9:$A$12,0))),"")</f>
        <v>🟡 Attesa rischiosa</v>
      </c>
      <c r="AF17" t="str">
        <f>IFERROR(IF($V17&lt;=INDEX('Parametri Modello'!$C$57:$C$60,MATCH($B17,'Parametri Modello'!$A$57:$A$60,0)),"Titolare","Riserva"),"")</f>
        <v>Titolare</v>
      </c>
      <c r="AG17" t="str">
        <f>IFERROR(INDEX('Pressione Competitiva'!$F$3:$F$6,MATCH($B17,'Pressione Competitiva'!$B$3:$B$6,0)),"")</f>
        <v>🔴 Molto Alta</v>
      </c>
      <c r="AH17" t="str">
        <f t="shared" si="5"/>
        <v/>
      </c>
      <c r="AI17" t="str">
        <f>IFERROR(IF($AH17="","",IF($AH17&gt;=$AA17*'Parametri Modello'!$B$68,"🟢 Opportunita'",IF($AH17&lt;=$AA17*'Parametri Modello'!$B$69,"🔴 Sovrapprezzo","🟡 Prezzo Corretto"))),"")</f>
        <v/>
      </c>
      <c r="AJ17" t="str">
        <f t="shared" si="6"/>
        <v/>
      </c>
      <c r="AK17">
        <f t="shared" si="7"/>
        <v>6</v>
      </c>
      <c r="AL17" t="str">
        <f t="shared" si="8"/>
        <v>C|Top|6</v>
      </c>
    </row>
    <row r="18" spans="1:38" ht="14.25" customHeight="1" x14ac:dyDescent="0.25">
      <c r="A18" s="18">
        <v>2137</v>
      </c>
      <c r="B18" s="18" t="s">
        <v>437</v>
      </c>
      <c r="C18" s="18" t="s">
        <v>447</v>
      </c>
      <c r="E18" s="23" t="str">
        <f>IF(COUNTIF('Info Strategia'!$D$2:$D$51,$C18)&gt;0,"SI","NO")</f>
        <v>NO</v>
      </c>
      <c r="F18" s="24">
        <f>IFERROR(ROUND(($G18+($H18-$G18)*'Info Strategia'!$B$6)*(1+IF($E18="SI",'Parametri Modello'!$B$7*'Info Strategia'!$B$6,0)),0),"")</f>
        <v>134</v>
      </c>
      <c r="G18" s="24">
        <f>IFERROR(ROUND(MAX(1,(IF($V18&lt;=INDEX('Parametri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84</v>
      </c>
      <c r="H18" s="24">
        <f>IFERROR(ROUND((IF($V18&lt;=INDEX('Parametri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156</v>
      </c>
      <c r="I18" s="23">
        <f>IFERROR(INDEX('Input Statistiche 2025_26'!$F$3:$F$665,MATCH($A18,'Input Statistiche 2025_26'!$A$3:$A$665,0)),"")</f>
        <v>22</v>
      </c>
      <c r="J18" s="23">
        <f t="shared" si="0"/>
        <v>16</v>
      </c>
      <c r="K18" s="23">
        <f>IFERROR(INDEX('Input Statistiche 2025_26'!$I$3:$I$665,MATCH($A18,'Input Statistiche 2025_26'!$A$3:$A$665,0)),"")</f>
        <v>10</v>
      </c>
      <c r="L18" s="23">
        <f>IFERROR(INDEX('Input Statistiche 2025_26'!$O$3:$O$665,MATCH($A18,'Input Statistiche 2025_26'!$A$3:$A$665,0)),"")</f>
        <v>1</v>
      </c>
      <c r="M18" s="25"/>
      <c r="N18" s="24">
        <f>IFERROR(INDEX('Input Giocatori 2026_27'!$E$3:$E$493,MATCH($A18,'Input Giocatori 2026_27'!$A$3:$A$493,0)),"")</f>
        <v>19</v>
      </c>
      <c r="O18" s="24">
        <f>IFERROR(INDEX('Input Giocatori 2026_27'!$G$3:$G$493,MATCH($A18,'Input Giocatori 2026_27'!$A$3:$A$493,0)),"")</f>
        <v>128</v>
      </c>
      <c r="P18" s="23" t="str">
        <f>IFERROR(IF($O18="","",IF((1-(COUNTIFS($B$2:$B$492,$B18,$O$2:$O$492,"&gt;"&amp;$O18)+1-1)/COUNTIF($B$2:$B$492,$B18))&gt;='Parametri Modello'!$B$63,"Top",IF((1-(COUNTIFS($B$2:$B$492,$B18,$O$2:$O$492,"&gt;"&amp;$O18)+1-1)/COUNTIF($B$2:$B$492,$B18))&gt;='Parametri Modello'!$B$64,"Buono",IF((1-(COUNTIFS($B$2:$B$492,$B18,$O$2:$O$492,"&gt;"&amp;$O18)+1-1)/COUNTIF($B$2:$B$492,$B18))&gt;='Parametri Modello'!$B$65,"Nella Media","Scommessa/Riserva")))),"")</f>
        <v>Buono</v>
      </c>
      <c r="Q18" s="26">
        <f>IF(AND($D18="",$N18&gt;1),SUMPRODUCT(($D$2:$D18="")*($N$2:$N18&gt;1)),"")</f>
        <v>17</v>
      </c>
      <c r="R18" s="26" t="str">
        <f>IF($D18='Info Lega'!$B$28,COUNTIFS($D$2:$D18,'Info Lega'!$B$28),"")</f>
        <v/>
      </c>
      <c r="S18" s="27">
        <f>IFERROR(INDEX('Input Statistiche 2025_26'!$G$3:$G$665,MATCH($A18,'Input Statistiche 2025_26'!$A$3:$A$665,0)),"")</f>
        <v>6.18</v>
      </c>
      <c r="T18" s="27">
        <f>IFERROR(INDEX('Input Statistiche 2025_26'!$H$3:$H$665,MATCH($A18,'Input Statistiche 2025_26'!$A$3:$A$665,0)),"")</f>
        <v>7.55</v>
      </c>
      <c r="U18" s="23" t="str">
        <f>IF(OR('La Mia Rosa'!$O$12="",$D18&lt;&gt;""),"",IF($F18&lt;='La Mia Rosa'!$O$12*'Parametri Modello'!$B$24,"OK",IF($F18&lt;='La Mia Rosa'!$O$12*'Parametri Modello'!$B$25,"Attenzione","Rischio Alto")))</f>
        <v>Rischio Alto</v>
      </c>
      <c r="V18" s="23">
        <f t="shared" si="1"/>
        <v>10</v>
      </c>
      <c r="W18" s="18">
        <f>'Info Lega'!$B$4-SUMIFS($M$2:$M$492,$D$2:$D$492,'Info Lega'!$B$28)</f>
        <v>1000</v>
      </c>
      <c r="X18" s="18">
        <f>('Info Lega'!$B$5-COUNTIFS($D$2:$D$492,'Info Lega'!$B$28,$B$2:$B$492,"P"))+('Info Lega'!$B$6-COUNTIFS($D$2:$D$492,'Info Lega'!$B$28,$B$2:$B$492,"D"))+('Info Lega'!$B$7-COUNTIFS($D$2:$D$492,'Info Lega'!$B$28,$B$2:$B$492,"C"))+('Info Lega'!$B$8-COUNTIFS($D$2:$D$492,'Info Lega'!$B$28,$B$2:$B$492,"A"))</f>
        <v>25</v>
      </c>
      <c r="Y18" s="18">
        <f>X18*'Parametri Modello'!$B$30</f>
        <v>25</v>
      </c>
      <c r="Z18" s="18">
        <f t="shared" si="2"/>
        <v>975</v>
      </c>
      <c r="AA18" s="18">
        <f t="shared" si="3"/>
        <v>134</v>
      </c>
      <c r="AB18" s="18"/>
      <c r="AC18" s="18" t="str">
        <f>IF($AB18="","",IF($AB18&gt;$AA18,"PASS",IF($AB18&lt;=$AA18*(1-'Parametri Modello'!$B$68),"BID","ATTENZIONE")))</f>
        <v/>
      </c>
      <c r="AD18" s="28">
        <f t="shared" si="4"/>
        <v>52</v>
      </c>
      <c r="AE18" s="5" t="str">
        <f>IFERROR(IF($AF18="Titolare",INDEX('Stato Asta'!$G$9:$G$12,MATCH($B18,'Stato Asta'!$A$9:$A$12,0)),INDEX('Stato Asta'!$P$9:$P$12,MATCH($B18,'Stato Asta'!$A$9:$A$12,0))),"")</f>
        <v>🟡 Attesa rischiosa</v>
      </c>
      <c r="AF18" t="str">
        <f>IFERROR(IF($V18&lt;=INDEX('Parametri Modello'!$C$57:$C$60,MATCH($B18,'Parametri Modello'!$A$57:$A$60,0)),"Titolare","Riserva"),"")</f>
        <v>Titolare</v>
      </c>
      <c r="AG18" t="str">
        <f>IFERROR(INDEX('Pressione Competitiva'!$F$3:$F$6,MATCH($B18,'Pressione Competitiva'!$B$3:$B$6,0)),"")</f>
        <v>🔴 Molto Alta</v>
      </c>
      <c r="AH18" t="str">
        <f t="shared" si="5"/>
        <v/>
      </c>
      <c r="AI18" t="str">
        <f>IFERROR(IF($AH18="","",IF($AH18&gt;=$AA18*'Parametri Modello'!$B$68,"🟢 Opportunita'",IF($AH18&lt;=$AA18*'Parametri Modello'!$B$69,"🔴 Sovrapprezzo","🟡 Prezzo Corretto"))),"")</f>
        <v/>
      </c>
      <c r="AJ18" t="str">
        <f t="shared" si="6"/>
        <v/>
      </c>
      <c r="AK18">
        <f t="shared" si="7"/>
        <v>1</v>
      </c>
      <c r="AL18" t="str">
        <f t="shared" si="8"/>
        <v>A|Buono|1</v>
      </c>
    </row>
    <row r="19" spans="1:38" ht="14.25" customHeight="1" x14ac:dyDescent="0.25">
      <c r="A19" s="18">
        <v>5637</v>
      </c>
      <c r="B19" s="18" t="s">
        <v>437</v>
      </c>
      <c r="C19" s="18" t="s">
        <v>448</v>
      </c>
      <c r="E19" s="23" t="str">
        <f>IF(COUNTIF('Info Strategia'!$D$2:$D$51,$C19)&gt;0,"SI","NO")</f>
        <v>NO</v>
      </c>
      <c r="F19" s="24">
        <f>IFERROR(ROUND(($G19+($H19-$G19)*'Info Strategia'!$B$6)*(1+IF($E19="SI",'Parametri Modello'!$B$7*'Info Strategia'!$B$6,0)),0),"")</f>
        <v>127</v>
      </c>
      <c r="G19" s="24">
        <f>IFERROR(ROUND(MAX(1,(IF($V19&lt;=INDEX('Parametri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79</v>
      </c>
      <c r="H19" s="24">
        <f>IFERROR(ROUND((IF($V19&lt;=INDEX('Parametri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147</v>
      </c>
      <c r="I19" s="23">
        <f>IFERROR(INDEX('Input Statistiche 2025_26'!$F$3:$F$665,MATCH($A19,'Input Statistiche 2025_26'!$A$3:$A$665,0)),"")</f>
        <v>30</v>
      </c>
      <c r="J19" s="23">
        <f t="shared" si="0"/>
        <v>8</v>
      </c>
      <c r="K19" s="23">
        <f>IFERROR(INDEX('Input Statistiche 2025_26'!$I$3:$I$665,MATCH($A19,'Input Statistiche 2025_26'!$A$3:$A$665,0)),"")</f>
        <v>10</v>
      </c>
      <c r="L19" s="23">
        <f>IFERROR(INDEX('Input Statistiche 2025_26'!$O$3:$O$665,MATCH($A19,'Input Statistiche 2025_26'!$A$3:$A$665,0)),"")</f>
        <v>4</v>
      </c>
      <c r="M19" s="25"/>
      <c r="N19" s="24">
        <f>IFERROR(INDEX('Input Giocatori 2026_27'!$E$3:$E$493,MATCH($A19,'Input Giocatori 2026_27'!$A$3:$A$493,0)),"")</f>
        <v>19</v>
      </c>
      <c r="O19" s="24">
        <f>IFERROR(INDEX('Input Giocatori 2026_27'!$G$3:$G$493,MATCH($A19,'Input Giocatori 2026_27'!$A$3:$A$493,0)),"")</f>
        <v>121</v>
      </c>
      <c r="P19" s="23" t="str">
        <f>IFERROR(IF($O19="","",IF((1-(COUNTIFS($B$2:$B$492,$B19,$O$2:$O$492,"&gt;"&amp;$O19)+1-1)/COUNTIF($B$2:$B$492,$B19))&gt;='Parametri Modello'!$B$63,"Top",IF((1-(COUNTIFS($B$2:$B$492,$B19,$O$2:$O$492,"&gt;"&amp;$O19)+1-1)/COUNTIF($B$2:$B$492,$B19))&gt;='Parametri Modello'!$B$64,"Buono",IF((1-(COUNTIFS($B$2:$B$492,$B19,$O$2:$O$492,"&gt;"&amp;$O19)+1-1)/COUNTIF($B$2:$B$492,$B19))&gt;='Parametri Modello'!$B$65,"Nella Media","Scommessa/Riserva")))),"")</f>
        <v>Buono</v>
      </c>
      <c r="Q19" s="26">
        <f>IF(AND($D19="",$N19&gt;1),SUMPRODUCT(($D$2:$D19="")*($N$2:$N19&gt;1)),"")</f>
        <v>18</v>
      </c>
      <c r="R19" s="26" t="str">
        <f>IF($D19='Info Lega'!$B$28,COUNTIFS($D$2:$D19,'Info Lega'!$B$28),"")</f>
        <v/>
      </c>
      <c r="S19" s="27">
        <f>IFERROR(INDEX('Input Statistiche 2025_26'!$G$3:$G$665,MATCH($A19,'Input Statistiche 2025_26'!$A$3:$A$665,0)),"")</f>
        <v>6.32</v>
      </c>
      <c r="T19" s="27">
        <f>IFERROR(INDEX('Input Statistiche 2025_26'!$H$3:$H$665,MATCH($A19,'Input Statistiche 2025_26'!$A$3:$A$665,0)),"")</f>
        <v>7.37</v>
      </c>
      <c r="U19" s="23" t="str">
        <f>IF(OR('La Mia Rosa'!$O$12="",$D19&lt;&gt;""),"",IF($F19&lt;='La Mia Rosa'!$O$12*'Parametri Modello'!$B$24,"OK",IF($F19&lt;='La Mia Rosa'!$O$12*'Parametri Modello'!$B$25,"Attenzione","Rischio Alto")))</f>
        <v>Rischio Alto</v>
      </c>
      <c r="V19" s="23">
        <f t="shared" si="1"/>
        <v>11</v>
      </c>
      <c r="W19" s="18">
        <f>'Info Lega'!$B$4-SUMIFS($M$2:$M$492,$D$2:$D$492,'Info Lega'!$B$28)</f>
        <v>1000</v>
      </c>
      <c r="X19" s="18">
        <f>('Info Lega'!$B$5-COUNTIFS($D$2:$D$492,'Info Lega'!$B$28,$B$2:$B$492,"P"))+('Info Lega'!$B$6-COUNTIFS($D$2:$D$492,'Info Lega'!$B$28,$B$2:$B$492,"D"))+('Info Lega'!$B$7-COUNTIFS($D$2:$D$492,'Info Lega'!$B$28,$B$2:$B$492,"C"))+('Info Lega'!$B$8-COUNTIFS($D$2:$D$492,'Info Lega'!$B$28,$B$2:$B$492,"A"))</f>
        <v>25</v>
      </c>
      <c r="Y19" s="18">
        <f>X19*'Parametri Modello'!$B$30</f>
        <v>25</v>
      </c>
      <c r="Z19" s="18">
        <f t="shared" si="2"/>
        <v>975</v>
      </c>
      <c r="AA19" s="18">
        <f t="shared" si="3"/>
        <v>127</v>
      </c>
      <c r="AB19" s="18"/>
      <c r="AC19" s="18" t="str">
        <f>IF($AB19="","",IF($AB19&gt;$AA19,"PASS",IF($AB19&lt;=$AA19*(1-'Parametri Modello'!$B$68),"BID","ATTENZIONE")))</f>
        <v/>
      </c>
      <c r="AD19" s="28">
        <f t="shared" si="4"/>
        <v>63</v>
      </c>
      <c r="AE19" s="5" t="str">
        <f>IFERROR(IF($AF19="Titolare",INDEX('Stato Asta'!$G$9:$G$12,MATCH($B19,'Stato Asta'!$A$9:$A$12,0)),INDEX('Stato Asta'!$P$9:$P$12,MATCH($B19,'Stato Asta'!$A$9:$A$12,0))),"")</f>
        <v>🟡 Attesa rischiosa</v>
      </c>
      <c r="AF19" t="str">
        <f>IFERROR(IF($V19&lt;=INDEX('Parametri Modello'!$C$57:$C$60,MATCH($B19,'Parametri Modello'!$A$57:$A$60,0)),"Titolare","Riserva"),"")</f>
        <v>Titolare</v>
      </c>
      <c r="AG19" t="str">
        <f>IFERROR(INDEX('Pressione Competitiva'!$F$3:$F$6,MATCH($B19,'Pressione Competitiva'!$B$3:$B$6,0)),"")</f>
        <v>🔴 Molto Alta</v>
      </c>
      <c r="AH19" t="str">
        <f t="shared" si="5"/>
        <v/>
      </c>
      <c r="AI19" t="str">
        <f>IFERROR(IF($AH19="","",IF($AH19&gt;=$AA19*'Parametri Modello'!$B$68,"🟢 Opportunita'",IF($AH19&lt;=$AA19*'Parametri Modello'!$B$69,"🔴 Sovrapprezzo","🟡 Prezzo Corretto"))),"")</f>
        <v/>
      </c>
      <c r="AJ19" t="str">
        <f t="shared" si="6"/>
        <v/>
      </c>
      <c r="AK19">
        <f t="shared" si="7"/>
        <v>2</v>
      </c>
      <c r="AL19" t="str">
        <f t="shared" si="8"/>
        <v>A|Buono|2</v>
      </c>
    </row>
    <row r="20" spans="1:38" ht="14.25" customHeight="1" x14ac:dyDescent="0.25">
      <c r="A20" s="18">
        <v>4510</v>
      </c>
      <c r="B20" s="18" t="s">
        <v>437</v>
      </c>
      <c r="C20" s="18" t="s">
        <v>450</v>
      </c>
      <c r="E20" s="23" t="str">
        <f>IF(COUNTIF('Info Strategia'!$D$2:$D$51,$C20)&gt;0,"SI","NO")</f>
        <v>NO</v>
      </c>
      <c r="F20" s="24">
        <f>IFERROR(ROUND(($G20+($H20-$G20)*'Info Strategia'!$B$6)*(1+IF($E20="SI",'Parametri Modello'!$B$7*'Info Strategia'!$B$6,0)),0),"")</f>
        <v>124</v>
      </c>
      <c r="G20" s="24">
        <f>IFERROR(ROUND(MAX(1,(IF($V20&lt;=INDEX('Parametri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77</v>
      </c>
      <c r="H20" s="24">
        <f>IFERROR(ROUND((IF($V20&lt;=INDEX('Parametri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144</v>
      </c>
      <c r="I20" s="23">
        <f>IFERROR(INDEX('Input Statistiche 2025_26'!$F$3:$F$665,MATCH($A20,'Input Statistiche 2025_26'!$A$3:$A$665,0)),"")</f>
        <v>28</v>
      </c>
      <c r="J20" s="23">
        <f t="shared" si="0"/>
        <v>10</v>
      </c>
      <c r="K20" s="23">
        <f>IFERROR(INDEX('Input Statistiche 2025_26'!$I$3:$I$665,MATCH($A20,'Input Statistiche 2025_26'!$A$3:$A$665,0)),"")</f>
        <v>9</v>
      </c>
      <c r="L20" s="23">
        <f>IFERROR(INDEX('Input Statistiche 2025_26'!$O$3:$O$665,MATCH($A20,'Input Statistiche 2025_26'!$A$3:$A$665,0)),"")</f>
        <v>3</v>
      </c>
      <c r="M20" s="25"/>
      <c r="N20" s="24">
        <f>IFERROR(INDEX('Input Giocatori 2026_27'!$E$3:$E$493,MATCH($A20,'Input Giocatori 2026_27'!$A$3:$A$493,0)),"")</f>
        <v>18</v>
      </c>
      <c r="O20" s="24">
        <f>IFERROR(INDEX('Input Giocatori 2026_27'!$G$3:$G$493,MATCH($A20,'Input Giocatori 2026_27'!$A$3:$A$493,0)),"")</f>
        <v>120</v>
      </c>
      <c r="P20" s="23" t="str">
        <f>IFERROR(IF($O20="","",IF((1-(COUNTIFS($B$2:$B$492,$B20,$O$2:$O$492,"&gt;"&amp;$O20)+1-1)/COUNTIF($B$2:$B$492,$B20))&gt;='Parametri Modello'!$B$63,"Top",IF((1-(COUNTIFS($B$2:$B$492,$B20,$O$2:$O$492,"&gt;"&amp;$O20)+1-1)/COUNTIF($B$2:$B$492,$B20))&gt;='Parametri Modello'!$B$64,"Buono",IF((1-(COUNTIFS($B$2:$B$492,$B20,$O$2:$O$492,"&gt;"&amp;$O20)+1-1)/COUNTIF($B$2:$B$492,$B20))&gt;='Parametri Modello'!$B$65,"Nella Media","Scommessa/Riserva")))),"")</f>
        <v>Buono</v>
      </c>
      <c r="Q20" s="26">
        <f>IF(AND($D20="",$N20&gt;1),SUMPRODUCT(($D$2:$D20="")*($N$2:$N20&gt;1)),"")</f>
        <v>19</v>
      </c>
      <c r="R20" s="26" t="str">
        <f>IF($D20='Info Lega'!$B$28,COUNTIFS($D$2:$D20,'Info Lega'!$B$28),"")</f>
        <v/>
      </c>
      <c r="S20" s="27">
        <f>IFERROR(INDEX('Input Statistiche 2025_26'!$G$3:$G$665,MATCH($A20,'Input Statistiche 2025_26'!$A$3:$A$665,0)),"")</f>
        <v>5.88</v>
      </c>
      <c r="T20" s="27">
        <f>IFERROR(INDEX('Input Statistiche 2025_26'!$H$3:$H$665,MATCH($A20,'Input Statistiche 2025_26'!$A$3:$A$665,0)),"")</f>
        <v>6.86</v>
      </c>
      <c r="U20" s="23" t="str">
        <f>IF(OR('La Mia Rosa'!$O$12="",$D20&lt;&gt;""),"",IF($F20&lt;='La Mia Rosa'!$O$12*'Parametri Modello'!$B$24,"OK",IF($F20&lt;='La Mia Rosa'!$O$12*'Parametri Modello'!$B$25,"Attenzione","Rischio Alto")))</f>
        <v>Rischio Alto</v>
      </c>
      <c r="V20" s="23">
        <f t="shared" si="1"/>
        <v>12</v>
      </c>
      <c r="W20" s="18">
        <f>'Info Lega'!$B$4-SUMIFS($M$2:$M$492,$D$2:$D$492,'Info Lega'!$B$28)</f>
        <v>1000</v>
      </c>
      <c r="X20" s="18">
        <f>('Info Lega'!$B$5-COUNTIFS($D$2:$D$492,'Info Lega'!$B$28,$B$2:$B$492,"P"))+('Info Lega'!$B$6-COUNTIFS($D$2:$D$492,'Info Lega'!$B$28,$B$2:$B$492,"D"))+('Info Lega'!$B$7-COUNTIFS($D$2:$D$492,'Info Lega'!$B$28,$B$2:$B$492,"C"))+('Info Lega'!$B$8-COUNTIFS($D$2:$D$492,'Info Lega'!$B$28,$B$2:$B$492,"A"))</f>
        <v>25</v>
      </c>
      <c r="Y20" s="18">
        <f>X20*'Parametri Modello'!$B$30</f>
        <v>25</v>
      </c>
      <c r="Z20" s="18">
        <f t="shared" si="2"/>
        <v>975</v>
      </c>
      <c r="AA20" s="18">
        <f t="shared" si="3"/>
        <v>124</v>
      </c>
      <c r="AB20" s="18"/>
      <c r="AC20" s="18" t="str">
        <f>IF($AB20="","",IF($AB20&gt;$AA20,"PASS",IF($AB20&lt;=$AA20*(1-'Parametri Modello'!$B$68),"BID","ATTENZIONE")))</f>
        <v/>
      </c>
      <c r="AD20" s="28">
        <f t="shared" si="4"/>
        <v>61</v>
      </c>
      <c r="AE20" s="5" t="str">
        <f>IFERROR(IF($AF20="Titolare",INDEX('Stato Asta'!$G$9:$G$12,MATCH($B20,'Stato Asta'!$A$9:$A$12,0)),INDEX('Stato Asta'!$P$9:$P$12,MATCH($B20,'Stato Asta'!$A$9:$A$12,0))),"")</f>
        <v>🟡 Attesa rischiosa</v>
      </c>
      <c r="AF20" t="str">
        <f>IFERROR(IF($V20&lt;=INDEX('Parametri Modello'!$C$57:$C$60,MATCH($B20,'Parametri Modello'!$A$57:$A$60,0)),"Titolare","Riserva"),"")</f>
        <v>Titolare</v>
      </c>
      <c r="AG20" t="str">
        <f>IFERROR(INDEX('Pressione Competitiva'!$F$3:$F$6,MATCH($B20,'Pressione Competitiva'!$B$3:$B$6,0)),"")</f>
        <v>🔴 Molto Alta</v>
      </c>
      <c r="AH20" t="str">
        <f t="shared" si="5"/>
        <v/>
      </c>
      <c r="AI20" t="str">
        <f>IFERROR(IF($AH20="","",IF($AH20&gt;=$AA20*'Parametri Modello'!$B$68,"🟢 Opportunita'",IF($AH20&lt;=$AA20*'Parametri Modello'!$B$69,"🔴 Sovrapprezzo","🟡 Prezzo Corretto"))),"")</f>
        <v/>
      </c>
      <c r="AJ20" t="str">
        <f t="shared" si="6"/>
        <v/>
      </c>
      <c r="AK20">
        <f t="shared" si="7"/>
        <v>3</v>
      </c>
      <c r="AL20" t="str">
        <f t="shared" si="8"/>
        <v>A|Buono|3</v>
      </c>
    </row>
    <row r="21" spans="1:38" ht="14.25" customHeight="1" x14ac:dyDescent="0.25">
      <c r="A21" s="18">
        <v>531</v>
      </c>
      <c r="B21" s="18" t="s">
        <v>437</v>
      </c>
      <c r="C21" s="18" t="s">
        <v>451</v>
      </c>
      <c r="E21" s="23" t="str">
        <f>IF(COUNTIF('Info Strategia'!$D$2:$D$51,$C21)&gt;0,"SI","NO")</f>
        <v>NO</v>
      </c>
      <c r="F21" s="24">
        <f>IFERROR(ROUND(($G21+($H21-$G21)*'Info Strategia'!$B$6)*(1+IF($E21="SI",'Parametri Modello'!$B$7*'Info Strategia'!$B$6,0)),0),"")</f>
        <v>120</v>
      </c>
      <c r="G21" s="24">
        <f>IFERROR(ROUND(MAX(1,(IF($V21&lt;=INDEX('Parametri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75</v>
      </c>
      <c r="H21" s="24">
        <f>IFERROR(ROUND((IF($V21&lt;=INDEX('Parametri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139</v>
      </c>
      <c r="I21" s="23">
        <f>IFERROR(INDEX('Input Statistiche 2025_26'!$F$3:$F$665,MATCH($A21,'Input Statistiche 2025_26'!$A$3:$A$665,0)),"")</f>
        <v>26</v>
      </c>
      <c r="J21" s="23">
        <f t="shared" si="0"/>
        <v>12</v>
      </c>
      <c r="K21" s="23">
        <f>IFERROR(INDEX('Input Statistiche 2025_26'!$I$3:$I$665,MATCH($A21,'Input Statistiche 2025_26'!$A$3:$A$665,0)),"")</f>
        <v>8</v>
      </c>
      <c r="L21" s="23">
        <f>IFERROR(INDEX('Input Statistiche 2025_26'!$O$3:$O$665,MATCH($A21,'Input Statistiche 2025_26'!$A$3:$A$665,0)),"")</f>
        <v>4</v>
      </c>
      <c r="M21" s="25"/>
      <c r="N21" s="24">
        <f>IFERROR(INDEX('Input Giocatori 2026_27'!$E$3:$E$493,MATCH($A21,'Input Giocatori 2026_27'!$A$3:$A$493,0)),"")</f>
        <v>18</v>
      </c>
      <c r="O21" s="24">
        <f>IFERROR(INDEX('Input Giocatori 2026_27'!$G$3:$G$493,MATCH($A21,'Input Giocatori 2026_27'!$A$3:$A$493,0)),"")</f>
        <v>115</v>
      </c>
      <c r="P21" s="23" t="str">
        <f>IFERROR(IF($O21="","",IF((1-(COUNTIFS($B$2:$B$492,$B21,$O$2:$O$492,"&gt;"&amp;$O21)+1-1)/COUNTIF($B$2:$B$492,$B21))&gt;='Parametri Modello'!$B$63,"Top",IF((1-(COUNTIFS($B$2:$B$492,$B21,$O$2:$O$492,"&gt;"&amp;$O21)+1-1)/COUNTIF($B$2:$B$492,$B21))&gt;='Parametri Modello'!$B$64,"Buono",IF((1-(COUNTIFS($B$2:$B$492,$B21,$O$2:$O$492,"&gt;"&amp;$O21)+1-1)/COUNTIF($B$2:$B$492,$B21))&gt;='Parametri Modello'!$B$65,"Nella Media","Scommessa/Riserva")))),"")</f>
        <v>Buono</v>
      </c>
      <c r="Q21" s="26">
        <f>IF(AND($D21="",$N21&gt;1),SUMPRODUCT(($D$2:$D21="")*($N$2:$N21&gt;1)),"")</f>
        <v>20</v>
      </c>
      <c r="R21" s="26" t="str">
        <f>IF($D21='Info Lega'!$B$28,COUNTIFS($D$2:$D21,'Info Lega'!$B$28),"")</f>
        <v/>
      </c>
      <c r="S21" s="27">
        <f>IFERROR(INDEX('Input Statistiche 2025_26'!$G$3:$G$665,MATCH($A21,'Input Statistiche 2025_26'!$A$3:$A$665,0)),"")</f>
        <v>6.31</v>
      </c>
      <c r="T21" s="27">
        <f>IFERROR(INDEX('Input Statistiche 2025_26'!$H$3:$H$665,MATCH($A21,'Input Statistiche 2025_26'!$A$3:$A$665,0)),"")</f>
        <v>7.19</v>
      </c>
      <c r="U21" s="23" t="str">
        <f>IF(OR('La Mia Rosa'!$O$12="",$D21&lt;&gt;""),"",IF($F21&lt;='La Mia Rosa'!$O$12*'Parametri Modello'!$B$24,"OK",IF($F21&lt;='La Mia Rosa'!$O$12*'Parametri Modello'!$B$25,"Attenzione","Rischio Alto")))</f>
        <v>Attenzione</v>
      </c>
      <c r="V21" s="23">
        <f t="shared" si="1"/>
        <v>13</v>
      </c>
      <c r="W21" s="18">
        <f>'Info Lega'!$B$4-SUMIFS($M$2:$M$492,$D$2:$D$492,'Info Lega'!$B$28)</f>
        <v>1000</v>
      </c>
      <c r="X21" s="18">
        <f>('Info Lega'!$B$5-COUNTIFS($D$2:$D$492,'Info Lega'!$B$28,$B$2:$B$492,"P"))+('Info Lega'!$B$6-COUNTIFS($D$2:$D$492,'Info Lega'!$B$28,$B$2:$B$492,"D"))+('Info Lega'!$B$7-COUNTIFS($D$2:$D$492,'Info Lega'!$B$28,$B$2:$B$492,"C"))+('Info Lega'!$B$8-COUNTIFS($D$2:$D$492,'Info Lega'!$B$28,$B$2:$B$492,"A"))</f>
        <v>25</v>
      </c>
      <c r="Y21" s="18">
        <f>X21*'Parametri Modello'!$B$30</f>
        <v>25</v>
      </c>
      <c r="Z21" s="18">
        <f t="shared" si="2"/>
        <v>975</v>
      </c>
      <c r="AA21" s="18">
        <f t="shared" si="3"/>
        <v>120</v>
      </c>
      <c r="AB21" s="18"/>
      <c r="AC21" s="18" t="str">
        <f>IF($AB21="","",IF($AB21&gt;$AA21,"PASS",IF($AB21&lt;=$AA21*(1-'Parametri Modello'!$B$68),"BID","ATTENZIONE")))</f>
        <v/>
      </c>
      <c r="AD21" s="28">
        <f t="shared" si="4"/>
        <v>58</v>
      </c>
      <c r="AE21" s="5" t="str">
        <f>IFERROR(IF($AF21="Titolare",INDEX('Stato Asta'!$G$9:$G$12,MATCH($B21,'Stato Asta'!$A$9:$A$12,0)),INDEX('Stato Asta'!$P$9:$P$12,MATCH($B21,'Stato Asta'!$A$9:$A$12,0))),"")</f>
        <v>🟡 Attesa rischiosa</v>
      </c>
      <c r="AF21" t="str">
        <f>IFERROR(IF($V21&lt;=INDEX('Parametri Modello'!$C$57:$C$60,MATCH($B21,'Parametri Modello'!$A$57:$A$60,0)),"Titolare","Riserva"),"")</f>
        <v>Titolare</v>
      </c>
      <c r="AG21" t="str">
        <f>IFERROR(INDEX('Pressione Competitiva'!$F$3:$F$6,MATCH($B21,'Pressione Competitiva'!$B$3:$B$6,0)),"")</f>
        <v>🔴 Molto Alta</v>
      </c>
      <c r="AH21" t="str">
        <f t="shared" si="5"/>
        <v/>
      </c>
      <c r="AI21" t="str">
        <f>IFERROR(IF($AH21="","",IF($AH21&gt;=$AA21*'Parametri Modello'!$B$68,"🟢 Opportunita'",IF($AH21&lt;=$AA21*'Parametri Modello'!$B$69,"🔴 Sovrapprezzo","🟡 Prezzo Corretto"))),"")</f>
        <v/>
      </c>
      <c r="AJ21" t="str">
        <f t="shared" si="6"/>
        <v/>
      </c>
      <c r="AK21">
        <f t="shared" si="7"/>
        <v>4</v>
      </c>
      <c r="AL21" t="str">
        <f t="shared" si="8"/>
        <v>A|Buono|4</v>
      </c>
    </row>
    <row r="22" spans="1:38" ht="14.25" customHeight="1" x14ac:dyDescent="0.25">
      <c r="A22" s="18">
        <v>5995</v>
      </c>
      <c r="B22" s="18" t="s">
        <v>437</v>
      </c>
      <c r="C22" s="18" t="s">
        <v>452</v>
      </c>
      <c r="E22" s="23" t="str">
        <f>IF(COUNTIF('Info Strategia'!$D$2:$D$51,$C22)&gt;0,"SI","NO")</f>
        <v>NO</v>
      </c>
      <c r="F22" s="24">
        <f>IFERROR(ROUND(($G22+($H22-$G22)*'Info Strategia'!$B$6)*(1+IF($E22="SI",'Parametri Modello'!$B$7*'Info Strategia'!$B$6,0)),0),"")</f>
        <v>109</v>
      </c>
      <c r="G22" s="24">
        <f>IFERROR(ROUND(MAX(1,(IF($V22&lt;=INDEX('Parametri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68</v>
      </c>
      <c r="H22" s="24">
        <f>IFERROR(ROUND((IF($V22&lt;=INDEX('Parametri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126</v>
      </c>
      <c r="I22" s="23">
        <f>IFERROR(INDEX('Input Statistiche 2025_26'!$F$3:$F$665,MATCH($A22,'Input Statistiche 2025_26'!$A$3:$A$665,0)),"")</f>
        <v>31</v>
      </c>
      <c r="J22" s="23">
        <f t="shared" si="0"/>
        <v>7</v>
      </c>
      <c r="K22" s="23">
        <f>IFERROR(INDEX('Input Statistiche 2025_26'!$I$3:$I$665,MATCH($A22,'Input Statistiche 2025_26'!$A$3:$A$665,0)),"")</f>
        <v>3</v>
      </c>
      <c r="L22" s="23">
        <f>IFERROR(INDEX('Input Statistiche 2025_26'!$O$3:$O$665,MATCH($A22,'Input Statistiche 2025_26'!$A$3:$A$665,0)),"")</f>
        <v>5</v>
      </c>
      <c r="M22" s="25"/>
      <c r="N22" s="24">
        <f>IFERROR(INDEX('Input Giocatori 2026_27'!$E$3:$E$493,MATCH($A22,'Input Giocatori 2026_27'!$A$3:$A$493,0)),"")</f>
        <v>17</v>
      </c>
      <c r="O22" s="24">
        <f>IFERROR(INDEX('Input Giocatori 2026_27'!$G$3:$G$493,MATCH($A22,'Input Giocatori 2026_27'!$A$3:$A$493,0)),"")</f>
        <v>106</v>
      </c>
      <c r="P22" s="23" t="str">
        <f>IFERROR(IF($O22="","",IF((1-(COUNTIFS($B$2:$B$492,$B22,$O$2:$O$492,"&gt;"&amp;$O22)+1-1)/COUNTIF($B$2:$B$492,$B22))&gt;='Parametri Modello'!$B$63,"Top",IF((1-(COUNTIFS($B$2:$B$492,$B22,$O$2:$O$492,"&gt;"&amp;$O22)+1-1)/COUNTIF($B$2:$B$492,$B22))&gt;='Parametri Modello'!$B$64,"Buono",IF((1-(COUNTIFS($B$2:$B$492,$B22,$O$2:$O$492,"&gt;"&amp;$O22)+1-1)/COUNTIF($B$2:$B$492,$B22))&gt;='Parametri Modello'!$B$65,"Nella Media","Scommessa/Riserva")))),"")</f>
        <v>Buono</v>
      </c>
      <c r="Q22" s="26">
        <f>IF(AND($D22="",$N22&gt;1),SUMPRODUCT(($D$2:$D22="")*($N$2:$N22&gt;1)),"")</f>
        <v>21</v>
      </c>
      <c r="R22" s="26" t="str">
        <f>IF($D22='Info Lega'!$B$28,COUNTIFS($D$2:$D22,'Info Lega'!$B$28),"")</f>
        <v/>
      </c>
      <c r="S22" s="27">
        <f>IFERROR(INDEX('Input Statistiche 2025_26'!$G$3:$G$665,MATCH($A22,'Input Statistiche 2025_26'!$A$3:$A$665,0)),"")</f>
        <v>6.21</v>
      </c>
      <c r="T22" s="27">
        <f>IFERROR(INDEX('Input Statistiche 2025_26'!$H$3:$H$665,MATCH($A22,'Input Statistiche 2025_26'!$A$3:$A$665,0)),"")</f>
        <v>6.6</v>
      </c>
      <c r="U22" s="23" t="str">
        <f>IF(OR('La Mia Rosa'!$O$12="",$D22&lt;&gt;""),"",IF($F22&lt;='La Mia Rosa'!$O$12*'Parametri Modello'!$B$24,"OK",IF($F22&lt;='La Mia Rosa'!$O$12*'Parametri Modello'!$B$25,"Attenzione","Rischio Alto")))</f>
        <v>Attenzione</v>
      </c>
      <c r="V22" s="23">
        <f t="shared" si="1"/>
        <v>14</v>
      </c>
      <c r="W22" s="18">
        <f>'Info Lega'!$B$4-SUMIFS($M$2:$M$492,$D$2:$D$492,'Info Lega'!$B$28)</f>
        <v>1000</v>
      </c>
      <c r="X22" s="18">
        <f>('Info Lega'!$B$5-COUNTIFS($D$2:$D$492,'Info Lega'!$B$28,$B$2:$B$492,"P"))+('Info Lega'!$B$6-COUNTIFS($D$2:$D$492,'Info Lega'!$B$28,$B$2:$B$492,"D"))+('Info Lega'!$B$7-COUNTIFS($D$2:$D$492,'Info Lega'!$B$28,$B$2:$B$492,"C"))+('Info Lega'!$B$8-COUNTIFS($D$2:$D$492,'Info Lega'!$B$28,$B$2:$B$492,"A"))</f>
        <v>25</v>
      </c>
      <c r="Y22" s="18">
        <f>X22*'Parametri Modello'!$B$30</f>
        <v>25</v>
      </c>
      <c r="Z22" s="18">
        <f t="shared" si="2"/>
        <v>975</v>
      </c>
      <c r="AA22" s="18">
        <f t="shared" si="3"/>
        <v>109</v>
      </c>
      <c r="AB22" s="18"/>
      <c r="AC22" s="18" t="str">
        <f>IF($AB22="","",IF($AB22&gt;$AA22,"PASS",IF($AB22&lt;=$AA22*(1-'Parametri Modello'!$B$68),"BID","ATTENZIONE")))</f>
        <v/>
      </c>
      <c r="AD22" s="28">
        <f t="shared" si="4"/>
        <v>64</v>
      </c>
      <c r="AE22" s="5" t="str">
        <f>IFERROR(IF($AF22="Titolare",INDEX('Stato Asta'!$G$9:$G$12,MATCH($B22,'Stato Asta'!$A$9:$A$12,0)),INDEX('Stato Asta'!$P$9:$P$12,MATCH($B22,'Stato Asta'!$A$9:$A$12,0))),"")</f>
        <v>🟡 Attesa rischiosa</v>
      </c>
      <c r="AF22" t="str">
        <f>IFERROR(IF($V22&lt;=INDEX('Parametri Modello'!$C$57:$C$60,MATCH($B22,'Parametri Modello'!$A$57:$A$60,0)),"Titolare","Riserva"),"")</f>
        <v>Titolare</v>
      </c>
      <c r="AG22" t="str">
        <f>IFERROR(INDEX('Pressione Competitiva'!$F$3:$F$6,MATCH($B22,'Pressione Competitiva'!$B$3:$B$6,0)),"")</f>
        <v>🔴 Molto Alta</v>
      </c>
      <c r="AH22" t="str">
        <f t="shared" si="5"/>
        <v/>
      </c>
      <c r="AI22" t="str">
        <f>IFERROR(IF($AH22="","",IF($AH22&gt;=$AA22*'Parametri Modello'!$B$68,"🟢 Opportunita'",IF($AH22&lt;=$AA22*'Parametri Modello'!$B$69,"🔴 Sovrapprezzo","🟡 Prezzo Corretto"))),"")</f>
        <v/>
      </c>
      <c r="AJ22" t="str">
        <f t="shared" si="6"/>
        <v/>
      </c>
      <c r="AK22">
        <f t="shared" si="7"/>
        <v>5</v>
      </c>
      <c r="AL22" t="str">
        <f t="shared" si="8"/>
        <v>A|Buono|5</v>
      </c>
    </row>
    <row r="23" spans="1:38" ht="14.25" customHeight="1" x14ac:dyDescent="0.25">
      <c r="A23" s="18">
        <v>7126</v>
      </c>
      <c r="B23" s="18" t="s">
        <v>264</v>
      </c>
      <c r="C23" s="18" t="s">
        <v>271</v>
      </c>
      <c r="E23" s="23" t="str">
        <f>IF(COUNTIF('Info Strategia'!$D$2:$D$51,$C23)&gt;0,"SI","NO")</f>
        <v>NO</v>
      </c>
      <c r="F23" s="24">
        <f>IFERROR(ROUND(($G23+($H23-$G23)*'Info Strategia'!$B$6)*(1+IF($E23="SI",'Parametri Modello'!$B$7*'Info Strategia'!$B$6,0)),0),"")</f>
        <v>69</v>
      </c>
      <c r="G23" s="24">
        <f>IFERROR(ROUND(MAX(1,(IF($V23&lt;=INDEX('Parametri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47</v>
      </c>
      <c r="H23" s="24">
        <f>IFERROR(ROUND((IF($V23&lt;=INDEX('Parametri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79</v>
      </c>
      <c r="I23" s="23">
        <f>IFERROR(INDEX('Input Statistiche 2025_26'!$F$3:$F$665,MATCH($A23,'Input Statistiche 2025_26'!$A$3:$A$665,0)),"")</f>
        <v>25</v>
      </c>
      <c r="J23" s="23">
        <f t="shared" si="0"/>
        <v>13</v>
      </c>
      <c r="K23" s="23">
        <f>IFERROR(INDEX('Input Statistiche 2025_26'!$I$3:$I$665,MATCH($A23,'Input Statistiche 2025_26'!$A$3:$A$665,0)),"")</f>
        <v>6</v>
      </c>
      <c r="L23" s="23">
        <f>IFERROR(INDEX('Input Statistiche 2025_26'!$O$3:$O$665,MATCH($A23,'Input Statistiche 2025_26'!$A$3:$A$665,0)),"")</f>
        <v>3</v>
      </c>
      <c r="M23" s="25"/>
      <c r="N23" s="24">
        <f>IFERROR(INDEX('Input Giocatori 2026_27'!$E$3:$E$493,MATCH($A23,'Input Giocatori 2026_27'!$A$3:$A$493,0)),"")</f>
        <v>19</v>
      </c>
      <c r="O23" s="24">
        <f>IFERROR(INDEX('Input Giocatori 2026_27'!$G$3:$G$493,MATCH($A23,'Input Giocatori 2026_27'!$A$3:$A$493,0)),"")</f>
        <v>102</v>
      </c>
      <c r="P23" s="23" t="str">
        <f>IFERROR(IF($O23="","",IF((1-(COUNTIFS($B$2:$B$492,$B23,$O$2:$O$492,"&gt;"&amp;$O23)+1-1)/COUNTIF($B$2:$B$492,$B23))&gt;='Parametri Modello'!$B$63,"Top",IF((1-(COUNTIFS($B$2:$B$492,$B23,$O$2:$O$492,"&gt;"&amp;$O23)+1-1)/COUNTIF($B$2:$B$492,$B23))&gt;='Parametri Modello'!$B$64,"Buono",IF((1-(COUNTIFS($B$2:$B$492,$B23,$O$2:$O$492,"&gt;"&amp;$O23)+1-1)/COUNTIF($B$2:$B$492,$B23))&gt;='Parametri Modello'!$B$65,"Nella Media","Scommessa/Riserva")))),"")</f>
        <v>Top</v>
      </c>
      <c r="Q23" s="26">
        <f>IF(AND($D23="",$N23&gt;1),SUMPRODUCT(($D$2:$D23="")*($N$2:$N23&gt;1)),"")</f>
        <v>22</v>
      </c>
      <c r="R23" s="26" t="str">
        <f>IF($D23='Info Lega'!$B$28,COUNTIFS($D$2:$D23,'Info Lega'!$B$28),"")</f>
        <v/>
      </c>
      <c r="S23" s="27">
        <f>IFERROR(INDEX('Input Statistiche 2025_26'!$G$3:$G$665,MATCH($A23,'Input Statistiche 2025_26'!$A$3:$A$665,0)),"")</f>
        <v>6.3</v>
      </c>
      <c r="T23" s="27">
        <f>IFERROR(INDEX('Input Statistiche 2025_26'!$H$3:$H$665,MATCH($A23,'Input Statistiche 2025_26'!$A$3:$A$665,0)),"")</f>
        <v>7.14</v>
      </c>
      <c r="U23" s="23" t="str">
        <f>IF(OR('La Mia Rosa'!$O$12="",$D23&lt;&gt;""),"",IF($F23&lt;='La Mia Rosa'!$O$12*'Parametri Modello'!$B$24,"OK",IF($F23&lt;='La Mia Rosa'!$O$12*'Parametri Modello'!$B$25,"Attenzione","Rischio Alto")))</f>
        <v>Attenzione</v>
      </c>
      <c r="V23" s="23">
        <f t="shared" si="1"/>
        <v>7</v>
      </c>
      <c r="W23" s="18">
        <f>'Info Lega'!$B$4-SUMIFS($M$2:$M$492,$D$2:$D$492,'Info Lega'!$B$28)</f>
        <v>1000</v>
      </c>
      <c r="X23" s="18">
        <f>('Info Lega'!$B$5-COUNTIFS($D$2:$D$492,'Info Lega'!$B$28,$B$2:$B$492,"P"))+('Info Lega'!$B$6-COUNTIFS($D$2:$D$492,'Info Lega'!$B$28,$B$2:$B$492,"D"))+('Info Lega'!$B$7-COUNTIFS($D$2:$D$492,'Info Lega'!$B$28,$B$2:$B$492,"C"))+('Info Lega'!$B$8-COUNTIFS($D$2:$D$492,'Info Lega'!$B$28,$B$2:$B$492,"A"))</f>
        <v>25</v>
      </c>
      <c r="Y23" s="18">
        <f>X23*'Parametri Modello'!$B$30</f>
        <v>25</v>
      </c>
      <c r="Z23" s="18">
        <f t="shared" si="2"/>
        <v>975</v>
      </c>
      <c r="AA23" s="18">
        <f t="shared" si="3"/>
        <v>69</v>
      </c>
      <c r="AB23" s="18"/>
      <c r="AC23" s="18" t="str">
        <f>IF($AB23="","",IF($AB23&gt;$AA23,"PASS",IF($AB23&lt;=$AA23*(1-'Parametri Modello'!$B$68),"BID","ATTENZIONE")))</f>
        <v/>
      </c>
      <c r="AD23" s="28">
        <f t="shared" si="4"/>
        <v>57</v>
      </c>
      <c r="AE23" s="5" t="str">
        <f>IFERROR(IF($AF23="Titolare",INDEX('Stato Asta'!$G$9:$G$12,MATCH($B23,'Stato Asta'!$A$9:$A$12,0)),INDEX('Stato Asta'!$P$9:$P$12,MATCH($B23,'Stato Asta'!$A$9:$A$12,0))),"")</f>
        <v>🟡 Attesa rischiosa</v>
      </c>
      <c r="AF23" t="str">
        <f>IFERROR(IF($V23&lt;=INDEX('Parametri Modello'!$C$57:$C$60,MATCH($B23,'Parametri Modello'!$A$57:$A$60,0)),"Titolare","Riserva"),"")</f>
        <v>Titolare</v>
      </c>
      <c r="AG23" t="str">
        <f>IFERROR(INDEX('Pressione Competitiva'!$F$3:$F$6,MATCH($B23,'Pressione Competitiva'!$B$3:$B$6,0)),"")</f>
        <v>🔴 Molto Alta</v>
      </c>
      <c r="AH23" t="str">
        <f t="shared" si="5"/>
        <v/>
      </c>
      <c r="AI23" t="str">
        <f>IFERROR(IF($AH23="","",IF($AH23&gt;=$AA23*'Parametri Modello'!$B$68,"🟢 Opportunita'",IF($AH23&lt;=$AA23*'Parametri Modello'!$B$69,"🔴 Sovrapprezzo","🟡 Prezzo Corretto"))),"")</f>
        <v/>
      </c>
      <c r="AJ23" t="str">
        <f t="shared" si="6"/>
        <v/>
      </c>
      <c r="AK23">
        <f t="shared" si="7"/>
        <v>7</v>
      </c>
      <c r="AL23" t="str">
        <f t="shared" si="8"/>
        <v>C|Top|7</v>
      </c>
    </row>
    <row r="24" spans="1:38" ht="14.25" customHeight="1" x14ac:dyDescent="0.25">
      <c r="A24" s="18">
        <v>2517</v>
      </c>
      <c r="B24" s="18" t="s">
        <v>264</v>
      </c>
      <c r="C24" s="18" t="s">
        <v>278</v>
      </c>
      <c r="E24" s="23" t="str">
        <f>IF(COUNTIF('Info Strategia'!$D$2:$D$51,$C24)&gt;0,"SI","NO")</f>
        <v>NO</v>
      </c>
      <c r="F24" s="24">
        <f>IFERROR(ROUND(($G24+($H24-$G24)*'Info Strategia'!$B$6)*(1+IF($E24="SI",'Parametri Modello'!$B$7*'Info Strategia'!$B$6,0)),0),"")</f>
        <v>68</v>
      </c>
      <c r="G24" s="24">
        <f>IFERROR(ROUND(MAX(1,(IF($V24&lt;=INDEX('Parametri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46</v>
      </c>
      <c r="H24" s="24">
        <f>IFERROR(ROUND((IF($V24&lt;=INDEX('Parametri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77</v>
      </c>
      <c r="I24" s="23">
        <f>IFERROR(INDEX('Input Statistiche 2025_26'!$F$3:$F$665,MATCH($A24,'Input Statistiche 2025_26'!$A$3:$A$665,0)),"")</f>
        <v>17</v>
      </c>
      <c r="J24" s="23">
        <f t="shared" si="0"/>
        <v>21</v>
      </c>
      <c r="K24" s="23">
        <f>IFERROR(INDEX('Input Statistiche 2025_26'!$I$3:$I$665,MATCH($A24,'Input Statistiche 2025_26'!$A$3:$A$665,0)),"")</f>
        <v>5</v>
      </c>
      <c r="L24" s="23">
        <f>IFERROR(INDEX('Input Statistiche 2025_26'!$O$3:$O$665,MATCH($A24,'Input Statistiche 2025_26'!$A$3:$A$665,0)),"")</f>
        <v>2</v>
      </c>
      <c r="M24" s="25"/>
      <c r="N24" s="24">
        <f>IFERROR(INDEX('Input Giocatori 2026_27'!$E$3:$E$493,MATCH($A24,'Input Giocatori 2026_27'!$A$3:$A$493,0)),"")</f>
        <v>15</v>
      </c>
      <c r="O24" s="24">
        <f>IFERROR(INDEX('Input Giocatori 2026_27'!$G$3:$G$493,MATCH($A24,'Input Giocatori 2026_27'!$A$3:$A$493,0)),"")</f>
        <v>100</v>
      </c>
      <c r="P24" s="23" t="str">
        <f>IFERROR(IF($O24="","",IF((1-(COUNTIFS($B$2:$B$492,$B24,$O$2:$O$492,"&gt;"&amp;$O24)+1-1)/COUNTIF($B$2:$B$492,$B24))&gt;='Parametri Modello'!$B$63,"Top",IF((1-(COUNTIFS($B$2:$B$492,$B24,$O$2:$O$492,"&gt;"&amp;$O24)+1-1)/COUNTIF($B$2:$B$492,$B24))&gt;='Parametri Modello'!$B$64,"Buono",IF((1-(COUNTIFS($B$2:$B$492,$B24,$O$2:$O$492,"&gt;"&amp;$O24)+1-1)/COUNTIF($B$2:$B$492,$B24))&gt;='Parametri Modello'!$B$65,"Nella Media","Scommessa/Riserva")))),"")</f>
        <v>Top</v>
      </c>
      <c r="Q24" s="26">
        <f>IF(AND($D24="",$N24&gt;1),SUMPRODUCT(($D$2:$D24="")*($N$2:$N24&gt;1)),"")</f>
        <v>23</v>
      </c>
      <c r="R24" s="26" t="str">
        <f>IF($D24='Info Lega'!$B$28,COUNTIFS($D$2:$D24,'Info Lega'!$B$28),"")</f>
        <v/>
      </c>
      <c r="S24" s="27">
        <f>IFERROR(INDEX('Input Statistiche 2025_26'!$G$3:$G$665,MATCH($A24,'Input Statistiche 2025_26'!$A$3:$A$665,0)),"")</f>
        <v>6.26</v>
      </c>
      <c r="T24" s="27">
        <f>IFERROR(INDEX('Input Statistiche 2025_26'!$H$3:$H$665,MATCH($A24,'Input Statistiche 2025_26'!$A$3:$A$665,0)),"")</f>
        <v>7.24</v>
      </c>
      <c r="U24" s="23" t="str">
        <f>IF(OR('La Mia Rosa'!$O$12="",$D24&lt;&gt;""),"",IF($F24&lt;='La Mia Rosa'!$O$12*'Parametri Modello'!$B$24,"OK",IF($F24&lt;='La Mia Rosa'!$O$12*'Parametri Modello'!$B$25,"Attenzione","Rischio Alto")))</f>
        <v>Attenzione</v>
      </c>
      <c r="V24" s="23">
        <f t="shared" si="1"/>
        <v>8</v>
      </c>
      <c r="W24" s="18">
        <f>'Info Lega'!$B$4-SUMIFS($M$2:$M$492,$D$2:$D$492,'Info Lega'!$B$28)</f>
        <v>1000</v>
      </c>
      <c r="X24" s="18">
        <f>('Info Lega'!$B$5-COUNTIFS($D$2:$D$492,'Info Lega'!$B$28,$B$2:$B$492,"P"))+('Info Lega'!$B$6-COUNTIFS($D$2:$D$492,'Info Lega'!$B$28,$B$2:$B$492,"D"))+('Info Lega'!$B$7-COUNTIFS($D$2:$D$492,'Info Lega'!$B$28,$B$2:$B$492,"C"))+('Info Lega'!$B$8-COUNTIFS($D$2:$D$492,'Info Lega'!$B$28,$B$2:$B$492,"A"))</f>
        <v>25</v>
      </c>
      <c r="Y24" s="18">
        <f>X24*'Parametri Modello'!$B$30</f>
        <v>25</v>
      </c>
      <c r="Z24" s="18">
        <f t="shared" si="2"/>
        <v>975</v>
      </c>
      <c r="AA24" s="18">
        <f t="shared" si="3"/>
        <v>68</v>
      </c>
      <c r="AB24" s="18"/>
      <c r="AC24" s="18" t="str">
        <f>IF($AB24="","",IF($AB24&gt;$AA24,"PASS",IF($AB24&lt;=$AA24*(1-'Parametri Modello'!$B$68),"BID","ATTENZIONE")))</f>
        <v/>
      </c>
      <c r="AD24" s="28">
        <f t="shared" si="4"/>
        <v>43</v>
      </c>
      <c r="AE24" s="5" t="str">
        <f>IFERROR(IF($AF24="Titolare",INDEX('Stato Asta'!$G$9:$G$12,MATCH($B24,'Stato Asta'!$A$9:$A$12,0)),INDEX('Stato Asta'!$P$9:$P$12,MATCH($B24,'Stato Asta'!$A$9:$A$12,0))),"")</f>
        <v>🟡 Attesa rischiosa</v>
      </c>
      <c r="AF24" t="str">
        <f>IFERROR(IF($V24&lt;=INDEX('Parametri Modello'!$C$57:$C$60,MATCH($B24,'Parametri Modello'!$A$57:$A$60,0)),"Titolare","Riserva"),"")</f>
        <v>Titolare</v>
      </c>
      <c r="AG24" t="str">
        <f>IFERROR(INDEX('Pressione Competitiva'!$F$3:$F$6,MATCH($B24,'Pressione Competitiva'!$B$3:$B$6,0)),"")</f>
        <v>🔴 Molto Alta</v>
      </c>
      <c r="AH24" t="str">
        <f t="shared" si="5"/>
        <v/>
      </c>
      <c r="AI24" t="str">
        <f>IFERROR(IF($AH24="","",IF($AH24&gt;=$AA24*'Parametri Modello'!$B$68,"🟢 Opportunita'",IF($AH24&lt;=$AA24*'Parametri Modello'!$B$69,"🔴 Sovrapprezzo","🟡 Prezzo Corretto"))),"")</f>
        <v/>
      </c>
      <c r="AJ24" t="str">
        <f t="shared" si="6"/>
        <v/>
      </c>
      <c r="AK24">
        <f t="shared" si="7"/>
        <v>8</v>
      </c>
      <c r="AL24" t="str">
        <f t="shared" si="8"/>
        <v>C|Top|8</v>
      </c>
    </row>
    <row r="25" spans="1:38" ht="14.25" customHeight="1" x14ac:dyDescent="0.25">
      <c r="A25" s="18">
        <v>6435</v>
      </c>
      <c r="B25" s="18" t="s">
        <v>437</v>
      </c>
      <c r="C25" s="18" t="s">
        <v>449</v>
      </c>
      <c r="E25" s="23" t="str">
        <f>IF(COUNTIF('Info Strategia'!$D$2:$D$51,$C25)&gt;0,"SI","NO")</f>
        <v>NO</v>
      </c>
      <c r="F25" s="24">
        <f>IFERROR(ROUND(($G25+($H25-$G25)*'Info Strategia'!$B$6)*(1+IF($E25="SI",'Parametri Modello'!$B$7*'Info Strategia'!$B$6,0)),0),"")</f>
        <v>104</v>
      </c>
      <c r="G25" s="24">
        <f>IFERROR(ROUND(MAX(1,(IF($V25&lt;=INDEX('Parametri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65</v>
      </c>
      <c r="H25" s="24">
        <f>IFERROR(ROUND((IF($V25&lt;=INDEX('Parametri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121</v>
      </c>
      <c r="I25" s="23">
        <f>IFERROR(INDEX('Input Statistiche 2025_26'!$F$3:$F$665,MATCH($A25,'Input Statistiche 2025_26'!$A$3:$A$665,0)),"")</f>
        <v>32</v>
      </c>
      <c r="J25" s="23">
        <f t="shared" si="0"/>
        <v>6</v>
      </c>
      <c r="K25" s="23">
        <f>IFERROR(INDEX('Input Statistiche 2025_26'!$I$3:$I$665,MATCH($A25,'Input Statistiche 2025_26'!$A$3:$A$665,0)),"")</f>
        <v>10</v>
      </c>
      <c r="L25" s="23">
        <f>IFERROR(INDEX('Input Statistiche 2025_26'!$O$3:$O$665,MATCH($A25,'Input Statistiche 2025_26'!$A$3:$A$665,0)),"")</f>
        <v>5</v>
      </c>
      <c r="M25" s="25"/>
      <c r="N25" s="24">
        <f>IFERROR(INDEX('Input Giocatori 2026_27'!$E$3:$E$493,MATCH($A25,'Input Giocatori 2026_27'!$A$3:$A$493,0)),"")</f>
        <v>18</v>
      </c>
      <c r="O25" s="24">
        <f>IFERROR(INDEX('Input Giocatori 2026_27'!$G$3:$G$493,MATCH($A25,'Input Giocatori 2026_27'!$A$3:$A$493,0)),"")</f>
        <v>100</v>
      </c>
      <c r="P25" s="23" t="str">
        <f>IFERROR(IF($O25="","",IF((1-(COUNTIFS($B$2:$B$492,$B25,$O$2:$O$492,"&gt;"&amp;$O25)+1-1)/COUNTIF($B$2:$B$492,$B25))&gt;='Parametri Modello'!$B$63,"Top",IF((1-(COUNTIFS($B$2:$B$492,$B25,$O$2:$O$492,"&gt;"&amp;$O25)+1-1)/COUNTIF($B$2:$B$492,$B25))&gt;='Parametri Modello'!$B$64,"Buono",IF((1-(COUNTIFS($B$2:$B$492,$B25,$O$2:$O$492,"&gt;"&amp;$O25)+1-1)/COUNTIF($B$2:$B$492,$B25))&gt;='Parametri Modello'!$B$65,"Nella Media","Scommessa/Riserva")))),"")</f>
        <v>Buono</v>
      </c>
      <c r="Q25" s="26">
        <f>IF(AND($D25="",$N25&gt;1),SUMPRODUCT(($D$2:$D25="")*($N$2:$N25&gt;1)),"")</f>
        <v>24</v>
      </c>
      <c r="R25" s="26" t="str">
        <f>IF($D25='Info Lega'!$B$28,COUNTIFS($D$2:$D25,'Info Lega'!$B$28),"")</f>
        <v/>
      </c>
      <c r="S25" s="27">
        <f>IFERROR(INDEX('Input Statistiche 2025_26'!$G$3:$G$665,MATCH($A25,'Input Statistiche 2025_26'!$A$3:$A$665,0)),"")</f>
        <v>6.16</v>
      </c>
      <c r="T25" s="27">
        <f>IFERROR(INDEX('Input Statistiche 2025_26'!$H$3:$H$665,MATCH($A25,'Input Statistiche 2025_26'!$A$3:$A$665,0)),"")</f>
        <v>7.19</v>
      </c>
      <c r="U25" s="23" t="str">
        <f>IF(OR('La Mia Rosa'!$O$12="",$D25&lt;&gt;""),"",IF($F25&lt;='La Mia Rosa'!$O$12*'Parametri Modello'!$B$24,"OK",IF($F25&lt;='La Mia Rosa'!$O$12*'Parametri Modello'!$B$25,"Attenzione","Rischio Alto")))</f>
        <v>Attenzione</v>
      </c>
      <c r="V25" s="23">
        <f t="shared" si="1"/>
        <v>15</v>
      </c>
      <c r="W25" s="18">
        <f>'Info Lega'!$B$4-SUMIFS($M$2:$M$492,$D$2:$D$492,'Info Lega'!$B$28)</f>
        <v>1000</v>
      </c>
      <c r="X25" s="18">
        <f>('Info Lega'!$B$5-COUNTIFS($D$2:$D$492,'Info Lega'!$B$28,$B$2:$B$492,"P"))+('Info Lega'!$B$6-COUNTIFS($D$2:$D$492,'Info Lega'!$B$28,$B$2:$B$492,"D"))+('Info Lega'!$B$7-COUNTIFS($D$2:$D$492,'Info Lega'!$B$28,$B$2:$B$492,"C"))+('Info Lega'!$B$8-COUNTIFS($D$2:$D$492,'Info Lega'!$B$28,$B$2:$B$492,"A"))</f>
        <v>25</v>
      </c>
      <c r="Y25" s="18">
        <f>X25*'Parametri Modello'!$B$30</f>
        <v>25</v>
      </c>
      <c r="Z25" s="18">
        <f t="shared" si="2"/>
        <v>975</v>
      </c>
      <c r="AA25" s="18">
        <f t="shared" si="3"/>
        <v>104</v>
      </c>
      <c r="AB25" s="18"/>
      <c r="AC25" s="18" t="str">
        <f>IF($AB25="","",IF($AB25&gt;$AA25,"PASS",IF($AB25&lt;=$AA25*(1-'Parametri Modello'!$B$68),"BID","ATTENZIONE")))</f>
        <v/>
      </c>
      <c r="AD25" s="28">
        <f t="shared" si="4"/>
        <v>66</v>
      </c>
      <c r="AE25" s="5" t="str">
        <f>IFERROR(IF($AF25="Titolare",INDEX('Stato Asta'!$G$9:$G$12,MATCH($B25,'Stato Asta'!$A$9:$A$12,0)),INDEX('Stato Asta'!$P$9:$P$12,MATCH($B25,'Stato Asta'!$A$9:$A$12,0))),"")</f>
        <v>🟡 Attesa rischiosa</v>
      </c>
      <c r="AF25" t="str">
        <f>IFERROR(IF($V25&lt;=INDEX('Parametri Modello'!$C$57:$C$60,MATCH($B25,'Parametri Modello'!$A$57:$A$60,0)),"Titolare","Riserva"),"")</f>
        <v>Titolare</v>
      </c>
      <c r="AG25" t="str">
        <f>IFERROR(INDEX('Pressione Competitiva'!$F$3:$F$6,MATCH($B25,'Pressione Competitiva'!$B$3:$B$6,0)),"")</f>
        <v>🔴 Molto Alta</v>
      </c>
      <c r="AH25" t="str">
        <f t="shared" si="5"/>
        <v/>
      </c>
      <c r="AI25" t="str">
        <f>IFERROR(IF($AH25="","",IF($AH25&gt;=$AA25*'Parametri Modello'!$B$68,"🟢 Opportunita'",IF($AH25&lt;=$AA25*'Parametri Modello'!$B$69,"🔴 Sovrapprezzo","🟡 Prezzo Corretto"))),"")</f>
        <v/>
      </c>
      <c r="AJ25" t="str">
        <f t="shared" si="6"/>
        <v/>
      </c>
      <c r="AK25">
        <f t="shared" si="7"/>
        <v>6</v>
      </c>
      <c r="AL25" t="str">
        <f t="shared" si="8"/>
        <v>A|Buono|6</v>
      </c>
    </row>
    <row r="26" spans="1:38" ht="14.25" customHeight="1" x14ac:dyDescent="0.25">
      <c r="A26" s="18">
        <v>7071</v>
      </c>
      <c r="B26" s="18" t="s">
        <v>437</v>
      </c>
      <c r="C26" s="18" t="s">
        <v>454</v>
      </c>
      <c r="E26" s="23" t="str">
        <f>IF(COUNTIF('Info Strategia'!$D$2:$D$51,$C26)&gt;0,"SI","NO")</f>
        <v>NO</v>
      </c>
      <c r="F26" s="24">
        <f>IFERROR(ROUND(($G26+($H26-$G26)*'Info Strategia'!$B$6)*(1+IF($E26="SI",'Parametri Modello'!$B$7*'Info Strategia'!$B$6,0)),0),"")</f>
        <v>96</v>
      </c>
      <c r="G26" s="24">
        <f>IFERROR(ROUND(MAX(1,(IF($V26&lt;=INDEX('Parametri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60</v>
      </c>
      <c r="H26" s="24">
        <f>IFERROR(ROUND((IF($V26&lt;=INDEX('Parametri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112</v>
      </c>
      <c r="I26" s="23">
        <f>IFERROR(INDEX('Input Statistiche 2025_26'!$F$3:$F$665,MATCH($A26,'Input Statistiche 2025_26'!$A$3:$A$665,0)),"")</f>
        <v>31</v>
      </c>
      <c r="J26" s="23">
        <f t="shared" si="0"/>
        <v>7</v>
      </c>
      <c r="K26" s="23">
        <f>IFERROR(INDEX('Input Statistiche 2025_26'!$I$3:$I$665,MATCH($A26,'Input Statistiche 2025_26'!$A$3:$A$665,0)),"")</f>
        <v>7</v>
      </c>
      <c r="L26" s="23">
        <f>IFERROR(INDEX('Input Statistiche 2025_26'!$O$3:$O$665,MATCH($A26,'Input Statistiche 2025_26'!$A$3:$A$665,0)),"")</f>
        <v>3</v>
      </c>
      <c r="M26" s="25"/>
      <c r="N26" s="24">
        <f>IFERROR(INDEX('Input Giocatori 2026_27'!$E$3:$E$493,MATCH($A26,'Input Giocatori 2026_27'!$A$3:$A$493,0)),"")</f>
        <v>16</v>
      </c>
      <c r="O26" s="24">
        <f>IFERROR(INDEX('Input Giocatori 2026_27'!$G$3:$G$493,MATCH($A26,'Input Giocatori 2026_27'!$A$3:$A$493,0)),"")</f>
        <v>93</v>
      </c>
      <c r="P26" s="23" t="str">
        <f>IFERROR(IF($O26="","",IF((1-(COUNTIFS($B$2:$B$492,$B26,$O$2:$O$492,"&gt;"&amp;$O26)+1-1)/COUNTIF($B$2:$B$492,$B26))&gt;='Parametri Modello'!$B$63,"Top",IF((1-(COUNTIFS($B$2:$B$492,$B26,$O$2:$O$492,"&gt;"&amp;$O26)+1-1)/COUNTIF($B$2:$B$492,$B26))&gt;='Parametri Modello'!$B$64,"Buono",IF((1-(COUNTIFS($B$2:$B$492,$B26,$O$2:$O$492,"&gt;"&amp;$O26)+1-1)/COUNTIF($B$2:$B$492,$B26))&gt;='Parametri Modello'!$B$65,"Nella Media","Scommessa/Riserva")))),"")</f>
        <v>Buono</v>
      </c>
      <c r="Q26" s="26">
        <f>IF(AND($D26="",$N26&gt;1),SUMPRODUCT(($D$2:$D26="")*($N$2:$N26&gt;1)),"")</f>
        <v>25</v>
      </c>
      <c r="R26" s="26" t="str">
        <f>IF($D26='Info Lega'!$B$28,COUNTIFS($D$2:$D26,'Info Lega'!$B$28),"")</f>
        <v/>
      </c>
      <c r="S26" s="27">
        <f>IFERROR(INDEX('Input Statistiche 2025_26'!$G$3:$G$665,MATCH($A26,'Input Statistiche 2025_26'!$A$3:$A$665,0)),"")</f>
        <v>6.26</v>
      </c>
      <c r="T26" s="27">
        <f>IFERROR(INDEX('Input Statistiche 2025_26'!$H$3:$H$665,MATCH($A26,'Input Statistiche 2025_26'!$A$3:$A$665,0)),"")</f>
        <v>7.02</v>
      </c>
      <c r="U26" s="23" t="str">
        <f>IF(OR('La Mia Rosa'!$O$12="",$D26&lt;&gt;""),"",IF($F26&lt;='La Mia Rosa'!$O$12*'Parametri Modello'!$B$24,"OK",IF($F26&lt;='La Mia Rosa'!$O$12*'Parametri Modello'!$B$25,"Attenzione","Rischio Alto")))</f>
        <v>Attenzione</v>
      </c>
      <c r="V26" s="23">
        <f t="shared" si="1"/>
        <v>16</v>
      </c>
      <c r="W26" s="18">
        <f>'Info Lega'!$B$4-SUMIFS($M$2:$M$492,$D$2:$D$492,'Info Lega'!$B$28)</f>
        <v>1000</v>
      </c>
      <c r="X26" s="18">
        <f>('Info Lega'!$B$5-COUNTIFS($D$2:$D$492,'Info Lega'!$B$28,$B$2:$B$492,"P"))+('Info Lega'!$B$6-COUNTIFS($D$2:$D$492,'Info Lega'!$B$28,$B$2:$B$492,"D"))+('Info Lega'!$B$7-COUNTIFS($D$2:$D$492,'Info Lega'!$B$28,$B$2:$B$492,"C"))+('Info Lega'!$B$8-COUNTIFS($D$2:$D$492,'Info Lega'!$B$28,$B$2:$B$492,"A"))</f>
        <v>25</v>
      </c>
      <c r="Y26" s="18">
        <f>X26*'Parametri Modello'!$B$30</f>
        <v>25</v>
      </c>
      <c r="Z26" s="18">
        <f t="shared" si="2"/>
        <v>975</v>
      </c>
      <c r="AA26" s="18">
        <f t="shared" si="3"/>
        <v>96</v>
      </c>
      <c r="AB26" s="18"/>
      <c r="AC26" s="18" t="str">
        <f>IF($AB26="","",IF($AB26&gt;$AA26,"PASS",IF($AB26&lt;=$AA26*(1-'Parametri Modello'!$B$68),"BID","ATTENZIONE")))</f>
        <v/>
      </c>
      <c r="AD26" s="28">
        <f t="shared" si="4"/>
        <v>64</v>
      </c>
      <c r="AE26" s="5" t="str">
        <f>IFERROR(IF($AF26="Titolare",INDEX('Stato Asta'!$G$9:$G$12,MATCH($B26,'Stato Asta'!$A$9:$A$12,0)),INDEX('Stato Asta'!$P$9:$P$12,MATCH($B26,'Stato Asta'!$A$9:$A$12,0))),"")</f>
        <v>🟡 Attesa rischiosa</v>
      </c>
      <c r="AF26" t="str">
        <f>IFERROR(IF($V26&lt;=INDEX('Parametri Modello'!$C$57:$C$60,MATCH($B26,'Parametri Modello'!$A$57:$A$60,0)),"Titolare","Riserva"),"")</f>
        <v>Titolare</v>
      </c>
      <c r="AG26" t="str">
        <f>IFERROR(INDEX('Pressione Competitiva'!$F$3:$F$6,MATCH($B26,'Pressione Competitiva'!$B$3:$B$6,0)),"")</f>
        <v>🔴 Molto Alta</v>
      </c>
      <c r="AH26" t="str">
        <f t="shared" si="5"/>
        <v/>
      </c>
      <c r="AI26" t="str">
        <f>IFERROR(IF($AH26="","",IF($AH26&gt;=$AA26*'Parametri Modello'!$B$68,"🟢 Opportunita'",IF($AH26&lt;=$AA26*'Parametri Modello'!$B$69,"🔴 Sovrapprezzo","🟡 Prezzo Corretto"))),"")</f>
        <v/>
      </c>
      <c r="AJ26" t="str">
        <f t="shared" si="6"/>
        <v/>
      </c>
      <c r="AK26">
        <f t="shared" si="7"/>
        <v>7</v>
      </c>
      <c r="AL26" t="str">
        <f t="shared" si="8"/>
        <v>A|Buono|7</v>
      </c>
    </row>
    <row r="27" spans="1:38" ht="14.25" customHeight="1" x14ac:dyDescent="0.25">
      <c r="A27" s="18">
        <v>632</v>
      </c>
      <c r="B27" s="18" t="s">
        <v>264</v>
      </c>
      <c r="C27" s="18" t="s">
        <v>277</v>
      </c>
      <c r="E27" s="23" t="str">
        <f>IF(COUNTIF('Info Strategia'!$D$2:$D$51,$C27)&gt;0,"SI","NO")</f>
        <v>NO</v>
      </c>
      <c r="F27" s="24">
        <f>IFERROR(ROUND(($G27+($H27-$G27)*'Info Strategia'!$B$6)*(1+IF($E27="SI",'Parametri Modello'!$B$7*'Info Strategia'!$B$6,0)),0),"")</f>
        <v>60</v>
      </c>
      <c r="G27" s="24">
        <f>IFERROR(ROUND(MAX(1,(IF($V27&lt;=INDEX('Parametri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41</v>
      </c>
      <c r="H27" s="24">
        <f>IFERROR(ROUND((IF($V27&lt;=INDEX('Parametri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68</v>
      </c>
      <c r="I27" s="23">
        <f>IFERROR(INDEX('Input Statistiche 2025_26'!$F$3:$F$665,MATCH($A27,'Input Statistiche 2025_26'!$A$3:$A$665,0)),"")</f>
        <v>26</v>
      </c>
      <c r="J27" s="23">
        <f t="shared" si="0"/>
        <v>12</v>
      </c>
      <c r="K27" s="23">
        <f>IFERROR(INDEX('Input Statistiche 2025_26'!$I$3:$I$665,MATCH($A27,'Input Statistiche 2025_26'!$A$3:$A$665,0)),"")</f>
        <v>3</v>
      </c>
      <c r="L27" s="23">
        <f>IFERROR(INDEX('Input Statistiche 2025_26'!$O$3:$O$665,MATCH($A27,'Input Statistiche 2025_26'!$A$3:$A$665,0)),"")</f>
        <v>0</v>
      </c>
      <c r="M27" s="25"/>
      <c r="N27" s="24">
        <f>IFERROR(INDEX('Input Giocatori 2026_27'!$E$3:$E$493,MATCH($A27,'Input Giocatori 2026_27'!$A$3:$A$493,0)),"")</f>
        <v>16</v>
      </c>
      <c r="O27" s="24">
        <f>IFERROR(INDEX('Input Giocatori 2026_27'!$G$3:$G$493,MATCH($A27,'Input Giocatori 2026_27'!$A$3:$A$493,0)),"")</f>
        <v>91</v>
      </c>
      <c r="P27" s="23" t="str">
        <f>IFERROR(IF($O27="","",IF((1-(COUNTIFS($B$2:$B$492,$B27,$O$2:$O$492,"&gt;"&amp;$O27)+1-1)/COUNTIF($B$2:$B$492,$B27))&gt;='Parametri Modello'!$B$63,"Top",IF((1-(COUNTIFS($B$2:$B$492,$B27,$O$2:$O$492,"&gt;"&amp;$O27)+1-1)/COUNTIF($B$2:$B$492,$B27))&gt;='Parametri Modello'!$B$64,"Buono",IF((1-(COUNTIFS($B$2:$B$492,$B27,$O$2:$O$492,"&gt;"&amp;$O27)+1-1)/COUNTIF($B$2:$B$492,$B27))&gt;='Parametri Modello'!$B$65,"Nella Media","Scommessa/Riserva")))),"")</f>
        <v>Top</v>
      </c>
      <c r="Q27" s="26">
        <f>IF(AND($D27="",$N27&gt;1),SUMPRODUCT(($D$2:$D27="")*($N$2:$N27&gt;1)),"")</f>
        <v>26</v>
      </c>
      <c r="R27" s="26" t="str">
        <f>IF($D27='Info Lega'!$B$28,COUNTIFS($D$2:$D27,'Info Lega'!$B$28),"")</f>
        <v/>
      </c>
      <c r="S27" s="27">
        <f>IFERROR(INDEX('Input Statistiche 2025_26'!$G$3:$G$665,MATCH($A27,'Input Statistiche 2025_26'!$A$3:$A$665,0)),"")</f>
        <v>5.88</v>
      </c>
      <c r="T27" s="27">
        <f>IFERROR(INDEX('Input Statistiche 2025_26'!$H$3:$H$665,MATCH($A27,'Input Statistiche 2025_26'!$A$3:$A$665,0)),"")</f>
        <v>5.96</v>
      </c>
      <c r="U27" s="23" t="str">
        <f>IF(OR('La Mia Rosa'!$O$12="",$D27&lt;&gt;""),"",IF($F27&lt;='La Mia Rosa'!$O$12*'Parametri Modello'!$B$24,"OK",IF($F27&lt;='La Mia Rosa'!$O$12*'Parametri Modello'!$B$25,"Attenzione","Rischio Alto")))</f>
        <v>OK</v>
      </c>
      <c r="V27" s="23">
        <f t="shared" si="1"/>
        <v>9</v>
      </c>
      <c r="W27" s="18">
        <f>'Info Lega'!$B$4-SUMIFS($M$2:$M$492,$D$2:$D$492,'Info Lega'!$B$28)</f>
        <v>1000</v>
      </c>
      <c r="X27" s="18">
        <f>('Info Lega'!$B$5-COUNTIFS($D$2:$D$492,'Info Lega'!$B$28,$B$2:$B$492,"P"))+('Info Lega'!$B$6-COUNTIFS($D$2:$D$492,'Info Lega'!$B$28,$B$2:$B$492,"D"))+('Info Lega'!$B$7-COUNTIFS($D$2:$D$492,'Info Lega'!$B$28,$B$2:$B$492,"C"))+('Info Lega'!$B$8-COUNTIFS($D$2:$D$492,'Info Lega'!$B$28,$B$2:$B$492,"A"))</f>
        <v>25</v>
      </c>
      <c r="Y27" s="18">
        <f>X27*'Parametri Modello'!$B$30</f>
        <v>25</v>
      </c>
      <c r="Z27" s="18">
        <f t="shared" si="2"/>
        <v>975</v>
      </c>
      <c r="AA27" s="18">
        <f t="shared" si="3"/>
        <v>60</v>
      </c>
      <c r="AB27" s="18"/>
      <c r="AC27" s="18" t="str">
        <f>IF($AB27="","",IF($AB27&gt;$AA27,"PASS",IF($AB27&lt;=$AA27*(1-'Parametri Modello'!$B$68),"BID","ATTENZIONE")))</f>
        <v/>
      </c>
      <c r="AD27" s="28">
        <f t="shared" si="4"/>
        <v>58</v>
      </c>
      <c r="AE27" s="5" t="str">
        <f>IFERROR(IF($AF27="Titolare",INDEX('Stato Asta'!$G$9:$G$12,MATCH($B27,'Stato Asta'!$A$9:$A$12,0)),INDEX('Stato Asta'!$P$9:$P$12,MATCH($B27,'Stato Asta'!$A$9:$A$12,0))),"")</f>
        <v>🟡 Attesa rischiosa</v>
      </c>
      <c r="AF27" t="str">
        <f>IFERROR(IF($V27&lt;=INDEX('Parametri Modello'!$C$57:$C$60,MATCH($B27,'Parametri Modello'!$A$57:$A$60,0)),"Titolare","Riserva"),"")</f>
        <v>Titolare</v>
      </c>
      <c r="AG27" t="str">
        <f>IFERROR(INDEX('Pressione Competitiva'!$F$3:$F$6,MATCH($B27,'Pressione Competitiva'!$B$3:$B$6,0)),"")</f>
        <v>🔴 Molto Alta</v>
      </c>
      <c r="AH27" t="str">
        <f t="shared" si="5"/>
        <v/>
      </c>
      <c r="AI27" t="str">
        <f>IFERROR(IF($AH27="","",IF($AH27&gt;=$AA27*'Parametri Modello'!$B$68,"🟢 Opportunita'",IF($AH27&lt;=$AA27*'Parametri Modello'!$B$69,"🔴 Sovrapprezzo","🟡 Prezzo Corretto"))),"")</f>
        <v/>
      </c>
      <c r="AJ27" t="str">
        <f t="shared" si="6"/>
        <v/>
      </c>
      <c r="AK27">
        <f t="shared" si="7"/>
        <v>9</v>
      </c>
      <c r="AL27" t="str">
        <f t="shared" si="8"/>
        <v>C|Top|9</v>
      </c>
    </row>
    <row r="28" spans="1:38" ht="14.25" customHeight="1" x14ac:dyDescent="0.25">
      <c r="A28" s="18">
        <v>7181</v>
      </c>
      <c r="B28" s="18" t="s">
        <v>88</v>
      </c>
      <c r="C28" s="18" t="s">
        <v>90</v>
      </c>
      <c r="E28" s="23" t="str">
        <f>IF(COUNTIF('Info Strategia'!$D$2:$D$51,$C28)&gt;0,"SI","NO")</f>
        <v>NO</v>
      </c>
      <c r="F28" s="24">
        <f>IFERROR(ROUND(($G28+($H28-$G28)*'Info Strategia'!$B$6)*(1+IF($E28="SI",'Parametri Modello'!$B$7*'Info Strategia'!$B$6,0)),0),"")</f>
        <v>62</v>
      </c>
      <c r="G28" s="24">
        <f>IFERROR(ROUND(MAX(1,(IF($V28&lt;=INDEX('Parametri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46</v>
      </c>
      <c r="H28" s="24">
        <f>IFERROR(ROUND((IF($V28&lt;=INDEX('Parametri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69</v>
      </c>
      <c r="I28" s="23">
        <f>IFERROR(INDEX('Input Statistiche 2025_26'!$F$3:$F$665,MATCH($A28,'Input Statistiche 2025_26'!$A$3:$A$665,0)),"")</f>
        <v>30</v>
      </c>
      <c r="J28" s="23">
        <f t="shared" si="0"/>
        <v>8</v>
      </c>
      <c r="K28" s="23">
        <f>IFERROR(INDEX('Input Statistiche 2025_26'!$I$3:$I$665,MATCH($A28,'Input Statistiche 2025_26'!$A$3:$A$665,0)),"")</f>
        <v>5</v>
      </c>
      <c r="L28" s="23">
        <f>IFERROR(INDEX('Input Statistiche 2025_26'!$O$3:$O$665,MATCH($A28,'Input Statistiche 2025_26'!$A$3:$A$665,0)),"")</f>
        <v>0</v>
      </c>
      <c r="M28" s="25"/>
      <c r="N28" s="24">
        <f>IFERROR(INDEX('Input Giocatori 2026_27'!$E$3:$E$493,MATCH($A28,'Input Giocatori 2026_27'!$A$3:$A$493,0)),"")</f>
        <v>17</v>
      </c>
      <c r="O28" s="24">
        <f>IFERROR(INDEX('Input Giocatori 2026_27'!$G$3:$G$493,MATCH($A28,'Input Giocatori 2026_27'!$A$3:$A$493,0)),"")</f>
        <v>90</v>
      </c>
      <c r="P28" s="23" t="str">
        <f>IFERROR(IF($O28="","",IF((1-(COUNTIFS($B$2:$B$492,$B28,$O$2:$O$492,"&gt;"&amp;$O28)+1-1)/COUNTIF($B$2:$B$492,$B28))&gt;='Parametri Modello'!$B$63,"Top",IF((1-(COUNTIFS($B$2:$B$492,$B28,$O$2:$O$492,"&gt;"&amp;$O28)+1-1)/COUNTIF($B$2:$B$492,$B28))&gt;='Parametri Modello'!$B$64,"Buono",IF((1-(COUNTIFS($B$2:$B$492,$B28,$O$2:$O$492,"&gt;"&amp;$O28)+1-1)/COUNTIF($B$2:$B$492,$B28))&gt;='Parametri Modello'!$B$65,"Nella Media","Scommessa/Riserva")))),"")</f>
        <v>Top</v>
      </c>
      <c r="Q28" s="26">
        <f>IF(AND($D28="",$N28&gt;1),SUMPRODUCT(($D$2:$D28="")*($N$2:$N28&gt;1)),"")</f>
        <v>27</v>
      </c>
      <c r="R28" s="26" t="str">
        <f>IF($D28='Info Lega'!$B$28,COUNTIFS($D$2:$D28,'Info Lega'!$B$28),"")</f>
        <v/>
      </c>
      <c r="S28" s="27">
        <f>IFERROR(INDEX('Input Statistiche 2025_26'!$G$3:$G$665,MATCH($A28,'Input Statistiche 2025_26'!$A$3:$A$665,0)),"")</f>
        <v>6.12</v>
      </c>
      <c r="T28" s="27">
        <f>IFERROR(INDEX('Input Statistiche 2025_26'!$H$3:$H$665,MATCH($A28,'Input Statistiche 2025_26'!$A$3:$A$665,0)),"")</f>
        <v>6.47</v>
      </c>
      <c r="U28" s="23" t="str">
        <f>IF(OR('La Mia Rosa'!$O$12="",$D28&lt;&gt;""),"",IF($F28&lt;='La Mia Rosa'!$O$12*'Parametri Modello'!$B$24,"OK",IF($F28&lt;='La Mia Rosa'!$O$12*'Parametri Modello'!$B$25,"Attenzione","Rischio Alto")))</f>
        <v>Attenzione</v>
      </c>
      <c r="V28" s="23">
        <f t="shared" si="1"/>
        <v>2</v>
      </c>
      <c r="W28" s="18">
        <f>'Info Lega'!$B$4-SUMIFS($M$2:$M$492,$D$2:$D$492,'Info Lega'!$B$28)</f>
        <v>1000</v>
      </c>
      <c r="X28" s="18">
        <f>('Info Lega'!$B$5-COUNTIFS($D$2:$D$492,'Info Lega'!$B$28,$B$2:$B$492,"P"))+('Info Lega'!$B$6-COUNTIFS($D$2:$D$492,'Info Lega'!$B$28,$B$2:$B$492,"D"))+('Info Lega'!$B$7-COUNTIFS($D$2:$D$492,'Info Lega'!$B$28,$B$2:$B$492,"C"))+('Info Lega'!$B$8-COUNTIFS($D$2:$D$492,'Info Lega'!$B$28,$B$2:$B$492,"A"))</f>
        <v>25</v>
      </c>
      <c r="Y28" s="18">
        <f>X28*'Parametri Modello'!$B$30</f>
        <v>25</v>
      </c>
      <c r="Z28" s="18">
        <f t="shared" si="2"/>
        <v>975</v>
      </c>
      <c r="AA28" s="18">
        <f t="shared" si="3"/>
        <v>62</v>
      </c>
      <c r="AB28" s="18"/>
      <c r="AC28" s="18" t="str">
        <f>IF($AB28="","",IF($AB28&gt;$AA28,"PASS",IF($AB28&lt;=$AA28*(1-'Parametri Modello'!$B$68),"BID","ATTENZIONE")))</f>
        <v/>
      </c>
      <c r="AD28" s="28">
        <f t="shared" si="4"/>
        <v>63</v>
      </c>
      <c r="AE28" s="5" t="str">
        <f>IFERROR(IF($AF28="Titolare",INDEX('Stato Asta'!$G$9:$G$12,MATCH($B28,'Stato Asta'!$A$9:$A$12,0)),INDEX('Stato Asta'!$P$9:$P$12,MATCH($B28,'Stato Asta'!$A$9:$A$12,0))),"")</f>
        <v>🟢 Puoi aspettare</v>
      </c>
      <c r="AF28" t="str">
        <f>IFERROR(IF($V28&lt;=INDEX('Parametri Modello'!$C$57:$C$60,MATCH($B28,'Parametri Modello'!$A$57:$A$60,0)),"Titolare","Riserva"),"")</f>
        <v>Titolare</v>
      </c>
      <c r="AG28" t="str">
        <f>IFERROR(INDEX('Pressione Competitiva'!$F$3:$F$6,MATCH($B28,'Pressione Competitiva'!$B$3:$B$6,0)),"")</f>
        <v>🔴 Molto Alta</v>
      </c>
      <c r="AH28" t="str">
        <f t="shared" si="5"/>
        <v/>
      </c>
      <c r="AI28" t="str">
        <f>IFERROR(IF($AH28="","",IF($AH28&gt;=$AA28*'Parametri Modello'!$B$68,"🟢 Opportunita'",IF($AH28&lt;=$AA28*'Parametri Modello'!$B$69,"🔴 Sovrapprezzo","🟡 Prezzo Corretto"))),"")</f>
        <v/>
      </c>
      <c r="AJ28" t="str">
        <f t="shared" si="6"/>
        <v/>
      </c>
      <c r="AK28">
        <f t="shared" si="7"/>
        <v>2</v>
      </c>
      <c r="AL28" t="str">
        <f t="shared" si="8"/>
        <v>D|Top|2</v>
      </c>
    </row>
    <row r="29" spans="1:38" ht="14.25" customHeight="1" x14ac:dyDescent="0.25">
      <c r="A29" s="18">
        <v>5559</v>
      </c>
      <c r="B29" s="18" t="s">
        <v>264</v>
      </c>
      <c r="C29" s="18" t="s">
        <v>272</v>
      </c>
      <c r="E29" s="23" t="str">
        <f>IF(COUNTIF('Info Strategia'!$D$2:$D$51,$C29)&gt;0,"SI","NO")</f>
        <v>NO</v>
      </c>
      <c r="F29" s="24">
        <f>IFERROR(ROUND(($G29+($H29-$G29)*'Info Strategia'!$B$6)*(1+IF($E29="SI",'Parametri Modello'!$B$7*'Info Strategia'!$B$6,0)),0),"")</f>
        <v>61</v>
      </c>
      <c r="G29" s="24">
        <f>IFERROR(ROUND(MAX(1,(IF($V29&lt;=INDEX('Parametri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41</v>
      </c>
      <c r="H29" s="24">
        <f>IFERROR(ROUND((IF($V29&lt;=INDEX('Parametri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69</v>
      </c>
      <c r="I29" s="23">
        <f>IFERROR(INDEX('Input Statistiche 2025_26'!$F$3:$F$665,MATCH($A29,'Input Statistiche 2025_26'!$A$3:$A$665,0)),"")</f>
        <v>35</v>
      </c>
      <c r="J29" s="23">
        <f t="shared" si="0"/>
        <v>3</v>
      </c>
      <c r="K29" s="23">
        <f>IFERROR(INDEX('Input Statistiche 2025_26'!$I$3:$I$665,MATCH($A29,'Input Statistiche 2025_26'!$A$3:$A$665,0)),"")</f>
        <v>6</v>
      </c>
      <c r="L29" s="23">
        <f>IFERROR(INDEX('Input Statistiche 2025_26'!$O$3:$O$665,MATCH($A29,'Input Statistiche 2025_26'!$A$3:$A$665,0)),"")</f>
        <v>4</v>
      </c>
      <c r="M29" s="25"/>
      <c r="N29" s="24">
        <f>IFERROR(INDEX('Input Giocatori 2026_27'!$E$3:$E$493,MATCH($A29,'Input Giocatori 2026_27'!$A$3:$A$493,0)),"")</f>
        <v>18</v>
      </c>
      <c r="O29" s="24">
        <f>IFERROR(INDEX('Input Giocatori 2026_27'!$G$3:$G$493,MATCH($A29,'Input Giocatori 2026_27'!$A$3:$A$493,0)),"")</f>
        <v>90</v>
      </c>
      <c r="P29" s="23" t="str">
        <f>IFERROR(IF($O29="","",IF((1-(COUNTIFS($B$2:$B$492,$B29,$O$2:$O$492,"&gt;"&amp;$O29)+1-1)/COUNTIF($B$2:$B$492,$B29))&gt;='Parametri Modello'!$B$63,"Top",IF((1-(COUNTIFS($B$2:$B$492,$B29,$O$2:$O$492,"&gt;"&amp;$O29)+1-1)/COUNTIF($B$2:$B$492,$B29))&gt;='Parametri Modello'!$B$64,"Buono",IF((1-(COUNTIFS($B$2:$B$492,$B29,$O$2:$O$492,"&gt;"&amp;$O29)+1-1)/COUNTIF($B$2:$B$492,$B29))&gt;='Parametri Modello'!$B$65,"Nella Media","Scommessa/Riserva")))),"")</f>
        <v>Top</v>
      </c>
      <c r="Q29" s="26">
        <f>IF(AND($D29="",$N29&gt;1),SUMPRODUCT(($D$2:$D29="")*($N$2:$N29&gt;1)),"")</f>
        <v>28</v>
      </c>
      <c r="R29" s="26" t="str">
        <f>IF($D29='Info Lega'!$B$28,COUNTIFS($D$2:$D29,'Info Lega'!$B$28),"")</f>
        <v/>
      </c>
      <c r="S29" s="27">
        <f>IFERROR(INDEX('Input Statistiche 2025_26'!$G$3:$G$665,MATCH($A29,'Input Statistiche 2025_26'!$A$3:$A$665,0)),"")</f>
        <v>6.34</v>
      </c>
      <c r="T29" s="27">
        <f>IFERROR(INDEX('Input Statistiche 2025_26'!$H$3:$H$665,MATCH($A29,'Input Statistiche 2025_26'!$A$3:$A$665,0)),"")</f>
        <v>6.91</v>
      </c>
      <c r="U29" s="23" t="str">
        <f>IF(OR('La Mia Rosa'!$O$12="",$D29&lt;&gt;""),"",IF($F29&lt;='La Mia Rosa'!$O$12*'Parametri Modello'!$B$24,"OK",IF($F29&lt;='La Mia Rosa'!$O$12*'Parametri Modello'!$B$25,"Attenzione","Rischio Alto")))</f>
        <v>Attenzione</v>
      </c>
      <c r="V29" s="23">
        <f t="shared" si="1"/>
        <v>10</v>
      </c>
      <c r="W29" s="18">
        <f>'Info Lega'!$B$4-SUMIFS($M$2:$M$492,$D$2:$D$492,'Info Lega'!$B$28)</f>
        <v>1000</v>
      </c>
      <c r="X29" s="18">
        <f>('Info Lega'!$B$5-COUNTIFS($D$2:$D$492,'Info Lega'!$B$28,$B$2:$B$492,"P"))+('Info Lega'!$B$6-COUNTIFS($D$2:$D$492,'Info Lega'!$B$28,$B$2:$B$492,"D"))+('Info Lega'!$B$7-COUNTIFS($D$2:$D$492,'Info Lega'!$B$28,$B$2:$B$492,"C"))+('Info Lega'!$B$8-COUNTIFS($D$2:$D$492,'Info Lega'!$B$28,$B$2:$B$492,"A"))</f>
        <v>25</v>
      </c>
      <c r="Y29" s="18">
        <f>X29*'Parametri Modello'!$B$30</f>
        <v>25</v>
      </c>
      <c r="Z29" s="18">
        <f t="shared" si="2"/>
        <v>975</v>
      </c>
      <c r="AA29" s="18">
        <f t="shared" si="3"/>
        <v>61</v>
      </c>
      <c r="AB29" s="18"/>
      <c r="AC29" s="18" t="str">
        <f>IF($AB29="","",IF($AB29&gt;$AA29,"PASS",IF($AB29&lt;=$AA29*(1-'Parametri Modello'!$B$68),"BID","ATTENZIONE")))</f>
        <v/>
      </c>
      <c r="AD29" s="28">
        <f t="shared" si="4"/>
        <v>69</v>
      </c>
      <c r="AE29" s="5" t="str">
        <f>IFERROR(IF($AF29="Titolare",INDEX('Stato Asta'!$G$9:$G$12,MATCH($B29,'Stato Asta'!$A$9:$A$12,0)),INDEX('Stato Asta'!$P$9:$P$12,MATCH($B29,'Stato Asta'!$A$9:$A$12,0))),"")</f>
        <v>🟡 Attesa rischiosa</v>
      </c>
      <c r="AF29" t="str">
        <f>IFERROR(IF($V29&lt;=INDEX('Parametri Modello'!$C$57:$C$60,MATCH($B29,'Parametri Modello'!$A$57:$A$60,0)),"Titolare","Riserva"),"")</f>
        <v>Titolare</v>
      </c>
      <c r="AG29" t="str">
        <f>IFERROR(INDEX('Pressione Competitiva'!$F$3:$F$6,MATCH($B29,'Pressione Competitiva'!$B$3:$B$6,0)),"")</f>
        <v>🔴 Molto Alta</v>
      </c>
      <c r="AH29" t="str">
        <f t="shared" si="5"/>
        <v/>
      </c>
      <c r="AI29" t="str">
        <f>IFERROR(IF($AH29="","",IF($AH29&gt;=$AA29*'Parametri Modello'!$B$68,"🟢 Opportunita'",IF($AH29&lt;=$AA29*'Parametri Modello'!$B$69,"🔴 Sovrapprezzo","🟡 Prezzo Corretto"))),"")</f>
        <v/>
      </c>
      <c r="AJ29" t="str">
        <f t="shared" si="6"/>
        <v/>
      </c>
      <c r="AK29">
        <f t="shared" si="7"/>
        <v>10</v>
      </c>
      <c r="AL29" t="str">
        <f t="shared" si="8"/>
        <v>C|Top|10</v>
      </c>
    </row>
    <row r="30" spans="1:38" ht="14.25" customHeight="1" x14ac:dyDescent="0.25">
      <c r="A30" s="18">
        <v>2766</v>
      </c>
      <c r="B30" s="18" t="s">
        <v>264</v>
      </c>
      <c r="C30" s="18" t="s">
        <v>273</v>
      </c>
      <c r="E30" s="23" t="str">
        <f>IF(COUNTIF('Info Strategia'!$D$2:$D$51,$C30)&gt;0,"SI","NO")</f>
        <v>NO</v>
      </c>
      <c r="F30" s="24">
        <f>IFERROR(ROUND(($G30+($H30-$G30)*'Info Strategia'!$B$6)*(1+IF($E30="SI",'Parametri Modello'!$B$7*'Info Strategia'!$B$6,0)),0),"")</f>
        <v>61</v>
      </c>
      <c r="G30" s="24">
        <f>IFERROR(ROUND(MAX(1,(IF($V30&lt;=INDEX('Parametri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41</v>
      </c>
      <c r="H30" s="24">
        <f>IFERROR(ROUND((IF($V30&lt;=INDEX('Parametri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69</v>
      </c>
      <c r="I30" s="23">
        <f>IFERROR(INDEX('Input Statistiche 2025_26'!$F$3:$F$665,MATCH($A30,'Input Statistiche 2025_26'!$A$3:$A$665,0)),"")</f>
        <v>31</v>
      </c>
      <c r="J30" s="23">
        <f t="shared" si="0"/>
        <v>7</v>
      </c>
      <c r="K30" s="23">
        <f>IFERROR(INDEX('Input Statistiche 2025_26'!$I$3:$I$665,MATCH($A30,'Input Statistiche 2025_26'!$A$3:$A$665,0)),"")</f>
        <v>5</v>
      </c>
      <c r="L30" s="23">
        <f>IFERROR(INDEX('Input Statistiche 2025_26'!$O$3:$O$665,MATCH($A30,'Input Statistiche 2025_26'!$A$3:$A$665,0)),"")</f>
        <v>5</v>
      </c>
      <c r="M30" s="25"/>
      <c r="N30" s="24">
        <f>IFERROR(INDEX('Input Giocatori 2026_27'!$E$3:$E$493,MATCH($A30,'Input Giocatori 2026_27'!$A$3:$A$493,0)),"")</f>
        <v>18</v>
      </c>
      <c r="O30" s="24">
        <f>IFERROR(INDEX('Input Giocatori 2026_27'!$G$3:$G$493,MATCH($A30,'Input Giocatori 2026_27'!$A$3:$A$493,0)),"")</f>
        <v>90</v>
      </c>
      <c r="P30" s="23" t="str">
        <f>IFERROR(IF($O30="","",IF((1-(COUNTIFS($B$2:$B$492,$B30,$O$2:$O$492,"&gt;"&amp;$O30)+1-1)/COUNTIF($B$2:$B$492,$B30))&gt;='Parametri Modello'!$B$63,"Top",IF((1-(COUNTIFS($B$2:$B$492,$B30,$O$2:$O$492,"&gt;"&amp;$O30)+1-1)/COUNTIF($B$2:$B$492,$B30))&gt;='Parametri Modello'!$B$64,"Buono",IF((1-(COUNTIFS($B$2:$B$492,$B30,$O$2:$O$492,"&gt;"&amp;$O30)+1-1)/COUNTIF($B$2:$B$492,$B30))&gt;='Parametri Modello'!$B$65,"Nella Media","Scommessa/Riserva")))),"")</f>
        <v>Top</v>
      </c>
      <c r="Q30" s="26">
        <f>IF(AND($D30="",$N30&gt;1),SUMPRODUCT(($D$2:$D30="")*($N$2:$N30&gt;1)),"")</f>
        <v>29</v>
      </c>
      <c r="R30" s="26" t="str">
        <f>IF($D30='Info Lega'!$B$28,COUNTIFS($D$2:$D30,'Info Lega'!$B$28),"")</f>
        <v/>
      </c>
      <c r="S30" s="27">
        <f>IFERROR(INDEX('Input Statistiche 2025_26'!$G$3:$G$665,MATCH($A30,'Input Statistiche 2025_26'!$A$3:$A$665,0)),"")</f>
        <v>6.26</v>
      </c>
      <c r="T30" s="27">
        <f>IFERROR(INDEX('Input Statistiche 2025_26'!$H$3:$H$665,MATCH($A30,'Input Statistiche 2025_26'!$A$3:$A$665,0)),"")</f>
        <v>6.77</v>
      </c>
      <c r="U30" s="23" t="str">
        <f>IF(OR('La Mia Rosa'!$O$12="",$D30&lt;&gt;""),"",IF($F30&lt;='La Mia Rosa'!$O$12*'Parametri Modello'!$B$24,"OK",IF($F30&lt;='La Mia Rosa'!$O$12*'Parametri Modello'!$B$25,"Attenzione","Rischio Alto")))</f>
        <v>Attenzione</v>
      </c>
      <c r="V30" s="23">
        <f t="shared" si="1"/>
        <v>10</v>
      </c>
      <c r="W30" s="18">
        <f>'Info Lega'!$B$4-SUMIFS($M$2:$M$492,$D$2:$D$492,'Info Lega'!$B$28)</f>
        <v>1000</v>
      </c>
      <c r="X30" s="18">
        <f>('Info Lega'!$B$5-COUNTIFS($D$2:$D$492,'Info Lega'!$B$28,$B$2:$B$492,"P"))+('Info Lega'!$B$6-COUNTIFS($D$2:$D$492,'Info Lega'!$B$28,$B$2:$B$492,"D"))+('Info Lega'!$B$7-COUNTIFS($D$2:$D$492,'Info Lega'!$B$28,$B$2:$B$492,"C"))+('Info Lega'!$B$8-COUNTIFS($D$2:$D$492,'Info Lega'!$B$28,$B$2:$B$492,"A"))</f>
        <v>25</v>
      </c>
      <c r="Y30" s="18">
        <f>X30*'Parametri Modello'!$B$30</f>
        <v>25</v>
      </c>
      <c r="Z30" s="18">
        <f t="shared" si="2"/>
        <v>975</v>
      </c>
      <c r="AA30" s="18">
        <f t="shared" si="3"/>
        <v>61</v>
      </c>
      <c r="AB30" s="18"/>
      <c r="AC30" s="18" t="str">
        <f>IF($AB30="","",IF($AB30&gt;$AA30,"PASS",IF($AB30&lt;=$AA30*(1-'Parametri Modello'!$B$68),"BID","ATTENZIONE")))</f>
        <v/>
      </c>
      <c r="AD30" s="28">
        <f t="shared" si="4"/>
        <v>64</v>
      </c>
      <c r="AE30" s="5" t="str">
        <f>IFERROR(IF($AF30="Titolare",INDEX('Stato Asta'!$G$9:$G$12,MATCH($B30,'Stato Asta'!$A$9:$A$12,0)),INDEX('Stato Asta'!$P$9:$P$12,MATCH($B30,'Stato Asta'!$A$9:$A$12,0))),"")</f>
        <v>🟡 Attesa rischiosa</v>
      </c>
      <c r="AF30" t="str">
        <f>IFERROR(IF($V30&lt;=INDEX('Parametri Modello'!$C$57:$C$60,MATCH($B30,'Parametri Modello'!$A$57:$A$60,0)),"Titolare","Riserva"),"")</f>
        <v>Titolare</v>
      </c>
      <c r="AG30" t="str">
        <f>IFERROR(INDEX('Pressione Competitiva'!$F$3:$F$6,MATCH($B30,'Pressione Competitiva'!$B$3:$B$6,0)),"")</f>
        <v>🔴 Molto Alta</v>
      </c>
      <c r="AH30" t="str">
        <f t="shared" si="5"/>
        <v/>
      </c>
      <c r="AI30" t="str">
        <f>IFERROR(IF($AH30="","",IF($AH30&gt;=$AA30*'Parametri Modello'!$B$68,"🟢 Opportunita'",IF($AH30&lt;=$AA30*'Parametri Modello'!$B$69,"🔴 Sovrapprezzo","🟡 Prezzo Corretto"))),"")</f>
        <v/>
      </c>
      <c r="AJ30" t="str">
        <f t="shared" si="6"/>
        <v/>
      </c>
      <c r="AK30">
        <f t="shared" si="7"/>
        <v>10</v>
      </c>
      <c r="AL30" t="str">
        <f t="shared" si="8"/>
        <v>C|Top|10</v>
      </c>
    </row>
    <row r="31" spans="1:38" ht="14.25" customHeight="1" x14ac:dyDescent="0.25">
      <c r="A31" s="18">
        <v>6060</v>
      </c>
      <c r="B31" s="18" t="s">
        <v>437</v>
      </c>
      <c r="C31" s="18" t="s">
        <v>456</v>
      </c>
      <c r="E31" s="23" t="str">
        <f>IF(COUNTIF('Info Strategia'!$D$2:$D$51,$C31)&gt;0,"SI","NO")</f>
        <v>NO</v>
      </c>
      <c r="F31" s="24">
        <f>IFERROR(ROUND(($G31+($H31-$G31)*'Info Strategia'!$B$6)*(1+IF($E31="SI",'Parametri Modello'!$B$7*'Info Strategia'!$B$6,0)),0),"")</f>
        <v>91</v>
      </c>
      <c r="G31" s="24">
        <f>IFERROR(ROUND(MAX(1,(IF($V31&lt;=INDEX('Parametri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57</v>
      </c>
      <c r="H31" s="24">
        <f>IFERROR(ROUND((IF($V31&lt;=INDEX('Parametri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106</v>
      </c>
      <c r="I31" s="23">
        <f>IFERROR(INDEX('Input Statistiche 2025_26'!$F$3:$F$665,MATCH($A31,'Input Statistiche 2025_26'!$A$3:$A$665,0)),"")</f>
        <v>37</v>
      </c>
      <c r="J31" s="23">
        <f t="shared" si="0"/>
        <v>1</v>
      </c>
      <c r="K31" s="23">
        <f>IFERROR(INDEX('Input Statistiche 2025_26'!$I$3:$I$665,MATCH($A31,'Input Statistiche 2025_26'!$A$3:$A$665,0)),"")</f>
        <v>7</v>
      </c>
      <c r="L31" s="23">
        <f>IFERROR(INDEX('Input Statistiche 2025_26'!$O$3:$O$665,MATCH($A31,'Input Statistiche 2025_26'!$A$3:$A$665,0)),"")</f>
        <v>9</v>
      </c>
      <c r="M31" s="25"/>
      <c r="N31" s="24">
        <f>IFERROR(INDEX('Input Giocatori 2026_27'!$E$3:$E$493,MATCH($A31,'Input Giocatori 2026_27'!$A$3:$A$493,0)),"")</f>
        <v>15</v>
      </c>
      <c r="O31" s="24">
        <f>IFERROR(INDEX('Input Giocatori 2026_27'!$G$3:$G$493,MATCH($A31,'Input Giocatori 2026_27'!$A$3:$A$493,0)),"")</f>
        <v>88</v>
      </c>
      <c r="P31" s="23" t="str">
        <f>IFERROR(IF($O31="","",IF((1-(COUNTIFS($B$2:$B$492,$B31,$O$2:$O$492,"&gt;"&amp;$O31)+1-1)/COUNTIF($B$2:$B$492,$B31))&gt;='Parametri Modello'!$B$63,"Top",IF((1-(COUNTIFS($B$2:$B$492,$B31,$O$2:$O$492,"&gt;"&amp;$O31)+1-1)/COUNTIF($B$2:$B$492,$B31))&gt;='Parametri Modello'!$B$64,"Buono",IF((1-(COUNTIFS($B$2:$B$492,$B31,$O$2:$O$492,"&gt;"&amp;$O31)+1-1)/COUNTIF($B$2:$B$492,$B31))&gt;='Parametri Modello'!$B$65,"Nella Media","Scommessa/Riserva")))),"")</f>
        <v>Buono</v>
      </c>
      <c r="Q31" s="26">
        <f>IF(AND($D31="",$N31&gt;1),SUMPRODUCT(($D$2:$D31="")*($N$2:$N31&gt;1)),"")</f>
        <v>30</v>
      </c>
      <c r="R31" s="26" t="str">
        <f>IF($D31='Info Lega'!$B$28,COUNTIFS($D$2:$D31,'Info Lega'!$B$28),"")</f>
        <v/>
      </c>
      <c r="S31" s="27">
        <f>IFERROR(INDEX('Input Statistiche 2025_26'!$G$3:$G$665,MATCH($A31,'Input Statistiche 2025_26'!$A$3:$A$665,0)),"")</f>
        <v>6.23</v>
      </c>
      <c r="T31" s="27">
        <f>IFERROR(INDEX('Input Statistiche 2025_26'!$H$3:$H$665,MATCH($A31,'Input Statistiche 2025_26'!$A$3:$A$665,0)),"")</f>
        <v>6.99</v>
      </c>
      <c r="U31" s="23" t="str">
        <f>IF(OR('La Mia Rosa'!$O$12="",$D31&lt;&gt;""),"",IF($F31&lt;='La Mia Rosa'!$O$12*'Parametri Modello'!$B$24,"OK",IF($F31&lt;='La Mia Rosa'!$O$12*'Parametri Modello'!$B$25,"Attenzione","Rischio Alto")))</f>
        <v>Attenzione</v>
      </c>
      <c r="V31" s="23">
        <f t="shared" si="1"/>
        <v>17</v>
      </c>
      <c r="W31" s="18">
        <f>'Info Lega'!$B$4-SUMIFS($M$2:$M$492,$D$2:$D$492,'Info Lega'!$B$28)</f>
        <v>1000</v>
      </c>
      <c r="X31" s="18">
        <f>('Info Lega'!$B$5-COUNTIFS($D$2:$D$492,'Info Lega'!$B$28,$B$2:$B$492,"P"))+('Info Lega'!$B$6-COUNTIFS($D$2:$D$492,'Info Lega'!$B$28,$B$2:$B$492,"D"))+('Info Lega'!$B$7-COUNTIFS($D$2:$D$492,'Info Lega'!$B$28,$B$2:$B$492,"C"))+('Info Lega'!$B$8-COUNTIFS($D$2:$D$492,'Info Lega'!$B$28,$B$2:$B$492,"A"))</f>
        <v>25</v>
      </c>
      <c r="Y31" s="18">
        <f>X31*'Parametri Modello'!$B$30</f>
        <v>25</v>
      </c>
      <c r="Z31" s="18">
        <f t="shared" si="2"/>
        <v>975</v>
      </c>
      <c r="AA31" s="18">
        <f t="shared" si="3"/>
        <v>91</v>
      </c>
      <c r="AB31" s="18"/>
      <c r="AC31" s="18" t="str">
        <f>IF($AB31="","",IF($AB31&gt;$AA31,"PASS",IF($AB31&lt;=$AA31*(1-'Parametri Modello'!$B$68),"BID","ATTENZIONE")))</f>
        <v/>
      </c>
      <c r="AD31" s="28">
        <f t="shared" si="4"/>
        <v>71</v>
      </c>
      <c r="AE31" s="5" t="str">
        <f>IFERROR(IF($AF31="Titolare",INDEX('Stato Asta'!$G$9:$G$12,MATCH($B31,'Stato Asta'!$A$9:$A$12,0)),INDEX('Stato Asta'!$P$9:$P$12,MATCH($B31,'Stato Asta'!$A$9:$A$12,0))),"")</f>
        <v>🟡 Attesa rischiosa</v>
      </c>
      <c r="AF31" t="str">
        <f>IFERROR(IF($V31&lt;=INDEX('Parametri Modello'!$C$57:$C$60,MATCH($B31,'Parametri Modello'!$A$57:$A$60,0)),"Titolare","Riserva"),"")</f>
        <v>Titolare</v>
      </c>
      <c r="AG31" t="str">
        <f>IFERROR(INDEX('Pressione Competitiva'!$F$3:$F$6,MATCH($B31,'Pressione Competitiva'!$B$3:$B$6,0)),"")</f>
        <v>🔴 Molto Alta</v>
      </c>
      <c r="AH31" t="str">
        <f t="shared" si="5"/>
        <v/>
      </c>
      <c r="AI31" t="str">
        <f>IFERROR(IF($AH31="","",IF($AH31&gt;=$AA31*'Parametri Modello'!$B$68,"🟢 Opportunita'",IF($AH31&lt;=$AA31*'Parametri Modello'!$B$69,"🔴 Sovrapprezzo","🟡 Prezzo Corretto"))),"")</f>
        <v/>
      </c>
      <c r="AJ31" t="str">
        <f t="shared" si="6"/>
        <v/>
      </c>
      <c r="AK31">
        <f t="shared" si="7"/>
        <v>8</v>
      </c>
      <c r="AL31" t="str">
        <f t="shared" si="8"/>
        <v>A|Buono|8</v>
      </c>
    </row>
    <row r="32" spans="1:38" ht="14.25" customHeight="1" x14ac:dyDescent="0.25">
      <c r="A32" s="18">
        <v>6908</v>
      </c>
      <c r="B32" s="18" t="s">
        <v>264</v>
      </c>
      <c r="C32" s="18" t="s">
        <v>274</v>
      </c>
      <c r="E32" s="23" t="str">
        <f>IF(COUNTIF('Info Strategia'!$D$2:$D$51,$C32)&gt;0,"SI","NO")</f>
        <v>NO</v>
      </c>
      <c r="F32" s="24">
        <f>IFERROR(ROUND(($G32+($H32-$G32)*'Info Strategia'!$B$6)*(1+IF($E32="SI",'Parametri Modello'!$B$7*'Info Strategia'!$B$6,0)),0),"")</f>
        <v>59</v>
      </c>
      <c r="G32" s="24">
        <f>IFERROR(ROUND(MAX(1,(IF($V32&lt;=INDEX('Parametri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40</v>
      </c>
      <c r="H32" s="24">
        <f>IFERROR(ROUND((IF($V32&lt;=INDEX('Parametri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67</v>
      </c>
      <c r="I32" s="23">
        <f>IFERROR(INDEX('Input Statistiche 2025_26'!$F$3:$F$665,MATCH($A32,'Input Statistiche 2025_26'!$A$3:$A$665,0)),"")</f>
        <v>32</v>
      </c>
      <c r="J32" s="23">
        <f t="shared" si="0"/>
        <v>6</v>
      </c>
      <c r="K32" s="23">
        <f>IFERROR(INDEX('Input Statistiche 2025_26'!$I$3:$I$665,MATCH($A32,'Input Statistiche 2025_26'!$A$3:$A$665,0)),"")</f>
        <v>5</v>
      </c>
      <c r="L32" s="23">
        <f>IFERROR(INDEX('Input Statistiche 2025_26'!$O$3:$O$665,MATCH($A32,'Input Statistiche 2025_26'!$A$3:$A$665,0)),"")</f>
        <v>3</v>
      </c>
      <c r="M32" s="25"/>
      <c r="N32" s="24">
        <f>IFERROR(INDEX('Input Giocatori 2026_27'!$E$3:$E$493,MATCH($A32,'Input Giocatori 2026_27'!$A$3:$A$493,0)),"")</f>
        <v>17</v>
      </c>
      <c r="O32" s="24">
        <f>IFERROR(INDEX('Input Giocatori 2026_27'!$G$3:$G$493,MATCH($A32,'Input Giocatori 2026_27'!$A$3:$A$493,0)),"")</f>
        <v>87</v>
      </c>
      <c r="P32" s="23" t="str">
        <f>IFERROR(IF($O32="","",IF((1-(COUNTIFS($B$2:$B$492,$B32,$O$2:$O$492,"&gt;"&amp;$O32)+1-1)/COUNTIF($B$2:$B$492,$B32))&gt;='Parametri Modello'!$B$63,"Top",IF((1-(COUNTIFS($B$2:$B$492,$B32,$O$2:$O$492,"&gt;"&amp;$O32)+1-1)/COUNTIF($B$2:$B$492,$B32))&gt;='Parametri Modello'!$B$64,"Buono",IF((1-(COUNTIFS($B$2:$B$492,$B32,$O$2:$O$492,"&gt;"&amp;$O32)+1-1)/COUNTIF($B$2:$B$492,$B32))&gt;='Parametri Modello'!$B$65,"Nella Media","Scommessa/Riserva")))),"")</f>
        <v>Top</v>
      </c>
      <c r="Q32" s="26">
        <f>IF(AND($D32="",$N32&gt;1),SUMPRODUCT(($D$2:$D32="")*($N$2:$N32&gt;1)),"")</f>
        <v>31</v>
      </c>
      <c r="R32" s="26" t="str">
        <f>IF($D32='Info Lega'!$B$28,COUNTIFS($D$2:$D32,'Info Lega'!$B$28),"")</f>
        <v/>
      </c>
      <c r="S32" s="27">
        <f>IFERROR(INDEX('Input Statistiche 2025_26'!$G$3:$G$665,MATCH($A32,'Input Statistiche 2025_26'!$A$3:$A$665,0)),"")</f>
        <v>6.36</v>
      </c>
      <c r="T32" s="27">
        <f>IFERROR(INDEX('Input Statistiche 2025_26'!$H$3:$H$665,MATCH($A32,'Input Statistiche 2025_26'!$A$3:$A$665,0)),"")</f>
        <v>6.88</v>
      </c>
      <c r="U32" s="23" t="str">
        <f>IF(OR('La Mia Rosa'!$O$12="",$D32&lt;&gt;""),"",IF($F32&lt;='La Mia Rosa'!$O$12*'Parametri Modello'!$B$24,"OK",IF($F32&lt;='La Mia Rosa'!$O$12*'Parametri Modello'!$B$25,"Attenzione","Rischio Alto")))</f>
        <v>OK</v>
      </c>
      <c r="V32" s="23">
        <f t="shared" si="1"/>
        <v>12</v>
      </c>
      <c r="W32" s="18">
        <f>'Info Lega'!$B$4-SUMIFS($M$2:$M$492,$D$2:$D$492,'Info Lega'!$B$28)</f>
        <v>1000</v>
      </c>
      <c r="X32" s="18">
        <f>('Info Lega'!$B$5-COUNTIFS($D$2:$D$492,'Info Lega'!$B$28,$B$2:$B$492,"P"))+('Info Lega'!$B$6-COUNTIFS($D$2:$D$492,'Info Lega'!$B$28,$B$2:$B$492,"D"))+('Info Lega'!$B$7-COUNTIFS($D$2:$D$492,'Info Lega'!$B$28,$B$2:$B$492,"C"))+('Info Lega'!$B$8-COUNTIFS($D$2:$D$492,'Info Lega'!$B$28,$B$2:$B$492,"A"))</f>
        <v>25</v>
      </c>
      <c r="Y32" s="18">
        <f>X32*'Parametri Modello'!$B$30</f>
        <v>25</v>
      </c>
      <c r="Z32" s="18">
        <f t="shared" si="2"/>
        <v>975</v>
      </c>
      <c r="AA32" s="18">
        <f t="shared" si="3"/>
        <v>59</v>
      </c>
      <c r="AB32" s="18"/>
      <c r="AC32" s="18" t="str">
        <f>IF($AB32="","",IF($AB32&gt;$AA32,"PASS",IF($AB32&lt;=$AA32*(1-'Parametri Modello'!$B$68),"BID","ATTENZIONE")))</f>
        <v/>
      </c>
      <c r="AD32" s="28">
        <f t="shared" si="4"/>
        <v>66</v>
      </c>
      <c r="AE32" s="5" t="str">
        <f>IFERROR(IF($AF32="Titolare",INDEX('Stato Asta'!$G$9:$G$12,MATCH($B32,'Stato Asta'!$A$9:$A$12,0)),INDEX('Stato Asta'!$P$9:$P$12,MATCH($B32,'Stato Asta'!$A$9:$A$12,0))),"")</f>
        <v>🟡 Attesa rischiosa</v>
      </c>
      <c r="AF32" t="str">
        <f>IFERROR(IF($V32&lt;=INDEX('Parametri Modello'!$C$57:$C$60,MATCH($B32,'Parametri Modello'!$A$57:$A$60,0)),"Titolare","Riserva"),"")</f>
        <v>Titolare</v>
      </c>
      <c r="AG32" t="str">
        <f>IFERROR(INDEX('Pressione Competitiva'!$F$3:$F$6,MATCH($B32,'Pressione Competitiva'!$B$3:$B$6,0)),"")</f>
        <v>🔴 Molto Alta</v>
      </c>
      <c r="AH32" t="str">
        <f t="shared" si="5"/>
        <v/>
      </c>
      <c r="AI32" t="str">
        <f>IFERROR(IF($AH32="","",IF($AH32&gt;=$AA32*'Parametri Modello'!$B$68,"🟢 Opportunita'",IF($AH32&lt;=$AA32*'Parametri Modello'!$B$69,"🔴 Sovrapprezzo","🟡 Prezzo Corretto"))),"")</f>
        <v/>
      </c>
      <c r="AJ32" t="str">
        <f t="shared" si="6"/>
        <v/>
      </c>
      <c r="AK32">
        <f t="shared" si="7"/>
        <v>12</v>
      </c>
      <c r="AL32" t="str">
        <f t="shared" si="8"/>
        <v>C|Top|12</v>
      </c>
    </row>
    <row r="33" spans="1:38" ht="14.25" customHeight="1" x14ac:dyDescent="0.25">
      <c r="A33" s="18">
        <v>6675</v>
      </c>
      <c r="B33" s="18" t="s">
        <v>437</v>
      </c>
      <c r="C33" s="18" t="s">
        <v>453</v>
      </c>
      <c r="E33" s="23" t="str">
        <f>IF(COUNTIF('Info Strategia'!$D$2:$D$51,$C33)&gt;0,"SI","NO")</f>
        <v>NO</v>
      </c>
      <c r="F33" s="24">
        <f>IFERROR(ROUND(($G33+($H33-$G33)*'Info Strategia'!$B$6)*(1+IF($E33="SI",'Parametri Modello'!$B$7*'Info Strategia'!$B$6,0)),0),"")</f>
        <v>86</v>
      </c>
      <c r="G33" s="24">
        <f>IFERROR(ROUND(MAX(1,(IF($V33&lt;=INDEX('Parametri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54</v>
      </c>
      <c r="H33" s="24">
        <f>IFERROR(ROUND((IF($V33&lt;=INDEX('Parametri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100</v>
      </c>
      <c r="I33" s="23">
        <f>IFERROR(INDEX('Input Statistiche 2025_26'!$F$3:$F$665,MATCH($A33,'Input Statistiche 2025_26'!$A$3:$A$665,0)),"")</f>
        <v>13</v>
      </c>
      <c r="J33" s="23">
        <f t="shared" si="0"/>
        <v>25</v>
      </c>
      <c r="K33" s="23">
        <f>IFERROR(INDEX('Input Statistiche 2025_26'!$I$3:$I$665,MATCH($A33,'Input Statistiche 2025_26'!$A$3:$A$665,0)),"")</f>
        <v>3</v>
      </c>
      <c r="L33" s="23">
        <f>IFERROR(INDEX('Input Statistiche 2025_26'!$O$3:$O$665,MATCH($A33,'Input Statistiche 2025_26'!$A$3:$A$665,0)),"")</f>
        <v>1</v>
      </c>
      <c r="M33" s="25"/>
      <c r="N33" s="24">
        <f>IFERROR(INDEX('Input Giocatori 2026_27'!$E$3:$E$493,MATCH($A33,'Input Giocatori 2026_27'!$A$3:$A$493,0)),"")</f>
        <v>16</v>
      </c>
      <c r="O33" s="24">
        <f>IFERROR(INDEX('Input Giocatori 2026_27'!$G$3:$G$493,MATCH($A33,'Input Giocatori 2026_27'!$A$3:$A$493,0)),"")</f>
        <v>84</v>
      </c>
      <c r="P33" s="23" t="str">
        <f>IFERROR(IF($O33="","",IF((1-(COUNTIFS($B$2:$B$492,$B33,$O$2:$O$492,"&gt;"&amp;$O33)+1-1)/COUNTIF($B$2:$B$492,$B33))&gt;='Parametri Modello'!$B$63,"Top",IF((1-(COUNTIFS($B$2:$B$492,$B33,$O$2:$O$492,"&gt;"&amp;$O33)+1-1)/COUNTIF($B$2:$B$492,$B33))&gt;='Parametri Modello'!$B$64,"Buono",IF((1-(COUNTIFS($B$2:$B$492,$B33,$O$2:$O$492,"&gt;"&amp;$O33)+1-1)/COUNTIF($B$2:$B$492,$B33))&gt;='Parametri Modello'!$B$65,"Nella Media","Scommessa/Riserva")))),"")</f>
        <v>Buono</v>
      </c>
      <c r="Q33" s="26">
        <f>IF(AND($D33="",$N33&gt;1),SUMPRODUCT(($D$2:$D33="")*($N$2:$N33&gt;1)),"")</f>
        <v>32</v>
      </c>
      <c r="R33" s="26" t="str">
        <f>IF($D33='Info Lega'!$B$28,COUNTIFS($D$2:$D33,'Info Lega'!$B$28),"")</f>
        <v/>
      </c>
      <c r="S33" s="27">
        <f>IFERROR(INDEX('Input Statistiche 2025_26'!$G$3:$G$665,MATCH($A33,'Input Statistiche 2025_26'!$A$3:$A$665,0)),"")</f>
        <v>6</v>
      </c>
      <c r="T33" s="27">
        <f>IFERROR(INDEX('Input Statistiche 2025_26'!$H$3:$H$665,MATCH($A33,'Input Statistiche 2025_26'!$A$3:$A$665,0)),"")</f>
        <v>6.77</v>
      </c>
      <c r="U33" s="23" t="str">
        <f>IF(OR('La Mia Rosa'!$O$12="",$D33&lt;&gt;""),"",IF($F33&lt;='La Mia Rosa'!$O$12*'Parametri Modello'!$B$24,"OK",IF($F33&lt;='La Mia Rosa'!$O$12*'Parametri Modello'!$B$25,"Attenzione","Rischio Alto")))</f>
        <v>Attenzione</v>
      </c>
      <c r="V33" s="23">
        <f t="shared" si="1"/>
        <v>18</v>
      </c>
      <c r="W33" s="18">
        <f>'Info Lega'!$B$4-SUMIFS($M$2:$M$492,$D$2:$D$492,'Info Lega'!$B$28)</f>
        <v>1000</v>
      </c>
      <c r="X33" s="18">
        <f>('Info Lega'!$B$5-COUNTIFS($D$2:$D$492,'Info Lega'!$B$28,$B$2:$B$492,"P"))+('Info Lega'!$B$6-COUNTIFS($D$2:$D$492,'Info Lega'!$B$28,$B$2:$B$492,"D"))+('Info Lega'!$B$7-COUNTIFS($D$2:$D$492,'Info Lega'!$B$28,$B$2:$B$492,"C"))+('Info Lega'!$B$8-COUNTIFS($D$2:$D$492,'Info Lega'!$B$28,$B$2:$B$492,"A"))</f>
        <v>25</v>
      </c>
      <c r="Y33" s="18">
        <f>X33*'Parametri Modello'!$B$30</f>
        <v>25</v>
      </c>
      <c r="Z33" s="18">
        <f t="shared" si="2"/>
        <v>975</v>
      </c>
      <c r="AA33" s="18">
        <f t="shared" si="3"/>
        <v>86</v>
      </c>
      <c r="AB33" s="18"/>
      <c r="AC33" s="18" t="str">
        <f>IF($AB33="","",IF($AB33&gt;$AA33,"PASS",IF($AB33&lt;=$AA33*(1-'Parametri Modello'!$B$68),"BID","ATTENZIONE")))</f>
        <v/>
      </c>
      <c r="AD33" s="28">
        <f t="shared" si="4"/>
        <v>35</v>
      </c>
      <c r="AE33" s="5" t="str">
        <f>IFERROR(IF($AF33="Titolare",INDEX('Stato Asta'!$G$9:$G$12,MATCH($B33,'Stato Asta'!$A$9:$A$12,0)),INDEX('Stato Asta'!$P$9:$P$12,MATCH($B33,'Stato Asta'!$A$9:$A$12,0))),"")</f>
        <v>🟡 Attesa rischiosa</v>
      </c>
      <c r="AF33" t="str">
        <f>IFERROR(IF($V33&lt;=INDEX('Parametri Modello'!$C$57:$C$60,MATCH($B33,'Parametri Modello'!$A$57:$A$60,0)),"Titolare","Riserva"),"")</f>
        <v>Titolare</v>
      </c>
      <c r="AG33" t="str">
        <f>IFERROR(INDEX('Pressione Competitiva'!$F$3:$F$6,MATCH($B33,'Pressione Competitiva'!$B$3:$B$6,0)),"")</f>
        <v>🔴 Molto Alta</v>
      </c>
      <c r="AH33" t="str">
        <f t="shared" si="5"/>
        <v/>
      </c>
      <c r="AI33" t="str">
        <f>IFERROR(IF($AH33="","",IF($AH33&gt;=$AA33*'Parametri Modello'!$B$68,"🟢 Opportunita'",IF($AH33&lt;=$AA33*'Parametri Modello'!$B$69,"🔴 Sovrapprezzo","🟡 Prezzo Corretto"))),"")</f>
        <v/>
      </c>
      <c r="AJ33" t="str">
        <f t="shared" si="6"/>
        <v/>
      </c>
      <c r="AK33">
        <f t="shared" si="7"/>
        <v>9</v>
      </c>
      <c r="AL33" t="str">
        <f t="shared" si="8"/>
        <v>A|Buono|9</v>
      </c>
    </row>
    <row r="34" spans="1:38" ht="14.25" customHeight="1" x14ac:dyDescent="0.25">
      <c r="A34" s="18">
        <v>6572</v>
      </c>
      <c r="B34" s="18" t="s">
        <v>437</v>
      </c>
      <c r="C34" s="18" t="s">
        <v>460</v>
      </c>
      <c r="E34" s="23" t="str">
        <f>IF(COUNTIF('Info Strategia'!$D$2:$D$51,$C34)&gt;0,"SI","NO")</f>
        <v>NO</v>
      </c>
      <c r="F34" s="24">
        <f>IFERROR(ROUND(($G34+($H34-$G34)*'Info Strategia'!$B$6)*(1+IF($E34="SI",'Parametri Modello'!$B$7*'Info Strategia'!$B$6,0)),0),"")</f>
        <v>85</v>
      </c>
      <c r="G34" s="24">
        <f>IFERROR(ROUND(MAX(1,(IF($V34&lt;=INDEX('Parametri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53</v>
      </c>
      <c r="H34" s="24">
        <f>IFERROR(ROUND((IF($V34&lt;=INDEX('Parametri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98</v>
      </c>
      <c r="I34" s="23">
        <f>IFERROR(INDEX('Input Statistiche 2025_26'!$F$3:$F$665,MATCH($A34,'Input Statistiche 2025_26'!$A$3:$A$665,0)),"")</f>
        <v>35</v>
      </c>
      <c r="J34" s="23">
        <f t="shared" si="0"/>
        <v>3</v>
      </c>
      <c r="K34" s="23">
        <f>IFERROR(INDEX('Input Statistiche 2025_26'!$I$3:$I$665,MATCH($A34,'Input Statistiche 2025_26'!$A$3:$A$665,0)),"")</f>
        <v>7</v>
      </c>
      <c r="L34" s="23">
        <f>IFERROR(INDEX('Input Statistiche 2025_26'!$O$3:$O$665,MATCH($A34,'Input Statistiche 2025_26'!$A$3:$A$665,0)),"")</f>
        <v>1</v>
      </c>
      <c r="M34" s="25"/>
      <c r="N34" s="24">
        <f>IFERROR(INDEX('Input Giocatori 2026_27'!$E$3:$E$493,MATCH($A34,'Input Giocatori 2026_27'!$A$3:$A$493,0)),"")</f>
        <v>14</v>
      </c>
      <c r="O34" s="24">
        <f>IFERROR(INDEX('Input Giocatori 2026_27'!$G$3:$G$493,MATCH($A34,'Input Giocatori 2026_27'!$A$3:$A$493,0)),"")</f>
        <v>83</v>
      </c>
      <c r="P34" s="23" t="str">
        <f>IFERROR(IF($O34="","",IF((1-(COUNTIFS($B$2:$B$492,$B34,$O$2:$O$492,"&gt;"&amp;$O34)+1-1)/COUNTIF($B$2:$B$492,$B34))&gt;='Parametri Modello'!$B$63,"Top",IF((1-(COUNTIFS($B$2:$B$492,$B34,$O$2:$O$492,"&gt;"&amp;$O34)+1-1)/COUNTIF($B$2:$B$492,$B34))&gt;='Parametri Modello'!$B$64,"Buono",IF((1-(COUNTIFS($B$2:$B$492,$B34,$O$2:$O$492,"&gt;"&amp;$O34)+1-1)/COUNTIF($B$2:$B$492,$B34))&gt;='Parametri Modello'!$B$65,"Nella Media","Scommessa/Riserva")))),"")</f>
        <v>Buono</v>
      </c>
      <c r="Q34" s="26">
        <f>IF(AND($D34="",$N34&gt;1),SUMPRODUCT(($D$2:$D34="")*($N$2:$N34&gt;1)),"")</f>
        <v>33</v>
      </c>
      <c r="R34" s="26" t="str">
        <f>IF($D34='Info Lega'!$B$28,COUNTIFS($D$2:$D34,'Info Lega'!$B$28),"")</f>
        <v/>
      </c>
      <c r="S34" s="27">
        <f>IFERROR(INDEX('Input Statistiche 2025_26'!$G$3:$G$665,MATCH($A34,'Input Statistiche 2025_26'!$A$3:$A$665,0)),"")</f>
        <v>5.93</v>
      </c>
      <c r="T34" s="27">
        <f>IFERROR(INDEX('Input Statistiche 2025_26'!$H$3:$H$665,MATCH($A34,'Input Statistiche 2025_26'!$A$3:$A$665,0)),"")</f>
        <v>6.51</v>
      </c>
      <c r="U34" s="23" t="str">
        <f>IF(OR('La Mia Rosa'!$O$12="",$D34&lt;&gt;""),"",IF($F34&lt;='La Mia Rosa'!$O$12*'Parametri Modello'!$B$24,"OK",IF($F34&lt;='La Mia Rosa'!$O$12*'Parametri Modello'!$B$25,"Attenzione","Rischio Alto")))</f>
        <v>Attenzione</v>
      </c>
      <c r="V34" s="23">
        <f t="shared" si="1"/>
        <v>19</v>
      </c>
      <c r="W34" s="18">
        <f>'Info Lega'!$B$4-SUMIFS($M$2:$M$492,$D$2:$D$492,'Info Lega'!$B$28)</f>
        <v>1000</v>
      </c>
      <c r="X34" s="18">
        <f>('Info Lega'!$B$5-COUNTIFS($D$2:$D$492,'Info Lega'!$B$28,$B$2:$B$492,"P"))+('Info Lega'!$B$6-COUNTIFS($D$2:$D$492,'Info Lega'!$B$28,$B$2:$B$492,"D"))+('Info Lega'!$B$7-COUNTIFS($D$2:$D$492,'Info Lega'!$B$28,$B$2:$B$492,"C"))+('Info Lega'!$B$8-COUNTIFS($D$2:$D$492,'Info Lega'!$B$28,$B$2:$B$492,"A"))</f>
        <v>25</v>
      </c>
      <c r="Y34" s="18">
        <f>X34*'Parametri Modello'!$B$30</f>
        <v>25</v>
      </c>
      <c r="Z34" s="18">
        <f t="shared" si="2"/>
        <v>975</v>
      </c>
      <c r="AA34" s="18">
        <f t="shared" si="3"/>
        <v>85</v>
      </c>
      <c r="AB34" s="18"/>
      <c r="AC34" s="18" t="str">
        <f>IF($AB34="","",IF($AB34&gt;$AA34,"PASS",IF($AB34&lt;=$AA34*(1-'Parametri Modello'!$B$68),"BID","ATTENZIONE")))</f>
        <v/>
      </c>
      <c r="AD34" s="28">
        <f t="shared" si="4"/>
        <v>69</v>
      </c>
      <c r="AE34" s="5" t="str">
        <f>IFERROR(IF($AF34="Titolare",INDEX('Stato Asta'!$G$9:$G$12,MATCH($B34,'Stato Asta'!$A$9:$A$12,0)),INDEX('Stato Asta'!$P$9:$P$12,MATCH($B34,'Stato Asta'!$A$9:$A$12,0))),"")</f>
        <v>🟡 Attesa rischiosa</v>
      </c>
      <c r="AF34" t="str">
        <f>IFERROR(IF($V34&lt;=INDEX('Parametri Modello'!$C$57:$C$60,MATCH($B34,'Parametri Modello'!$A$57:$A$60,0)),"Titolare","Riserva"),"")</f>
        <v>Titolare</v>
      </c>
      <c r="AG34" t="str">
        <f>IFERROR(INDEX('Pressione Competitiva'!$F$3:$F$6,MATCH($B34,'Pressione Competitiva'!$B$3:$B$6,0)),"")</f>
        <v>🔴 Molto Alta</v>
      </c>
      <c r="AH34" t="str">
        <f t="shared" si="5"/>
        <v/>
      </c>
      <c r="AI34" t="str">
        <f>IFERROR(IF($AH34="","",IF($AH34&gt;=$AA34*'Parametri Modello'!$B$68,"🟢 Opportunita'",IF($AH34&lt;=$AA34*'Parametri Modello'!$B$69,"🔴 Sovrapprezzo","🟡 Prezzo Corretto"))),"")</f>
        <v/>
      </c>
      <c r="AJ34" t="str">
        <f t="shared" si="6"/>
        <v/>
      </c>
      <c r="AK34">
        <f t="shared" si="7"/>
        <v>10</v>
      </c>
      <c r="AL34" t="str">
        <f t="shared" si="8"/>
        <v>A|Buono|10</v>
      </c>
    </row>
    <row r="35" spans="1:38" ht="14.25" customHeight="1" x14ac:dyDescent="0.25">
      <c r="A35" s="18">
        <v>1870</v>
      </c>
      <c r="B35" s="18" t="s">
        <v>264</v>
      </c>
      <c r="C35" s="18" t="s">
        <v>275</v>
      </c>
      <c r="E35" s="23" t="str">
        <f>IF(COUNTIF('Info Strategia'!$D$2:$D$51,$C35)&gt;0,"SI","NO")</f>
        <v>NO</v>
      </c>
      <c r="F35" s="24">
        <f>IFERROR(ROUND(($G35+($H35-$G35)*'Info Strategia'!$B$6)*(1+IF($E35="SI",'Parametri Modello'!$B$7*'Info Strategia'!$B$6,0)),0),"")</f>
        <v>55</v>
      </c>
      <c r="G35" s="24">
        <f>IFERROR(ROUND(MAX(1,(IF($V35&lt;=INDEX('Parametri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37</v>
      </c>
      <c r="H35" s="24">
        <f>IFERROR(ROUND((IF($V35&lt;=INDEX('Parametri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62</v>
      </c>
      <c r="I35" s="23">
        <f>IFERROR(INDEX('Input Statistiche 2025_26'!$F$3:$F$665,MATCH($A35,'Input Statistiche 2025_26'!$A$3:$A$665,0)),"")</f>
        <v>34</v>
      </c>
      <c r="J35" s="23">
        <f t="shared" si="0"/>
        <v>4</v>
      </c>
      <c r="K35" s="23">
        <f>IFERROR(INDEX('Input Statistiche 2025_26'!$I$3:$I$665,MATCH($A35,'Input Statistiche 2025_26'!$A$3:$A$665,0)),"")</f>
        <v>3</v>
      </c>
      <c r="L35" s="23">
        <f>IFERROR(INDEX('Input Statistiche 2025_26'!$O$3:$O$665,MATCH($A35,'Input Statistiche 2025_26'!$A$3:$A$665,0)),"")</f>
        <v>9</v>
      </c>
      <c r="M35" s="25"/>
      <c r="N35" s="24">
        <f>IFERROR(INDEX('Input Giocatori 2026_27'!$E$3:$E$493,MATCH($A35,'Input Giocatori 2026_27'!$A$3:$A$493,0)),"")</f>
        <v>17</v>
      </c>
      <c r="O35" s="24">
        <f>IFERROR(INDEX('Input Giocatori 2026_27'!$G$3:$G$493,MATCH($A35,'Input Giocatori 2026_27'!$A$3:$A$493,0)),"")</f>
        <v>82</v>
      </c>
      <c r="P35" s="23" t="str">
        <f>IFERROR(IF($O35="","",IF((1-(COUNTIFS($B$2:$B$492,$B35,$O$2:$O$492,"&gt;"&amp;$O35)+1-1)/COUNTIF($B$2:$B$492,$B35))&gt;='Parametri Modello'!$B$63,"Top",IF((1-(COUNTIFS($B$2:$B$492,$B35,$O$2:$O$492,"&gt;"&amp;$O35)+1-1)/COUNTIF($B$2:$B$492,$B35))&gt;='Parametri Modello'!$B$64,"Buono",IF((1-(COUNTIFS($B$2:$B$492,$B35,$O$2:$O$492,"&gt;"&amp;$O35)+1-1)/COUNTIF($B$2:$B$492,$B35))&gt;='Parametri Modello'!$B$65,"Nella Media","Scommessa/Riserva")))),"")</f>
        <v>Top</v>
      </c>
      <c r="Q35" s="26">
        <f>IF(AND($D35="",$N35&gt;1),SUMPRODUCT(($D$2:$D35="")*($N$2:$N35&gt;1)),"")</f>
        <v>34</v>
      </c>
      <c r="R35" s="26" t="str">
        <f>IF($D35='Info Lega'!$B$28,COUNTIFS($D$2:$D35,'Info Lega'!$B$28),"")</f>
        <v/>
      </c>
      <c r="S35" s="27">
        <f>IFERROR(INDEX('Input Statistiche 2025_26'!$G$3:$G$665,MATCH($A35,'Input Statistiche 2025_26'!$A$3:$A$665,0)),"")</f>
        <v>6.28</v>
      </c>
      <c r="T35" s="27">
        <f>IFERROR(INDEX('Input Statistiche 2025_26'!$H$3:$H$665,MATCH($A35,'Input Statistiche 2025_26'!$A$3:$A$665,0)),"")</f>
        <v>6.71</v>
      </c>
      <c r="U35" s="23" t="str">
        <f>IF(OR('La Mia Rosa'!$O$12="",$D35&lt;&gt;""),"",IF($F35&lt;='La Mia Rosa'!$O$12*'Parametri Modello'!$B$24,"OK",IF($F35&lt;='La Mia Rosa'!$O$12*'Parametri Modello'!$B$25,"Attenzione","Rischio Alto")))</f>
        <v>OK</v>
      </c>
      <c r="V35" s="23">
        <f t="shared" si="1"/>
        <v>13</v>
      </c>
      <c r="W35" s="18">
        <f>'Info Lega'!$B$4-SUMIFS($M$2:$M$492,$D$2:$D$492,'Info Lega'!$B$28)</f>
        <v>1000</v>
      </c>
      <c r="X35" s="18">
        <f>('Info Lega'!$B$5-COUNTIFS($D$2:$D$492,'Info Lega'!$B$28,$B$2:$B$492,"P"))+('Info Lega'!$B$6-COUNTIFS($D$2:$D$492,'Info Lega'!$B$28,$B$2:$B$492,"D"))+('Info Lega'!$B$7-COUNTIFS($D$2:$D$492,'Info Lega'!$B$28,$B$2:$B$492,"C"))+('Info Lega'!$B$8-COUNTIFS($D$2:$D$492,'Info Lega'!$B$28,$B$2:$B$492,"A"))</f>
        <v>25</v>
      </c>
      <c r="Y35" s="18">
        <f>X35*'Parametri Modello'!$B$30</f>
        <v>25</v>
      </c>
      <c r="Z35" s="18">
        <f t="shared" si="2"/>
        <v>975</v>
      </c>
      <c r="AA35" s="18">
        <f t="shared" si="3"/>
        <v>55</v>
      </c>
      <c r="AB35" s="18"/>
      <c r="AC35" s="18" t="str">
        <f>IF($AB35="","",IF($AB35&gt;$AA35,"PASS",IF($AB35&lt;=$AA35*(1-'Parametri Modello'!$B$68),"BID","ATTENZIONE")))</f>
        <v/>
      </c>
      <c r="AD35" s="28">
        <f t="shared" si="4"/>
        <v>68</v>
      </c>
      <c r="AE35" s="5" t="str">
        <f>IFERROR(IF($AF35="Titolare",INDEX('Stato Asta'!$G$9:$G$12,MATCH($B35,'Stato Asta'!$A$9:$A$12,0)),INDEX('Stato Asta'!$P$9:$P$12,MATCH($B35,'Stato Asta'!$A$9:$A$12,0))),"")</f>
        <v>🟡 Attesa rischiosa</v>
      </c>
      <c r="AF35" t="str">
        <f>IFERROR(IF($V35&lt;=INDEX('Parametri Modello'!$C$57:$C$60,MATCH($B35,'Parametri Modello'!$A$57:$A$60,0)),"Titolare","Riserva"),"")</f>
        <v>Titolare</v>
      </c>
      <c r="AG35" t="str">
        <f>IFERROR(INDEX('Pressione Competitiva'!$F$3:$F$6,MATCH($B35,'Pressione Competitiva'!$B$3:$B$6,0)),"")</f>
        <v>🔴 Molto Alta</v>
      </c>
      <c r="AH35" t="str">
        <f t="shared" si="5"/>
        <v/>
      </c>
      <c r="AI35" t="str">
        <f>IFERROR(IF($AH35="","",IF($AH35&gt;=$AA35*'Parametri Modello'!$B$68,"🟢 Opportunita'",IF($AH35&lt;=$AA35*'Parametri Modello'!$B$69,"🔴 Sovrapprezzo","🟡 Prezzo Corretto"))),"")</f>
        <v/>
      </c>
      <c r="AJ35" t="str">
        <f t="shared" si="6"/>
        <v/>
      </c>
      <c r="AK35">
        <f t="shared" si="7"/>
        <v>13</v>
      </c>
      <c r="AL35" t="str">
        <f t="shared" si="8"/>
        <v>C|Top|13</v>
      </c>
    </row>
    <row r="36" spans="1:38" ht="14.25" customHeight="1" x14ac:dyDescent="0.25">
      <c r="A36" s="18">
        <v>2061</v>
      </c>
      <c r="B36" s="18" t="s">
        <v>437</v>
      </c>
      <c r="C36" s="18" t="s">
        <v>457</v>
      </c>
      <c r="E36" s="23" t="str">
        <f>IF(COUNTIF('Info Strategia'!$D$2:$D$51,$C36)&gt;0,"SI","NO")</f>
        <v>NO</v>
      </c>
      <c r="F36" s="24">
        <f>IFERROR(ROUND(($G36+($H36-$G36)*'Info Strategia'!$B$6)*(1+IF($E36="SI",'Parametri Modello'!$B$7*'Info Strategia'!$B$6,0)),0),"")</f>
        <v>85</v>
      </c>
      <c r="G36" s="24">
        <f>IFERROR(ROUND(MAX(1,(IF($V36&lt;=INDEX('Parametri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53</v>
      </c>
      <c r="H36" s="24">
        <f>IFERROR(ROUND((IF($V36&lt;=INDEX('Parametri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99</v>
      </c>
      <c r="I36" s="23">
        <f>IFERROR(INDEX('Input Statistiche 2025_26'!$F$3:$F$665,MATCH($A36,'Input Statistiche 2025_26'!$A$3:$A$665,0)),"")</f>
        <v>32</v>
      </c>
      <c r="J36" s="23">
        <f t="shared" si="0"/>
        <v>6</v>
      </c>
      <c r="K36" s="23">
        <f>IFERROR(INDEX('Input Statistiche 2025_26'!$I$3:$I$665,MATCH($A36,'Input Statistiche 2025_26'!$A$3:$A$665,0)),"")</f>
        <v>11</v>
      </c>
      <c r="L36" s="23">
        <f>IFERROR(INDEX('Input Statistiche 2025_26'!$O$3:$O$665,MATCH($A36,'Input Statistiche 2025_26'!$A$3:$A$665,0)),"")</f>
        <v>0</v>
      </c>
      <c r="M36" s="25"/>
      <c r="N36" s="24">
        <f>IFERROR(INDEX('Input Giocatori 2026_27'!$E$3:$E$493,MATCH($A36,'Input Giocatori 2026_27'!$A$3:$A$493,0)),"")</f>
        <v>15</v>
      </c>
      <c r="O36" s="24">
        <f>IFERROR(INDEX('Input Giocatori 2026_27'!$G$3:$G$493,MATCH($A36,'Input Giocatori 2026_27'!$A$3:$A$493,0)),"")</f>
        <v>82</v>
      </c>
      <c r="P36" s="23" t="str">
        <f>IFERROR(IF($O36="","",IF((1-(COUNTIFS($B$2:$B$492,$B36,$O$2:$O$492,"&gt;"&amp;$O36)+1-1)/COUNTIF($B$2:$B$492,$B36))&gt;='Parametri Modello'!$B$63,"Top",IF((1-(COUNTIFS($B$2:$B$492,$B36,$O$2:$O$492,"&gt;"&amp;$O36)+1-1)/COUNTIF($B$2:$B$492,$B36))&gt;='Parametri Modello'!$B$64,"Buono",IF((1-(COUNTIFS($B$2:$B$492,$B36,$O$2:$O$492,"&gt;"&amp;$O36)+1-1)/COUNTIF($B$2:$B$492,$B36))&gt;='Parametri Modello'!$B$65,"Nella Media","Scommessa/Riserva")))),"")</f>
        <v>Buono</v>
      </c>
      <c r="Q36" s="26">
        <f>IF(AND($D36="",$N36&gt;1),SUMPRODUCT(($D$2:$D36="")*($N$2:$N36&gt;1)),"")</f>
        <v>35</v>
      </c>
      <c r="R36" s="26" t="str">
        <f>IF($D36='Info Lega'!$B$28,COUNTIFS($D$2:$D36,'Info Lega'!$B$28),"")</f>
        <v/>
      </c>
      <c r="S36" s="27">
        <f>IFERROR(INDEX('Input Statistiche 2025_26'!$G$3:$G$665,MATCH($A36,'Input Statistiche 2025_26'!$A$3:$A$665,0)),"")</f>
        <v>6.08</v>
      </c>
      <c r="T36" s="27">
        <f>IFERROR(INDEX('Input Statistiche 2025_26'!$H$3:$H$665,MATCH($A36,'Input Statistiche 2025_26'!$A$3:$A$665,0)),"")</f>
        <v>7.09</v>
      </c>
      <c r="U36" s="23" t="str">
        <f>IF(OR('La Mia Rosa'!$O$12="",$D36&lt;&gt;""),"",IF($F36&lt;='La Mia Rosa'!$O$12*'Parametri Modello'!$B$24,"OK",IF($F36&lt;='La Mia Rosa'!$O$12*'Parametri Modello'!$B$25,"Attenzione","Rischio Alto")))</f>
        <v>Attenzione</v>
      </c>
      <c r="V36" s="23">
        <f t="shared" si="1"/>
        <v>20</v>
      </c>
      <c r="W36" s="18">
        <f>'Info Lega'!$B$4-SUMIFS($M$2:$M$492,$D$2:$D$492,'Info Lega'!$B$28)</f>
        <v>1000</v>
      </c>
      <c r="X36" s="18">
        <f>('Info Lega'!$B$5-COUNTIFS($D$2:$D$492,'Info Lega'!$B$28,$B$2:$B$492,"P"))+('Info Lega'!$B$6-COUNTIFS($D$2:$D$492,'Info Lega'!$B$28,$B$2:$B$492,"D"))+('Info Lega'!$B$7-COUNTIFS($D$2:$D$492,'Info Lega'!$B$28,$B$2:$B$492,"C"))+('Info Lega'!$B$8-COUNTIFS($D$2:$D$492,'Info Lega'!$B$28,$B$2:$B$492,"A"))</f>
        <v>25</v>
      </c>
      <c r="Y36" s="18">
        <f>X36*'Parametri Modello'!$B$30</f>
        <v>25</v>
      </c>
      <c r="Z36" s="18">
        <f t="shared" si="2"/>
        <v>975</v>
      </c>
      <c r="AA36" s="18">
        <f t="shared" si="3"/>
        <v>85</v>
      </c>
      <c r="AB36" s="18"/>
      <c r="AC36" s="18" t="str">
        <f>IF($AB36="","",IF($AB36&gt;$AA36,"PASS",IF($AB36&lt;=$AA36*(1-'Parametri Modello'!$B$68),"BID","ATTENZIONE")))</f>
        <v/>
      </c>
      <c r="AD36" s="28">
        <f t="shared" si="4"/>
        <v>66</v>
      </c>
      <c r="AE36" s="5" t="str">
        <f>IFERROR(IF($AF36="Titolare",INDEX('Stato Asta'!$G$9:$G$12,MATCH($B36,'Stato Asta'!$A$9:$A$12,0)),INDEX('Stato Asta'!$P$9:$P$12,MATCH($B36,'Stato Asta'!$A$9:$A$12,0))),"")</f>
        <v>🟡 Attesa rischiosa</v>
      </c>
      <c r="AF36" t="str">
        <f>IFERROR(IF($V36&lt;=INDEX('Parametri Modello'!$C$57:$C$60,MATCH($B36,'Parametri Modello'!$A$57:$A$60,0)),"Titolare","Riserva"),"")</f>
        <v>Titolare</v>
      </c>
      <c r="AG36" t="str">
        <f>IFERROR(INDEX('Pressione Competitiva'!$F$3:$F$6,MATCH($B36,'Pressione Competitiva'!$B$3:$B$6,0)),"")</f>
        <v>🔴 Molto Alta</v>
      </c>
      <c r="AH36" t="str">
        <f t="shared" si="5"/>
        <v/>
      </c>
      <c r="AI36" t="str">
        <f>IFERROR(IF($AH36="","",IF($AH36&gt;=$AA36*'Parametri Modello'!$B$68,"🟢 Opportunita'",IF($AH36&lt;=$AA36*'Parametri Modello'!$B$69,"🔴 Sovrapprezzo","🟡 Prezzo Corretto"))),"")</f>
        <v/>
      </c>
      <c r="AJ36" t="str">
        <f t="shared" si="6"/>
        <v/>
      </c>
      <c r="AK36">
        <f t="shared" si="7"/>
        <v>11</v>
      </c>
      <c r="AL36" t="str">
        <f t="shared" si="8"/>
        <v>A|Buono|11</v>
      </c>
    </row>
    <row r="37" spans="1:38" ht="14.25" customHeight="1" x14ac:dyDescent="0.25">
      <c r="A37" s="18">
        <v>7023</v>
      </c>
      <c r="B37" s="18" t="s">
        <v>437</v>
      </c>
      <c r="C37" s="18" t="s">
        <v>455</v>
      </c>
      <c r="E37" s="23" t="str">
        <f>IF(COUNTIF('Info Strategia'!$D$2:$D$51,$C37)&gt;0,"SI","NO")</f>
        <v>NO</v>
      </c>
      <c r="F37" s="24">
        <f>IFERROR(ROUND(($G37+($H37-$G37)*'Info Strategia'!$B$6)*(1+IF($E37="SI",'Parametri Modello'!$B$7*'Info Strategia'!$B$6,0)),0),"")</f>
        <v>83</v>
      </c>
      <c r="G37" s="24">
        <f>IFERROR(ROUND(MAX(1,(IF($V37&lt;=INDEX('Parametri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52</v>
      </c>
      <c r="H37" s="24">
        <f>IFERROR(ROUND((IF($V37&lt;=INDEX('Parametri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96</v>
      </c>
      <c r="I37" s="23">
        <f>IFERROR(INDEX('Input Statistiche 2025_26'!$F$3:$F$665,MATCH($A37,'Input Statistiche 2025_26'!$A$3:$A$665,0)),"")</f>
        <v>37</v>
      </c>
      <c r="J37" s="23">
        <f t="shared" si="0"/>
        <v>1</v>
      </c>
      <c r="K37" s="23">
        <f>IFERROR(INDEX('Input Statistiche 2025_26'!$I$3:$I$665,MATCH($A37,'Input Statistiche 2025_26'!$A$3:$A$665,0)),"")</f>
        <v>9</v>
      </c>
      <c r="L37" s="23">
        <f>IFERROR(INDEX('Input Statistiche 2025_26'!$O$3:$O$665,MATCH($A37,'Input Statistiche 2025_26'!$A$3:$A$665,0)),"")</f>
        <v>0</v>
      </c>
      <c r="M37" s="25"/>
      <c r="N37" s="24">
        <f>IFERROR(INDEX('Input Giocatori 2026_27'!$E$3:$E$493,MATCH($A37,'Input Giocatori 2026_27'!$A$3:$A$493,0)),"")</f>
        <v>15</v>
      </c>
      <c r="O37" s="24">
        <f>IFERROR(INDEX('Input Giocatori 2026_27'!$G$3:$G$493,MATCH($A37,'Input Giocatori 2026_27'!$A$3:$A$493,0)),"")</f>
        <v>81</v>
      </c>
      <c r="P37" s="23" t="str">
        <f>IFERROR(IF($O37="","",IF((1-(COUNTIFS($B$2:$B$492,$B37,$O$2:$O$492,"&gt;"&amp;$O37)+1-1)/COUNTIF($B$2:$B$492,$B37))&gt;='Parametri Modello'!$B$63,"Top",IF((1-(COUNTIFS($B$2:$B$492,$B37,$O$2:$O$492,"&gt;"&amp;$O37)+1-1)/COUNTIF($B$2:$B$492,$B37))&gt;='Parametri Modello'!$B$64,"Buono",IF((1-(COUNTIFS($B$2:$B$492,$B37,$O$2:$O$492,"&gt;"&amp;$O37)+1-1)/COUNTIF($B$2:$B$492,$B37))&gt;='Parametri Modello'!$B$65,"Nella Media","Scommessa/Riserva")))),"")</f>
        <v>Buono</v>
      </c>
      <c r="Q37" s="26">
        <f>IF(AND($D37="",$N37&gt;1),SUMPRODUCT(($D$2:$D37="")*($N$2:$N37&gt;1)),"")</f>
        <v>36</v>
      </c>
      <c r="R37" s="26" t="str">
        <f>IF($D37='Info Lega'!$B$28,COUNTIFS($D$2:$D37,'Info Lega'!$B$28),"")</f>
        <v/>
      </c>
      <c r="S37" s="27">
        <f>IFERROR(INDEX('Input Statistiche 2025_26'!$G$3:$G$665,MATCH($A37,'Input Statistiche 2025_26'!$A$3:$A$665,0)),"")</f>
        <v>5.99</v>
      </c>
      <c r="T37" s="27">
        <f>IFERROR(INDEX('Input Statistiche 2025_26'!$H$3:$H$665,MATCH($A37,'Input Statistiche 2025_26'!$A$3:$A$665,0)),"")</f>
        <v>6.65</v>
      </c>
      <c r="U37" s="23" t="str">
        <f>IF(OR('La Mia Rosa'!$O$12="",$D37&lt;&gt;""),"",IF($F37&lt;='La Mia Rosa'!$O$12*'Parametri Modello'!$B$24,"OK",IF($F37&lt;='La Mia Rosa'!$O$12*'Parametri Modello'!$B$25,"Attenzione","Rischio Alto")))</f>
        <v>Attenzione</v>
      </c>
      <c r="V37" s="23">
        <f t="shared" si="1"/>
        <v>21</v>
      </c>
      <c r="W37" s="18">
        <f>'Info Lega'!$B$4-SUMIFS($M$2:$M$492,$D$2:$D$492,'Info Lega'!$B$28)</f>
        <v>1000</v>
      </c>
      <c r="X37" s="18">
        <f>('Info Lega'!$B$5-COUNTIFS($D$2:$D$492,'Info Lega'!$B$28,$B$2:$B$492,"P"))+('Info Lega'!$B$6-COUNTIFS($D$2:$D$492,'Info Lega'!$B$28,$B$2:$B$492,"D"))+('Info Lega'!$B$7-COUNTIFS($D$2:$D$492,'Info Lega'!$B$28,$B$2:$B$492,"C"))+('Info Lega'!$B$8-COUNTIFS($D$2:$D$492,'Info Lega'!$B$28,$B$2:$B$492,"A"))</f>
        <v>25</v>
      </c>
      <c r="Y37" s="18">
        <f>X37*'Parametri Modello'!$B$30</f>
        <v>25</v>
      </c>
      <c r="Z37" s="18">
        <f t="shared" si="2"/>
        <v>975</v>
      </c>
      <c r="AA37" s="18">
        <f t="shared" si="3"/>
        <v>83</v>
      </c>
      <c r="AB37" s="18"/>
      <c r="AC37" s="18" t="str">
        <f>IF($AB37="","",IF($AB37&gt;$AA37,"PASS",IF($AB37&lt;=$AA37*(1-'Parametri Modello'!$B$68),"BID","ATTENZIONE")))</f>
        <v/>
      </c>
      <c r="AD37" s="28">
        <f t="shared" si="4"/>
        <v>71</v>
      </c>
      <c r="AE37" s="5" t="str">
        <f>IFERROR(IF($AF37="Titolare",INDEX('Stato Asta'!$G$9:$G$12,MATCH($B37,'Stato Asta'!$A$9:$A$12,0)),INDEX('Stato Asta'!$P$9:$P$12,MATCH($B37,'Stato Asta'!$A$9:$A$12,0))),"")</f>
        <v>🟡 Attesa rischiosa</v>
      </c>
      <c r="AF37" t="str">
        <f>IFERROR(IF($V37&lt;=INDEX('Parametri Modello'!$C$57:$C$60,MATCH($B37,'Parametri Modello'!$A$57:$A$60,0)),"Titolare","Riserva"),"")</f>
        <v>Titolare</v>
      </c>
      <c r="AG37" t="str">
        <f>IFERROR(INDEX('Pressione Competitiva'!$F$3:$F$6,MATCH($B37,'Pressione Competitiva'!$B$3:$B$6,0)),"")</f>
        <v>🔴 Molto Alta</v>
      </c>
      <c r="AH37" t="str">
        <f t="shared" si="5"/>
        <v/>
      </c>
      <c r="AI37" t="str">
        <f>IFERROR(IF($AH37="","",IF($AH37&gt;=$AA37*'Parametri Modello'!$B$68,"🟢 Opportunita'",IF($AH37&lt;=$AA37*'Parametri Modello'!$B$69,"🔴 Sovrapprezzo","🟡 Prezzo Corretto"))),"")</f>
        <v/>
      </c>
      <c r="AJ37" t="str">
        <f t="shared" si="6"/>
        <v/>
      </c>
      <c r="AK37">
        <f t="shared" si="7"/>
        <v>12</v>
      </c>
      <c r="AL37" t="str">
        <f t="shared" si="8"/>
        <v>A|Buono|12</v>
      </c>
    </row>
    <row r="38" spans="1:38" ht="14.25" customHeight="1" x14ac:dyDescent="0.25">
      <c r="A38" s="18">
        <v>5687</v>
      </c>
      <c r="B38" s="18" t="s">
        <v>264</v>
      </c>
      <c r="C38" s="18" t="s">
        <v>279</v>
      </c>
      <c r="E38" s="23" t="str">
        <f>IF(COUNTIF('Info Strategia'!$D$2:$D$51,$C38)&gt;0,"SI","NO")</f>
        <v>NO</v>
      </c>
      <c r="F38" s="24">
        <f>IFERROR(ROUND(($G38+($H38-$G38)*'Info Strategia'!$B$6)*(1+IF($E38="SI",'Parametri Modello'!$B$7*'Info Strategia'!$B$6,0)),0),"")</f>
        <v>54</v>
      </c>
      <c r="G38" s="24">
        <f>IFERROR(ROUND(MAX(1,(IF($V38&lt;=INDEX('Parametri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36</v>
      </c>
      <c r="H38" s="24">
        <f>IFERROR(ROUND((IF($V38&lt;=INDEX('Parametri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61</v>
      </c>
      <c r="I38" s="23">
        <f>IFERROR(INDEX('Input Statistiche 2025_26'!$F$3:$F$665,MATCH($A38,'Input Statistiche 2025_26'!$A$3:$A$665,0)),"")</f>
        <v>37</v>
      </c>
      <c r="J38" s="23">
        <f t="shared" si="0"/>
        <v>1</v>
      </c>
      <c r="K38" s="23">
        <f>IFERROR(INDEX('Input Statistiche 2025_26'!$I$3:$I$665,MATCH($A38,'Input Statistiche 2025_26'!$A$3:$A$665,0)),"")</f>
        <v>8</v>
      </c>
      <c r="L38" s="23">
        <f>IFERROR(INDEX('Input Statistiche 2025_26'!$O$3:$O$665,MATCH($A38,'Input Statistiche 2025_26'!$A$3:$A$665,0)),"")</f>
        <v>3</v>
      </c>
      <c r="M38" s="25"/>
      <c r="N38" s="24">
        <f>IFERROR(INDEX('Input Giocatori 2026_27'!$E$3:$E$493,MATCH($A38,'Input Giocatori 2026_27'!$A$3:$A$493,0)),"")</f>
        <v>14</v>
      </c>
      <c r="O38" s="24">
        <f>IFERROR(INDEX('Input Giocatori 2026_27'!$G$3:$G$493,MATCH($A38,'Input Giocatori 2026_27'!$A$3:$A$493,0)),"")</f>
        <v>80</v>
      </c>
      <c r="P38" s="23" t="str">
        <f>IFERROR(IF($O38="","",IF((1-(COUNTIFS($B$2:$B$492,$B38,$O$2:$O$492,"&gt;"&amp;$O38)+1-1)/COUNTIF($B$2:$B$492,$B38))&gt;='Parametri Modello'!$B$63,"Top",IF((1-(COUNTIFS($B$2:$B$492,$B38,$O$2:$O$492,"&gt;"&amp;$O38)+1-1)/COUNTIF($B$2:$B$492,$B38))&gt;='Parametri Modello'!$B$64,"Buono",IF((1-(COUNTIFS($B$2:$B$492,$B38,$O$2:$O$492,"&gt;"&amp;$O38)+1-1)/COUNTIF($B$2:$B$492,$B38))&gt;='Parametri Modello'!$B$65,"Nella Media","Scommessa/Riserva")))),"")</f>
        <v>Top</v>
      </c>
      <c r="Q38" s="26">
        <f>IF(AND($D38="",$N38&gt;1),SUMPRODUCT(($D$2:$D38="")*($N$2:$N38&gt;1)),"")</f>
        <v>37</v>
      </c>
      <c r="R38" s="26" t="str">
        <f>IF($D38='Info Lega'!$B$28,COUNTIFS($D$2:$D38,'Info Lega'!$B$28),"")</f>
        <v/>
      </c>
      <c r="S38" s="27">
        <f>IFERROR(INDEX('Input Statistiche 2025_26'!$G$3:$G$665,MATCH($A38,'Input Statistiche 2025_26'!$A$3:$A$665,0)),"")</f>
        <v>6.03</v>
      </c>
      <c r="T38" s="27">
        <f>IFERROR(INDEX('Input Statistiche 2025_26'!$H$3:$H$665,MATCH($A38,'Input Statistiche 2025_26'!$A$3:$A$665,0)),"")</f>
        <v>6.66</v>
      </c>
      <c r="U38" s="23" t="str">
        <f>IF(OR('La Mia Rosa'!$O$12="",$D38&lt;&gt;""),"",IF($F38&lt;='La Mia Rosa'!$O$12*'Parametri Modello'!$B$24,"OK",IF($F38&lt;='La Mia Rosa'!$O$12*'Parametri Modello'!$B$25,"Attenzione","Rischio Alto")))</f>
        <v>OK</v>
      </c>
      <c r="V38" s="23">
        <f t="shared" si="1"/>
        <v>14</v>
      </c>
      <c r="W38" s="18">
        <f>'Info Lega'!$B$4-SUMIFS($M$2:$M$492,$D$2:$D$492,'Info Lega'!$B$28)</f>
        <v>1000</v>
      </c>
      <c r="X38" s="18">
        <f>('Info Lega'!$B$5-COUNTIFS($D$2:$D$492,'Info Lega'!$B$28,$B$2:$B$492,"P"))+('Info Lega'!$B$6-COUNTIFS($D$2:$D$492,'Info Lega'!$B$28,$B$2:$B$492,"D"))+('Info Lega'!$B$7-COUNTIFS($D$2:$D$492,'Info Lega'!$B$28,$B$2:$B$492,"C"))+('Info Lega'!$B$8-COUNTIFS($D$2:$D$492,'Info Lega'!$B$28,$B$2:$B$492,"A"))</f>
        <v>25</v>
      </c>
      <c r="Y38" s="18">
        <f>X38*'Parametri Modello'!$B$30</f>
        <v>25</v>
      </c>
      <c r="Z38" s="18">
        <f t="shared" si="2"/>
        <v>975</v>
      </c>
      <c r="AA38" s="18">
        <f t="shared" si="3"/>
        <v>54</v>
      </c>
      <c r="AB38" s="18"/>
      <c r="AC38" s="18" t="str">
        <f>IF($AB38="","",IF($AB38&gt;$AA38,"PASS",IF($AB38&lt;=$AA38*(1-'Parametri Modello'!$B$68),"BID","ATTENZIONE")))</f>
        <v/>
      </c>
      <c r="AD38" s="28">
        <f t="shared" si="4"/>
        <v>71</v>
      </c>
      <c r="AE38" s="5" t="str">
        <f>IFERROR(IF($AF38="Titolare",INDEX('Stato Asta'!$G$9:$G$12,MATCH($B38,'Stato Asta'!$A$9:$A$12,0)),INDEX('Stato Asta'!$P$9:$P$12,MATCH($B38,'Stato Asta'!$A$9:$A$12,0))),"")</f>
        <v>🟡 Attesa rischiosa</v>
      </c>
      <c r="AF38" t="str">
        <f>IFERROR(IF($V38&lt;=INDEX('Parametri Modello'!$C$57:$C$60,MATCH($B38,'Parametri Modello'!$A$57:$A$60,0)),"Titolare","Riserva"),"")</f>
        <v>Titolare</v>
      </c>
      <c r="AG38" t="str">
        <f>IFERROR(INDEX('Pressione Competitiva'!$F$3:$F$6,MATCH($B38,'Pressione Competitiva'!$B$3:$B$6,0)),"")</f>
        <v>🔴 Molto Alta</v>
      </c>
      <c r="AH38" t="str">
        <f t="shared" si="5"/>
        <v/>
      </c>
      <c r="AI38" t="str">
        <f>IFERROR(IF($AH38="","",IF($AH38&gt;=$AA38*'Parametri Modello'!$B$68,"🟢 Opportunita'",IF($AH38&lt;=$AA38*'Parametri Modello'!$B$69,"🔴 Sovrapprezzo","🟡 Prezzo Corretto"))),"")</f>
        <v/>
      </c>
      <c r="AJ38" t="str">
        <f t="shared" si="6"/>
        <v/>
      </c>
      <c r="AK38">
        <f t="shared" si="7"/>
        <v>14</v>
      </c>
      <c r="AL38" t="str">
        <f t="shared" si="8"/>
        <v>C|Top|14</v>
      </c>
    </row>
    <row r="39" spans="1:38" ht="14.25" customHeight="1" x14ac:dyDescent="0.25">
      <c r="A39" s="18">
        <v>4973</v>
      </c>
      <c r="B39" s="18" t="s">
        <v>264</v>
      </c>
      <c r="C39" s="18" t="s">
        <v>276</v>
      </c>
      <c r="E39" s="23" t="str">
        <f>IF(COUNTIF('Info Strategia'!$D$2:$D$51,$C39)&gt;0,"SI","NO")</f>
        <v>NO</v>
      </c>
      <c r="F39" s="24">
        <f>IFERROR(ROUND(($G39+($H39-$G39)*'Info Strategia'!$B$6)*(1+IF($E39="SI",'Parametri Modello'!$B$7*'Info Strategia'!$B$6,0)),0),"")</f>
        <v>46</v>
      </c>
      <c r="G39" s="24">
        <f>IFERROR(ROUND(MAX(1,(IF($V39&lt;=INDEX('Parametri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31</v>
      </c>
      <c r="H39" s="24">
        <f>IFERROR(ROUND((IF($V39&lt;=INDEX('Parametri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52</v>
      </c>
      <c r="I39" s="23">
        <f>IFERROR(INDEX('Input Statistiche 2025_26'!$F$3:$F$665,MATCH($A39,'Input Statistiche 2025_26'!$A$3:$A$665,0)),"")</f>
        <v>34</v>
      </c>
      <c r="J39" s="23">
        <f t="shared" si="0"/>
        <v>4</v>
      </c>
      <c r="K39" s="23">
        <f>IFERROR(INDEX('Input Statistiche 2025_26'!$I$3:$I$665,MATCH($A39,'Input Statistiche 2025_26'!$A$3:$A$665,0)),"")</f>
        <v>5</v>
      </c>
      <c r="L39" s="23">
        <f>IFERROR(INDEX('Input Statistiche 2025_26'!$O$3:$O$665,MATCH($A39,'Input Statistiche 2025_26'!$A$3:$A$665,0)),"")</f>
        <v>6</v>
      </c>
      <c r="M39" s="25"/>
      <c r="N39" s="24">
        <f>IFERROR(INDEX('Input Giocatori 2026_27'!$E$3:$E$493,MATCH($A39,'Input Giocatori 2026_27'!$A$3:$A$493,0)),"")</f>
        <v>17</v>
      </c>
      <c r="O39" s="24">
        <f>IFERROR(INDEX('Input Giocatori 2026_27'!$G$3:$G$493,MATCH($A39,'Input Giocatori 2026_27'!$A$3:$A$493,0)),"")</f>
        <v>68</v>
      </c>
      <c r="P39" s="23" t="str">
        <f>IFERROR(IF($O39="","",IF((1-(COUNTIFS($B$2:$B$492,$B39,$O$2:$O$492,"&gt;"&amp;$O39)+1-1)/COUNTIF($B$2:$B$492,$B39))&gt;='Parametri Modello'!$B$63,"Top",IF((1-(COUNTIFS($B$2:$B$492,$B39,$O$2:$O$492,"&gt;"&amp;$O39)+1-1)/COUNTIF($B$2:$B$492,$B39))&gt;='Parametri Modello'!$B$64,"Buono",IF((1-(COUNTIFS($B$2:$B$492,$B39,$O$2:$O$492,"&gt;"&amp;$O39)+1-1)/COUNTIF($B$2:$B$492,$B39))&gt;='Parametri Modello'!$B$65,"Nella Media","Scommessa/Riserva")))),"")</f>
        <v>Top</v>
      </c>
      <c r="Q39" s="26">
        <f>IF(AND($D39="",$N39&gt;1),SUMPRODUCT(($D$2:$D39="")*($N$2:$N39&gt;1)),"")</f>
        <v>38</v>
      </c>
      <c r="R39" s="26" t="str">
        <f>IF($D39='Info Lega'!$B$28,COUNTIFS($D$2:$D39,'Info Lega'!$B$28),"")</f>
        <v/>
      </c>
      <c r="S39" s="27">
        <f>IFERROR(INDEX('Input Statistiche 2025_26'!$G$3:$G$665,MATCH($A39,'Input Statistiche 2025_26'!$A$3:$A$665,0)),"")</f>
        <v>6.13</v>
      </c>
      <c r="T39" s="27">
        <f>IFERROR(INDEX('Input Statistiche 2025_26'!$H$3:$H$665,MATCH($A39,'Input Statistiche 2025_26'!$A$3:$A$665,0)),"")</f>
        <v>6.68</v>
      </c>
      <c r="U39" s="23" t="str">
        <f>IF(OR('La Mia Rosa'!$O$12="",$D39&lt;&gt;""),"",IF($F39&lt;='La Mia Rosa'!$O$12*'Parametri Modello'!$B$24,"OK",IF($F39&lt;='La Mia Rosa'!$O$12*'Parametri Modello'!$B$25,"Attenzione","Rischio Alto")))</f>
        <v>OK</v>
      </c>
      <c r="V39" s="23">
        <f t="shared" si="1"/>
        <v>15</v>
      </c>
      <c r="W39" s="18">
        <f>'Info Lega'!$B$4-SUMIFS($M$2:$M$492,$D$2:$D$492,'Info Lega'!$B$28)</f>
        <v>1000</v>
      </c>
      <c r="X39" s="18">
        <f>('Info Lega'!$B$5-COUNTIFS($D$2:$D$492,'Info Lega'!$B$28,$B$2:$B$492,"P"))+('Info Lega'!$B$6-COUNTIFS($D$2:$D$492,'Info Lega'!$B$28,$B$2:$B$492,"D"))+('Info Lega'!$B$7-COUNTIFS($D$2:$D$492,'Info Lega'!$B$28,$B$2:$B$492,"C"))+('Info Lega'!$B$8-COUNTIFS($D$2:$D$492,'Info Lega'!$B$28,$B$2:$B$492,"A"))</f>
        <v>25</v>
      </c>
      <c r="Y39" s="18">
        <f>X39*'Parametri Modello'!$B$30</f>
        <v>25</v>
      </c>
      <c r="Z39" s="18">
        <f t="shared" si="2"/>
        <v>975</v>
      </c>
      <c r="AA39" s="18">
        <f t="shared" si="3"/>
        <v>46</v>
      </c>
      <c r="AB39" s="18"/>
      <c r="AC39" s="18" t="str">
        <f>IF($AB39="","",IF($AB39&gt;$AA39,"PASS",IF($AB39&lt;=$AA39*(1-'Parametri Modello'!$B$68),"BID","ATTENZIONE")))</f>
        <v/>
      </c>
      <c r="AD39" s="28">
        <f t="shared" si="4"/>
        <v>68</v>
      </c>
      <c r="AE39" s="5" t="str">
        <f>IFERROR(IF($AF39="Titolare",INDEX('Stato Asta'!$G$9:$G$12,MATCH($B39,'Stato Asta'!$A$9:$A$12,0)),INDEX('Stato Asta'!$P$9:$P$12,MATCH($B39,'Stato Asta'!$A$9:$A$12,0))),"")</f>
        <v>🟡 Attesa rischiosa</v>
      </c>
      <c r="AF39" t="str">
        <f>IFERROR(IF($V39&lt;=INDEX('Parametri Modello'!$C$57:$C$60,MATCH($B39,'Parametri Modello'!$A$57:$A$60,0)),"Titolare","Riserva"),"")</f>
        <v>Titolare</v>
      </c>
      <c r="AG39" t="str">
        <f>IFERROR(INDEX('Pressione Competitiva'!$F$3:$F$6,MATCH($B39,'Pressione Competitiva'!$B$3:$B$6,0)),"")</f>
        <v>🔴 Molto Alta</v>
      </c>
      <c r="AH39" t="str">
        <f t="shared" si="5"/>
        <v/>
      </c>
      <c r="AI39" t="str">
        <f>IFERROR(IF($AH39="","",IF($AH39&gt;=$AA39*'Parametri Modello'!$B$68,"🟢 Opportunita'",IF($AH39&lt;=$AA39*'Parametri Modello'!$B$69,"🔴 Sovrapprezzo","🟡 Prezzo Corretto"))),"")</f>
        <v/>
      </c>
      <c r="AJ39" t="str">
        <f t="shared" si="6"/>
        <v/>
      </c>
      <c r="AK39">
        <f t="shared" si="7"/>
        <v>15</v>
      </c>
      <c r="AL39" t="str">
        <f t="shared" si="8"/>
        <v>C|Top|15</v>
      </c>
    </row>
    <row r="40" spans="1:38" ht="14.25" customHeight="1" x14ac:dyDescent="0.25">
      <c r="A40" s="18">
        <v>309</v>
      </c>
      <c r="B40" s="18" t="s">
        <v>437</v>
      </c>
      <c r="C40" s="18" t="s">
        <v>459</v>
      </c>
      <c r="E40" s="23" t="str">
        <f>IF(COUNTIF('Info Strategia'!$D$2:$D$51,$C40)&gt;0,"SI","NO")</f>
        <v>NO</v>
      </c>
      <c r="F40" s="24">
        <f>IFERROR(ROUND(($G40+($H40-$G40)*'Info Strategia'!$B$6)*(1+IF($E40="SI",'Parametri Modello'!$B$7*'Info Strategia'!$B$6,0)),0),"")</f>
        <v>69</v>
      </c>
      <c r="G40" s="24">
        <f>IFERROR(ROUND(MAX(1,(IF($V40&lt;=INDEX('Parametri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43</v>
      </c>
      <c r="H40" s="24">
        <f>IFERROR(ROUND((IF($V40&lt;=INDEX('Parametri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80</v>
      </c>
      <c r="I40" s="23">
        <f>IFERROR(INDEX('Input Statistiche 2025_26'!$F$3:$F$665,MATCH($A40,'Input Statistiche 2025_26'!$A$3:$A$665,0)),"")</f>
        <v>21</v>
      </c>
      <c r="J40" s="23">
        <f t="shared" si="0"/>
        <v>17</v>
      </c>
      <c r="K40" s="23">
        <f>IFERROR(INDEX('Input Statistiche 2025_26'!$I$3:$I$665,MATCH($A40,'Input Statistiche 2025_26'!$A$3:$A$665,0)),"")</f>
        <v>2</v>
      </c>
      <c r="L40" s="23">
        <f>IFERROR(INDEX('Input Statistiche 2025_26'!$O$3:$O$665,MATCH($A40,'Input Statistiche 2025_26'!$A$3:$A$665,0)),"")</f>
        <v>7</v>
      </c>
      <c r="M40" s="25"/>
      <c r="N40" s="24">
        <f>IFERROR(INDEX('Input Giocatori 2026_27'!$E$3:$E$493,MATCH($A40,'Input Giocatori 2026_27'!$A$3:$A$493,0)),"")</f>
        <v>14</v>
      </c>
      <c r="O40" s="24">
        <f>IFERROR(INDEX('Input Giocatori 2026_27'!$G$3:$G$493,MATCH($A40,'Input Giocatori 2026_27'!$A$3:$A$493,0)),"")</f>
        <v>67</v>
      </c>
      <c r="P40" s="23" t="str">
        <f>IFERROR(IF($O40="","",IF((1-(COUNTIFS($B$2:$B$492,$B40,$O$2:$O$492,"&gt;"&amp;$O40)+1-1)/COUNTIF($B$2:$B$492,$B40))&gt;='Parametri Modello'!$B$63,"Top",IF((1-(COUNTIFS($B$2:$B$492,$B40,$O$2:$O$492,"&gt;"&amp;$O40)+1-1)/COUNTIF($B$2:$B$492,$B40))&gt;='Parametri Modello'!$B$64,"Buono",IF((1-(COUNTIFS($B$2:$B$492,$B40,$O$2:$O$492,"&gt;"&amp;$O40)+1-1)/COUNTIF($B$2:$B$492,$B40))&gt;='Parametri Modello'!$B$65,"Nella Media","Scommessa/Riserva")))),"")</f>
        <v>Buono</v>
      </c>
      <c r="Q40" s="26">
        <f>IF(AND($D40="",$N40&gt;1),SUMPRODUCT(($D$2:$D40="")*($N$2:$N40&gt;1)),"")</f>
        <v>39</v>
      </c>
      <c r="R40" s="26" t="str">
        <f>IF($D40='Info Lega'!$B$28,COUNTIFS($D$2:$D40,'Info Lega'!$B$28),"")</f>
        <v/>
      </c>
      <c r="S40" s="27">
        <f>IFERROR(INDEX('Input Statistiche 2025_26'!$G$3:$G$665,MATCH($A40,'Input Statistiche 2025_26'!$A$3:$A$665,0)),"")</f>
        <v>6.26</v>
      </c>
      <c r="T40" s="27">
        <f>IFERROR(INDEX('Input Statistiche 2025_26'!$H$3:$H$665,MATCH($A40,'Input Statistiche 2025_26'!$A$3:$A$665,0)),"")</f>
        <v>6.74</v>
      </c>
      <c r="U40" s="23" t="str">
        <f>IF(OR('La Mia Rosa'!$O$12="",$D40&lt;&gt;""),"",IF($F40&lt;='La Mia Rosa'!$O$12*'Parametri Modello'!$B$24,"OK",IF($F40&lt;='La Mia Rosa'!$O$12*'Parametri Modello'!$B$25,"Attenzione","Rischio Alto")))</f>
        <v>Attenzione</v>
      </c>
      <c r="V40" s="23">
        <f t="shared" si="1"/>
        <v>22</v>
      </c>
      <c r="W40" s="18">
        <f>'Info Lega'!$B$4-SUMIFS($M$2:$M$492,$D$2:$D$492,'Info Lega'!$B$28)</f>
        <v>1000</v>
      </c>
      <c r="X40" s="18">
        <f>('Info Lega'!$B$5-COUNTIFS($D$2:$D$492,'Info Lega'!$B$28,$B$2:$B$492,"P"))+('Info Lega'!$B$6-COUNTIFS($D$2:$D$492,'Info Lega'!$B$28,$B$2:$B$492,"D"))+('Info Lega'!$B$7-COUNTIFS($D$2:$D$492,'Info Lega'!$B$28,$B$2:$B$492,"C"))+('Info Lega'!$B$8-COUNTIFS($D$2:$D$492,'Info Lega'!$B$28,$B$2:$B$492,"A"))</f>
        <v>25</v>
      </c>
      <c r="Y40" s="18">
        <f>X40*'Parametri Modello'!$B$30</f>
        <v>25</v>
      </c>
      <c r="Z40" s="18">
        <f t="shared" si="2"/>
        <v>975</v>
      </c>
      <c r="AA40" s="18">
        <f t="shared" si="3"/>
        <v>69</v>
      </c>
      <c r="AB40" s="18"/>
      <c r="AC40" s="18" t="str">
        <f>IF($AB40="","",IF($AB40&gt;$AA40,"PASS",IF($AB40&lt;=$AA40*(1-'Parametri Modello'!$B$68),"BID","ATTENZIONE")))</f>
        <v/>
      </c>
      <c r="AD40" s="28">
        <f t="shared" si="4"/>
        <v>50</v>
      </c>
      <c r="AE40" s="5" t="str">
        <f>IFERROR(IF($AF40="Titolare",INDEX('Stato Asta'!$G$9:$G$12,MATCH($B40,'Stato Asta'!$A$9:$A$12,0)),INDEX('Stato Asta'!$P$9:$P$12,MATCH($B40,'Stato Asta'!$A$9:$A$12,0))),"")</f>
        <v>🟡 Attesa rischiosa</v>
      </c>
      <c r="AF40" t="str">
        <f>IFERROR(IF($V40&lt;=INDEX('Parametri Modello'!$C$57:$C$60,MATCH($B40,'Parametri Modello'!$A$57:$A$60,0)),"Titolare","Riserva"),"")</f>
        <v>Titolare</v>
      </c>
      <c r="AG40" t="str">
        <f>IFERROR(INDEX('Pressione Competitiva'!$F$3:$F$6,MATCH($B40,'Pressione Competitiva'!$B$3:$B$6,0)),"")</f>
        <v>🔴 Molto Alta</v>
      </c>
      <c r="AH40" t="str">
        <f t="shared" si="5"/>
        <v/>
      </c>
      <c r="AI40" t="str">
        <f>IFERROR(IF($AH40="","",IF($AH40&gt;=$AA40*'Parametri Modello'!$B$68,"🟢 Opportunita'",IF($AH40&lt;=$AA40*'Parametri Modello'!$B$69,"🔴 Sovrapprezzo","🟡 Prezzo Corretto"))),"")</f>
        <v/>
      </c>
      <c r="AJ40" t="str">
        <f t="shared" si="6"/>
        <v/>
      </c>
      <c r="AK40">
        <f t="shared" si="7"/>
        <v>13</v>
      </c>
      <c r="AL40" t="str">
        <f t="shared" si="8"/>
        <v>A|Buono|13</v>
      </c>
    </row>
    <row r="41" spans="1:38" ht="14.25" customHeight="1" x14ac:dyDescent="0.25">
      <c r="A41" s="18">
        <v>5841</v>
      </c>
      <c r="B41" s="18" t="s">
        <v>8</v>
      </c>
      <c r="C41" s="18" t="s">
        <v>9</v>
      </c>
      <c r="E41" s="23" t="str">
        <f>IF(COUNTIF('Info Strategia'!$D$2:$D$51,$C41)&gt;0,"SI","NO")</f>
        <v>NO</v>
      </c>
      <c r="F41" s="24">
        <f>IFERROR(ROUND(($G41+($H41-$G41)*'Info Strategia'!$B$6)*(1+IF($E41="SI",'Parametri Modello'!$B$7*'Info Strategia'!$B$6,0)),0),"")</f>
        <v>110</v>
      </c>
      <c r="G41" s="24">
        <f>IFERROR(ROUND(MAX(1,(IF($V41&lt;=INDEX('Parametri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88</v>
      </c>
      <c r="H41" s="24">
        <f>IFERROR(ROUND((IF($V41&lt;=INDEX('Parametri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119</v>
      </c>
      <c r="I41" s="23">
        <f>IFERROR(INDEX('Input Statistiche 2025_26'!$F$3:$F$665,MATCH($A41,'Input Statistiche 2025_26'!$A$3:$A$665,0)),"")</f>
        <v>38</v>
      </c>
      <c r="J41" s="23">
        <f t="shared" si="0"/>
        <v>0</v>
      </c>
      <c r="K41" s="23">
        <f>IFERROR(INDEX('Input Statistiche 2025_26'!$I$3:$I$665,MATCH($A41,'Input Statistiche 2025_26'!$A$3:$A$665,0)),"")</f>
        <v>0</v>
      </c>
      <c r="L41" s="23">
        <f>IFERROR(INDEX('Input Statistiche 2025_26'!$O$3:$O$665,MATCH($A41,'Input Statistiche 2025_26'!$A$3:$A$665,0)),"")</f>
        <v>0</v>
      </c>
      <c r="M41" s="25"/>
      <c r="N41" s="24">
        <f>IFERROR(INDEX('Input Giocatori 2026_27'!$E$3:$E$493,MATCH($A41,'Input Giocatori 2026_27'!$A$3:$A$493,0)),"")</f>
        <v>18</v>
      </c>
      <c r="O41" s="24">
        <f>IFERROR(INDEX('Input Giocatori 2026_27'!$G$3:$G$493,MATCH($A41,'Input Giocatori 2026_27'!$A$3:$A$493,0)),"")</f>
        <v>65</v>
      </c>
      <c r="P41" s="23" t="str">
        <f>IFERROR(IF($O41="","",IF((1-(COUNTIFS($B$2:$B$492,$B41,$O$2:$O$492,"&gt;"&amp;$O41)+1-1)/COUNTIF($B$2:$B$492,$B41))&gt;='Parametri Modello'!$B$63,"Top",IF((1-(COUNTIFS($B$2:$B$492,$B41,$O$2:$O$492,"&gt;"&amp;$O41)+1-1)/COUNTIF($B$2:$B$492,$B41))&gt;='Parametri Modello'!$B$64,"Buono",IF((1-(COUNTIFS($B$2:$B$492,$B41,$O$2:$O$492,"&gt;"&amp;$O41)+1-1)/COUNTIF($B$2:$B$492,$B41))&gt;='Parametri Modello'!$B$65,"Nella Media","Scommessa/Riserva")))),"")</f>
        <v>Top</v>
      </c>
      <c r="Q41" s="26">
        <f>IF(AND($D41="",$N41&gt;1),SUMPRODUCT(($D$2:$D41="")*($N$2:$N41&gt;1)),"")</f>
        <v>40</v>
      </c>
      <c r="R41" s="26" t="str">
        <f>IF($D41='Info Lega'!$B$28,COUNTIFS($D$2:$D41,'Info Lega'!$B$28),"")</f>
        <v/>
      </c>
      <c r="S41" s="27">
        <f>IFERROR(INDEX('Input Statistiche 2025_26'!$G$3:$G$665,MATCH($A41,'Input Statistiche 2025_26'!$A$3:$A$665,0)),"")</f>
        <v>6.26</v>
      </c>
      <c r="T41" s="27">
        <f>IFERROR(INDEX('Input Statistiche 2025_26'!$H$3:$H$665,MATCH($A41,'Input Statistiche 2025_26'!$A$3:$A$665,0)),"")</f>
        <v>5.45</v>
      </c>
      <c r="U41" s="23" t="str">
        <f>IF(OR('La Mia Rosa'!$O$12="",$D41&lt;&gt;""),"",IF($F41&lt;='La Mia Rosa'!$O$12*'Parametri Modello'!$B$24,"OK",IF($F41&lt;='La Mia Rosa'!$O$12*'Parametri Modello'!$B$25,"Attenzione","Rischio Alto")))</f>
        <v>Attenzione</v>
      </c>
      <c r="V41" s="23">
        <f t="shared" si="1"/>
        <v>1</v>
      </c>
      <c r="W41" s="18">
        <f>'Info Lega'!$B$4-SUMIFS($M$2:$M$492,$D$2:$D$492,'Info Lega'!$B$28)</f>
        <v>1000</v>
      </c>
      <c r="X41" s="18">
        <f>('Info Lega'!$B$5-COUNTIFS($D$2:$D$492,'Info Lega'!$B$28,$B$2:$B$492,"P"))+('Info Lega'!$B$6-COUNTIFS($D$2:$D$492,'Info Lega'!$B$28,$B$2:$B$492,"D"))+('Info Lega'!$B$7-COUNTIFS($D$2:$D$492,'Info Lega'!$B$28,$B$2:$B$492,"C"))+('Info Lega'!$B$8-COUNTIFS($D$2:$D$492,'Info Lega'!$B$28,$B$2:$B$492,"A"))</f>
        <v>25</v>
      </c>
      <c r="Y41" s="18">
        <f>X41*'Parametri Modello'!$B$30</f>
        <v>25</v>
      </c>
      <c r="Z41" s="18">
        <f t="shared" si="2"/>
        <v>975</v>
      </c>
      <c r="AA41" s="18">
        <f t="shared" si="3"/>
        <v>110</v>
      </c>
      <c r="AB41" s="18"/>
      <c r="AC41" s="18" t="str">
        <f>IF($AB41="","",IF($AB41&gt;$AA41,"PASS",IF($AB41&lt;=$AA41*(1-'Parametri Modello'!$B$68),"BID","ATTENZIONE")))</f>
        <v/>
      </c>
      <c r="AD41" s="28">
        <f t="shared" si="4"/>
        <v>72</v>
      </c>
      <c r="AE41" s="5" t="str">
        <f>IFERROR(IF($AF41="Titolare",INDEX('Stato Asta'!$G$9:$G$12,MATCH($B41,'Stato Asta'!$A$9:$A$12,0)),INDEX('Stato Asta'!$P$9:$P$12,MATCH($B41,'Stato Asta'!$A$9:$A$12,0))),"")</f>
        <v>🟢 Puoi aspettare</v>
      </c>
      <c r="AF41" t="str">
        <f>IFERROR(IF($V41&lt;=INDEX('Parametri Modello'!$C$57:$C$60,MATCH($B41,'Parametri Modello'!$A$57:$A$60,0)),"Titolare","Riserva"),"")</f>
        <v>Titolare</v>
      </c>
      <c r="AG41" t="str">
        <f>IFERROR(INDEX('Pressione Competitiva'!$F$3:$F$6,MATCH($B41,'Pressione Competitiva'!$B$3:$B$6,0)),"")</f>
        <v>🔴 Molto Alta</v>
      </c>
      <c r="AH41" t="str">
        <f t="shared" si="5"/>
        <v/>
      </c>
      <c r="AI41" t="str">
        <f>IFERROR(IF($AH41="","",IF($AH41&gt;=$AA41*'Parametri Modello'!$B$68,"🟢 Opportunita'",IF($AH41&lt;=$AA41*'Parametri Modello'!$B$69,"🔴 Sovrapprezzo","🟡 Prezzo Corretto"))),"")</f>
        <v/>
      </c>
      <c r="AJ41" t="str">
        <f t="shared" si="6"/>
        <v/>
      </c>
      <c r="AK41">
        <f t="shared" si="7"/>
        <v>1</v>
      </c>
      <c r="AL41" t="str">
        <f t="shared" si="8"/>
        <v>P|Top|1</v>
      </c>
    </row>
    <row r="42" spans="1:38" ht="14.25" customHeight="1" x14ac:dyDescent="0.25">
      <c r="A42" s="18">
        <v>7314</v>
      </c>
      <c r="B42" s="18" t="s">
        <v>264</v>
      </c>
      <c r="C42" s="18" t="s">
        <v>281</v>
      </c>
      <c r="E42" s="23" t="str">
        <f>IF(COUNTIF('Info Strategia'!$D$2:$D$51,$C42)&gt;0,"SI","NO")</f>
        <v>NO</v>
      </c>
      <c r="F42" s="24">
        <f>IFERROR(ROUND(($G42+($H42-$G42)*'Info Strategia'!$B$6)*(1+IF($E42="SI",'Parametri Modello'!$B$7*'Info Strategia'!$B$6,0)),0),"")</f>
        <v>42</v>
      </c>
      <c r="G42" s="24">
        <f>IFERROR(ROUND(MAX(1,(IF($V42&lt;=INDEX('Parametri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29</v>
      </c>
      <c r="H42" s="24">
        <f>IFERROR(ROUND((IF($V42&lt;=INDEX('Parametri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48</v>
      </c>
      <c r="I42" s="23">
        <f>IFERROR(INDEX('Input Statistiche 2025_26'!$F$3:$F$665,MATCH($A42,'Input Statistiche 2025_26'!$A$3:$A$665,0)),"")</f>
        <v>17</v>
      </c>
      <c r="J42" s="23">
        <f t="shared" si="0"/>
        <v>21</v>
      </c>
      <c r="K42" s="23">
        <f>IFERROR(INDEX('Input Statistiche 2025_26'!$I$3:$I$665,MATCH($A42,'Input Statistiche 2025_26'!$A$3:$A$665,0)),"")</f>
        <v>3</v>
      </c>
      <c r="L42" s="23">
        <f>IFERROR(INDEX('Input Statistiche 2025_26'!$O$3:$O$665,MATCH($A42,'Input Statistiche 2025_26'!$A$3:$A$665,0)),"")</f>
        <v>2</v>
      </c>
      <c r="M42" s="25"/>
      <c r="N42" s="24">
        <f>IFERROR(INDEX('Input Giocatori 2026_27'!$E$3:$E$493,MATCH($A42,'Input Giocatori 2026_27'!$A$3:$A$493,0)),"")</f>
        <v>13</v>
      </c>
      <c r="O42" s="24">
        <f>IFERROR(INDEX('Input Giocatori 2026_27'!$G$3:$G$493,MATCH($A42,'Input Giocatori 2026_27'!$A$3:$A$493,0)),"")</f>
        <v>64</v>
      </c>
      <c r="P42" s="23" t="str">
        <f>IFERROR(IF($O42="","",IF((1-(COUNTIFS($B$2:$B$492,$B42,$O$2:$O$492,"&gt;"&amp;$O42)+1-1)/COUNTIF($B$2:$B$492,$B42))&gt;='Parametri Modello'!$B$63,"Top",IF((1-(COUNTIFS($B$2:$B$492,$B42,$O$2:$O$492,"&gt;"&amp;$O42)+1-1)/COUNTIF($B$2:$B$492,$B42))&gt;='Parametri Modello'!$B$64,"Buono",IF((1-(COUNTIFS($B$2:$B$492,$B42,$O$2:$O$492,"&gt;"&amp;$O42)+1-1)/COUNTIF($B$2:$B$492,$B42))&gt;='Parametri Modello'!$B$65,"Nella Media","Scommessa/Riserva")))),"")</f>
        <v>Top</v>
      </c>
      <c r="Q42" s="26">
        <f>IF(AND($D42="",$N42&gt;1),SUMPRODUCT(($D$2:$D42="")*($N$2:$N42&gt;1)),"")</f>
        <v>41</v>
      </c>
      <c r="R42" s="26" t="str">
        <f>IF($D42='Info Lega'!$B$28,COUNTIFS($D$2:$D42,'Info Lega'!$B$28),"")</f>
        <v/>
      </c>
      <c r="S42" s="27">
        <f>IFERROR(INDEX('Input Statistiche 2025_26'!$G$3:$G$665,MATCH($A42,'Input Statistiche 2025_26'!$A$3:$A$665,0)),"")</f>
        <v>6.06</v>
      </c>
      <c r="T42" s="27">
        <f>IFERROR(INDEX('Input Statistiche 2025_26'!$H$3:$H$665,MATCH($A42,'Input Statistiche 2025_26'!$A$3:$A$665,0)),"")</f>
        <v>6.56</v>
      </c>
      <c r="U42" s="23" t="str">
        <f>IF(OR('La Mia Rosa'!$O$12="",$D42&lt;&gt;""),"",IF($F42&lt;='La Mia Rosa'!$O$12*'Parametri Modello'!$B$24,"OK",IF($F42&lt;='La Mia Rosa'!$O$12*'Parametri Modello'!$B$25,"Attenzione","Rischio Alto")))</f>
        <v>OK</v>
      </c>
      <c r="V42" s="23">
        <f t="shared" si="1"/>
        <v>16</v>
      </c>
      <c r="W42" s="18">
        <f>'Info Lega'!$B$4-SUMIFS($M$2:$M$492,$D$2:$D$492,'Info Lega'!$B$28)</f>
        <v>1000</v>
      </c>
      <c r="X42" s="18">
        <f>('Info Lega'!$B$5-COUNTIFS($D$2:$D$492,'Info Lega'!$B$28,$B$2:$B$492,"P"))+('Info Lega'!$B$6-COUNTIFS($D$2:$D$492,'Info Lega'!$B$28,$B$2:$B$492,"D"))+('Info Lega'!$B$7-COUNTIFS($D$2:$D$492,'Info Lega'!$B$28,$B$2:$B$492,"C"))+('Info Lega'!$B$8-COUNTIFS($D$2:$D$492,'Info Lega'!$B$28,$B$2:$B$492,"A"))</f>
        <v>25</v>
      </c>
      <c r="Y42" s="18">
        <f>X42*'Parametri Modello'!$B$30</f>
        <v>25</v>
      </c>
      <c r="Z42" s="18">
        <f t="shared" si="2"/>
        <v>975</v>
      </c>
      <c r="AA42" s="18">
        <f t="shared" si="3"/>
        <v>42</v>
      </c>
      <c r="AB42" s="18"/>
      <c r="AC42" s="18" t="str">
        <f>IF($AB42="","",IF($AB42&gt;$AA42,"PASS",IF($AB42&lt;=$AA42*(1-'Parametri Modello'!$B$68),"BID","ATTENZIONE")))</f>
        <v/>
      </c>
      <c r="AD42" s="28">
        <f t="shared" si="4"/>
        <v>43</v>
      </c>
      <c r="AE42" s="5" t="str">
        <f>IFERROR(IF($AF42="Titolare",INDEX('Stato Asta'!$G$9:$G$12,MATCH($B42,'Stato Asta'!$A$9:$A$12,0)),INDEX('Stato Asta'!$P$9:$P$12,MATCH($B42,'Stato Asta'!$A$9:$A$12,0))),"")</f>
        <v>🟡 Attesa rischiosa</v>
      </c>
      <c r="AF42" t="str">
        <f>IFERROR(IF($V42&lt;=INDEX('Parametri Modello'!$C$57:$C$60,MATCH($B42,'Parametri Modello'!$A$57:$A$60,0)),"Titolare","Riserva"),"")</f>
        <v>Titolare</v>
      </c>
      <c r="AG42" t="str">
        <f>IFERROR(INDEX('Pressione Competitiva'!$F$3:$F$6,MATCH($B42,'Pressione Competitiva'!$B$3:$B$6,0)),"")</f>
        <v>🔴 Molto Alta</v>
      </c>
      <c r="AH42" t="str">
        <f t="shared" si="5"/>
        <v/>
      </c>
      <c r="AI42" t="str">
        <f>IFERROR(IF($AH42="","",IF($AH42&gt;=$AA42*'Parametri Modello'!$B$68,"🟢 Opportunita'",IF($AH42&lt;=$AA42*'Parametri Modello'!$B$69,"🔴 Sovrapprezzo","🟡 Prezzo Corretto"))),"")</f>
        <v/>
      </c>
      <c r="AJ42" t="str">
        <f t="shared" si="6"/>
        <v/>
      </c>
      <c r="AK42">
        <f t="shared" si="7"/>
        <v>16</v>
      </c>
      <c r="AL42" t="str">
        <f t="shared" si="8"/>
        <v>C|Top|16</v>
      </c>
    </row>
    <row r="43" spans="1:38" ht="14.25" customHeight="1" x14ac:dyDescent="0.25">
      <c r="A43" s="18">
        <v>5116</v>
      </c>
      <c r="B43" s="18" t="s">
        <v>8</v>
      </c>
      <c r="C43" s="18" t="s">
        <v>11</v>
      </c>
      <c r="E43" s="23" t="str">
        <f>IF(COUNTIF('Info Strategia'!$D$2:$D$51,$C43)&gt;0,"SI","NO")</f>
        <v>NO</v>
      </c>
      <c r="F43" s="24">
        <f>IFERROR(ROUND(($G43+($H43-$G43)*'Info Strategia'!$B$6)*(1+IF($E43="SI",'Parametri Modello'!$B$7*'Info Strategia'!$B$6,0)),0),"")</f>
        <v>105</v>
      </c>
      <c r="G43" s="24">
        <f>IFERROR(ROUND(MAX(1,(IF($V43&lt;=INDEX('Parametri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84</v>
      </c>
      <c r="H43" s="24">
        <f>IFERROR(ROUND((IF($V43&lt;=INDEX('Parametri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114</v>
      </c>
      <c r="I43" s="23">
        <f>IFERROR(INDEX('Input Statistiche 2025_26'!$F$3:$F$665,MATCH($A43,'Input Statistiche 2025_26'!$A$3:$A$665,0)),"")</f>
        <v>5</v>
      </c>
      <c r="J43" s="23">
        <f t="shared" si="0"/>
        <v>33</v>
      </c>
      <c r="K43" s="23">
        <f>IFERROR(INDEX('Input Statistiche 2025_26'!$I$3:$I$665,MATCH($A43,'Input Statistiche 2025_26'!$A$3:$A$665,0)),"")</f>
        <v>0</v>
      </c>
      <c r="L43" s="23">
        <f>IFERROR(INDEX('Input Statistiche 2025_26'!$O$3:$O$665,MATCH($A43,'Input Statistiche 2025_26'!$A$3:$A$665,0)),"")</f>
        <v>0</v>
      </c>
      <c r="M43" s="25"/>
      <c r="N43" s="24">
        <f>IFERROR(INDEX('Input Giocatori 2026_27'!$E$3:$E$493,MATCH($A43,'Input Giocatori 2026_27'!$A$3:$A$493,0)),"")</f>
        <v>17</v>
      </c>
      <c r="O43" s="24">
        <f>IFERROR(INDEX('Input Giocatori 2026_27'!$G$3:$G$493,MATCH($A43,'Input Giocatori 2026_27'!$A$3:$A$493,0)),"")</f>
        <v>63</v>
      </c>
      <c r="P43" s="23" t="str">
        <f>IFERROR(IF($O43="","",IF((1-(COUNTIFS($B$2:$B$492,$B43,$O$2:$O$492,"&gt;"&amp;$O43)+1-1)/COUNTIF($B$2:$B$492,$B43))&gt;='Parametri Modello'!$B$63,"Top",IF((1-(COUNTIFS($B$2:$B$492,$B43,$O$2:$O$492,"&gt;"&amp;$O43)+1-1)/COUNTIF($B$2:$B$492,$B43))&gt;='Parametri Modello'!$B$64,"Buono",IF((1-(COUNTIFS($B$2:$B$492,$B43,$O$2:$O$492,"&gt;"&amp;$O43)+1-1)/COUNTIF($B$2:$B$492,$B43))&gt;='Parametri Modello'!$B$65,"Nella Media","Scommessa/Riserva")))),"")</f>
        <v>Top</v>
      </c>
      <c r="Q43" s="26">
        <f>IF(AND($D43="",$N43&gt;1),SUMPRODUCT(($D$2:$D43="")*($N$2:$N43&gt;1)),"")</f>
        <v>42</v>
      </c>
      <c r="R43" s="26" t="str">
        <f>IF($D43='Info Lega'!$B$28,COUNTIFS($D$2:$D43,'Info Lega'!$B$28),"")</f>
        <v/>
      </c>
      <c r="S43" s="27">
        <f>IFERROR(INDEX('Input Statistiche 2025_26'!$G$3:$G$665,MATCH($A43,'Input Statistiche 2025_26'!$A$3:$A$665,0)),"")</f>
        <v>6</v>
      </c>
      <c r="T43" s="27">
        <f>IFERROR(INDEX('Input Statistiche 2025_26'!$H$3:$H$665,MATCH($A43,'Input Statistiche 2025_26'!$A$3:$A$665,0)),"")</f>
        <v>5.2</v>
      </c>
      <c r="U43" s="23" t="str">
        <f>IF(OR('La Mia Rosa'!$O$12="",$D43&lt;&gt;""),"",IF($F43&lt;='La Mia Rosa'!$O$12*'Parametri Modello'!$B$24,"OK",IF($F43&lt;='La Mia Rosa'!$O$12*'Parametri Modello'!$B$25,"Attenzione","Rischio Alto")))</f>
        <v>Attenzione</v>
      </c>
      <c r="V43" s="23">
        <f t="shared" si="1"/>
        <v>2</v>
      </c>
      <c r="W43" s="18">
        <f>'Info Lega'!$B$4-SUMIFS($M$2:$M$492,$D$2:$D$492,'Info Lega'!$B$28)</f>
        <v>1000</v>
      </c>
      <c r="X43" s="18">
        <f>('Info Lega'!$B$5-COUNTIFS($D$2:$D$492,'Info Lega'!$B$28,$B$2:$B$492,"P"))+('Info Lega'!$B$6-COUNTIFS($D$2:$D$492,'Info Lega'!$B$28,$B$2:$B$492,"D"))+('Info Lega'!$B$7-COUNTIFS($D$2:$D$492,'Info Lega'!$B$28,$B$2:$B$492,"C"))+('Info Lega'!$B$8-COUNTIFS($D$2:$D$492,'Info Lega'!$B$28,$B$2:$B$492,"A"))</f>
        <v>25</v>
      </c>
      <c r="Y43" s="18">
        <f>X43*'Parametri Modello'!$B$30</f>
        <v>25</v>
      </c>
      <c r="Z43" s="18">
        <f t="shared" si="2"/>
        <v>975</v>
      </c>
      <c r="AA43" s="18">
        <f t="shared" si="3"/>
        <v>105</v>
      </c>
      <c r="AB43" s="18"/>
      <c r="AC43" s="18" t="str">
        <f>IF($AB43="","",IF($AB43&gt;$AA43,"PASS",IF($AB43&lt;=$AA43*(1-'Parametri Modello'!$B$68),"BID","ATTENZIONE")))</f>
        <v/>
      </c>
      <c r="AD43" s="28">
        <f t="shared" si="4"/>
        <v>15</v>
      </c>
      <c r="AE43" s="5" t="str">
        <f>IFERROR(IF($AF43="Titolare",INDEX('Stato Asta'!$G$9:$G$12,MATCH($B43,'Stato Asta'!$A$9:$A$12,0)),INDEX('Stato Asta'!$P$9:$P$12,MATCH($B43,'Stato Asta'!$A$9:$A$12,0))),"")</f>
        <v>🟢 Puoi aspettare</v>
      </c>
      <c r="AF43" t="str">
        <f>IFERROR(IF($V43&lt;=INDEX('Parametri Modello'!$C$57:$C$60,MATCH($B43,'Parametri Modello'!$A$57:$A$60,0)),"Titolare","Riserva"),"")</f>
        <v>Titolare</v>
      </c>
      <c r="AG43" t="str">
        <f>IFERROR(INDEX('Pressione Competitiva'!$F$3:$F$6,MATCH($B43,'Pressione Competitiva'!$B$3:$B$6,0)),"")</f>
        <v>🔴 Molto Alta</v>
      </c>
      <c r="AH43" t="str">
        <f t="shared" si="5"/>
        <v/>
      </c>
      <c r="AI43" t="str">
        <f>IFERROR(IF($AH43="","",IF($AH43&gt;=$AA43*'Parametri Modello'!$B$68,"🟢 Opportunita'",IF($AH43&lt;=$AA43*'Parametri Modello'!$B$69,"🔴 Sovrapprezzo","🟡 Prezzo Corretto"))),"")</f>
        <v/>
      </c>
      <c r="AJ43" t="str">
        <f t="shared" si="6"/>
        <v/>
      </c>
      <c r="AK43">
        <f t="shared" si="7"/>
        <v>2</v>
      </c>
      <c r="AL43" t="str">
        <f t="shared" si="8"/>
        <v>P|Top|2</v>
      </c>
    </row>
    <row r="44" spans="1:38" ht="14.25" customHeight="1" x14ac:dyDescent="0.25">
      <c r="A44" s="18">
        <v>4923</v>
      </c>
      <c r="B44" s="18" t="s">
        <v>437</v>
      </c>
      <c r="C44" s="18" t="s">
        <v>468</v>
      </c>
      <c r="E44" s="23" t="str">
        <f>IF(COUNTIF('Info Strategia'!$D$2:$D$51,$C44)&gt;0,"SI","NO")</f>
        <v>NO</v>
      </c>
      <c r="F44" s="24">
        <f>IFERROR(ROUND(($G44+($H44-$G44)*'Info Strategia'!$B$6)*(1+IF($E44="SI",'Parametri Modello'!$B$7*'Info Strategia'!$B$6,0)),0),"")</f>
        <v>64</v>
      </c>
      <c r="G44" s="24">
        <f>IFERROR(ROUND(MAX(1,(IF($V44&lt;=INDEX('Parametri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40</v>
      </c>
      <c r="H44" s="24">
        <f>IFERROR(ROUND((IF($V44&lt;=INDEX('Parametri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74</v>
      </c>
      <c r="I44" s="23">
        <f>IFERROR(INDEX('Input Statistiche 2025_26'!$F$3:$F$665,MATCH($A44,'Input Statistiche 2025_26'!$A$3:$A$665,0)),"")</f>
        <v>37</v>
      </c>
      <c r="J44" s="23">
        <f t="shared" si="0"/>
        <v>1</v>
      </c>
      <c r="K44" s="23">
        <f>IFERROR(INDEX('Input Statistiche 2025_26'!$I$3:$I$665,MATCH($A44,'Input Statistiche 2025_26'!$A$3:$A$665,0)),"")</f>
        <v>7</v>
      </c>
      <c r="L44" s="23">
        <f>IFERROR(INDEX('Input Statistiche 2025_26'!$O$3:$O$665,MATCH($A44,'Input Statistiche 2025_26'!$A$3:$A$665,0)),"")</f>
        <v>1</v>
      </c>
      <c r="M44" s="25"/>
      <c r="N44" s="24">
        <f>IFERROR(INDEX('Input Giocatori 2026_27'!$E$3:$E$493,MATCH($A44,'Input Giocatori 2026_27'!$A$3:$A$493,0)),"")</f>
        <v>11</v>
      </c>
      <c r="O44" s="24">
        <f>IFERROR(INDEX('Input Giocatori 2026_27'!$G$3:$G$493,MATCH($A44,'Input Giocatori 2026_27'!$A$3:$A$493,0)),"")</f>
        <v>63</v>
      </c>
      <c r="P44" s="23" t="str">
        <f>IFERROR(IF($O44="","",IF((1-(COUNTIFS($B$2:$B$492,$B44,$O$2:$O$492,"&gt;"&amp;$O44)+1-1)/COUNTIF($B$2:$B$492,$B44))&gt;='Parametri Modello'!$B$63,"Top",IF((1-(COUNTIFS($B$2:$B$492,$B44,$O$2:$O$492,"&gt;"&amp;$O44)+1-1)/COUNTIF($B$2:$B$492,$B44))&gt;='Parametri Modello'!$B$64,"Buono",IF((1-(COUNTIFS($B$2:$B$492,$B44,$O$2:$O$492,"&gt;"&amp;$O44)+1-1)/COUNTIF($B$2:$B$492,$B44))&gt;='Parametri Modello'!$B$65,"Nella Media","Scommessa/Riserva")))),"")</f>
        <v>Buono</v>
      </c>
      <c r="Q44" s="26">
        <f>IF(AND($D44="",$N44&gt;1),SUMPRODUCT(($D$2:$D44="")*($N$2:$N44&gt;1)),"")</f>
        <v>43</v>
      </c>
      <c r="R44" s="26" t="str">
        <f>IF($D44='Info Lega'!$B$28,COUNTIFS($D$2:$D44,'Info Lega'!$B$28),"")</f>
        <v/>
      </c>
      <c r="S44" s="27">
        <f>IFERROR(INDEX('Input Statistiche 2025_26'!$G$3:$G$665,MATCH($A44,'Input Statistiche 2025_26'!$A$3:$A$665,0)),"")</f>
        <v>5.92</v>
      </c>
      <c r="T44" s="27">
        <f>IFERROR(INDEX('Input Statistiche 2025_26'!$H$3:$H$665,MATCH($A44,'Input Statistiche 2025_26'!$A$3:$A$665,0)),"")</f>
        <v>6.41</v>
      </c>
      <c r="U44" s="23" t="str">
        <f>IF(OR('La Mia Rosa'!$O$12="",$D44&lt;&gt;""),"",IF($F44&lt;='La Mia Rosa'!$O$12*'Parametri Modello'!$B$24,"OK",IF($F44&lt;='La Mia Rosa'!$O$12*'Parametri Modello'!$B$25,"Attenzione","Rischio Alto")))</f>
        <v>Attenzione</v>
      </c>
      <c r="V44" s="23">
        <f t="shared" si="1"/>
        <v>23</v>
      </c>
      <c r="W44" s="18">
        <f>'Info Lega'!$B$4-SUMIFS($M$2:$M$492,$D$2:$D$492,'Info Lega'!$B$28)</f>
        <v>1000</v>
      </c>
      <c r="X44" s="18">
        <f>('Info Lega'!$B$5-COUNTIFS($D$2:$D$492,'Info Lega'!$B$28,$B$2:$B$492,"P"))+('Info Lega'!$B$6-COUNTIFS($D$2:$D$492,'Info Lega'!$B$28,$B$2:$B$492,"D"))+('Info Lega'!$B$7-COUNTIFS($D$2:$D$492,'Info Lega'!$B$28,$B$2:$B$492,"C"))+('Info Lega'!$B$8-COUNTIFS($D$2:$D$492,'Info Lega'!$B$28,$B$2:$B$492,"A"))</f>
        <v>25</v>
      </c>
      <c r="Y44" s="18">
        <f>X44*'Parametri Modello'!$B$30</f>
        <v>25</v>
      </c>
      <c r="Z44" s="18">
        <f t="shared" si="2"/>
        <v>975</v>
      </c>
      <c r="AA44" s="18">
        <f t="shared" si="3"/>
        <v>64</v>
      </c>
      <c r="AB44" s="18"/>
      <c r="AC44" s="18" t="str">
        <f>IF($AB44="","",IF($AB44&gt;$AA44,"PASS",IF($AB44&lt;=$AA44*(1-'Parametri Modello'!$B$68),"BID","ATTENZIONE")))</f>
        <v/>
      </c>
      <c r="AD44" s="28">
        <f t="shared" si="4"/>
        <v>71</v>
      </c>
      <c r="AE44" s="5" t="str">
        <f>IFERROR(IF($AF44="Titolare",INDEX('Stato Asta'!$G$9:$G$12,MATCH($B44,'Stato Asta'!$A$9:$A$12,0)),INDEX('Stato Asta'!$P$9:$P$12,MATCH($B44,'Stato Asta'!$A$9:$A$12,0))),"")</f>
        <v>🟡 Attesa rischiosa</v>
      </c>
      <c r="AF44" t="str">
        <f>IFERROR(IF($V44&lt;=INDEX('Parametri Modello'!$C$57:$C$60,MATCH($B44,'Parametri Modello'!$A$57:$A$60,0)),"Titolare","Riserva"),"")</f>
        <v>Titolare</v>
      </c>
      <c r="AG44" t="str">
        <f>IFERROR(INDEX('Pressione Competitiva'!$F$3:$F$6,MATCH($B44,'Pressione Competitiva'!$B$3:$B$6,0)),"")</f>
        <v>🔴 Molto Alta</v>
      </c>
      <c r="AH44" t="str">
        <f t="shared" si="5"/>
        <v/>
      </c>
      <c r="AI44" t="str">
        <f>IFERROR(IF($AH44="","",IF($AH44&gt;=$AA44*'Parametri Modello'!$B$68,"🟢 Opportunita'",IF($AH44&lt;=$AA44*'Parametri Modello'!$B$69,"🔴 Sovrapprezzo","🟡 Prezzo Corretto"))),"")</f>
        <v/>
      </c>
      <c r="AJ44" t="str">
        <f t="shared" si="6"/>
        <v/>
      </c>
      <c r="AK44">
        <f t="shared" si="7"/>
        <v>14</v>
      </c>
      <c r="AL44" t="str">
        <f t="shared" si="8"/>
        <v>A|Buono|14</v>
      </c>
    </row>
    <row r="45" spans="1:38" ht="14.25" customHeight="1" x14ac:dyDescent="0.25">
      <c r="A45" s="18">
        <v>4371</v>
      </c>
      <c r="B45" s="18" t="s">
        <v>437</v>
      </c>
      <c r="C45" s="18" t="s">
        <v>461</v>
      </c>
      <c r="E45" s="23" t="str">
        <f>IF(COUNTIF('Info Strategia'!$D$2:$D$51,$C45)&gt;0,"SI","NO")</f>
        <v>NO</v>
      </c>
      <c r="F45" s="24">
        <f>IFERROR(ROUND(($G45+($H45-$G45)*'Info Strategia'!$B$6)*(1+IF($E45="SI",'Parametri Modello'!$B$7*'Info Strategia'!$B$6,0)),0),"")</f>
        <v>64</v>
      </c>
      <c r="G45" s="24">
        <f>IFERROR(ROUND(MAX(1,(IF($V45&lt;=INDEX('Parametri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40</v>
      </c>
      <c r="H45" s="24">
        <f>IFERROR(ROUND((IF($V45&lt;=INDEX('Parametri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74</v>
      </c>
      <c r="I45" s="23">
        <f>IFERROR(INDEX('Input Statistiche 2025_26'!$F$3:$F$665,MATCH($A45,'Input Statistiche 2025_26'!$A$3:$A$665,0)),"")</f>
        <v>13</v>
      </c>
      <c r="J45" s="23">
        <f t="shared" si="0"/>
        <v>25</v>
      </c>
      <c r="K45" s="23">
        <f>IFERROR(INDEX('Input Statistiche 2025_26'!$I$3:$I$665,MATCH($A45,'Input Statistiche 2025_26'!$A$3:$A$665,0)),"")</f>
        <v>3</v>
      </c>
      <c r="L45" s="23">
        <f>IFERROR(INDEX('Input Statistiche 2025_26'!$O$3:$O$665,MATCH($A45,'Input Statistiche 2025_26'!$A$3:$A$665,0)),"")</f>
        <v>1</v>
      </c>
      <c r="M45" s="25"/>
      <c r="N45" s="24">
        <f>IFERROR(INDEX('Input Giocatori 2026_27'!$E$3:$E$493,MATCH($A45,'Input Giocatori 2026_27'!$A$3:$A$493,0)),"")</f>
        <v>13</v>
      </c>
      <c r="O45" s="24">
        <f>IFERROR(INDEX('Input Giocatori 2026_27'!$G$3:$G$493,MATCH($A45,'Input Giocatori 2026_27'!$A$3:$A$493,0)),"")</f>
        <v>62</v>
      </c>
      <c r="P45" s="23" t="str">
        <f>IFERROR(IF($O45="","",IF((1-(COUNTIFS($B$2:$B$492,$B45,$O$2:$O$492,"&gt;"&amp;$O45)+1-1)/COUNTIF($B$2:$B$492,$B45))&gt;='Parametri Modello'!$B$63,"Top",IF((1-(COUNTIFS($B$2:$B$492,$B45,$O$2:$O$492,"&gt;"&amp;$O45)+1-1)/COUNTIF($B$2:$B$492,$B45))&gt;='Parametri Modello'!$B$64,"Buono",IF((1-(COUNTIFS($B$2:$B$492,$B45,$O$2:$O$492,"&gt;"&amp;$O45)+1-1)/COUNTIF($B$2:$B$492,$B45))&gt;='Parametri Modello'!$B$65,"Nella Media","Scommessa/Riserva")))),"")</f>
        <v>Buono</v>
      </c>
      <c r="Q45" s="26">
        <f>IF(AND($D45="",$N45&gt;1),SUMPRODUCT(($D$2:$D45="")*($N$2:$N45&gt;1)),"")</f>
        <v>44</v>
      </c>
      <c r="R45" s="26" t="str">
        <f>IF($D45='Info Lega'!$B$28,COUNTIFS($D$2:$D45,'Info Lega'!$B$28),"")</f>
        <v/>
      </c>
      <c r="S45" s="27">
        <f>IFERROR(INDEX('Input Statistiche 2025_26'!$G$3:$G$665,MATCH($A45,'Input Statistiche 2025_26'!$A$3:$A$665,0)),"")</f>
        <v>6.12</v>
      </c>
      <c r="T45" s="27">
        <f>IFERROR(INDEX('Input Statistiche 2025_26'!$H$3:$H$665,MATCH($A45,'Input Statistiche 2025_26'!$A$3:$A$665,0)),"")</f>
        <v>6.88</v>
      </c>
      <c r="U45" s="23" t="str">
        <f>IF(OR('La Mia Rosa'!$O$12="",$D45&lt;&gt;""),"",IF($F45&lt;='La Mia Rosa'!$O$12*'Parametri Modello'!$B$24,"OK",IF($F45&lt;='La Mia Rosa'!$O$12*'Parametri Modello'!$B$25,"Attenzione","Rischio Alto")))</f>
        <v>Attenzione</v>
      </c>
      <c r="V45" s="23">
        <f t="shared" si="1"/>
        <v>24</v>
      </c>
      <c r="W45" s="18">
        <f>'Info Lega'!$B$4-SUMIFS($M$2:$M$492,$D$2:$D$492,'Info Lega'!$B$28)</f>
        <v>1000</v>
      </c>
      <c r="X45" s="18">
        <f>('Info Lega'!$B$5-COUNTIFS($D$2:$D$492,'Info Lega'!$B$28,$B$2:$B$492,"P"))+('Info Lega'!$B$6-COUNTIFS($D$2:$D$492,'Info Lega'!$B$28,$B$2:$B$492,"D"))+('Info Lega'!$B$7-COUNTIFS($D$2:$D$492,'Info Lega'!$B$28,$B$2:$B$492,"C"))+('Info Lega'!$B$8-COUNTIFS($D$2:$D$492,'Info Lega'!$B$28,$B$2:$B$492,"A"))</f>
        <v>25</v>
      </c>
      <c r="Y45" s="18">
        <f>X45*'Parametri Modello'!$B$30</f>
        <v>25</v>
      </c>
      <c r="Z45" s="18">
        <f t="shared" si="2"/>
        <v>975</v>
      </c>
      <c r="AA45" s="18">
        <f t="shared" si="3"/>
        <v>64</v>
      </c>
      <c r="AB45" s="18"/>
      <c r="AC45" s="18" t="str">
        <f>IF($AB45="","",IF($AB45&gt;$AA45,"PASS",IF($AB45&lt;=$AA45*(1-'Parametri Modello'!$B$68),"BID","ATTENZIONE")))</f>
        <v/>
      </c>
      <c r="AD45" s="28">
        <f t="shared" si="4"/>
        <v>35</v>
      </c>
      <c r="AE45" s="5" t="str">
        <f>IFERROR(IF($AF45="Titolare",INDEX('Stato Asta'!$G$9:$G$12,MATCH($B45,'Stato Asta'!$A$9:$A$12,0)),INDEX('Stato Asta'!$P$9:$P$12,MATCH($B45,'Stato Asta'!$A$9:$A$12,0))),"")</f>
        <v>🟡 Attesa rischiosa</v>
      </c>
      <c r="AF45" t="str">
        <f>IFERROR(IF($V45&lt;=INDEX('Parametri Modello'!$C$57:$C$60,MATCH($B45,'Parametri Modello'!$A$57:$A$60,0)),"Titolare","Riserva"),"")</f>
        <v>Titolare</v>
      </c>
      <c r="AG45" t="str">
        <f>IFERROR(INDEX('Pressione Competitiva'!$F$3:$F$6,MATCH($B45,'Pressione Competitiva'!$B$3:$B$6,0)),"")</f>
        <v>🔴 Molto Alta</v>
      </c>
      <c r="AH45" t="str">
        <f t="shared" si="5"/>
        <v/>
      </c>
      <c r="AI45" t="str">
        <f>IFERROR(IF($AH45="","",IF($AH45&gt;=$AA45*'Parametri Modello'!$B$68,"🟢 Opportunita'",IF($AH45&lt;=$AA45*'Parametri Modello'!$B$69,"🔴 Sovrapprezzo","🟡 Prezzo Corretto"))),"")</f>
        <v/>
      </c>
      <c r="AJ45" t="str">
        <f t="shared" si="6"/>
        <v/>
      </c>
      <c r="AK45">
        <f t="shared" si="7"/>
        <v>15</v>
      </c>
      <c r="AL45" t="str">
        <f t="shared" si="8"/>
        <v>A|Buono|15</v>
      </c>
    </row>
    <row r="46" spans="1:38" ht="14.25" customHeight="1" x14ac:dyDescent="0.25">
      <c r="A46" s="18">
        <v>5800</v>
      </c>
      <c r="B46" s="18" t="s">
        <v>264</v>
      </c>
      <c r="C46" s="18" t="s">
        <v>280</v>
      </c>
      <c r="E46" s="23" t="str">
        <f>IF(COUNTIF('Info Strategia'!$D$2:$D$51,$C46)&gt;0,"SI","NO")</f>
        <v>NO</v>
      </c>
      <c r="F46" s="24">
        <f>IFERROR(ROUND(($G46+($H46-$G46)*'Info Strategia'!$B$6)*(1+IF($E46="SI",'Parametri Modello'!$B$7*'Info Strategia'!$B$6,0)),0),"")</f>
        <v>41</v>
      </c>
      <c r="G46" s="24">
        <f>IFERROR(ROUND(MAX(1,(IF($V46&lt;=INDEX('Parametri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28</v>
      </c>
      <c r="H46" s="24">
        <f>IFERROR(ROUND((IF($V46&lt;=INDEX('Parametri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46</v>
      </c>
      <c r="I46" s="23">
        <f>IFERROR(INDEX('Input Statistiche 2025_26'!$F$3:$F$665,MATCH($A46,'Input Statistiche 2025_26'!$A$3:$A$665,0)),"")</f>
        <v>32</v>
      </c>
      <c r="J46" s="23">
        <f t="shared" si="0"/>
        <v>6</v>
      </c>
      <c r="K46" s="23">
        <f>IFERROR(INDEX('Input Statistiche 2025_26'!$I$3:$I$665,MATCH($A46,'Input Statistiche 2025_26'!$A$3:$A$665,0)),"")</f>
        <v>5</v>
      </c>
      <c r="L46" s="23">
        <f>IFERROR(INDEX('Input Statistiche 2025_26'!$O$3:$O$665,MATCH($A46,'Input Statistiche 2025_26'!$A$3:$A$665,0)),"")</f>
        <v>3</v>
      </c>
      <c r="M46" s="25"/>
      <c r="N46" s="24">
        <f>IFERROR(INDEX('Input Giocatori 2026_27'!$E$3:$E$493,MATCH($A46,'Input Giocatori 2026_27'!$A$3:$A$493,0)),"")</f>
        <v>13</v>
      </c>
      <c r="O46" s="24">
        <f>IFERROR(INDEX('Input Giocatori 2026_27'!$G$3:$G$493,MATCH($A46,'Input Giocatori 2026_27'!$A$3:$A$493,0)),"")</f>
        <v>61</v>
      </c>
      <c r="P46" s="23" t="str">
        <f>IFERROR(IF($O46="","",IF((1-(COUNTIFS($B$2:$B$492,$B46,$O$2:$O$492,"&gt;"&amp;$O46)+1-1)/COUNTIF($B$2:$B$492,$B46))&gt;='Parametri Modello'!$B$63,"Top",IF((1-(COUNTIFS($B$2:$B$492,$B46,$O$2:$O$492,"&gt;"&amp;$O46)+1-1)/COUNTIF($B$2:$B$492,$B46))&gt;='Parametri Modello'!$B$64,"Buono",IF((1-(COUNTIFS($B$2:$B$492,$B46,$O$2:$O$492,"&gt;"&amp;$O46)+1-1)/COUNTIF($B$2:$B$492,$B46))&gt;='Parametri Modello'!$B$65,"Nella Media","Scommessa/Riserva")))),"")</f>
        <v>Top</v>
      </c>
      <c r="Q46" s="26">
        <f>IF(AND($D46="",$N46&gt;1),SUMPRODUCT(($D$2:$D46="")*($N$2:$N46&gt;1)),"")</f>
        <v>45</v>
      </c>
      <c r="R46" s="26" t="str">
        <f>IF($D46='Info Lega'!$B$28,COUNTIFS($D$2:$D46,'Info Lega'!$B$28),"")</f>
        <v/>
      </c>
      <c r="S46" s="27">
        <f>IFERROR(INDEX('Input Statistiche 2025_26'!$G$3:$G$665,MATCH($A46,'Input Statistiche 2025_26'!$A$3:$A$665,0)),"")</f>
        <v>5.88</v>
      </c>
      <c r="T46" s="27">
        <f>IFERROR(INDEX('Input Statistiche 2025_26'!$H$3:$H$665,MATCH($A46,'Input Statistiche 2025_26'!$A$3:$A$665,0)),"")</f>
        <v>6.34</v>
      </c>
      <c r="U46" s="23" t="str">
        <f>IF(OR('La Mia Rosa'!$O$12="",$D46&lt;&gt;""),"",IF($F46&lt;='La Mia Rosa'!$O$12*'Parametri Modello'!$B$24,"OK",IF($F46&lt;='La Mia Rosa'!$O$12*'Parametri Modello'!$B$25,"Attenzione","Rischio Alto")))</f>
        <v>OK</v>
      </c>
      <c r="V46" s="23">
        <f t="shared" si="1"/>
        <v>17</v>
      </c>
      <c r="W46" s="18">
        <f>'Info Lega'!$B$4-SUMIFS($M$2:$M$492,$D$2:$D$492,'Info Lega'!$B$28)</f>
        <v>1000</v>
      </c>
      <c r="X46" s="18">
        <f>('Info Lega'!$B$5-COUNTIFS($D$2:$D$492,'Info Lega'!$B$28,$B$2:$B$492,"P"))+('Info Lega'!$B$6-COUNTIFS($D$2:$D$492,'Info Lega'!$B$28,$B$2:$B$492,"D"))+('Info Lega'!$B$7-COUNTIFS($D$2:$D$492,'Info Lega'!$B$28,$B$2:$B$492,"C"))+('Info Lega'!$B$8-COUNTIFS($D$2:$D$492,'Info Lega'!$B$28,$B$2:$B$492,"A"))</f>
        <v>25</v>
      </c>
      <c r="Y46" s="18">
        <f>X46*'Parametri Modello'!$B$30</f>
        <v>25</v>
      </c>
      <c r="Z46" s="18">
        <f t="shared" si="2"/>
        <v>975</v>
      </c>
      <c r="AA46" s="18">
        <f t="shared" si="3"/>
        <v>41</v>
      </c>
      <c r="AB46" s="18"/>
      <c r="AC46" s="18" t="str">
        <f>IF($AB46="","",IF($AB46&gt;$AA46,"PASS",IF($AB46&lt;=$AA46*(1-'Parametri Modello'!$B$68),"BID","ATTENZIONE")))</f>
        <v/>
      </c>
      <c r="AD46" s="28">
        <f t="shared" si="4"/>
        <v>66</v>
      </c>
      <c r="AE46" s="5" t="str">
        <f>IFERROR(IF($AF46="Titolare",INDEX('Stato Asta'!$G$9:$G$12,MATCH($B46,'Stato Asta'!$A$9:$A$12,0)),INDEX('Stato Asta'!$P$9:$P$12,MATCH($B46,'Stato Asta'!$A$9:$A$12,0))),"")</f>
        <v>🟡 Attesa rischiosa</v>
      </c>
      <c r="AF46" t="str">
        <f>IFERROR(IF($V46&lt;=INDEX('Parametri Modello'!$C$57:$C$60,MATCH($B46,'Parametri Modello'!$A$57:$A$60,0)),"Titolare","Riserva"),"")</f>
        <v>Titolare</v>
      </c>
      <c r="AG46" t="str">
        <f>IFERROR(INDEX('Pressione Competitiva'!$F$3:$F$6,MATCH($B46,'Pressione Competitiva'!$B$3:$B$6,0)),"")</f>
        <v>🔴 Molto Alta</v>
      </c>
      <c r="AH46" t="str">
        <f t="shared" si="5"/>
        <v/>
      </c>
      <c r="AI46" t="str">
        <f>IFERROR(IF($AH46="","",IF($AH46&gt;=$AA46*'Parametri Modello'!$B$68,"🟢 Opportunita'",IF($AH46&lt;=$AA46*'Parametri Modello'!$B$69,"🔴 Sovrapprezzo","🟡 Prezzo Corretto"))),"")</f>
        <v/>
      </c>
      <c r="AJ46" t="str">
        <f t="shared" si="6"/>
        <v/>
      </c>
      <c r="AK46">
        <f t="shared" si="7"/>
        <v>17</v>
      </c>
      <c r="AL46" t="str">
        <f t="shared" si="8"/>
        <v>C|Top|17</v>
      </c>
    </row>
    <row r="47" spans="1:38" ht="14.25" customHeight="1" x14ac:dyDescent="0.25">
      <c r="A47" s="18">
        <v>6884</v>
      </c>
      <c r="B47" s="18" t="s">
        <v>264</v>
      </c>
      <c r="C47" s="18" t="s">
        <v>286</v>
      </c>
      <c r="E47" s="23" t="str">
        <f>IF(COUNTIF('Info Strategia'!$D$2:$D$51,$C47)&gt;0,"SI","NO")</f>
        <v>NO</v>
      </c>
      <c r="F47" s="24">
        <f>IFERROR(ROUND(($G47+($H47-$G47)*'Info Strategia'!$B$6)*(1+IF($E47="SI",'Parametri Modello'!$B$7*'Info Strategia'!$B$6,0)),0),"")</f>
        <v>40</v>
      </c>
      <c r="G47" s="24">
        <f>IFERROR(ROUND(MAX(1,(IF($V47&lt;=INDEX('Parametri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27</v>
      </c>
      <c r="H47" s="24">
        <f>IFERROR(ROUND((IF($V47&lt;=INDEX('Parametri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46</v>
      </c>
      <c r="I47" s="23">
        <f>IFERROR(INDEX('Input Statistiche 2025_26'!$F$3:$F$665,MATCH($A47,'Input Statistiche 2025_26'!$A$3:$A$665,0)),"")</f>
        <v>30</v>
      </c>
      <c r="J47" s="23">
        <f t="shared" si="0"/>
        <v>8</v>
      </c>
      <c r="K47" s="23">
        <f>IFERROR(INDEX('Input Statistiche 2025_26'!$I$3:$I$665,MATCH($A47,'Input Statistiche 2025_26'!$A$3:$A$665,0)),"")</f>
        <v>3</v>
      </c>
      <c r="L47" s="23">
        <f>IFERROR(INDEX('Input Statistiche 2025_26'!$O$3:$O$665,MATCH($A47,'Input Statistiche 2025_26'!$A$3:$A$665,0)),"")</f>
        <v>5</v>
      </c>
      <c r="M47" s="25"/>
      <c r="N47" s="24">
        <f>IFERROR(INDEX('Input Giocatori 2026_27'!$E$3:$E$493,MATCH($A47,'Input Giocatori 2026_27'!$A$3:$A$493,0)),"")</f>
        <v>12</v>
      </c>
      <c r="O47" s="24">
        <f>IFERROR(INDEX('Input Giocatori 2026_27'!$G$3:$G$493,MATCH($A47,'Input Giocatori 2026_27'!$A$3:$A$493,0)),"")</f>
        <v>60</v>
      </c>
      <c r="P47" s="23" t="str">
        <f>IFERROR(IF($O47="","",IF((1-(COUNTIFS($B$2:$B$492,$B47,$O$2:$O$492,"&gt;"&amp;$O47)+1-1)/COUNTIF($B$2:$B$492,$B47))&gt;='Parametri Modello'!$B$63,"Top",IF((1-(COUNTIFS($B$2:$B$492,$B47,$O$2:$O$492,"&gt;"&amp;$O47)+1-1)/COUNTIF($B$2:$B$492,$B47))&gt;='Parametri Modello'!$B$64,"Buono",IF((1-(COUNTIFS($B$2:$B$492,$B47,$O$2:$O$492,"&gt;"&amp;$O47)+1-1)/COUNTIF($B$2:$B$492,$B47))&gt;='Parametri Modello'!$B$65,"Nella Media","Scommessa/Riserva")))),"")</f>
        <v>Top</v>
      </c>
      <c r="Q47" s="26">
        <f>IF(AND($D47="",$N47&gt;1),SUMPRODUCT(($D$2:$D47="")*($N$2:$N47&gt;1)),"")</f>
        <v>46</v>
      </c>
      <c r="R47" s="26" t="str">
        <f>IF($D47='Info Lega'!$B$28,COUNTIFS($D$2:$D47,'Info Lega'!$B$28),"")</f>
        <v/>
      </c>
      <c r="S47" s="27">
        <f>IFERROR(INDEX('Input Statistiche 2025_26'!$G$3:$G$665,MATCH($A47,'Input Statistiche 2025_26'!$A$3:$A$665,0)),"")</f>
        <v>6.28</v>
      </c>
      <c r="T47" s="27">
        <f>IFERROR(INDEX('Input Statistiche 2025_26'!$H$3:$H$665,MATCH($A47,'Input Statistiche 2025_26'!$A$3:$A$665,0)),"")</f>
        <v>6.7</v>
      </c>
      <c r="U47" s="23" t="str">
        <f>IF(OR('La Mia Rosa'!$O$12="",$D47&lt;&gt;""),"",IF($F47&lt;='La Mia Rosa'!$O$12*'Parametri Modello'!$B$24,"OK",IF($F47&lt;='La Mia Rosa'!$O$12*'Parametri Modello'!$B$25,"Attenzione","Rischio Alto")))</f>
        <v>OK</v>
      </c>
      <c r="V47" s="23">
        <f t="shared" si="1"/>
        <v>18</v>
      </c>
      <c r="W47" s="18">
        <f>'Info Lega'!$B$4-SUMIFS($M$2:$M$492,$D$2:$D$492,'Info Lega'!$B$28)</f>
        <v>1000</v>
      </c>
      <c r="X47" s="18">
        <f>('Info Lega'!$B$5-COUNTIFS($D$2:$D$492,'Info Lega'!$B$28,$B$2:$B$492,"P"))+('Info Lega'!$B$6-COUNTIFS($D$2:$D$492,'Info Lega'!$B$28,$B$2:$B$492,"D"))+('Info Lega'!$B$7-COUNTIFS($D$2:$D$492,'Info Lega'!$B$28,$B$2:$B$492,"C"))+('Info Lega'!$B$8-COUNTIFS($D$2:$D$492,'Info Lega'!$B$28,$B$2:$B$492,"A"))</f>
        <v>25</v>
      </c>
      <c r="Y47" s="18">
        <f>X47*'Parametri Modello'!$B$30</f>
        <v>25</v>
      </c>
      <c r="Z47" s="18">
        <f t="shared" si="2"/>
        <v>975</v>
      </c>
      <c r="AA47" s="18">
        <f t="shared" si="3"/>
        <v>40</v>
      </c>
      <c r="AB47" s="18"/>
      <c r="AC47" s="18" t="str">
        <f>IF($AB47="","",IF($AB47&gt;$AA47,"PASS",IF($AB47&lt;=$AA47*(1-'Parametri Modello'!$B$68),"BID","ATTENZIONE")))</f>
        <v/>
      </c>
      <c r="AD47" s="28">
        <f t="shared" si="4"/>
        <v>63</v>
      </c>
      <c r="AE47" s="5" t="str">
        <f>IFERROR(IF($AF47="Titolare",INDEX('Stato Asta'!$G$9:$G$12,MATCH($B47,'Stato Asta'!$A$9:$A$12,0)),INDEX('Stato Asta'!$P$9:$P$12,MATCH($B47,'Stato Asta'!$A$9:$A$12,0))),"")</f>
        <v>🟡 Attesa rischiosa</v>
      </c>
      <c r="AF47" t="str">
        <f>IFERROR(IF($V47&lt;=INDEX('Parametri Modello'!$C$57:$C$60,MATCH($B47,'Parametri Modello'!$A$57:$A$60,0)),"Titolare","Riserva"),"")</f>
        <v>Titolare</v>
      </c>
      <c r="AG47" t="str">
        <f>IFERROR(INDEX('Pressione Competitiva'!$F$3:$F$6,MATCH($B47,'Pressione Competitiva'!$B$3:$B$6,0)),"")</f>
        <v>🔴 Molto Alta</v>
      </c>
      <c r="AH47" t="str">
        <f t="shared" si="5"/>
        <v/>
      </c>
      <c r="AI47" t="str">
        <f>IFERROR(IF($AH47="","",IF($AH47&gt;=$AA47*'Parametri Modello'!$B$68,"🟢 Opportunita'",IF($AH47&lt;=$AA47*'Parametri Modello'!$B$69,"🔴 Sovrapprezzo","🟡 Prezzo Corretto"))),"")</f>
        <v/>
      </c>
      <c r="AJ47" t="str">
        <f t="shared" si="6"/>
        <v/>
      </c>
      <c r="AK47">
        <f t="shared" si="7"/>
        <v>18</v>
      </c>
      <c r="AL47" t="str">
        <f t="shared" si="8"/>
        <v>C|Top|18</v>
      </c>
    </row>
    <row r="48" spans="1:38" ht="14.25" customHeight="1" x14ac:dyDescent="0.25">
      <c r="A48" s="18">
        <v>7351</v>
      </c>
      <c r="B48" s="18" t="s">
        <v>437</v>
      </c>
      <c r="C48" s="18" t="s">
        <v>458</v>
      </c>
      <c r="E48" s="23" t="str">
        <f>IF(COUNTIF('Info Strategia'!$D$2:$D$51,$C48)&gt;0,"SI","NO")</f>
        <v>NO</v>
      </c>
      <c r="F48" s="24">
        <f>IFERROR(ROUND(($G48+($H48-$G48)*'Info Strategia'!$B$6)*(1+IF($E48="SI",'Parametri Modello'!$B$7*'Info Strategia'!$B$6,0)),0),"")</f>
        <v>20</v>
      </c>
      <c r="G48" s="24">
        <f>IFERROR(ROUND(MAX(1,(IF($V48&lt;=INDEX('Parametri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12</v>
      </c>
      <c r="H48" s="24">
        <f>IFERROR(ROUND((IF($V48&lt;=INDEX('Parametri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23</v>
      </c>
      <c r="I48" s="23">
        <f>IFERROR(INDEX('Input Statistiche 2025_26'!$F$3:$F$665,MATCH($A48,'Input Statistiche 2025_26'!$A$3:$A$665,0)),"")</f>
        <v>13</v>
      </c>
      <c r="J48" s="23">
        <f t="shared" si="0"/>
        <v>25</v>
      </c>
      <c r="K48" s="23">
        <f>IFERROR(INDEX('Input Statistiche 2025_26'!$I$3:$I$665,MATCH($A48,'Input Statistiche 2025_26'!$A$3:$A$665,0)),"")</f>
        <v>4</v>
      </c>
      <c r="L48" s="23">
        <f>IFERROR(INDEX('Input Statistiche 2025_26'!$O$3:$O$665,MATCH($A48,'Input Statistiche 2025_26'!$A$3:$A$665,0)),"")</f>
        <v>0</v>
      </c>
      <c r="M48" s="25"/>
      <c r="N48" s="24">
        <f>IFERROR(INDEX('Input Giocatori 2026_27'!$E$3:$E$493,MATCH($A48,'Input Giocatori 2026_27'!$A$3:$A$493,0)),"")</f>
        <v>14</v>
      </c>
      <c r="O48" s="24">
        <f>IFERROR(INDEX('Input Giocatori 2026_27'!$G$3:$G$493,MATCH($A48,'Input Giocatori 2026_27'!$A$3:$A$493,0)),"")</f>
        <v>60</v>
      </c>
      <c r="P48" s="23" t="str">
        <f>IFERROR(IF($O48="","",IF((1-(COUNTIFS($B$2:$B$492,$B48,$O$2:$O$492,"&gt;"&amp;$O48)+1-1)/COUNTIF($B$2:$B$492,$B48))&gt;='Parametri Modello'!$B$63,"Top",IF((1-(COUNTIFS($B$2:$B$492,$B48,$O$2:$O$492,"&gt;"&amp;$O48)+1-1)/COUNTIF($B$2:$B$492,$B48))&gt;='Parametri Modello'!$B$64,"Buono",IF((1-(COUNTIFS($B$2:$B$492,$B48,$O$2:$O$492,"&gt;"&amp;$O48)+1-1)/COUNTIF($B$2:$B$492,$B48))&gt;='Parametri Modello'!$B$65,"Nella Media","Scommessa/Riserva")))),"")</f>
        <v>Buono</v>
      </c>
      <c r="Q48" s="26">
        <f>IF(AND($D48="",$N48&gt;1),SUMPRODUCT(($D$2:$D48="")*($N$2:$N48&gt;1)),"")</f>
        <v>47</v>
      </c>
      <c r="R48" s="26" t="str">
        <f>IF($D48='Info Lega'!$B$28,COUNTIFS($D$2:$D48,'Info Lega'!$B$28),"")</f>
        <v/>
      </c>
      <c r="S48" s="27">
        <f>IFERROR(INDEX('Input Statistiche 2025_26'!$G$3:$G$665,MATCH($A48,'Input Statistiche 2025_26'!$A$3:$A$665,0)),"")</f>
        <v>6.35</v>
      </c>
      <c r="T48" s="27">
        <f>IFERROR(INDEX('Input Statistiche 2025_26'!$H$3:$H$665,MATCH($A48,'Input Statistiche 2025_26'!$A$3:$A$665,0)),"")</f>
        <v>7.23</v>
      </c>
      <c r="U48" s="23" t="str">
        <f>IF(OR('La Mia Rosa'!$O$12="",$D48&lt;&gt;""),"",IF($F48&lt;='La Mia Rosa'!$O$12*'Parametri Modello'!$B$24,"OK",IF($F48&lt;='La Mia Rosa'!$O$12*'Parametri Modello'!$B$25,"Attenzione","Rischio Alto")))</f>
        <v>OK</v>
      </c>
      <c r="V48" s="23">
        <f t="shared" si="1"/>
        <v>25</v>
      </c>
      <c r="W48" s="18">
        <f>'Info Lega'!$B$4-SUMIFS($M$2:$M$492,$D$2:$D$492,'Info Lega'!$B$28)</f>
        <v>1000</v>
      </c>
      <c r="X48" s="18">
        <f>('Info Lega'!$B$5-COUNTIFS($D$2:$D$492,'Info Lega'!$B$28,$B$2:$B$492,"P"))+('Info Lega'!$B$6-COUNTIFS($D$2:$D$492,'Info Lega'!$B$28,$B$2:$B$492,"D"))+('Info Lega'!$B$7-COUNTIFS($D$2:$D$492,'Info Lega'!$B$28,$B$2:$B$492,"C"))+('Info Lega'!$B$8-COUNTIFS($D$2:$D$492,'Info Lega'!$B$28,$B$2:$B$492,"A"))</f>
        <v>25</v>
      </c>
      <c r="Y48" s="18">
        <f>X48*'Parametri Modello'!$B$30</f>
        <v>25</v>
      </c>
      <c r="Z48" s="18">
        <f t="shared" si="2"/>
        <v>975</v>
      </c>
      <c r="AA48" s="18">
        <f t="shared" si="3"/>
        <v>20</v>
      </c>
      <c r="AB48" s="18"/>
      <c r="AC48" s="18" t="str">
        <f>IF($AB48="","",IF($AB48&gt;$AA48,"PASS",IF($AB48&lt;=$AA48*(1-'Parametri Modello'!$B$68),"BID","ATTENZIONE")))</f>
        <v/>
      </c>
      <c r="AD48" s="28">
        <f t="shared" si="4"/>
        <v>35</v>
      </c>
      <c r="AE48" s="5" t="str">
        <f>IFERROR(IF($AF48="Titolare",INDEX('Stato Asta'!$G$9:$G$12,MATCH($B48,'Stato Asta'!$A$9:$A$12,0)),INDEX('Stato Asta'!$P$9:$P$12,MATCH($B48,'Stato Asta'!$A$9:$A$12,0))),"")</f>
        <v>🟢 Riserve abbondanti</v>
      </c>
      <c r="AF48" t="str">
        <f>IFERROR(IF($V48&lt;=INDEX('Parametri Modello'!$C$57:$C$60,MATCH($B48,'Parametri Modello'!$A$57:$A$60,0)),"Titolare","Riserva"),"")</f>
        <v>Riserva</v>
      </c>
      <c r="AG48" t="str">
        <f>IFERROR(INDEX('Pressione Competitiva'!$F$3:$F$6,MATCH($B48,'Pressione Competitiva'!$B$3:$B$6,0)),"")</f>
        <v>🔴 Molto Alta</v>
      </c>
      <c r="AH48" t="str">
        <f t="shared" si="5"/>
        <v/>
      </c>
      <c r="AI48" t="str">
        <f>IFERROR(IF($AH48="","",IF($AH48&gt;=$AA48*'Parametri Modello'!$B$68,"🟢 Opportunita'",IF($AH48&lt;=$AA48*'Parametri Modello'!$B$69,"🔴 Sovrapprezzo","🟡 Prezzo Corretto"))),"")</f>
        <v/>
      </c>
      <c r="AJ48" t="str">
        <f t="shared" si="6"/>
        <v/>
      </c>
      <c r="AK48">
        <f t="shared" si="7"/>
        <v>16</v>
      </c>
      <c r="AL48" t="str">
        <f t="shared" si="8"/>
        <v>A|Buono|16</v>
      </c>
    </row>
    <row r="49" spans="1:38" ht="14.25" customHeight="1" x14ac:dyDescent="0.25">
      <c r="A49" s="18">
        <v>2038</v>
      </c>
      <c r="B49" s="18" t="s">
        <v>437</v>
      </c>
      <c r="C49" s="18" t="s">
        <v>464</v>
      </c>
      <c r="E49" s="23" t="str">
        <f>IF(COUNTIF('Info Strategia'!$D$2:$D$51,$C49)&gt;0,"SI","NO")</f>
        <v>NO</v>
      </c>
      <c r="F49" s="24">
        <f>IFERROR(ROUND(($G49+($H49-$G49)*'Info Strategia'!$B$6)*(1+IF($E49="SI",'Parametri Modello'!$B$7*'Info Strategia'!$B$6,0)),0),"")</f>
        <v>19</v>
      </c>
      <c r="G49" s="24">
        <f>IFERROR(ROUND(MAX(1,(IF($V49&lt;=INDEX('Parametri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12</v>
      </c>
      <c r="H49" s="24">
        <f>IFERROR(ROUND((IF($V49&lt;=INDEX('Parametri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22</v>
      </c>
      <c r="I49" s="23">
        <f>IFERROR(INDEX('Input Statistiche 2025_26'!$F$3:$F$665,MATCH($A49,'Input Statistiche 2025_26'!$A$3:$A$665,0)),"")</f>
        <v>34</v>
      </c>
      <c r="J49" s="23">
        <f t="shared" si="0"/>
        <v>4</v>
      </c>
      <c r="K49" s="23">
        <f>IFERROR(INDEX('Input Statistiche 2025_26'!$I$3:$I$665,MATCH($A49,'Input Statistiche 2025_26'!$A$3:$A$665,0)),"")</f>
        <v>9</v>
      </c>
      <c r="L49" s="23">
        <f>IFERROR(INDEX('Input Statistiche 2025_26'!$O$3:$O$665,MATCH($A49,'Input Statistiche 2025_26'!$A$3:$A$665,0)),"")</f>
        <v>3</v>
      </c>
      <c r="M49" s="25"/>
      <c r="N49" s="24">
        <f>IFERROR(INDEX('Input Giocatori 2026_27'!$E$3:$E$493,MATCH($A49,'Input Giocatori 2026_27'!$A$3:$A$493,0)),"")</f>
        <v>13</v>
      </c>
      <c r="O49" s="24">
        <f>IFERROR(INDEX('Input Giocatori 2026_27'!$G$3:$G$493,MATCH($A49,'Input Giocatori 2026_27'!$A$3:$A$493,0)),"")</f>
        <v>58</v>
      </c>
      <c r="P49" s="23" t="str">
        <f>IFERROR(IF($O49="","",IF((1-(COUNTIFS($B$2:$B$492,$B49,$O$2:$O$492,"&gt;"&amp;$O49)+1-1)/COUNTIF($B$2:$B$492,$B49))&gt;='Parametri Modello'!$B$63,"Top",IF((1-(COUNTIFS($B$2:$B$492,$B49,$O$2:$O$492,"&gt;"&amp;$O49)+1-1)/COUNTIF($B$2:$B$492,$B49))&gt;='Parametri Modello'!$B$64,"Buono",IF((1-(COUNTIFS($B$2:$B$492,$B49,$O$2:$O$492,"&gt;"&amp;$O49)+1-1)/COUNTIF($B$2:$B$492,$B49))&gt;='Parametri Modello'!$B$65,"Nella Media","Scommessa/Riserva")))),"")</f>
        <v>Buono</v>
      </c>
      <c r="Q49" s="26">
        <f>IF(AND($D49="",$N49&gt;1),SUMPRODUCT(($D$2:$D49="")*($N$2:$N49&gt;1)),"")</f>
        <v>48</v>
      </c>
      <c r="R49" s="26" t="str">
        <f>IF($D49='Info Lega'!$B$28,COUNTIFS($D$2:$D49,'Info Lega'!$B$28),"")</f>
        <v/>
      </c>
      <c r="S49" s="27">
        <f>IFERROR(INDEX('Input Statistiche 2025_26'!$G$3:$G$665,MATCH($A49,'Input Statistiche 2025_26'!$A$3:$A$665,0)),"")</f>
        <v>5.88</v>
      </c>
      <c r="T49" s="27">
        <f>IFERROR(INDEX('Input Statistiche 2025_26'!$H$3:$H$665,MATCH($A49,'Input Statistiche 2025_26'!$A$3:$A$665,0)),"")</f>
        <v>6.62</v>
      </c>
      <c r="U49" s="23" t="str">
        <f>IF(OR('La Mia Rosa'!$O$12="",$D49&lt;&gt;""),"",IF($F49&lt;='La Mia Rosa'!$O$12*'Parametri Modello'!$B$24,"OK",IF($F49&lt;='La Mia Rosa'!$O$12*'Parametri Modello'!$B$25,"Attenzione","Rischio Alto")))</f>
        <v>OK</v>
      </c>
      <c r="V49" s="23">
        <f t="shared" si="1"/>
        <v>26</v>
      </c>
      <c r="W49" s="18">
        <f>'Info Lega'!$B$4-SUMIFS($M$2:$M$492,$D$2:$D$492,'Info Lega'!$B$28)</f>
        <v>1000</v>
      </c>
      <c r="X49" s="18">
        <f>('Info Lega'!$B$5-COUNTIFS($D$2:$D$492,'Info Lega'!$B$28,$B$2:$B$492,"P"))+('Info Lega'!$B$6-COUNTIFS($D$2:$D$492,'Info Lega'!$B$28,$B$2:$B$492,"D"))+('Info Lega'!$B$7-COUNTIFS($D$2:$D$492,'Info Lega'!$B$28,$B$2:$B$492,"C"))+('Info Lega'!$B$8-COUNTIFS($D$2:$D$492,'Info Lega'!$B$28,$B$2:$B$492,"A"))</f>
        <v>25</v>
      </c>
      <c r="Y49" s="18">
        <f>X49*'Parametri Modello'!$B$30</f>
        <v>25</v>
      </c>
      <c r="Z49" s="18">
        <f t="shared" si="2"/>
        <v>975</v>
      </c>
      <c r="AA49" s="18">
        <f t="shared" si="3"/>
        <v>19</v>
      </c>
      <c r="AB49" s="18"/>
      <c r="AC49" s="18" t="str">
        <f>IF($AB49="","",IF($AB49&gt;$AA49,"PASS",IF($AB49&lt;=$AA49*(1-'Parametri Modello'!$B$68),"BID","ATTENZIONE")))</f>
        <v/>
      </c>
      <c r="AD49" s="28">
        <f t="shared" si="4"/>
        <v>68</v>
      </c>
      <c r="AE49" s="5" t="str">
        <f>IFERROR(IF($AF49="Titolare",INDEX('Stato Asta'!$G$9:$G$12,MATCH($B49,'Stato Asta'!$A$9:$A$12,0)),INDEX('Stato Asta'!$P$9:$P$12,MATCH($B49,'Stato Asta'!$A$9:$A$12,0))),"")</f>
        <v>🟢 Riserve abbondanti</v>
      </c>
      <c r="AF49" t="str">
        <f>IFERROR(IF($V49&lt;=INDEX('Parametri Modello'!$C$57:$C$60,MATCH($B49,'Parametri Modello'!$A$57:$A$60,0)),"Titolare","Riserva"),"")</f>
        <v>Riserva</v>
      </c>
      <c r="AG49" t="str">
        <f>IFERROR(INDEX('Pressione Competitiva'!$F$3:$F$6,MATCH($B49,'Pressione Competitiva'!$B$3:$B$6,0)),"")</f>
        <v>🔴 Molto Alta</v>
      </c>
      <c r="AH49" t="str">
        <f t="shared" si="5"/>
        <v/>
      </c>
      <c r="AI49" t="str">
        <f>IFERROR(IF($AH49="","",IF($AH49&gt;=$AA49*'Parametri Modello'!$B$68,"🟢 Opportunita'",IF($AH49&lt;=$AA49*'Parametri Modello'!$B$69,"🔴 Sovrapprezzo","🟡 Prezzo Corretto"))),"")</f>
        <v/>
      </c>
      <c r="AJ49" t="str">
        <f t="shared" si="6"/>
        <v/>
      </c>
      <c r="AK49">
        <f t="shared" si="7"/>
        <v>17</v>
      </c>
      <c r="AL49" t="str">
        <f t="shared" si="8"/>
        <v>A|Buono|17</v>
      </c>
    </row>
    <row r="50" spans="1:38" ht="14.25" customHeight="1" x14ac:dyDescent="0.25">
      <c r="A50" s="18">
        <v>7436</v>
      </c>
      <c r="B50" s="18" t="s">
        <v>264</v>
      </c>
      <c r="C50" s="18" t="s">
        <v>285</v>
      </c>
      <c r="E50" s="23" t="str">
        <f>IF(COUNTIF('Info Strategia'!$D$2:$D$51,$C50)&gt;0,"SI","NO")</f>
        <v>NO</v>
      </c>
      <c r="F50" s="24">
        <f>IFERROR(ROUND(($G50+($H50-$G50)*'Info Strategia'!$B$6)*(1+IF($E50="SI",'Parametri Modello'!$B$7*'Info Strategia'!$B$6,0)),0),"")</f>
        <v>38</v>
      </c>
      <c r="G50" s="24">
        <f>IFERROR(ROUND(MAX(1,(IF($V50&lt;=INDEX('Parametri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26</v>
      </c>
      <c r="H50" s="24">
        <f>IFERROR(ROUND((IF($V50&lt;=INDEX('Parametri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43</v>
      </c>
      <c r="I50" s="23" t="str">
        <f>IFERROR(INDEX('Input Statistiche 2025_26'!$F$3:$F$665,MATCH($A50,'Input Statistiche 2025_26'!$A$3:$A$665,0)),"")</f>
        <v/>
      </c>
      <c r="J50" s="23" t="str">
        <f t="shared" si="0"/>
        <v/>
      </c>
      <c r="K50" s="23" t="str">
        <f>IFERROR(INDEX('Input Statistiche 2025_26'!$I$3:$I$665,MATCH($A50,'Input Statistiche 2025_26'!$A$3:$A$665,0)),"")</f>
        <v/>
      </c>
      <c r="L50" s="23" t="str">
        <f>IFERROR(INDEX('Input Statistiche 2025_26'!$O$3:$O$665,MATCH($A50,'Input Statistiche 2025_26'!$A$3:$A$665,0)),"")</f>
        <v/>
      </c>
      <c r="M50" s="25"/>
      <c r="N50" s="24">
        <f>IFERROR(INDEX('Input Giocatori 2026_27'!$E$3:$E$493,MATCH($A50,'Input Giocatori 2026_27'!$A$3:$A$493,0)),"")</f>
        <v>12</v>
      </c>
      <c r="O50" s="24">
        <f>IFERROR(INDEX('Input Giocatori 2026_27'!$G$3:$G$493,MATCH($A50,'Input Giocatori 2026_27'!$A$3:$A$493,0)),"")</f>
        <v>57</v>
      </c>
      <c r="P50" s="23" t="str">
        <f>IFERROR(IF($O50="","",IF((1-(COUNTIFS($B$2:$B$492,$B50,$O$2:$O$492,"&gt;"&amp;$O50)+1-1)/COUNTIF($B$2:$B$492,$B50))&gt;='Parametri Modello'!$B$63,"Top",IF((1-(COUNTIFS($B$2:$B$492,$B50,$O$2:$O$492,"&gt;"&amp;$O50)+1-1)/COUNTIF($B$2:$B$492,$B50))&gt;='Parametri Modello'!$B$64,"Buono",IF((1-(COUNTIFS($B$2:$B$492,$B50,$O$2:$O$492,"&gt;"&amp;$O50)+1-1)/COUNTIF($B$2:$B$492,$B50))&gt;='Parametri Modello'!$B$65,"Nella Media","Scommessa/Riserva")))),"")</f>
        <v>Buono</v>
      </c>
      <c r="Q50" s="26">
        <f>IF(AND($D50="",$N50&gt;1),SUMPRODUCT(($D$2:$D50="")*($N$2:$N50&gt;1)),"")</f>
        <v>49</v>
      </c>
      <c r="R50" s="26" t="str">
        <f>IF($D50='Info Lega'!$B$28,COUNTIFS($D$2:$D50,'Info Lega'!$B$28),"")</f>
        <v/>
      </c>
      <c r="S50" s="27" t="str">
        <f>IFERROR(INDEX('Input Statistiche 2025_26'!$G$3:$G$665,MATCH($A50,'Input Statistiche 2025_26'!$A$3:$A$665,0)),"")</f>
        <v/>
      </c>
      <c r="T50" s="27" t="str">
        <f>IFERROR(INDEX('Input Statistiche 2025_26'!$H$3:$H$665,MATCH($A50,'Input Statistiche 2025_26'!$A$3:$A$665,0)),"")</f>
        <v/>
      </c>
      <c r="U50" s="23" t="str">
        <f>IF(OR('La Mia Rosa'!$O$12="",$D50&lt;&gt;""),"",IF($F50&lt;='La Mia Rosa'!$O$12*'Parametri Modello'!$B$24,"OK",IF($F50&lt;='La Mia Rosa'!$O$12*'Parametri Modello'!$B$25,"Attenzione","Rischio Alto")))</f>
        <v>OK</v>
      </c>
      <c r="V50" s="23">
        <f t="shared" si="1"/>
        <v>19</v>
      </c>
      <c r="W50" s="18">
        <f>'Info Lega'!$B$4-SUMIFS($M$2:$M$492,$D$2:$D$492,'Info Lega'!$B$28)</f>
        <v>1000</v>
      </c>
      <c r="X50" s="18">
        <f>('Info Lega'!$B$5-COUNTIFS($D$2:$D$492,'Info Lega'!$B$28,$B$2:$B$492,"P"))+('Info Lega'!$B$6-COUNTIFS($D$2:$D$492,'Info Lega'!$B$28,$B$2:$B$492,"D"))+('Info Lega'!$B$7-COUNTIFS($D$2:$D$492,'Info Lega'!$B$28,$B$2:$B$492,"C"))+('Info Lega'!$B$8-COUNTIFS($D$2:$D$492,'Info Lega'!$B$28,$B$2:$B$492,"A"))</f>
        <v>25</v>
      </c>
      <c r="Y50" s="18">
        <f>X50*'Parametri Modello'!$B$30</f>
        <v>25</v>
      </c>
      <c r="Z50" s="18">
        <f t="shared" si="2"/>
        <v>975</v>
      </c>
      <c r="AA50" s="18">
        <f t="shared" si="3"/>
        <v>38</v>
      </c>
      <c r="AB50" s="18"/>
      <c r="AC50" s="18" t="str">
        <f>IF($AB50="","",IF($AB50&gt;$AA50,"PASS",IF($AB50&lt;=$AA50*(1-'Parametri Modello'!$B$68),"BID","ATTENZIONE")))</f>
        <v/>
      </c>
      <c r="AD50" s="28" t="str">
        <f t="shared" si="4"/>
        <v/>
      </c>
      <c r="AE50" s="5" t="str">
        <f>IFERROR(IF($AF50="Titolare",INDEX('Stato Asta'!$G$9:$G$12,MATCH($B50,'Stato Asta'!$A$9:$A$12,0)),INDEX('Stato Asta'!$P$9:$P$12,MATCH($B50,'Stato Asta'!$A$9:$A$12,0))),"")</f>
        <v>🟡 Attesa rischiosa</v>
      </c>
      <c r="AF50" t="str">
        <f>IFERROR(IF($V50&lt;=INDEX('Parametri Modello'!$C$57:$C$60,MATCH($B50,'Parametri Modello'!$A$57:$A$60,0)),"Titolare","Riserva"),"")</f>
        <v>Titolare</v>
      </c>
      <c r="AG50" t="str">
        <f>IFERROR(INDEX('Pressione Competitiva'!$F$3:$F$6,MATCH($B50,'Pressione Competitiva'!$B$3:$B$6,0)),"")</f>
        <v>🔴 Molto Alta</v>
      </c>
      <c r="AH50" t="str">
        <f t="shared" si="5"/>
        <v/>
      </c>
      <c r="AI50" t="str">
        <f>IFERROR(IF($AH50="","",IF($AH50&gt;=$AA50*'Parametri Modello'!$B$68,"🟢 Opportunita'",IF($AH50&lt;=$AA50*'Parametri Modello'!$B$69,"🔴 Sovrapprezzo","🟡 Prezzo Corretto"))),"")</f>
        <v/>
      </c>
      <c r="AJ50" t="str">
        <f t="shared" si="6"/>
        <v/>
      </c>
      <c r="AK50">
        <f t="shared" si="7"/>
        <v>1</v>
      </c>
      <c r="AL50" t="str">
        <f t="shared" si="8"/>
        <v>C|Buono|1</v>
      </c>
    </row>
    <row r="51" spans="1:38" ht="14.25" customHeight="1" x14ac:dyDescent="0.25">
      <c r="A51" s="18">
        <v>6966</v>
      </c>
      <c r="B51" s="18" t="s">
        <v>8</v>
      </c>
      <c r="C51" s="18" t="s">
        <v>15</v>
      </c>
      <c r="E51" s="23" t="str">
        <f>IF(COUNTIF('Info Strategia'!$D$2:$D$51,$C51)&gt;0,"SI","NO")</f>
        <v>NO</v>
      </c>
      <c r="F51" s="24">
        <f>IFERROR(ROUND(($G51+($H51-$G51)*'Info Strategia'!$B$6)*(1+IF($E51="SI",'Parametri Modello'!$B$7*'Info Strategia'!$B$6,0)),0),"")</f>
        <v>94</v>
      </c>
      <c r="G51" s="24">
        <f>IFERROR(ROUND(MAX(1,(IF($V51&lt;=INDEX('Parametri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76</v>
      </c>
      <c r="H51" s="24">
        <f>IFERROR(ROUND((IF($V51&lt;=INDEX('Parametri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102</v>
      </c>
      <c r="I51" s="23">
        <f>IFERROR(INDEX('Input Statistiche 2025_26'!$F$3:$F$665,MATCH($A51,'Input Statistiche 2025_26'!$A$3:$A$665,0)),"")</f>
        <v>38</v>
      </c>
      <c r="J51" s="23">
        <f t="shared" si="0"/>
        <v>0</v>
      </c>
      <c r="K51" s="23">
        <f>IFERROR(INDEX('Input Statistiche 2025_26'!$I$3:$I$665,MATCH($A51,'Input Statistiche 2025_26'!$A$3:$A$665,0)),"")</f>
        <v>0</v>
      </c>
      <c r="L51" s="23">
        <f>IFERROR(INDEX('Input Statistiche 2025_26'!$O$3:$O$665,MATCH($A51,'Input Statistiche 2025_26'!$A$3:$A$665,0)),"")</f>
        <v>1</v>
      </c>
      <c r="M51" s="25"/>
      <c r="N51" s="24">
        <f>IFERROR(INDEX('Input Giocatori 2026_27'!$E$3:$E$493,MATCH($A51,'Input Giocatori 2026_27'!$A$3:$A$493,0)),"")</f>
        <v>16</v>
      </c>
      <c r="O51" s="24">
        <f>IFERROR(INDEX('Input Giocatori 2026_27'!$G$3:$G$493,MATCH($A51,'Input Giocatori 2026_27'!$A$3:$A$493,0)),"")</f>
        <v>56</v>
      </c>
      <c r="P51" s="23" t="str">
        <f>IFERROR(IF($O51="","",IF((1-(COUNTIFS($B$2:$B$492,$B51,$O$2:$O$492,"&gt;"&amp;$O51)+1-1)/COUNTIF($B$2:$B$492,$B51))&gt;='Parametri Modello'!$B$63,"Top",IF((1-(COUNTIFS($B$2:$B$492,$B51,$O$2:$O$492,"&gt;"&amp;$O51)+1-1)/COUNTIF($B$2:$B$492,$B51))&gt;='Parametri Modello'!$B$64,"Buono",IF((1-(COUNTIFS($B$2:$B$492,$B51,$O$2:$O$492,"&gt;"&amp;$O51)+1-1)/COUNTIF($B$2:$B$492,$B51))&gt;='Parametri Modello'!$B$65,"Nella Media","Scommessa/Riserva")))),"")</f>
        <v>Top</v>
      </c>
      <c r="Q51" s="26">
        <f>IF(AND($D51="",$N51&gt;1),SUMPRODUCT(($D$2:$D51="")*($N$2:$N51&gt;1)),"")</f>
        <v>50</v>
      </c>
      <c r="R51" s="26" t="str">
        <f>IF($D51='Info Lega'!$B$28,COUNTIFS($D$2:$D51,'Info Lega'!$B$28),"")</f>
        <v/>
      </c>
      <c r="S51" s="27">
        <f>IFERROR(INDEX('Input Statistiche 2025_26'!$G$3:$G$665,MATCH($A51,'Input Statistiche 2025_26'!$A$3:$A$665,0)),"")</f>
        <v>6.07</v>
      </c>
      <c r="T51" s="27">
        <f>IFERROR(INDEX('Input Statistiche 2025_26'!$H$3:$H$665,MATCH($A51,'Input Statistiche 2025_26'!$A$3:$A$665,0)),"")</f>
        <v>5.37</v>
      </c>
      <c r="U51" s="23" t="str">
        <f>IF(OR('La Mia Rosa'!$O$12="",$D51&lt;&gt;""),"",IF($F51&lt;='La Mia Rosa'!$O$12*'Parametri Modello'!$B$24,"OK",IF($F51&lt;='La Mia Rosa'!$O$12*'Parametri Modello'!$B$25,"Attenzione","Rischio Alto")))</f>
        <v>Attenzione</v>
      </c>
      <c r="V51" s="23">
        <f t="shared" si="1"/>
        <v>3</v>
      </c>
      <c r="W51" s="18">
        <f>'Info Lega'!$B$4-SUMIFS($M$2:$M$492,$D$2:$D$492,'Info Lega'!$B$28)</f>
        <v>1000</v>
      </c>
      <c r="X51" s="18">
        <f>('Info Lega'!$B$5-COUNTIFS($D$2:$D$492,'Info Lega'!$B$28,$B$2:$B$492,"P"))+('Info Lega'!$B$6-COUNTIFS($D$2:$D$492,'Info Lega'!$B$28,$B$2:$B$492,"D"))+('Info Lega'!$B$7-COUNTIFS($D$2:$D$492,'Info Lega'!$B$28,$B$2:$B$492,"C"))+('Info Lega'!$B$8-COUNTIFS($D$2:$D$492,'Info Lega'!$B$28,$B$2:$B$492,"A"))</f>
        <v>25</v>
      </c>
      <c r="Y51" s="18">
        <f>X51*'Parametri Modello'!$B$30</f>
        <v>25</v>
      </c>
      <c r="Z51" s="18">
        <f t="shared" si="2"/>
        <v>975</v>
      </c>
      <c r="AA51" s="18">
        <f t="shared" si="3"/>
        <v>94</v>
      </c>
      <c r="AB51" s="18"/>
      <c r="AC51" s="18" t="str">
        <f>IF($AB51="","",IF($AB51&gt;$AA51,"PASS",IF($AB51&lt;=$AA51*(1-'Parametri Modello'!$B$68),"BID","ATTENZIONE")))</f>
        <v/>
      </c>
      <c r="AD51" s="28">
        <f t="shared" si="4"/>
        <v>72</v>
      </c>
      <c r="AE51" s="5" t="str">
        <f>IFERROR(IF($AF51="Titolare",INDEX('Stato Asta'!$G$9:$G$12,MATCH($B51,'Stato Asta'!$A$9:$A$12,0)),INDEX('Stato Asta'!$P$9:$P$12,MATCH($B51,'Stato Asta'!$A$9:$A$12,0))),"")</f>
        <v>🟢 Puoi aspettare</v>
      </c>
      <c r="AF51" t="str">
        <f>IFERROR(IF($V51&lt;=INDEX('Parametri Modello'!$C$57:$C$60,MATCH($B51,'Parametri Modello'!$A$57:$A$60,0)),"Titolare","Riserva"),"")</f>
        <v>Titolare</v>
      </c>
      <c r="AG51" t="str">
        <f>IFERROR(INDEX('Pressione Competitiva'!$F$3:$F$6,MATCH($B51,'Pressione Competitiva'!$B$3:$B$6,0)),"")</f>
        <v>🔴 Molto Alta</v>
      </c>
      <c r="AH51" t="str">
        <f t="shared" si="5"/>
        <v/>
      </c>
      <c r="AI51" t="str">
        <f>IFERROR(IF($AH51="","",IF($AH51&gt;=$AA51*'Parametri Modello'!$B$68,"🟢 Opportunita'",IF($AH51&lt;=$AA51*'Parametri Modello'!$B$69,"🔴 Sovrapprezzo","🟡 Prezzo Corretto"))),"")</f>
        <v/>
      </c>
      <c r="AJ51" t="str">
        <f t="shared" si="6"/>
        <v/>
      </c>
      <c r="AK51">
        <f t="shared" si="7"/>
        <v>3</v>
      </c>
      <c r="AL51" t="str">
        <f t="shared" si="8"/>
        <v>P|Top|3</v>
      </c>
    </row>
    <row r="52" spans="1:38" ht="14.25" customHeight="1" x14ac:dyDescent="0.25">
      <c r="A52" s="18">
        <v>4159</v>
      </c>
      <c r="B52" s="18" t="s">
        <v>88</v>
      </c>
      <c r="C52" s="18" t="s">
        <v>91</v>
      </c>
      <c r="E52" s="23" t="str">
        <f>IF(COUNTIF('Info Strategia'!$D$2:$D$51,$C52)&gt;0,"SI","NO")</f>
        <v>NO</v>
      </c>
      <c r="F52" s="24">
        <f>IFERROR(ROUND(($G52+($H52-$G52)*'Info Strategia'!$B$6)*(1+IF($E52="SI",'Parametri Modello'!$B$7*'Info Strategia'!$B$6,0)),0),"")</f>
        <v>38</v>
      </c>
      <c r="G52" s="24">
        <f>IFERROR(ROUND(MAX(1,(IF($V52&lt;=INDEX('Parametri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28</v>
      </c>
      <c r="H52" s="24">
        <f>IFERROR(ROUND((IF($V52&lt;=INDEX('Parametri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42</v>
      </c>
      <c r="I52" s="23">
        <f>IFERROR(INDEX('Input Statistiche 2025_26'!$F$3:$F$665,MATCH($A52,'Input Statistiche 2025_26'!$A$3:$A$665,0)),"")</f>
        <v>32</v>
      </c>
      <c r="J52" s="23">
        <f t="shared" si="0"/>
        <v>6</v>
      </c>
      <c r="K52" s="23">
        <f>IFERROR(INDEX('Input Statistiche 2025_26'!$I$3:$I$665,MATCH($A52,'Input Statistiche 2025_26'!$A$3:$A$665,0)),"")</f>
        <v>2</v>
      </c>
      <c r="L52" s="23">
        <f>IFERROR(INDEX('Input Statistiche 2025_26'!$O$3:$O$665,MATCH($A52,'Input Statistiche 2025_26'!$A$3:$A$665,0)),"")</f>
        <v>0</v>
      </c>
      <c r="M52" s="25"/>
      <c r="N52" s="24">
        <f>IFERROR(INDEX('Input Giocatori 2026_27'!$E$3:$E$493,MATCH($A52,'Input Giocatori 2026_27'!$A$3:$A$493,0)),"")</f>
        <v>16</v>
      </c>
      <c r="O52" s="24">
        <f>IFERROR(INDEX('Input Giocatori 2026_27'!$G$3:$G$493,MATCH($A52,'Input Giocatori 2026_27'!$A$3:$A$493,0)),"")</f>
        <v>55</v>
      </c>
      <c r="P52" s="23" t="str">
        <f>IFERROR(IF($O52="","",IF((1-(COUNTIFS($B$2:$B$492,$B52,$O$2:$O$492,"&gt;"&amp;$O52)+1-1)/COUNTIF($B$2:$B$492,$B52))&gt;='Parametri Modello'!$B$63,"Top",IF((1-(COUNTIFS($B$2:$B$492,$B52,$O$2:$O$492,"&gt;"&amp;$O52)+1-1)/COUNTIF($B$2:$B$492,$B52))&gt;='Parametri Modello'!$B$64,"Buono",IF((1-(COUNTIFS($B$2:$B$492,$B52,$O$2:$O$492,"&gt;"&amp;$O52)+1-1)/COUNTIF($B$2:$B$492,$B52))&gt;='Parametri Modello'!$B$65,"Nella Media","Scommessa/Riserva")))),"")</f>
        <v>Top</v>
      </c>
      <c r="Q52" s="26">
        <f>IF(AND($D52="",$N52&gt;1),SUMPRODUCT(($D$2:$D52="")*($N$2:$N52&gt;1)),"")</f>
        <v>51</v>
      </c>
      <c r="R52" s="26" t="str">
        <f>IF($D52='Info Lega'!$B$28,COUNTIFS($D$2:$D52,'Info Lega'!$B$28),"")</f>
        <v/>
      </c>
      <c r="S52" s="27">
        <f>IFERROR(INDEX('Input Statistiche 2025_26'!$G$3:$G$665,MATCH($A52,'Input Statistiche 2025_26'!$A$3:$A$665,0)),"")</f>
        <v>6.28</v>
      </c>
      <c r="T52" s="27">
        <f>IFERROR(INDEX('Input Statistiche 2025_26'!$H$3:$H$665,MATCH($A52,'Input Statistiche 2025_26'!$A$3:$A$665,0)),"")</f>
        <v>6.41</v>
      </c>
      <c r="U52" s="23" t="str">
        <f>IF(OR('La Mia Rosa'!$O$12="",$D52&lt;&gt;""),"",IF($F52&lt;='La Mia Rosa'!$O$12*'Parametri Modello'!$B$24,"OK",IF($F52&lt;='La Mia Rosa'!$O$12*'Parametri Modello'!$B$25,"Attenzione","Rischio Alto")))</f>
        <v>OK</v>
      </c>
      <c r="V52" s="23">
        <f t="shared" si="1"/>
        <v>3</v>
      </c>
      <c r="W52" s="18">
        <f>'Info Lega'!$B$4-SUMIFS($M$2:$M$492,$D$2:$D$492,'Info Lega'!$B$28)</f>
        <v>1000</v>
      </c>
      <c r="X52" s="18">
        <f>('Info Lega'!$B$5-COUNTIFS($D$2:$D$492,'Info Lega'!$B$28,$B$2:$B$492,"P"))+('Info Lega'!$B$6-COUNTIFS($D$2:$D$492,'Info Lega'!$B$28,$B$2:$B$492,"D"))+('Info Lega'!$B$7-COUNTIFS($D$2:$D$492,'Info Lega'!$B$28,$B$2:$B$492,"C"))+('Info Lega'!$B$8-COUNTIFS($D$2:$D$492,'Info Lega'!$B$28,$B$2:$B$492,"A"))</f>
        <v>25</v>
      </c>
      <c r="Y52" s="18">
        <f>X52*'Parametri Modello'!$B$30</f>
        <v>25</v>
      </c>
      <c r="Z52" s="18">
        <f t="shared" si="2"/>
        <v>975</v>
      </c>
      <c r="AA52" s="18">
        <f t="shared" si="3"/>
        <v>38</v>
      </c>
      <c r="AB52" s="18"/>
      <c r="AC52" s="18" t="str">
        <f>IF($AB52="","",IF($AB52&gt;$AA52,"PASS",IF($AB52&lt;=$AA52*(1-'Parametri Modello'!$B$68),"BID","ATTENZIONE")))</f>
        <v/>
      </c>
      <c r="AD52" s="28">
        <f t="shared" si="4"/>
        <v>66</v>
      </c>
      <c r="AE52" s="5" t="str">
        <f>IFERROR(IF($AF52="Titolare",INDEX('Stato Asta'!$G$9:$G$12,MATCH($B52,'Stato Asta'!$A$9:$A$12,0)),INDEX('Stato Asta'!$P$9:$P$12,MATCH($B52,'Stato Asta'!$A$9:$A$12,0))),"")</f>
        <v>🟢 Puoi aspettare</v>
      </c>
      <c r="AF52" t="str">
        <f>IFERROR(IF($V52&lt;=INDEX('Parametri Modello'!$C$57:$C$60,MATCH($B52,'Parametri Modello'!$A$57:$A$60,0)),"Titolare","Riserva"),"")</f>
        <v>Titolare</v>
      </c>
      <c r="AG52" t="str">
        <f>IFERROR(INDEX('Pressione Competitiva'!$F$3:$F$6,MATCH($B52,'Pressione Competitiva'!$B$3:$B$6,0)),"")</f>
        <v>🔴 Molto Alta</v>
      </c>
      <c r="AH52" t="str">
        <f t="shared" si="5"/>
        <v/>
      </c>
      <c r="AI52" t="str">
        <f>IFERROR(IF($AH52="","",IF($AH52&gt;=$AA52*'Parametri Modello'!$B$68,"🟢 Opportunita'",IF($AH52&lt;=$AA52*'Parametri Modello'!$B$69,"🔴 Sovrapprezzo","🟡 Prezzo Corretto"))),"")</f>
        <v/>
      </c>
      <c r="AJ52" t="str">
        <f t="shared" si="6"/>
        <v/>
      </c>
      <c r="AK52">
        <f t="shared" si="7"/>
        <v>3</v>
      </c>
      <c r="AL52" t="str">
        <f t="shared" si="8"/>
        <v>D|Top|3</v>
      </c>
    </row>
    <row r="53" spans="1:38" ht="14.25" customHeight="1" x14ac:dyDescent="0.25">
      <c r="A53" s="18">
        <v>4220</v>
      </c>
      <c r="B53" s="18" t="s">
        <v>264</v>
      </c>
      <c r="C53" s="18" t="s">
        <v>290</v>
      </c>
      <c r="E53" s="23" t="str">
        <f>IF(COUNTIF('Info Strategia'!$D$2:$D$51,$C53)&gt;0,"SI","NO")</f>
        <v>NO</v>
      </c>
      <c r="F53" s="24">
        <f>IFERROR(ROUND(($G53+($H53-$G53)*'Info Strategia'!$B$6)*(1+IF($E53="SI",'Parametri Modello'!$B$7*'Info Strategia'!$B$6,0)),0),"")</f>
        <v>37</v>
      </c>
      <c r="G53" s="24">
        <f>IFERROR(ROUND(MAX(1,(IF($V53&lt;=INDEX('Parametri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25</v>
      </c>
      <c r="H53" s="24">
        <f>IFERROR(ROUND((IF($V53&lt;=INDEX('Parametri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42</v>
      </c>
      <c r="I53" s="23">
        <f>IFERROR(INDEX('Input Statistiche 2025_26'!$F$3:$F$665,MATCH($A53,'Input Statistiche 2025_26'!$A$3:$A$665,0)),"")</f>
        <v>18</v>
      </c>
      <c r="J53" s="23">
        <f t="shared" si="0"/>
        <v>20</v>
      </c>
      <c r="K53" s="23">
        <f>IFERROR(INDEX('Input Statistiche 2025_26'!$I$3:$I$665,MATCH($A53,'Input Statistiche 2025_26'!$A$3:$A$665,0)),"")</f>
        <v>4</v>
      </c>
      <c r="L53" s="23">
        <f>IFERROR(INDEX('Input Statistiche 2025_26'!$O$3:$O$665,MATCH($A53,'Input Statistiche 2025_26'!$A$3:$A$665,0)),"")</f>
        <v>1</v>
      </c>
      <c r="M53" s="25"/>
      <c r="N53" s="24">
        <f>IFERROR(INDEX('Input Giocatori 2026_27'!$E$3:$E$493,MATCH($A53,'Input Giocatori 2026_27'!$A$3:$A$493,0)),"")</f>
        <v>11</v>
      </c>
      <c r="O53" s="24">
        <f>IFERROR(INDEX('Input Giocatori 2026_27'!$G$3:$G$493,MATCH($A53,'Input Giocatori 2026_27'!$A$3:$A$493,0)),"")</f>
        <v>55</v>
      </c>
      <c r="P53" s="23" t="str">
        <f>IFERROR(IF($O53="","",IF((1-(COUNTIFS($B$2:$B$492,$B53,$O$2:$O$492,"&gt;"&amp;$O53)+1-1)/COUNTIF($B$2:$B$492,$B53))&gt;='Parametri Modello'!$B$63,"Top",IF((1-(COUNTIFS($B$2:$B$492,$B53,$O$2:$O$492,"&gt;"&amp;$O53)+1-1)/COUNTIF($B$2:$B$492,$B53))&gt;='Parametri Modello'!$B$64,"Buono",IF((1-(COUNTIFS($B$2:$B$492,$B53,$O$2:$O$492,"&gt;"&amp;$O53)+1-1)/COUNTIF($B$2:$B$492,$B53))&gt;='Parametri Modello'!$B$65,"Nella Media","Scommessa/Riserva")))),"")</f>
        <v>Buono</v>
      </c>
      <c r="Q53" s="26">
        <f>IF(AND($D53="",$N53&gt;1),SUMPRODUCT(($D$2:$D53="")*($N$2:$N53&gt;1)),"")</f>
        <v>52</v>
      </c>
      <c r="R53" s="26" t="str">
        <f>IF($D53='Info Lega'!$B$28,COUNTIFS($D$2:$D53,'Info Lega'!$B$28),"")</f>
        <v/>
      </c>
      <c r="S53" s="27">
        <f>IFERROR(INDEX('Input Statistiche 2025_26'!$G$3:$G$665,MATCH($A53,'Input Statistiche 2025_26'!$A$3:$A$665,0)),"")</f>
        <v>6.17</v>
      </c>
      <c r="T53" s="27">
        <f>IFERROR(INDEX('Input Statistiche 2025_26'!$H$3:$H$665,MATCH($A53,'Input Statistiche 2025_26'!$A$3:$A$665,0)),"")</f>
        <v>6.86</v>
      </c>
      <c r="U53" s="23" t="str">
        <f>IF(OR('La Mia Rosa'!$O$12="",$D53&lt;&gt;""),"",IF($F53&lt;='La Mia Rosa'!$O$12*'Parametri Modello'!$B$24,"OK",IF($F53&lt;='La Mia Rosa'!$O$12*'Parametri Modello'!$B$25,"Attenzione","Rischio Alto")))</f>
        <v>OK</v>
      </c>
      <c r="V53" s="23">
        <f t="shared" si="1"/>
        <v>20</v>
      </c>
      <c r="W53" s="18">
        <f>'Info Lega'!$B$4-SUMIFS($M$2:$M$492,$D$2:$D$492,'Info Lega'!$B$28)</f>
        <v>1000</v>
      </c>
      <c r="X53" s="18">
        <f>('Info Lega'!$B$5-COUNTIFS($D$2:$D$492,'Info Lega'!$B$28,$B$2:$B$492,"P"))+('Info Lega'!$B$6-COUNTIFS($D$2:$D$492,'Info Lega'!$B$28,$B$2:$B$492,"D"))+('Info Lega'!$B$7-COUNTIFS($D$2:$D$492,'Info Lega'!$B$28,$B$2:$B$492,"C"))+('Info Lega'!$B$8-COUNTIFS($D$2:$D$492,'Info Lega'!$B$28,$B$2:$B$492,"A"))</f>
        <v>25</v>
      </c>
      <c r="Y53" s="18">
        <f>X53*'Parametri Modello'!$B$30</f>
        <v>25</v>
      </c>
      <c r="Z53" s="18">
        <f t="shared" si="2"/>
        <v>975</v>
      </c>
      <c r="AA53" s="18">
        <f t="shared" si="3"/>
        <v>37</v>
      </c>
      <c r="AB53" s="18"/>
      <c r="AC53" s="18" t="str">
        <f>IF($AB53="","",IF($AB53&gt;$AA53,"PASS",IF($AB53&lt;=$AA53*(1-'Parametri Modello'!$B$68),"BID","ATTENZIONE")))</f>
        <v/>
      </c>
      <c r="AD53" s="28">
        <f t="shared" si="4"/>
        <v>45</v>
      </c>
      <c r="AE53" s="5" t="str">
        <f>IFERROR(IF($AF53="Titolare",INDEX('Stato Asta'!$G$9:$G$12,MATCH($B53,'Stato Asta'!$A$9:$A$12,0)),INDEX('Stato Asta'!$P$9:$P$12,MATCH($B53,'Stato Asta'!$A$9:$A$12,0))),"")</f>
        <v>🟡 Attesa rischiosa</v>
      </c>
      <c r="AF53" t="str">
        <f>IFERROR(IF($V53&lt;=INDEX('Parametri Modello'!$C$57:$C$60,MATCH($B53,'Parametri Modello'!$A$57:$A$60,0)),"Titolare","Riserva"),"")</f>
        <v>Titolare</v>
      </c>
      <c r="AG53" t="str">
        <f>IFERROR(INDEX('Pressione Competitiva'!$F$3:$F$6,MATCH($B53,'Pressione Competitiva'!$B$3:$B$6,0)),"")</f>
        <v>🔴 Molto Alta</v>
      </c>
      <c r="AH53" t="str">
        <f t="shared" si="5"/>
        <v/>
      </c>
      <c r="AI53" t="str">
        <f>IFERROR(IF($AH53="","",IF($AH53&gt;=$AA53*'Parametri Modello'!$B$68,"🟢 Opportunita'",IF($AH53&lt;=$AA53*'Parametri Modello'!$B$69,"🔴 Sovrapprezzo","🟡 Prezzo Corretto"))),"")</f>
        <v/>
      </c>
      <c r="AJ53" t="str">
        <f t="shared" si="6"/>
        <v/>
      </c>
      <c r="AK53">
        <f t="shared" si="7"/>
        <v>2</v>
      </c>
      <c r="AL53" t="str">
        <f t="shared" si="8"/>
        <v>C|Buono|2</v>
      </c>
    </row>
    <row r="54" spans="1:38" ht="14.25" customHeight="1" x14ac:dyDescent="0.25">
      <c r="A54" s="18">
        <v>5734</v>
      </c>
      <c r="B54" s="18" t="s">
        <v>437</v>
      </c>
      <c r="C54" s="18" t="s">
        <v>465</v>
      </c>
      <c r="E54" s="23" t="str">
        <f>IF(COUNTIF('Info Strategia'!$D$2:$D$51,$C54)&gt;0,"SI","NO")</f>
        <v>NO</v>
      </c>
      <c r="F54" s="24">
        <f>IFERROR(ROUND(($G54+($H54-$G54)*'Info Strategia'!$B$6)*(1+IF($E54="SI",'Parametri Modello'!$B$7*'Info Strategia'!$B$6,0)),0),"")</f>
        <v>18</v>
      </c>
      <c r="G54" s="24">
        <f>IFERROR(ROUND(MAX(1,(IF($V54&lt;=INDEX('Parametri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11</v>
      </c>
      <c r="H54" s="24">
        <f>IFERROR(ROUND((IF($V54&lt;=INDEX('Parametri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21</v>
      </c>
      <c r="I54" s="23">
        <f>IFERROR(INDEX('Input Statistiche 2025_26'!$F$3:$F$665,MATCH($A54,'Input Statistiche 2025_26'!$A$3:$A$665,0)),"")</f>
        <v>32</v>
      </c>
      <c r="J54" s="23">
        <f t="shared" si="0"/>
        <v>6</v>
      </c>
      <c r="K54" s="23">
        <f>IFERROR(INDEX('Input Statistiche 2025_26'!$I$3:$I$665,MATCH($A54,'Input Statistiche 2025_26'!$A$3:$A$665,0)),"")</f>
        <v>6</v>
      </c>
      <c r="L54" s="23">
        <f>IFERROR(INDEX('Input Statistiche 2025_26'!$O$3:$O$665,MATCH($A54,'Input Statistiche 2025_26'!$A$3:$A$665,0)),"")</f>
        <v>5</v>
      </c>
      <c r="M54" s="25"/>
      <c r="N54" s="24">
        <f>IFERROR(INDEX('Input Giocatori 2026_27'!$E$3:$E$493,MATCH($A54,'Input Giocatori 2026_27'!$A$3:$A$493,0)),"")</f>
        <v>12</v>
      </c>
      <c r="O54" s="24">
        <f>IFERROR(INDEX('Input Giocatori 2026_27'!$G$3:$G$493,MATCH($A54,'Input Giocatori 2026_27'!$A$3:$A$493,0)),"")</f>
        <v>55</v>
      </c>
      <c r="P54" s="23" t="str">
        <f>IFERROR(IF($O54="","",IF((1-(COUNTIFS($B$2:$B$492,$B54,$O$2:$O$492,"&gt;"&amp;$O54)+1-1)/COUNTIF($B$2:$B$492,$B54))&gt;='Parametri Modello'!$B$63,"Top",IF((1-(COUNTIFS($B$2:$B$492,$B54,$O$2:$O$492,"&gt;"&amp;$O54)+1-1)/COUNTIF($B$2:$B$492,$B54))&gt;='Parametri Modello'!$B$64,"Buono",IF((1-(COUNTIFS($B$2:$B$492,$B54,$O$2:$O$492,"&gt;"&amp;$O54)+1-1)/COUNTIF($B$2:$B$492,$B54))&gt;='Parametri Modello'!$B$65,"Nella Media","Scommessa/Riserva")))),"")</f>
        <v>Nella Media</v>
      </c>
      <c r="Q54" s="26">
        <f>IF(AND($D54="",$N54&gt;1),SUMPRODUCT(($D$2:$D54="")*($N$2:$N54&gt;1)),"")</f>
        <v>53</v>
      </c>
      <c r="R54" s="26" t="str">
        <f>IF($D54='Info Lega'!$B$28,COUNTIFS($D$2:$D54,'Info Lega'!$B$28),"")</f>
        <v/>
      </c>
      <c r="S54" s="27">
        <f>IFERROR(INDEX('Input Statistiche 2025_26'!$G$3:$G$665,MATCH($A54,'Input Statistiche 2025_26'!$A$3:$A$665,0)),"")</f>
        <v>6.12</v>
      </c>
      <c r="T54" s="27">
        <f>IFERROR(INDEX('Input Statistiche 2025_26'!$H$3:$H$665,MATCH($A54,'Input Statistiche 2025_26'!$A$3:$A$665,0)),"")</f>
        <v>6.83</v>
      </c>
      <c r="U54" s="23" t="str">
        <f>IF(OR('La Mia Rosa'!$O$12="",$D54&lt;&gt;""),"",IF($F54&lt;='La Mia Rosa'!$O$12*'Parametri Modello'!$B$24,"OK",IF($F54&lt;='La Mia Rosa'!$O$12*'Parametri Modello'!$B$25,"Attenzione","Rischio Alto")))</f>
        <v>OK</v>
      </c>
      <c r="V54" s="23">
        <f t="shared" si="1"/>
        <v>27</v>
      </c>
      <c r="W54" s="18">
        <f>'Info Lega'!$B$4-SUMIFS($M$2:$M$492,$D$2:$D$492,'Info Lega'!$B$28)</f>
        <v>1000</v>
      </c>
      <c r="X54" s="18">
        <f>('Info Lega'!$B$5-COUNTIFS($D$2:$D$492,'Info Lega'!$B$28,$B$2:$B$492,"P"))+('Info Lega'!$B$6-COUNTIFS($D$2:$D$492,'Info Lega'!$B$28,$B$2:$B$492,"D"))+('Info Lega'!$B$7-COUNTIFS($D$2:$D$492,'Info Lega'!$B$28,$B$2:$B$492,"C"))+('Info Lega'!$B$8-COUNTIFS($D$2:$D$492,'Info Lega'!$B$28,$B$2:$B$492,"A"))</f>
        <v>25</v>
      </c>
      <c r="Y54" s="18">
        <f>X54*'Parametri Modello'!$B$30</f>
        <v>25</v>
      </c>
      <c r="Z54" s="18">
        <f t="shared" si="2"/>
        <v>975</v>
      </c>
      <c r="AA54" s="18">
        <f t="shared" si="3"/>
        <v>18</v>
      </c>
      <c r="AB54" s="18"/>
      <c r="AC54" s="18" t="str">
        <f>IF($AB54="","",IF($AB54&gt;$AA54,"PASS",IF($AB54&lt;=$AA54*(1-'Parametri Modello'!$B$68),"BID","ATTENZIONE")))</f>
        <v/>
      </c>
      <c r="AD54" s="28">
        <f t="shared" si="4"/>
        <v>66</v>
      </c>
      <c r="AE54" s="5" t="str">
        <f>IFERROR(IF($AF54="Titolare",INDEX('Stato Asta'!$G$9:$G$12,MATCH($B54,'Stato Asta'!$A$9:$A$12,0)),INDEX('Stato Asta'!$P$9:$P$12,MATCH($B54,'Stato Asta'!$A$9:$A$12,0))),"")</f>
        <v>🟢 Riserve abbondanti</v>
      </c>
      <c r="AF54" t="str">
        <f>IFERROR(IF($V54&lt;=INDEX('Parametri Modello'!$C$57:$C$60,MATCH($B54,'Parametri Modello'!$A$57:$A$60,0)),"Titolare","Riserva"),"")</f>
        <v>Riserva</v>
      </c>
      <c r="AG54" t="str">
        <f>IFERROR(INDEX('Pressione Competitiva'!$F$3:$F$6,MATCH($B54,'Pressione Competitiva'!$B$3:$B$6,0)),"")</f>
        <v>🔴 Molto Alta</v>
      </c>
      <c r="AH54" t="str">
        <f t="shared" si="5"/>
        <v/>
      </c>
      <c r="AI54" t="str">
        <f>IFERROR(IF($AH54="","",IF($AH54&gt;=$AA54*'Parametri Modello'!$B$68,"🟢 Opportunita'",IF($AH54&lt;=$AA54*'Parametri Modello'!$B$69,"🔴 Sovrapprezzo","🟡 Prezzo Corretto"))),"")</f>
        <v/>
      </c>
      <c r="AJ54" t="str">
        <f t="shared" si="6"/>
        <v/>
      </c>
      <c r="AK54">
        <f t="shared" si="7"/>
        <v>1</v>
      </c>
      <c r="AL54" t="str">
        <f t="shared" si="8"/>
        <v>A|Nella Media|1</v>
      </c>
    </row>
    <row r="55" spans="1:38" ht="14.25" customHeight="1" x14ac:dyDescent="0.25">
      <c r="A55" s="18">
        <v>4431</v>
      </c>
      <c r="B55" s="18" t="s">
        <v>8</v>
      </c>
      <c r="C55" s="18" t="s">
        <v>13</v>
      </c>
      <c r="E55" s="23" t="str">
        <f>IF(COUNTIF('Info Strategia'!$D$2:$D$51,$C55)&gt;0,"SI","NO")</f>
        <v>NO</v>
      </c>
      <c r="F55" s="24">
        <f>IFERROR(ROUND(($G55+($H55-$G55)*'Info Strategia'!$B$6)*(1+IF($E55="SI",'Parametri Modello'!$B$7*'Info Strategia'!$B$6,0)),0),"")</f>
        <v>89</v>
      </c>
      <c r="G55" s="24">
        <f>IFERROR(ROUND(MAX(1,(IF($V55&lt;=INDEX('Parametri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71</v>
      </c>
      <c r="H55" s="24">
        <f>IFERROR(ROUND((IF($V55&lt;=INDEX('Parametri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96</v>
      </c>
      <c r="I55" s="23">
        <f>IFERROR(INDEX('Input Statistiche 2025_26'!$F$3:$F$665,MATCH($A55,'Input Statistiche 2025_26'!$A$3:$A$665,0)),"")</f>
        <v>37</v>
      </c>
      <c r="J55" s="23">
        <f t="shared" si="0"/>
        <v>1</v>
      </c>
      <c r="K55" s="23">
        <f>IFERROR(INDEX('Input Statistiche 2025_26'!$I$3:$I$665,MATCH($A55,'Input Statistiche 2025_26'!$A$3:$A$665,0)),"")</f>
        <v>0</v>
      </c>
      <c r="L55" s="23">
        <f>IFERROR(INDEX('Input Statistiche 2025_26'!$O$3:$O$665,MATCH($A55,'Input Statistiche 2025_26'!$A$3:$A$665,0)),"")</f>
        <v>0</v>
      </c>
      <c r="M55" s="25"/>
      <c r="N55" s="24">
        <f>IFERROR(INDEX('Input Giocatori 2026_27'!$E$3:$E$493,MATCH($A55,'Input Giocatori 2026_27'!$A$3:$A$493,0)),"")</f>
        <v>16</v>
      </c>
      <c r="O55" s="24">
        <f>IFERROR(INDEX('Input Giocatori 2026_27'!$G$3:$G$493,MATCH($A55,'Input Giocatori 2026_27'!$A$3:$A$493,0)),"")</f>
        <v>52</v>
      </c>
      <c r="P55" s="23" t="str">
        <f>IFERROR(IF($O55="","",IF((1-(COUNTIFS($B$2:$B$492,$B55,$O$2:$O$492,"&gt;"&amp;$O55)+1-1)/COUNTIF($B$2:$B$492,$B55))&gt;='Parametri Modello'!$B$63,"Top",IF((1-(COUNTIFS($B$2:$B$492,$B55,$O$2:$O$492,"&gt;"&amp;$O55)+1-1)/COUNTIF($B$2:$B$492,$B55))&gt;='Parametri Modello'!$B$64,"Buono",IF((1-(COUNTIFS($B$2:$B$492,$B55,$O$2:$O$492,"&gt;"&amp;$O55)+1-1)/COUNTIF($B$2:$B$492,$B55))&gt;='Parametri Modello'!$B$65,"Nella Media","Scommessa/Riserva")))),"")</f>
        <v>Top</v>
      </c>
      <c r="Q55" s="26">
        <f>IF(AND($D55="",$N55&gt;1),SUMPRODUCT(($D$2:$D55="")*($N$2:$N55&gt;1)),"")</f>
        <v>54</v>
      </c>
      <c r="R55" s="26" t="str">
        <f>IF($D55='Info Lega'!$B$28,COUNTIFS($D$2:$D55,'Info Lega'!$B$28),"")</f>
        <v/>
      </c>
      <c r="S55" s="27">
        <f>IFERROR(INDEX('Input Statistiche 2025_26'!$G$3:$G$665,MATCH($A55,'Input Statistiche 2025_26'!$A$3:$A$665,0)),"")</f>
        <v>6.36</v>
      </c>
      <c r="T55" s="27">
        <f>IFERROR(INDEX('Input Statistiche 2025_26'!$H$3:$H$665,MATCH($A55,'Input Statistiche 2025_26'!$A$3:$A$665,0)),"")</f>
        <v>5.58</v>
      </c>
      <c r="U55" s="23" t="str">
        <f>IF(OR('La Mia Rosa'!$O$12="",$D55&lt;&gt;""),"",IF($F55&lt;='La Mia Rosa'!$O$12*'Parametri Modello'!$B$24,"OK",IF($F55&lt;='La Mia Rosa'!$O$12*'Parametri Modello'!$B$25,"Attenzione","Rischio Alto")))</f>
        <v>Attenzione</v>
      </c>
      <c r="V55" s="23">
        <f t="shared" si="1"/>
        <v>4</v>
      </c>
      <c r="W55" s="18">
        <f>'Info Lega'!$B$4-SUMIFS($M$2:$M$492,$D$2:$D$492,'Info Lega'!$B$28)</f>
        <v>1000</v>
      </c>
      <c r="X55" s="18">
        <f>('Info Lega'!$B$5-COUNTIFS($D$2:$D$492,'Info Lega'!$B$28,$B$2:$B$492,"P"))+('Info Lega'!$B$6-COUNTIFS($D$2:$D$492,'Info Lega'!$B$28,$B$2:$B$492,"D"))+('Info Lega'!$B$7-COUNTIFS($D$2:$D$492,'Info Lega'!$B$28,$B$2:$B$492,"C"))+('Info Lega'!$B$8-COUNTIFS($D$2:$D$492,'Info Lega'!$B$28,$B$2:$B$492,"A"))</f>
        <v>25</v>
      </c>
      <c r="Y55" s="18">
        <f>X55*'Parametri Modello'!$B$30</f>
        <v>25</v>
      </c>
      <c r="Z55" s="18">
        <f t="shared" si="2"/>
        <v>975</v>
      </c>
      <c r="AA55" s="18">
        <f t="shared" si="3"/>
        <v>89</v>
      </c>
      <c r="AB55" s="18"/>
      <c r="AC55" s="18" t="str">
        <f>IF($AB55="","",IF($AB55&gt;$AA55,"PASS",IF($AB55&lt;=$AA55*(1-'Parametri Modello'!$B$68),"BID","ATTENZIONE")))</f>
        <v/>
      </c>
      <c r="AD55" s="28">
        <f t="shared" si="4"/>
        <v>71</v>
      </c>
      <c r="AE55" s="5" t="str">
        <f>IFERROR(IF($AF55="Titolare",INDEX('Stato Asta'!$G$9:$G$12,MATCH($B55,'Stato Asta'!$A$9:$A$12,0)),INDEX('Stato Asta'!$P$9:$P$12,MATCH($B55,'Stato Asta'!$A$9:$A$12,0))),"")</f>
        <v>🟢 Puoi aspettare</v>
      </c>
      <c r="AF55" t="str">
        <f>IFERROR(IF($V55&lt;=INDEX('Parametri Modello'!$C$57:$C$60,MATCH($B55,'Parametri Modello'!$A$57:$A$60,0)),"Titolare","Riserva"),"")</f>
        <v>Titolare</v>
      </c>
      <c r="AG55" t="str">
        <f>IFERROR(INDEX('Pressione Competitiva'!$F$3:$F$6,MATCH($B55,'Pressione Competitiva'!$B$3:$B$6,0)),"")</f>
        <v>🔴 Molto Alta</v>
      </c>
      <c r="AH55" t="str">
        <f t="shared" si="5"/>
        <v/>
      </c>
      <c r="AI55" t="str">
        <f>IFERROR(IF($AH55="","",IF($AH55&gt;=$AA55*'Parametri Modello'!$B$68,"🟢 Opportunita'",IF($AH55&lt;=$AA55*'Parametri Modello'!$B$69,"🔴 Sovrapprezzo","🟡 Prezzo Corretto"))),"")</f>
        <v/>
      </c>
      <c r="AJ55" t="str">
        <f t="shared" si="6"/>
        <v/>
      </c>
      <c r="AK55">
        <f t="shared" si="7"/>
        <v>4</v>
      </c>
      <c r="AL55" t="str">
        <f t="shared" si="8"/>
        <v>P|Top|4</v>
      </c>
    </row>
    <row r="56" spans="1:38" ht="14.25" customHeight="1" x14ac:dyDescent="0.25">
      <c r="A56" s="18">
        <v>4728</v>
      </c>
      <c r="B56" s="18" t="s">
        <v>437</v>
      </c>
      <c r="C56" s="18" t="s">
        <v>463</v>
      </c>
      <c r="E56" s="23" t="str">
        <f>IF(COUNTIF('Info Strategia'!$D$2:$D$51,$C56)&gt;0,"SI","NO")</f>
        <v>NO</v>
      </c>
      <c r="F56" s="24">
        <f>IFERROR(ROUND(($G56+($H56-$G56)*'Info Strategia'!$B$6)*(1+IF($E56="SI",'Parametri Modello'!$B$7*'Info Strategia'!$B$6,0)),0),"")</f>
        <v>17</v>
      </c>
      <c r="G56" s="24">
        <f>IFERROR(ROUND(MAX(1,(IF($V56&lt;=INDEX('Parametri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11</v>
      </c>
      <c r="H56" s="24">
        <f>IFERROR(ROUND((IF($V56&lt;=INDEX('Parametri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20</v>
      </c>
      <c r="I56" s="23">
        <f>IFERROR(INDEX('Input Statistiche 2025_26'!$F$3:$F$665,MATCH($A56,'Input Statistiche 2025_26'!$A$3:$A$665,0)),"")</f>
        <v>26</v>
      </c>
      <c r="J56" s="23">
        <f t="shared" si="0"/>
        <v>12</v>
      </c>
      <c r="K56" s="23">
        <f>IFERROR(INDEX('Input Statistiche 2025_26'!$I$3:$I$665,MATCH($A56,'Input Statistiche 2025_26'!$A$3:$A$665,0)),"")</f>
        <v>7</v>
      </c>
      <c r="L56" s="23">
        <f>IFERROR(INDEX('Input Statistiche 2025_26'!$O$3:$O$665,MATCH($A56,'Input Statistiche 2025_26'!$A$3:$A$665,0)),"")</f>
        <v>3</v>
      </c>
      <c r="M56" s="25"/>
      <c r="N56" s="24">
        <f>IFERROR(INDEX('Input Giocatori 2026_27'!$E$3:$E$493,MATCH($A56,'Input Giocatori 2026_27'!$A$3:$A$493,0)),"")</f>
        <v>13</v>
      </c>
      <c r="O56" s="24">
        <f>IFERROR(INDEX('Input Giocatori 2026_27'!$G$3:$G$493,MATCH($A56,'Input Giocatori 2026_27'!$A$3:$A$493,0)),"")</f>
        <v>52</v>
      </c>
      <c r="P56" s="23" t="str">
        <f>IFERROR(IF($O56="","",IF((1-(COUNTIFS($B$2:$B$492,$B56,$O$2:$O$492,"&gt;"&amp;$O56)+1-1)/COUNTIF($B$2:$B$492,$B56))&gt;='Parametri Modello'!$B$63,"Top",IF((1-(COUNTIFS($B$2:$B$492,$B56,$O$2:$O$492,"&gt;"&amp;$O56)+1-1)/COUNTIF($B$2:$B$492,$B56))&gt;='Parametri Modello'!$B$64,"Buono",IF((1-(COUNTIFS($B$2:$B$492,$B56,$O$2:$O$492,"&gt;"&amp;$O56)+1-1)/COUNTIF($B$2:$B$492,$B56))&gt;='Parametri Modello'!$B$65,"Nella Media","Scommessa/Riserva")))),"")</f>
        <v>Nella Media</v>
      </c>
      <c r="Q56" s="26">
        <f>IF(AND($D56="",$N56&gt;1),SUMPRODUCT(($D$2:$D56="")*($N$2:$N56&gt;1)),"")</f>
        <v>55</v>
      </c>
      <c r="R56" s="26" t="str">
        <f>IF($D56='Info Lega'!$B$28,COUNTIFS($D$2:$D56,'Info Lega'!$B$28),"")</f>
        <v/>
      </c>
      <c r="S56" s="27">
        <f>IFERROR(INDEX('Input Statistiche 2025_26'!$G$3:$G$665,MATCH($A56,'Input Statistiche 2025_26'!$A$3:$A$665,0)),"")</f>
        <v>5.94</v>
      </c>
      <c r="T56" s="27">
        <f>IFERROR(INDEX('Input Statistiche 2025_26'!$H$3:$H$665,MATCH($A56,'Input Statistiche 2025_26'!$A$3:$A$665,0)),"")</f>
        <v>6.87</v>
      </c>
      <c r="U56" s="23" t="str">
        <f>IF(OR('La Mia Rosa'!$O$12="",$D56&lt;&gt;""),"",IF($F56&lt;='La Mia Rosa'!$O$12*'Parametri Modello'!$B$24,"OK",IF($F56&lt;='La Mia Rosa'!$O$12*'Parametri Modello'!$B$25,"Attenzione","Rischio Alto")))</f>
        <v>OK</v>
      </c>
      <c r="V56" s="23">
        <f t="shared" si="1"/>
        <v>28</v>
      </c>
      <c r="W56" s="18">
        <f>'Info Lega'!$B$4-SUMIFS($M$2:$M$492,$D$2:$D$492,'Info Lega'!$B$28)</f>
        <v>1000</v>
      </c>
      <c r="X56" s="18">
        <f>('Info Lega'!$B$5-COUNTIFS($D$2:$D$492,'Info Lega'!$B$28,$B$2:$B$492,"P"))+('Info Lega'!$B$6-COUNTIFS($D$2:$D$492,'Info Lega'!$B$28,$B$2:$B$492,"D"))+('Info Lega'!$B$7-COUNTIFS($D$2:$D$492,'Info Lega'!$B$28,$B$2:$B$492,"C"))+('Info Lega'!$B$8-COUNTIFS($D$2:$D$492,'Info Lega'!$B$28,$B$2:$B$492,"A"))</f>
        <v>25</v>
      </c>
      <c r="Y56" s="18">
        <f>X56*'Parametri Modello'!$B$30</f>
        <v>25</v>
      </c>
      <c r="Z56" s="18">
        <f t="shared" si="2"/>
        <v>975</v>
      </c>
      <c r="AA56" s="18">
        <f t="shared" si="3"/>
        <v>17</v>
      </c>
      <c r="AB56" s="18"/>
      <c r="AC56" s="18" t="str">
        <f>IF($AB56="","",IF($AB56&gt;$AA56,"PASS",IF($AB56&lt;=$AA56*(1-'Parametri Modello'!$B$68),"BID","ATTENZIONE")))</f>
        <v/>
      </c>
      <c r="AD56" s="28">
        <f t="shared" si="4"/>
        <v>58</v>
      </c>
      <c r="AE56" s="5" t="str">
        <f>IFERROR(IF($AF56="Titolare",INDEX('Stato Asta'!$G$9:$G$12,MATCH($B56,'Stato Asta'!$A$9:$A$12,0)),INDEX('Stato Asta'!$P$9:$P$12,MATCH($B56,'Stato Asta'!$A$9:$A$12,0))),"")</f>
        <v>🟢 Riserve abbondanti</v>
      </c>
      <c r="AF56" t="str">
        <f>IFERROR(IF($V56&lt;=INDEX('Parametri Modello'!$C$57:$C$60,MATCH($B56,'Parametri Modello'!$A$57:$A$60,0)),"Titolare","Riserva"),"")</f>
        <v>Riserva</v>
      </c>
      <c r="AG56" t="str">
        <f>IFERROR(INDEX('Pressione Competitiva'!$F$3:$F$6,MATCH($B56,'Pressione Competitiva'!$B$3:$B$6,0)),"")</f>
        <v>🔴 Molto Alta</v>
      </c>
      <c r="AH56" t="str">
        <f t="shared" si="5"/>
        <v/>
      </c>
      <c r="AI56" t="str">
        <f>IFERROR(IF($AH56="","",IF($AH56&gt;=$AA56*'Parametri Modello'!$B$68,"🟢 Opportunita'",IF($AH56&lt;=$AA56*'Parametri Modello'!$B$69,"🔴 Sovrapprezzo","🟡 Prezzo Corretto"))),"")</f>
        <v/>
      </c>
      <c r="AJ56" t="str">
        <f t="shared" si="6"/>
        <v/>
      </c>
      <c r="AK56">
        <f t="shared" si="7"/>
        <v>2</v>
      </c>
      <c r="AL56" t="str">
        <f t="shared" si="8"/>
        <v>A|Nella Media|2</v>
      </c>
    </row>
    <row r="57" spans="1:38" ht="14.25" customHeight="1" x14ac:dyDescent="0.25">
      <c r="A57" s="18">
        <v>7484</v>
      </c>
      <c r="B57" s="18" t="s">
        <v>437</v>
      </c>
      <c r="C57" s="18" t="s">
        <v>466</v>
      </c>
      <c r="E57" s="23" t="str">
        <f>IF(COUNTIF('Info Strategia'!$D$2:$D$51,$C57)&gt;0,"SI","NO")</f>
        <v>NO</v>
      </c>
      <c r="F57" s="24">
        <f>IFERROR(ROUND(($G57+($H57-$G57)*'Info Strategia'!$B$6)*(1+IF($E57="SI",'Parametri Modello'!$B$7*'Info Strategia'!$B$6,0)),0),"")</f>
        <v>16</v>
      </c>
      <c r="G57" s="24">
        <f>IFERROR(ROUND(MAX(1,(IF($V57&lt;=INDEX('Parametri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10</v>
      </c>
      <c r="H57" s="24">
        <f>IFERROR(ROUND((IF($V57&lt;=INDEX('Parametri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19</v>
      </c>
      <c r="I57" s="23" t="str">
        <f>IFERROR(INDEX('Input Statistiche 2025_26'!$F$3:$F$665,MATCH($A57,'Input Statistiche 2025_26'!$A$3:$A$665,0)),"")</f>
        <v/>
      </c>
      <c r="J57" s="23" t="str">
        <f t="shared" si="0"/>
        <v/>
      </c>
      <c r="K57" s="23" t="str">
        <f>IFERROR(INDEX('Input Statistiche 2025_26'!$I$3:$I$665,MATCH($A57,'Input Statistiche 2025_26'!$A$3:$A$665,0)),"")</f>
        <v/>
      </c>
      <c r="L57" s="23" t="str">
        <f>IFERROR(INDEX('Input Statistiche 2025_26'!$O$3:$O$665,MATCH($A57,'Input Statistiche 2025_26'!$A$3:$A$665,0)),"")</f>
        <v/>
      </c>
      <c r="M57" s="25"/>
      <c r="N57" s="24">
        <f>IFERROR(INDEX('Input Giocatori 2026_27'!$E$3:$E$493,MATCH($A57,'Input Giocatori 2026_27'!$A$3:$A$493,0)),"")</f>
        <v>12</v>
      </c>
      <c r="O57" s="24">
        <f>IFERROR(INDEX('Input Giocatori 2026_27'!$G$3:$G$493,MATCH($A57,'Input Giocatori 2026_27'!$A$3:$A$493,0)),"")</f>
        <v>52</v>
      </c>
      <c r="P57" s="23" t="str">
        <f>IFERROR(IF($O57="","",IF((1-(COUNTIFS($B$2:$B$492,$B57,$O$2:$O$492,"&gt;"&amp;$O57)+1-1)/COUNTIF($B$2:$B$492,$B57))&gt;='Parametri Modello'!$B$63,"Top",IF((1-(COUNTIFS($B$2:$B$492,$B57,$O$2:$O$492,"&gt;"&amp;$O57)+1-1)/COUNTIF($B$2:$B$492,$B57))&gt;='Parametri Modello'!$B$64,"Buono",IF((1-(COUNTIFS($B$2:$B$492,$B57,$O$2:$O$492,"&gt;"&amp;$O57)+1-1)/COUNTIF($B$2:$B$492,$B57))&gt;='Parametri Modello'!$B$65,"Nella Media","Scommessa/Riserva")))),"")</f>
        <v>Nella Media</v>
      </c>
      <c r="Q57" s="26">
        <f>IF(AND($D57="",$N57&gt;1),SUMPRODUCT(($D$2:$D57="")*($N$2:$N57&gt;1)),"")</f>
        <v>56</v>
      </c>
      <c r="R57" s="26" t="str">
        <f>IF($D57='Info Lega'!$B$28,COUNTIFS($D$2:$D57,'Info Lega'!$B$28),"")</f>
        <v/>
      </c>
      <c r="S57" s="27" t="str">
        <f>IFERROR(INDEX('Input Statistiche 2025_26'!$G$3:$G$665,MATCH($A57,'Input Statistiche 2025_26'!$A$3:$A$665,0)),"")</f>
        <v/>
      </c>
      <c r="T57" s="27" t="str">
        <f>IFERROR(INDEX('Input Statistiche 2025_26'!$H$3:$H$665,MATCH($A57,'Input Statistiche 2025_26'!$A$3:$A$665,0)),"")</f>
        <v/>
      </c>
      <c r="U57" s="23" t="str">
        <f>IF(OR('La Mia Rosa'!$O$12="",$D57&lt;&gt;""),"",IF($F57&lt;='La Mia Rosa'!$O$12*'Parametri Modello'!$B$24,"OK",IF($F57&lt;='La Mia Rosa'!$O$12*'Parametri Modello'!$B$25,"Attenzione","Rischio Alto")))</f>
        <v>OK</v>
      </c>
      <c r="V57" s="23">
        <f t="shared" si="1"/>
        <v>28</v>
      </c>
      <c r="W57" s="18">
        <f>'Info Lega'!$B$4-SUMIFS($M$2:$M$492,$D$2:$D$492,'Info Lega'!$B$28)</f>
        <v>1000</v>
      </c>
      <c r="X57" s="18">
        <f>('Info Lega'!$B$5-COUNTIFS($D$2:$D$492,'Info Lega'!$B$28,$B$2:$B$492,"P"))+('Info Lega'!$B$6-COUNTIFS($D$2:$D$492,'Info Lega'!$B$28,$B$2:$B$492,"D"))+('Info Lega'!$B$7-COUNTIFS($D$2:$D$492,'Info Lega'!$B$28,$B$2:$B$492,"C"))+('Info Lega'!$B$8-COUNTIFS($D$2:$D$492,'Info Lega'!$B$28,$B$2:$B$492,"A"))</f>
        <v>25</v>
      </c>
      <c r="Y57" s="18">
        <f>X57*'Parametri Modello'!$B$30</f>
        <v>25</v>
      </c>
      <c r="Z57" s="18">
        <f t="shared" si="2"/>
        <v>975</v>
      </c>
      <c r="AA57" s="18">
        <f t="shared" si="3"/>
        <v>16</v>
      </c>
      <c r="AB57" s="18"/>
      <c r="AC57" s="18" t="str">
        <f>IF($AB57="","",IF($AB57&gt;$AA57,"PASS",IF($AB57&lt;=$AA57*(1-'Parametri Modello'!$B$68),"BID","ATTENZIONE")))</f>
        <v/>
      </c>
      <c r="AD57" s="28" t="str">
        <f t="shared" si="4"/>
        <v/>
      </c>
      <c r="AE57" s="5" t="str">
        <f>IFERROR(IF($AF57="Titolare",INDEX('Stato Asta'!$G$9:$G$12,MATCH($B57,'Stato Asta'!$A$9:$A$12,0)),INDEX('Stato Asta'!$P$9:$P$12,MATCH($B57,'Stato Asta'!$A$9:$A$12,0))),"")</f>
        <v>🟢 Riserve abbondanti</v>
      </c>
      <c r="AF57" t="str">
        <f>IFERROR(IF($V57&lt;=INDEX('Parametri Modello'!$C$57:$C$60,MATCH($B57,'Parametri Modello'!$A$57:$A$60,0)),"Titolare","Riserva"),"")</f>
        <v>Riserva</v>
      </c>
      <c r="AG57" t="str">
        <f>IFERROR(INDEX('Pressione Competitiva'!$F$3:$F$6,MATCH($B57,'Pressione Competitiva'!$B$3:$B$6,0)),"")</f>
        <v>🔴 Molto Alta</v>
      </c>
      <c r="AH57" t="str">
        <f t="shared" si="5"/>
        <v/>
      </c>
      <c r="AI57" t="str">
        <f>IFERROR(IF($AH57="","",IF($AH57&gt;=$AA57*'Parametri Modello'!$B$68,"🟢 Opportunita'",IF($AH57&lt;=$AA57*'Parametri Modello'!$B$69,"🔴 Sovrapprezzo","🟡 Prezzo Corretto"))),"")</f>
        <v/>
      </c>
      <c r="AJ57" t="str">
        <f t="shared" si="6"/>
        <v/>
      </c>
      <c r="AK57">
        <f t="shared" si="7"/>
        <v>2</v>
      </c>
      <c r="AL57" t="str">
        <f t="shared" si="8"/>
        <v>A|Nella Media|2</v>
      </c>
    </row>
    <row r="58" spans="1:38" ht="14.25" customHeight="1" x14ac:dyDescent="0.25">
      <c r="A58" s="18">
        <v>4312</v>
      </c>
      <c r="B58" s="18" t="s">
        <v>8</v>
      </c>
      <c r="C58" s="18" t="s">
        <v>17</v>
      </c>
      <c r="E58" s="23" t="str">
        <f>IF(COUNTIF('Info Strategia'!$D$2:$D$51,$C58)&gt;0,"SI","NO")</f>
        <v>NO</v>
      </c>
      <c r="F58" s="24">
        <f>IFERROR(ROUND(($G58+($H58-$G58)*'Info Strategia'!$B$6)*(1+IF($E58="SI",'Parametri Modello'!$B$7*'Info Strategia'!$B$6,0)),0),"")</f>
        <v>84</v>
      </c>
      <c r="G58" s="24">
        <f>IFERROR(ROUND(MAX(1,(IF($V58&lt;=INDEX('Parametri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68</v>
      </c>
      <c r="H58" s="24">
        <f>IFERROR(ROUND((IF($V58&lt;=INDEX('Parametri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91</v>
      </c>
      <c r="I58" s="23">
        <f>IFERROR(INDEX('Input Statistiche 2025_26'!$F$3:$F$665,MATCH($A58,'Input Statistiche 2025_26'!$A$3:$A$665,0)),"")</f>
        <v>37</v>
      </c>
      <c r="J58" s="23">
        <f t="shared" si="0"/>
        <v>1</v>
      </c>
      <c r="K58" s="23">
        <f>IFERROR(INDEX('Input Statistiche 2025_26'!$I$3:$I$665,MATCH($A58,'Input Statistiche 2025_26'!$A$3:$A$665,0)),"")</f>
        <v>0</v>
      </c>
      <c r="L58" s="23">
        <f>IFERROR(INDEX('Input Statistiche 2025_26'!$O$3:$O$665,MATCH($A58,'Input Statistiche 2025_26'!$A$3:$A$665,0)),"")</f>
        <v>0</v>
      </c>
      <c r="M58" s="25"/>
      <c r="N58" s="24">
        <f>IFERROR(INDEX('Input Giocatori 2026_27'!$E$3:$E$493,MATCH($A58,'Input Giocatori 2026_27'!$A$3:$A$493,0)),"")</f>
        <v>15</v>
      </c>
      <c r="O58" s="24">
        <f>IFERROR(INDEX('Input Giocatori 2026_27'!$G$3:$G$493,MATCH($A58,'Input Giocatori 2026_27'!$A$3:$A$493,0)),"")</f>
        <v>50</v>
      </c>
      <c r="P58" s="23" t="str">
        <f>IFERROR(IF($O58="","",IF((1-(COUNTIFS($B$2:$B$492,$B58,$O$2:$O$492,"&gt;"&amp;$O58)+1-1)/COUNTIF($B$2:$B$492,$B58))&gt;='Parametri Modello'!$B$63,"Top",IF((1-(COUNTIFS($B$2:$B$492,$B58,$O$2:$O$492,"&gt;"&amp;$O58)+1-1)/COUNTIF($B$2:$B$492,$B58))&gt;='Parametri Modello'!$B$64,"Buono",IF((1-(COUNTIFS($B$2:$B$492,$B58,$O$2:$O$492,"&gt;"&amp;$O58)+1-1)/COUNTIF($B$2:$B$492,$B58))&gt;='Parametri Modello'!$B$65,"Nella Media","Scommessa/Riserva")))),"")</f>
        <v>Top</v>
      </c>
      <c r="Q58" s="26">
        <f>IF(AND($D58="",$N58&gt;1),SUMPRODUCT(($D$2:$D58="")*($N$2:$N58&gt;1)),"")</f>
        <v>57</v>
      </c>
      <c r="R58" s="26" t="str">
        <f>IF($D58='Info Lega'!$B$28,COUNTIFS($D$2:$D58,'Info Lega'!$B$28),"")</f>
        <v/>
      </c>
      <c r="S58" s="27">
        <f>IFERROR(INDEX('Input Statistiche 2025_26'!$G$3:$G$665,MATCH($A58,'Input Statistiche 2025_26'!$A$3:$A$665,0)),"")</f>
        <v>6.26</v>
      </c>
      <c r="T58" s="27">
        <f>IFERROR(INDEX('Input Statistiche 2025_26'!$H$3:$H$665,MATCH($A58,'Input Statistiche 2025_26'!$A$3:$A$665,0)),"")</f>
        <v>5.42</v>
      </c>
      <c r="U58" s="23" t="str">
        <f>IF(OR('La Mia Rosa'!$O$12="",$D58&lt;&gt;""),"",IF($F58&lt;='La Mia Rosa'!$O$12*'Parametri Modello'!$B$24,"OK",IF($F58&lt;='La Mia Rosa'!$O$12*'Parametri Modello'!$B$25,"Attenzione","Rischio Alto")))</f>
        <v>Attenzione</v>
      </c>
      <c r="V58" s="23">
        <f t="shared" si="1"/>
        <v>5</v>
      </c>
      <c r="W58" s="18">
        <f>'Info Lega'!$B$4-SUMIFS($M$2:$M$492,$D$2:$D$492,'Info Lega'!$B$28)</f>
        <v>1000</v>
      </c>
      <c r="X58" s="18">
        <f>('Info Lega'!$B$5-COUNTIFS($D$2:$D$492,'Info Lega'!$B$28,$B$2:$B$492,"P"))+('Info Lega'!$B$6-COUNTIFS($D$2:$D$492,'Info Lega'!$B$28,$B$2:$B$492,"D"))+('Info Lega'!$B$7-COUNTIFS($D$2:$D$492,'Info Lega'!$B$28,$B$2:$B$492,"C"))+('Info Lega'!$B$8-COUNTIFS($D$2:$D$492,'Info Lega'!$B$28,$B$2:$B$492,"A"))</f>
        <v>25</v>
      </c>
      <c r="Y58" s="18">
        <f>X58*'Parametri Modello'!$B$30</f>
        <v>25</v>
      </c>
      <c r="Z58" s="18">
        <f t="shared" si="2"/>
        <v>975</v>
      </c>
      <c r="AA58" s="18">
        <f t="shared" si="3"/>
        <v>84</v>
      </c>
      <c r="AB58" s="18"/>
      <c r="AC58" s="18" t="str">
        <f>IF($AB58="","",IF($AB58&gt;$AA58,"PASS",IF($AB58&lt;=$AA58*(1-'Parametri Modello'!$B$68),"BID","ATTENZIONE")))</f>
        <v/>
      </c>
      <c r="AD58" s="28">
        <f t="shared" si="4"/>
        <v>71</v>
      </c>
      <c r="AE58" s="5" t="str">
        <f>IFERROR(IF($AF58="Titolare",INDEX('Stato Asta'!$G$9:$G$12,MATCH($B58,'Stato Asta'!$A$9:$A$12,0)),INDEX('Stato Asta'!$P$9:$P$12,MATCH($B58,'Stato Asta'!$A$9:$A$12,0))),"")</f>
        <v>🟢 Puoi aspettare</v>
      </c>
      <c r="AF58" t="str">
        <f>IFERROR(IF($V58&lt;=INDEX('Parametri Modello'!$C$57:$C$60,MATCH($B58,'Parametri Modello'!$A$57:$A$60,0)),"Titolare","Riserva"),"")</f>
        <v>Titolare</v>
      </c>
      <c r="AG58" t="str">
        <f>IFERROR(INDEX('Pressione Competitiva'!$F$3:$F$6,MATCH($B58,'Pressione Competitiva'!$B$3:$B$6,0)),"")</f>
        <v>🔴 Molto Alta</v>
      </c>
      <c r="AH58" t="str">
        <f t="shared" si="5"/>
        <v/>
      </c>
      <c r="AI58" t="str">
        <f>IFERROR(IF($AH58="","",IF($AH58&gt;=$AA58*'Parametri Modello'!$B$68,"🟢 Opportunita'",IF($AH58&lt;=$AA58*'Parametri Modello'!$B$69,"🔴 Sovrapprezzo","🟡 Prezzo Corretto"))),"")</f>
        <v/>
      </c>
      <c r="AJ58" t="str">
        <f t="shared" si="6"/>
        <v/>
      </c>
      <c r="AK58">
        <f t="shared" si="7"/>
        <v>5</v>
      </c>
      <c r="AL58" t="str">
        <f t="shared" si="8"/>
        <v>P|Top|5</v>
      </c>
    </row>
    <row r="59" spans="1:38" ht="14.25" customHeight="1" x14ac:dyDescent="0.25">
      <c r="A59" s="18">
        <v>2788</v>
      </c>
      <c r="B59" s="18" t="s">
        <v>88</v>
      </c>
      <c r="C59" s="18" t="s">
        <v>92</v>
      </c>
      <c r="E59" s="23" t="str">
        <f>IF(COUNTIF('Info Strategia'!$D$2:$D$51,$C59)&gt;0,"SI","NO")</f>
        <v>NO</v>
      </c>
      <c r="F59" s="24">
        <f>IFERROR(ROUND(($G59+($H59-$G59)*'Info Strategia'!$B$6)*(1+IF($E59="SI",'Parametri Modello'!$B$7*'Info Strategia'!$B$6,0)),0),"")</f>
        <v>35</v>
      </c>
      <c r="G59" s="24">
        <f>IFERROR(ROUND(MAX(1,(IF($V59&lt;=INDEX('Parametri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26</v>
      </c>
      <c r="H59" s="24">
        <f>IFERROR(ROUND((IF($V59&lt;=INDEX('Parametri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39</v>
      </c>
      <c r="I59" s="23">
        <f>IFERROR(INDEX('Input Statistiche 2025_26'!$F$3:$F$665,MATCH($A59,'Input Statistiche 2025_26'!$A$3:$A$665,0)),"")</f>
        <v>26</v>
      </c>
      <c r="J59" s="23">
        <f t="shared" si="0"/>
        <v>12</v>
      </c>
      <c r="K59" s="23">
        <f>IFERROR(INDEX('Input Statistiche 2025_26'!$I$3:$I$665,MATCH($A59,'Input Statistiche 2025_26'!$A$3:$A$665,0)),"")</f>
        <v>4</v>
      </c>
      <c r="L59" s="23">
        <f>IFERROR(INDEX('Input Statistiche 2025_26'!$O$3:$O$665,MATCH($A59,'Input Statistiche 2025_26'!$A$3:$A$665,0)),"")</f>
        <v>3</v>
      </c>
      <c r="M59" s="25"/>
      <c r="N59" s="24">
        <f>IFERROR(INDEX('Input Giocatori 2026_27'!$E$3:$E$493,MATCH($A59,'Input Giocatori 2026_27'!$A$3:$A$493,0)),"")</f>
        <v>15</v>
      </c>
      <c r="O59" s="24">
        <f>IFERROR(INDEX('Input Giocatori 2026_27'!$G$3:$G$493,MATCH($A59,'Input Giocatori 2026_27'!$A$3:$A$493,0)),"")</f>
        <v>50</v>
      </c>
      <c r="P59" s="23" t="str">
        <f>IFERROR(IF($O59="","",IF((1-(COUNTIFS($B$2:$B$492,$B59,$O$2:$O$492,"&gt;"&amp;$O59)+1-1)/COUNTIF($B$2:$B$492,$B59))&gt;='Parametri Modello'!$B$63,"Top",IF((1-(COUNTIFS($B$2:$B$492,$B59,$O$2:$O$492,"&gt;"&amp;$O59)+1-1)/COUNTIF($B$2:$B$492,$B59))&gt;='Parametri Modello'!$B$64,"Buono",IF((1-(COUNTIFS($B$2:$B$492,$B59,$O$2:$O$492,"&gt;"&amp;$O59)+1-1)/COUNTIF($B$2:$B$492,$B59))&gt;='Parametri Modello'!$B$65,"Nella Media","Scommessa/Riserva")))),"")</f>
        <v>Top</v>
      </c>
      <c r="Q59" s="26">
        <f>IF(AND($D59="",$N59&gt;1),SUMPRODUCT(($D$2:$D59="")*($N$2:$N59&gt;1)),"")</f>
        <v>58</v>
      </c>
      <c r="R59" s="26" t="str">
        <f>IF($D59='Info Lega'!$B$28,COUNTIFS($D$2:$D59,'Info Lega'!$B$28),"")</f>
        <v/>
      </c>
      <c r="S59" s="27">
        <f>IFERROR(INDEX('Input Statistiche 2025_26'!$G$3:$G$665,MATCH($A59,'Input Statistiche 2025_26'!$A$3:$A$665,0)),"")</f>
        <v>6.33</v>
      </c>
      <c r="T59" s="27">
        <f>IFERROR(INDEX('Input Statistiche 2025_26'!$H$3:$H$665,MATCH($A59,'Input Statistiche 2025_26'!$A$3:$A$665,0)),"")</f>
        <v>6.81</v>
      </c>
      <c r="U59" s="23" t="str">
        <f>IF(OR('La Mia Rosa'!$O$12="",$D59&lt;&gt;""),"",IF($F59&lt;='La Mia Rosa'!$O$12*'Parametri Modello'!$B$24,"OK",IF($F59&lt;='La Mia Rosa'!$O$12*'Parametri Modello'!$B$25,"Attenzione","Rischio Alto")))</f>
        <v>OK</v>
      </c>
      <c r="V59" s="23">
        <f t="shared" si="1"/>
        <v>4</v>
      </c>
      <c r="W59" s="18">
        <f>'Info Lega'!$B$4-SUMIFS($M$2:$M$492,$D$2:$D$492,'Info Lega'!$B$28)</f>
        <v>1000</v>
      </c>
      <c r="X59" s="18">
        <f>('Info Lega'!$B$5-COUNTIFS($D$2:$D$492,'Info Lega'!$B$28,$B$2:$B$492,"P"))+('Info Lega'!$B$6-COUNTIFS($D$2:$D$492,'Info Lega'!$B$28,$B$2:$B$492,"D"))+('Info Lega'!$B$7-COUNTIFS($D$2:$D$492,'Info Lega'!$B$28,$B$2:$B$492,"C"))+('Info Lega'!$B$8-COUNTIFS($D$2:$D$492,'Info Lega'!$B$28,$B$2:$B$492,"A"))</f>
        <v>25</v>
      </c>
      <c r="Y59" s="18">
        <f>X59*'Parametri Modello'!$B$30</f>
        <v>25</v>
      </c>
      <c r="Z59" s="18">
        <f t="shared" si="2"/>
        <v>975</v>
      </c>
      <c r="AA59" s="18">
        <f t="shared" si="3"/>
        <v>35</v>
      </c>
      <c r="AB59" s="18"/>
      <c r="AC59" s="18" t="str">
        <f>IF($AB59="","",IF($AB59&gt;$AA59,"PASS",IF($AB59&lt;=$AA59*(1-'Parametri Modello'!$B$68),"BID","ATTENZIONE")))</f>
        <v/>
      </c>
      <c r="AD59" s="28">
        <f t="shared" si="4"/>
        <v>58</v>
      </c>
      <c r="AE59" s="5" t="str">
        <f>IFERROR(IF($AF59="Titolare",INDEX('Stato Asta'!$G$9:$G$12,MATCH($B59,'Stato Asta'!$A$9:$A$12,0)),INDEX('Stato Asta'!$P$9:$P$12,MATCH($B59,'Stato Asta'!$A$9:$A$12,0))),"")</f>
        <v>🟢 Puoi aspettare</v>
      </c>
      <c r="AF59" t="str">
        <f>IFERROR(IF($V59&lt;=INDEX('Parametri Modello'!$C$57:$C$60,MATCH($B59,'Parametri Modello'!$A$57:$A$60,0)),"Titolare","Riserva"),"")</f>
        <v>Titolare</v>
      </c>
      <c r="AG59" t="str">
        <f>IFERROR(INDEX('Pressione Competitiva'!$F$3:$F$6,MATCH($B59,'Pressione Competitiva'!$B$3:$B$6,0)),"")</f>
        <v>🔴 Molto Alta</v>
      </c>
      <c r="AH59" t="str">
        <f t="shared" si="5"/>
        <v/>
      </c>
      <c r="AI59" t="str">
        <f>IFERROR(IF($AH59="","",IF($AH59&gt;=$AA59*'Parametri Modello'!$B$68,"🟢 Opportunita'",IF($AH59&lt;=$AA59*'Parametri Modello'!$B$69,"🔴 Sovrapprezzo","🟡 Prezzo Corretto"))),"")</f>
        <v/>
      </c>
      <c r="AJ59" t="str">
        <f t="shared" si="6"/>
        <v/>
      </c>
      <c r="AK59">
        <f t="shared" si="7"/>
        <v>4</v>
      </c>
      <c r="AL59" t="str">
        <f t="shared" si="8"/>
        <v>D|Top|4</v>
      </c>
    </row>
    <row r="60" spans="1:38" ht="14.25" customHeight="1" x14ac:dyDescent="0.25">
      <c r="A60" s="18">
        <v>2606</v>
      </c>
      <c r="B60" s="18" t="s">
        <v>264</v>
      </c>
      <c r="C60" s="18" t="s">
        <v>287</v>
      </c>
      <c r="E60" s="23" t="str">
        <f>IF(COUNTIF('Info Strategia'!$D$2:$D$51,$C60)&gt;0,"SI","NO")</f>
        <v>NO</v>
      </c>
      <c r="F60" s="24">
        <f>IFERROR(ROUND(($G60+($H60-$G60)*'Info Strategia'!$B$6)*(1+IF($E60="SI",'Parametri Modello'!$B$7*'Info Strategia'!$B$6,0)),0),"")</f>
        <v>34</v>
      </c>
      <c r="G60" s="24">
        <f>IFERROR(ROUND(MAX(1,(IF($V60&lt;=INDEX('Parametri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23</v>
      </c>
      <c r="H60" s="24">
        <f>IFERROR(ROUND((IF($V60&lt;=INDEX('Parametri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38</v>
      </c>
      <c r="I60" s="23">
        <f>IFERROR(INDEX('Input Statistiche 2025_26'!$F$3:$F$665,MATCH($A60,'Input Statistiche 2025_26'!$A$3:$A$665,0)),"")</f>
        <v>33</v>
      </c>
      <c r="J60" s="23">
        <f t="shared" si="0"/>
        <v>5</v>
      </c>
      <c r="K60" s="23">
        <f>IFERROR(INDEX('Input Statistiche 2025_26'!$I$3:$I$665,MATCH($A60,'Input Statistiche 2025_26'!$A$3:$A$665,0)),"")</f>
        <v>2</v>
      </c>
      <c r="L60" s="23">
        <f>IFERROR(INDEX('Input Statistiche 2025_26'!$O$3:$O$665,MATCH($A60,'Input Statistiche 2025_26'!$A$3:$A$665,0)),"")</f>
        <v>3</v>
      </c>
      <c r="M60" s="25"/>
      <c r="N60" s="24">
        <f>IFERROR(INDEX('Input Giocatori 2026_27'!$E$3:$E$493,MATCH($A60,'Input Giocatori 2026_27'!$A$3:$A$493,0)),"")</f>
        <v>12</v>
      </c>
      <c r="O60" s="24">
        <f>IFERROR(INDEX('Input Giocatori 2026_27'!$G$3:$G$493,MATCH($A60,'Input Giocatori 2026_27'!$A$3:$A$493,0)),"")</f>
        <v>50</v>
      </c>
      <c r="P60" s="23" t="str">
        <f>IFERROR(IF($O60="","",IF((1-(COUNTIFS($B$2:$B$492,$B60,$O$2:$O$492,"&gt;"&amp;$O60)+1-1)/COUNTIF($B$2:$B$492,$B60))&gt;='Parametri Modello'!$B$63,"Top",IF((1-(COUNTIFS($B$2:$B$492,$B60,$O$2:$O$492,"&gt;"&amp;$O60)+1-1)/COUNTIF($B$2:$B$492,$B60))&gt;='Parametri Modello'!$B$64,"Buono",IF((1-(COUNTIFS($B$2:$B$492,$B60,$O$2:$O$492,"&gt;"&amp;$O60)+1-1)/COUNTIF($B$2:$B$492,$B60))&gt;='Parametri Modello'!$B$65,"Nella Media","Scommessa/Riserva")))),"")</f>
        <v>Buono</v>
      </c>
      <c r="Q60" s="26">
        <f>IF(AND($D60="",$N60&gt;1),SUMPRODUCT(($D$2:$D60="")*($N$2:$N60&gt;1)),"")</f>
        <v>59</v>
      </c>
      <c r="R60" s="26" t="str">
        <f>IF($D60='Info Lega'!$B$28,COUNTIFS($D$2:$D60,'Info Lega'!$B$28),"")</f>
        <v/>
      </c>
      <c r="S60" s="27">
        <f>IFERROR(INDEX('Input Statistiche 2025_26'!$G$3:$G$665,MATCH($A60,'Input Statistiche 2025_26'!$A$3:$A$665,0)),"")</f>
        <v>6.45</v>
      </c>
      <c r="T60" s="27">
        <f>IFERROR(INDEX('Input Statistiche 2025_26'!$H$3:$H$665,MATCH($A60,'Input Statistiche 2025_26'!$A$3:$A$665,0)),"")</f>
        <v>6.67</v>
      </c>
      <c r="U60" s="23" t="str">
        <f>IF(OR('La Mia Rosa'!$O$12="",$D60&lt;&gt;""),"",IF($F60&lt;='La Mia Rosa'!$O$12*'Parametri Modello'!$B$24,"OK",IF($F60&lt;='La Mia Rosa'!$O$12*'Parametri Modello'!$B$25,"Attenzione","Rischio Alto")))</f>
        <v>OK</v>
      </c>
      <c r="V60" s="23">
        <f t="shared" si="1"/>
        <v>21</v>
      </c>
      <c r="W60" s="18">
        <f>'Info Lega'!$B$4-SUMIFS($M$2:$M$492,$D$2:$D$492,'Info Lega'!$B$28)</f>
        <v>1000</v>
      </c>
      <c r="X60" s="18">
        <f>('Info Lega'!$B$5-COUNTIFS($D$2:$D$492,'Info Lega'!$B$28,$B$2:$B$492,"P"))+('Info Lega'!$B$6-COUNTIFS($D$2:$D$492,'Info Lega'!$B$28,$B$2:$B$492,"D"))+('Info Lega'!$B$7-COUNTIFS($D$2:$D$492,'Info Lega'!$B$28,$B$2:$B$492,"C"))+('Info Lega'!$B$8-COUNTIFS($D$2:$D$492,'Info Lega'!$B$28,$B$2:$B$492,"A"))</f>
        <v>25</v>
      </c>
      <c r="Y60" s="18">
        <f>X60*'Parametri Modello'!$B$30</f>
        <v>25</v>
      </c>
      <c r="Z60" s="18">
        <f t="shared" si="2"/>
        <v>975</v>
      </c>
      <c r="AA60" s="18">
        <f t="shared" si="3"/>
        <v>34</v>
      </c>
      <c r="AB60" s="18"/>
      <c r="AC60" s="18" t="str">
        <f>IF($AB60="","",IF($AB60&gt;$AA60,"PASS",IF($AB60&lt;=$AA60*(1-'Parametri Modello'!$B$68),"BID","ATTENZIONE")))</f>
        <v/>
      </c>
      <c r="AD60" s="28">
        <f t="shared" si="4"/>
        <v>67</v>
      </c>
      <c r="AE60" s="5" t="str">
        <f>IFERROR(IF($AF60="Titolare",INDEX('Stato Asta'!$G$9:$G$12,MATCH($B60,'Stato Asta'!$A$9:$A$12,0)),INDEX('Stato Asta'!$P$9:$P$12,MATCH($B60,'Stato Asta'!$A$9:$A$12,0))),"")</f>
        <v>🟡 Attesa rischiosa</v>
      </c>
      <c r="AF60" t="str">
        <f>IFERROR(IF($V60&lt;=INDEX('Parametri Modello'!$C$57:$C$60,MATCH($B60,'Parametri Modello'!$A$57:$A$60,0)),"Titolare","Riserva"),"")</f>
        <v>Titolare</v>
      </c>
      <c r="AG60" t="str">
        <f>IFERROR(INDEX('Pressione Competitiva'!$F$3:$F$6,MATCH($B60,'Pressione Competitiva'!$B$3:$B$6,0)),"")</f>
        <v>🔴 Molto Alta</v>
      </c>
      <c r="AH60" t="str">
        <f t="shared" si="5"/>
        <v/>
      </c>
      <c r="AI60" t="str">
        <f>IFERROR(IF($AH60="","",IF($AH60&gt;=$AA60*'Parametri Modello'!$B$68,"🟢 Opportunita'",IF($AH60&lt;=$AA60*'Parametri Modello'!$B$69,"🔴 Sovrapprezzo","🟡 Prezzo Corretto"))),"")</f>
        <v/>
      </c>
      <c r="AJ60" t="str">
        <f t="shared" si="6"/>
        <v/>
      </c>
      <c r="AK60">
        <f t="shared" si="7"/>
        <v>3</v>
      </c>
      <c r="AL60" t="str">
        <f t="shared" si="8"/>
        <v>C|Buono|3</v>
      </c>
    </row>
    <row r="61" spans="1:38" ht="14.25" customHeight="1" x14ac:dyDescent="0.25">
      <c r="A61" s="18">
        <v>4463</v>
      </c>
      <c r="B61" s="18" t="s">
        <v>437</v>
      </c>
      <c r="C61" s="18" t="s">
        <v>462</v>
      </c>
      <c r="E61" s="23" t="str">
        <f>IF(COUNTIF('Info Strategia'!$D$2:$D$51,$C61)&gt;0,"SI","NO")</f>
        <v>NO</v>
      </c>
      <c r="F61" s="24">
        <f>IFERROR(ROUND(($G61+($H61-$G61)*'Info Strategia'!$B$6)*(1+IF($E61="SI",'Parametri Modello'!$B$7*'Info Strategia'!$B$6,0)),0),"")</f>
        <v>16</v>
      </c>
      <c r="G61" s="24">
        <f>IFERROR(ROUND(MAX(1,(IF($V61&lt;=INDEX('Parametri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10</v>
      </c>
      <c r="H61" s="24">
        <f>IFERROR(ROUND((IF($V61&lt;=INDEX('Parametri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19</v>
      </c>
      <c r="I61" s="23">
        <f>IFERROR(INDEX('Input Statistiche 2025_26'!$F$3:$F$665,MATCH($A61,'Input Statistiche 2025_26'!$A$3:$A$665,0)),"")</f>
        <v>36</v>
      </c>
      <c r="J61" s="23">
        <f t="shared" si="0"/>
        <v>2</v>
      </c>
      <c r="K61" s="23">
        <f>IFERROR(INDEX('Input Statistiche 2025_26'!$I$3:$I$665,MATCH($A61,'Input Statistiche 2025_26'!$A$3:$A$665,0)),"")</f>
        <v>7</v>
      </c>
      <c r="L61" s="23">
        <f>IFERROR(INDEX('Input Statistiche 2025_26'!$O$3:$O$665,MATCH($A61,'Input Statistiche 2025_26'!$A$3:$A$665,0)),"")</f>
        <v>4</v>
      </c>
      <c r="M61" s="25"/>
      <c r="N61" s="24">
        <f>IFERROR(INDEX('Input Giocatori 2026_27'!$E$3:$E$493,MATCH($A61,'Input Giocatori 2026_27'!$A$3:$A$493,0)),"")</f>
        <v>13</v>
      </c>
      <c r="O61" s="24">
        <f>IFERROR(INDEX('Input Giocatori 2026_27'!$G$3:$G$493,MATCH($A61,'Input Giocatori 2026_27'!$A$3:$A$493,0)),"")</f>
        <v>50</v>
      </c>
      <c r="P61" s="23" t="str">
        <f>IFERROR(IF($O61="","",IF((1-(COUNTIFS($B$2:$B$492,$B61,$O$2:$O$492,"&gt;"&amp;$O61)+1-1)/COUNTIF($B$2:$B$492,$B61))&gt;='Parametri Modello'!$B$63,"Top",IF((1-(COUNTIFS($B$2:$B$492,$B61,$O$2:$O$492,"&gt;"&amp;$O61)+1-1)/COUNTIF($B$2:$B$492,$B61))&gt;='Parametri Modello'!$B$64,"Buono",IF((1-(COUNTIFS($B$2:$B$492,$B61,$O$2:$O$492,"&gt;"&amp;$O61)+1-1)/COUNTIF($B$2:$B$492,$B61))&gt;='Parametri Modello'!$B$65,"Nella Media","Scommessa/Riserva")))),"")</f>
        <v>Nella Media</v>
      </c>
      <c r="Q61" s="26">
        <f>IF(AND($D61="",$N61&gt;1),SUMPRODUCT(($D$2:$D61="")*($N$2:$N61&gt;1)),"")</f>
        <v>60</v>
      </c>
      <c r="R61" s="26" t="str">
        <f>IF($D61='Info Lega'!$B$28,COUNTIFS($D$2:$D61,'Info Lega'!$B$28),"")</f>
        <v/>
      </c>
      <c r="S61" s="27">
        <f>IFERROR(INDEX('Input Statistiche 2025_26'!$G$3:$G$665,MATCH($A61,'Input Statistiche 2025_26'!$A$3:$A$665,0)),"")</f>
        <v>6.26</v>
      </c>
      <c r="T61" s="27">
        <f>IFERROR(INDEX('Input Statistiche 2025_26'!$H$3:$H$665,MATCH($A61,'Input Statistiche 2025_26'!$A$3:$A$665,0)),"")</f>
        <v>6.88</v>
      </c>
      <c r="U61" s="23" t="str">
        <f>IF(OR('La Mia Rosa'!$O$12="",$D61&lt;&gt;""),"",IF($F61&lt;='La Mia Rosa'!$O$12*'Parametri Modello'!$B$24,"OK",IF($F61&lt;='La Mia Rosa'!$O$12*'Parametri Modello'!$B$25,"Attenzione","Rischio Alto")))</f>
        <v>OK</v>
      </c>
      <c r="V61" s="23">
        <f t="shared" si="1"/>
        <v>30</v>
      </c>
      <c r="W61" s="18">
        <f>'Info Lega'!$B$4-SUMIFS($M$2:$M$492,$D$2:$D$492,'Info Lega'!$B$28)</f>
        <v>1000</v>
      </c>
      <c r="X61" s="18">
        <f>('Info Lega'!$B$5-COUNTIFS($D$2:$D$492,'Info Lega'!$B$28,$B$2:$B$492,"P"))+('Info Lega'!$B$6-COUNTIFS($D$2:$D$492,'Info Lega'!$B$28,$B$2:$B$492,"D"))+('Info Lega'!$B$7-COUNTIFS($D$2:$D$492,'Info Lega'!$B$28,$B$2:$B$492,"C"))+('Info Lega'!$B$8-COUNTIFS($D$2:$D$492,'Info Lega'!$B$28,$B$2:$B$492,"A"))</f>
        <v>25</v>
      </c>
      <c r="Y61" s="18">
        <f>X61*'Parametri Modello'!$B$30</f>
        <v>25</v>
      </c>
      <c r="Z61" s="18">
        <f t="shared" si="2"/>
        <v>975</v>
      </c>
      <c r="AA61" s="18">
        <f t="shared" si="3"/>
        <v>16</v>
      </c>
      <c r="AB61" s="18"/>
      <c r="AC61" s="18" t="str">
        <f>IF($AB61="","",IF($AB61&gt;$AA61,"PASS",IF($AB61&lt;=$AA61*(1-'Parametri Modello'!$B$68),"BID","ATTENZIONE")))</f>
        <v/>
      </c>
      <c r="AD61" s="28">
        <f t="shared" si="4"/>
        <v>70</v>
      </c>
      <c r="AE61" s="5" t="str">
        <f>IFERROR(IF($AF61="Titolare",INDEX('Stato Asta'!$G$9:$G$12,MATCH($B61,'Stato Asta'!$A$9:$A$12,0)),INDEX('Stato Asta'!$P$9:$P$12,MATCH($B61,'Stato Asta'!$A$9:$A$12,0))),"")</f>
        <v>🟢 Riserve abbondanti</v>
      </c>
      <c r="AF61" t="str">
        <f>IFERROR(IF($V61&lt;=INDEX('Parametri Modello'!$C$57:$C$60,MATCH($B61,'Parametri Modello'!$A$57:$A$60,0)),"Titolare","Riserva"),"")</f>
        <v>Riserva</v>
      </c>
      <c r="AG61" t="str">
        <f>IFERROR(INDEX('Pressione Competitiva'!$F$3:$F$6,MATCH($B61,'Pressione Competitiva'!$B$3:$B$6,0)),"")</f>
        <v>🔴 Molto Alta</v>
      </c>
      <c r="AH61" t="str">
        <f t="shared" si="5"/>
        <v/>
      </c>
      <c r="AI61" t="str">
        <f>IFERROR(IF($AH61="","",IF($AH61&gt;=$AA61*'Parametri Modello'!$B$68,"🟢 Opportunita'",IF($AH61&lt;=$AA61*'Parametri Modello'!$B$69,"🔴 Sovrapprezzo","🟡 Prezzo Corretto"))),"")</f>
        <v/>
      </c>
      <c r="AJ61" t="str">
        <f t="shared" si="6"/>
        <v/>
      </c>
      <c r="AK61">
        <f t="shared" si="7"/>
        <v>4</v>
      </c>
      <c r="AL61" t="str">
        <f t="shared" si="8"/>
        <v>A|Nella Media|4</v>
      </c>
    </row>
    <row r="62" spans="1:38" ht="14.25" customHeight="1" x14ac:dyDescent="0.25">
      <c r="A62" s="18">
        <v>6967</v>
      </c>
      <c r="B62" s="18" t="s">
        <v>437</v>
      </c>
      <c r="C62" s="18" t="s">
        <v>467</v>
      </c>
      <c r="E62" s="23" t="str">
        <f>IF(COUNTIF('Info Strategia'!$D$2:$D$51,$C62)&gt;0,"SI","NO")</f>
        <v>NO</v>
      </c>
      <c r="F62" s="24">
        <f>IFERROR(ROUND(($G62+($H62-$G62)*'Info Strategia'!$B$6)*(1+IF($E62="SI",'Parametri Modello'!$B$7*'Info Strategia'!$B$6,0)),0),"")</f>
        <v>16</v>
      </c>
      <c r="G62" s="24">
        <f>IFERROR(ROUND(MAX(1,(IF($V62&lt;=INDEX('Parametri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10</v>
      </c>
      <c r="H62" s="24">
        <f>IFERROR(ROUND((IF($V62&lt;=INDEX('Parametri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19</v>
      </c>
      <c r="I62" s="23">
        <f>IFERROR(INDEX('Input Statistiche 2025_26'!$F$3:$F$665,MATCH($A62,'Input Statistiche 2025_26'!$A$3:$A$665,0)),"")</f>
        <v>16</v>
      </c>
      <c r="J62" s="23">
        <f t="shared" si="0"/>
        <v>22</v>
      </c>
      <c r="K62" s="23">
        <f>IFERROR(INDEX('Input Statistiche 2025_26'!$I$3:$I$665,MATCH($A62,'Input Statistiche 2025_26'!$A$3:$A$665,0)),"")</f>
        <v>2</v>
      </c>
      <c r="L62" s="23">
        <f>IFERROR(INDEX('Input Statistiche 2025_26'!$O$3:$O$665,MATCH($A62,'Input Statistiche 2025_26'!$A$3:$A$665,0)),"")</f>
        <v>1</v>
      </c>
      <c r="M62" s="25"/>
      <c r="N62" s="24">
        <f>IFERROR(INDEX('Input Giocatori 2026_27'!$E$3:$E$493,MATCH($A62,'Input Giocatori 2026_27'!$A$3:$A$493,0)),"")</f>
        <v>11</v>
      </c>
      <c r="O62" s="24">
        <f>IFERROR(INDEX('Input Giocatori 2026_27'!$G$3:$G$493,MATCH($A62,'Input Giocatori 2026_27'!$A$3:$A$493,0)),"")</f>
        <v>50</v>
      </c>
      <c r="P62" s="23" t="str">
        <f>IFERROR(IF($O62="","",IF((1-(COUNTIFS($B$2:$B$492,$B62,$O$2:$O$492,"&gt;"&amp;$O62)+1-1)/COUNTIF($B$2:$B$492,$B62))&gt;='Parametri Modello'!$B$63,"Top",IF((1-(COUNTIFS($B$2:$B$492,$B62,$O$2:$O$492,"&gt;"&amp;$O62)+1-1)/COUNTIF($B$2:$B$492,$B62))&gt;='Parametri Modello'!$B$64,"Buono",IF((1-(COUNTIFS($B$2:$B$492,$B62,$O$2:$O$492,"&gt;"&amp;$O62)+1-1)/COUNTIF($B$2:$B$492,$B62))&gt;='Parametri Modello'!$B$65,"Nella Media","Scommessa/Riserva")))),"")</f>
        <v>Nella Media</v>
      </c>
      <c r="Q62" s="26">
        <f>IF(AND($D62="",$N62&gt;1),SUMPRODUCT(($D$2:$D62="")*($N$2:$N62&gt;1)),"")</f>
        <v>61</v>
      </c>
      <c r="R62" s="26" t="str">
        <f>IF($D62='Info Lega'!$B$28,COUNTIFS($D$2:$D62,'Info Lega'!$B$28),"")</f>
        <v/>
      </c>
      <c r="S62" s="27">
        <f>IFERROR(INDEX('Input Statistiche 2025_26'!$G$3:$G$665,MATCH($A62,'Input Statistiche 2025_26'!$A$3:$A$665,0)),"")</f>
        <v>6</v>
      </c>
      <c r="T62" s="27">
        <f>IFERROR(INDEX('Input Statistiche 2025_26'!$H$3:$H$665,MATCH($A62,'Input Statistiche 2025_26'!$A$3:$A$665,0)),"")</f>
        <v>6.38</v>
      </c>
      <c r="U62" s="23" t="str">
        <f>IF(OR('La Mia Rosa'!$O$12="",$D62&lt;&gt;""),"",IF($F62&lt;='La Mia Rosa'!$O$12*'Parametri Modello'!$B$24,"OK",IF($F62&lt;='La Mia Rosa'!$O$12*'Parametri Modello'!$B$25,"Attenzione","Rischio Alto")))</f>
        <v>OK</v>
      </c>
      <c r="V62" s="23">
        <f t="shared" si="1"/>
        <v>30</v>
      </c>
      <c r="W62" s="18">
        <f>'Info Lega'!$B$4-SUMIFS($M$2:$M$492,$D$2:$D$492,'Info Lega'!$B$28)</f>
        <v>1000</v>
      </c>
      <c r="X62" s="18">
        <f>('Info Lega'!$B$5-COUNTIFS($D$2:$D$492,'Info Lega'!$B$28,$B$2:$B$492,"P"))+('Info Lega'!$B$6-COUNTIFS($D$2:$D$492,'Info Lega'!$B$28,$B$2:$B$492,"D"))+('Info Lega'!$B$7-COUNTIFS($D$2:$D$492,'Info Lega'!$B$28,$B$2:$B$492,"C"))+('Info Lega'!$B$8-COUNTIFS($D$2:$D$492,'Info Lega'!$B$28,$B$2:$B$492,"A"))</f>
        <v>25</v>
      </c>
      <c r="Y62" s="18">
        <f>X62*'Parametri Modello'!$B$30</f>
        <v>25</v>
      </c>
      <c r="Z62" s="18">
        <f t="shared" si="2"/>
        <v>975</v>
      </c>
      <c r="AA62" s="18">
        <f t="shared" si="3"/>
        <v>16</v>
      </c>
      <c r="AB62" s="18"/>
      <c r="AC62" s="18" t="str">
        <f>IF($AB62="","",IF($AB62&gt;$AA62,"PASS",IF($AB62&lt;=$AA62*(1-'Parametri Modello'!$B$68),"BID","ATTENZIONE")))</f>
        <v/>
      </c>
      <c r="AD62" s="28">
        <f t="shared" si="4"/>
        <v>41</v>
      </c>
      <c r="AE62" s="5" t="str">
        <f>IFERROR(IF($AF62="Titolare",INDEX('Stato Asta'!$G$9:$G$12,MATCH($B62,'Stato Asta'!$A$9:$A$12,0)),INDEX('Stato Asta'!$P$9:$P$12,MATCH($B62,'Stato Asta'!$A$9:$A$12,0))),"")</f>
        <v>🟢 Riserve abbondanti</v>
      </c>
      <c r="AF62" t="str">
        <f>IFERROR(IF($V62&lt;=INDEX('Parametri Modello'!$C$57:$C$60,MATCH($B62,'Parametri Modello'!$A$57:$A$60,0)),"Titolare","Riserva"),"")</f>
        <v>Riserva</v>
      </c>
      <c r="AG62" t="str">
        <f>IFERROR(INDEX('Pressione Competitiva'!$F$3:$F$6,MATCH($B62,'Pressione Competitiva'!$B$3:$B$6,0)),"")</f>
        <v>🔴 Molto Alta</v>
      </c>
      <c r="AH62" t="str">
        <f t="shared" si="5"/>
        <v/>
      </c>
      <c r="AI62" t="str">
        <f>IFERROR(IF($AH62="","",IF($AH62&gt;=$AA62*'Parametri Modello'!$B$68,"🟢 Opportunita'",IF($AH62&lt;=$AA62*'Parametri Modello'!$B$69,"🔴 Sovrapprezzo","🟡 Prezzo Corretto"))),"")</f>
        <v/>
      </c>
      <c r="AJ62" t="str">
        <f t="shared" si="6"/>
        <v/>
      </c>
      <c r="AK62">
        <f t="shared" si="7"/>
        <v>4</v>
      </c>
      <c r="AL62" t="str">
        <f t="shared" si="8"/>
        <v>A|Nella Media|4</v>
      </c>
    </row>
    <row r="63" spans="1:38" ht="14.25" customHeight="1" x14ac:dyDescent="0.25">
      <c r="A63" s="18">
        <v>2296</v>
      </c>
      <c r="B63" s="18" t="s">
        <v>88</v>
      </c>
      <c r="C63" s="18" t="s">
        <v>93</v>
      </c>
      <c r="E63" s="23" t="str">
        <f>IF(COUNTIF('Info Strategia'!$D$2:$D$51,$C63)&gt;0,"SI","NO")</f>
        <v>NO</v>
      </c>
      <c r="F63" s="24">
        <f>IFERROR(ROUND(($G63+($H63-$G63)*'Info Strategia'!$B$6)*(1+IF($E63="SI",'Parametri Modello'!$B$7*'Info Strategia'!$B$6,0)),0),"")</f>
        <v>34</v>
      </c>
      <c r="G63" s="24">
        <f>IFERROR(ROUND(MAX(1,(IF($V63&lt;=INDEX('Parametri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25</v>
      </c>
      <c r="H63" s="24">
        <f>IFERROR(ROUND((IF($V63&lt;=INDEX('Parametri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38</v>
      </c>
      <c r="I63" s="23">
        <f>IFERROR(INDEX('Input Statistiche 2025_26'!$F$3:$F$665,MATCH($A63,'Input Statistiche 2025_26'!$A$3:$A$665,0)),"")</f>
        <v>36</v>
      </c>
      <c r="J63" s="23">
        <f t="shared" si="0"/>
        <v>2</v>
      </c>
      <c r="K63" s="23">
        <f>IFERROR(INDEX('Input Statistiche 2025_26'!$I$3:$I$665,MATCH($A63,'Input Statistiche 2025_26'!$A$3:$A$665,0)),"")</f>
        <v>4</v>
      </c>
      <c r="L63" s="23">
        <f>IFERROR(INDEX('Input Statistiche 2025_26'!$O$3:$O$665,MATCH($A63,'Input Statistiche 2025_26'!$A$3:$A$665,0)),"")</f>
        <v>2</v>
      </c>
      <c r="M63" s="25"/>
      <c r="N63" s="24">
        <f>IFERROR(INDEX('Input Giocatori 2026_27'!$E$3:$E$493,MATCH($A63,'Input Giocatori 2026_27'!$A$3:$A$493,0)),"")</f>
        <v>15</v>
      </c>
      <c r="O63" s="24">
        <f>IFERROR(INDEX('Input Giocatori 2026_27'!$G$3:$G$493,MATCH($A63,'Input Giocatori 2026_27'!$A$3:$A$493,0)),"")</f>
        <v>49</v>
      </c>
      <c r="P63" s="23" t="str">
        <f>IFERROR(IF($O63="","",IF((1-(COUNTIFS($B$2:$B$492,$B63,$O$2:$O$492,"&gt;"&amp;$O63)+1-1)/COUNTIF($B$2:$B$492,$B63))&gt;='Parametri Modello'!$B$63,"Top",IF((1-(COUNTIFS($B$2:$B$492,$B63,$O$2:$O$492,"&gt;"&amp;$O63)+1-1)/COUNTIF($B$2:$B$492,$B63))&gt;='Parametri Modello'!$B$64,"Buono",IF((1-(COUNTIFS($B$2:$B$492,$B63,$O$2:$O$492,"&gt;"&amp;$O63)+1-1)/COUNTIF($B$2:$B$492,$B63))&gt;='Parametri Modello'!$B$65,"Nella Media","Scommessa/Riserva")))),"")</f>
        <v>Top</v>
      </c>
      <c r="Q63" s="26">
        <f>IF(AND($D63="",$N63&gt;1),SUMPRODUCT(($D$2:$D63="")*($N$2:$N63&gt;1)),"")</f>
        <v>62</v>
      </c>
      <c r="R63" s="26" t="str">
        <f>IF($D63='Info Lega'!$B$28,COUNTIFS($D$2:$D63,'Info Lega'!$B$28),"")</f>
        <v/>
      </c>
      <c r="S63" s="27">
        <f>IFERROR(INDEX('Input Statistiche 2025_26'!$G$3:$G$665,MATCH($A63,'Input Statistiche 2025_26'!$A$3:$A$665,0)),"")</f>
        <v>6.25</v>
      </c>
      <c r="T63" s="27">
        <f>IFERROR(INDEX('Input Statistiche 2025_26'!$H$3:$H$665,MATCH($A63,'Input Statistiche 2025_26'!$A$3:$A$665,0)),"")</f>
        <v>6.51</v>
      </c>
      <c r="U63" s="23" t="str">
        <f>IF(OR('La Mia Rosa'!$O$12="",$D63&lt;&gt;""),"",IF($F63&lt;='La Mia Rosa'!$O$12*'Parametri Modello'!$B$24,"OK",IF($F63&lt;='La Mia Rosa'!$O$12*'Parametri Modello'!$B$25,"Attenzione","Rischio Alto")))</f>
        <v>OK</v>
      </c>
      <c r="V63" s="23">
        <f t="shared" si="1"/>
        <v>5</v>
      </c>
      <c r="W63" s="18">
        <f>'Info Lega'!$B$4-SUMIFS($M$2:$M$492,$D$2:$D$492,'Info Lega'!$B$28)</f>
        <v>1000</v>
      </c>
      <c r="X63" s="18">
        <f>('Info Lega'!$B$5-COUNTIFS($D$2:$D$492,'Info Lega'!$B$28,$B$2:$B$492,"P"))+('Info Lega'!$B$6-COUNTIFS($D$2:$D$492,'Info Lega'!$B$28,$B$2:$B$492,"D"))+('Info Lega'!$B$7-COUNTIFS($D$2:$D$492,'Info Lega'!$B$28,$B$2:$B$492,"C"))+('Info Lega'!$B$8-COUNTIFS($D$2:$D$492,'Info Lega'!$B$28,$B$2:$B$492,"A"))</f>
        <v>25</v>
      </c>
      <c r="Y63" s="18">
        <f>X63*'Parametri Modello'!$B$30</f>
        <v>25</v>
      </c>
      <c r="Z63" s="18">
        <f t="shared" si="2"/>
        <v>975</v>
      </c>
      <c r="AA63" s="18">
        <f t="shared" si="3"/>
        <v>34</v>
      </c>
      <c r="AB63" s="18"/>
      <c r="AC63" s="18" t="str">
        <f>IF($AB63="","",IF($AB63&gt;$AA63,"PASS",IF($AB63&lt;=$AA63*(1-'Parametri Modello'!$B$68),"BID","ATTENZIONE")))</f>
        <v/>
      </c>
      <c r="AD63" s="28">
        <f t="shared" si="4"/>
        <v>70</v>
      </c>
      <c r="AE63" s="5" t="str">
        <f>IFERROR(IF($AF63="Titolare",INDEX('Stato Asta'!$G$9:$G$12,MATCH($B63,'Stato Asta'!$A$9:$A$12,0)),INDEX('Stato Asta'!$P$9:$P$12,MATCH($B63,'Stato Asta'!$A$9:$A$12,0))),"")</f>
        <v>🟢 Puoi aspettare</v>
      </c>
      <c r="AF63" t="str">
        <f>IFERROR(IF($V63&lt;=INDEX('Parametri Modello'!$C$57:$C$60,MATCH($B63,'Parametri Modello'!$A$57:$A$60,0)),"Titolare","Riserva"),"")</f>
        <v>Titolare</v>
      </c>
      <c r="AG63" t="str">
        <f>IFERROR(INDEX('Pressione Competitiva'!$F$3:$F$6,MATCH($B63,'Pressione Competitiva'!$B$3:$B$6,0)),"")</f>
        <v>🔴 Molto Alta</v>
      </c>
      <c r="AH63" t="str">
        <f t="shared" si="5"/>
        <v/>
      </c>
      <c r="AI63" t="str">
        <f>IFERROR(IF($AH63="","",IF($AH63&gt;=$AA63*'Parametri Modello'!$B$68,"🟢 Opportunita'",IF($AH63&lt;=$AA63*'Parametri Modello'!$B$69,"🔴 Sovrapprezzo","🟡 Prezzo Corretto"))),"")</f>
        <v/>
      </c>
      <c r="AJ63" t="str">
        <f t="shared" si="6"/>
        <v/>
      </c>
      <c r="AK63">
        <f t="shared" si="7"/>
        <v>5</v>
      </c>
      <c r="AL63" t="str">
        <f t="shared" si="8"/>
        <v>D|Top|5</v>
      </c>
    </row>
    <row r="64" spans="1:38" ht="14.25" customHeight="1" x14ac:dyDescent="0.25">
      <c r="A64" s="18">
        <v>5022</v>
      </c>
      <c r="B64" s="18" t="s">
        <v>88</v>
      </c>
      <c r="C64" s="18" t="s">
        <v>95</v>
      </c>
      <c r="E64" s="23" t="str">
        <f>IF(COUNTIF('Info Strategia'!$D$2:$D$51,$C64)&gt;0,"SI","NO")</f>
        <v>NO</v>
      </c>
      <c r="F64" s="24">
        <f>IFERROR(ROUND(($G64+($H64-$G64)*'Info Strategia'!$B$6)*(1+IF($E64="SI",'Parametri Modello'!$B$7*'Info Strategia'!$B$6,0)),0),"")</f>
        <v>33</v>
      </c>
      <c r="G64" s="24">
        <f>IFERROR(ROUND(MAX(1,(IF($V64&lt;=INDEX('Parametri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25</v>
      </c>
      <c r="H64" s="24">
        <f>IFERROR(ROUND((IF($V64&lt;=INDEX('Parametri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37</v>
      </c>
      <c r="I64" s="23">
        <f>IFERROR(INDEX('Input Statistiche 2025_26'!$F$3:$F$665,MATCH($A64,'Input Statistiche 2025_26'!$A$3:$A$665,0)),"")</f>
        <v>34</v>
      </c>
      <c r="J64" s="23">
        <f t="shared" si="0"/>
        <v>4</v>
      </c>
      <c r="K64" s="23">
        <f>IFERROR(INDEX('Input Statistiche 2025_26'!$I$3:$I$665,MATCH($A64,'Input Statistiche 2025_26'!$A$3:$A$665,0)),"")</f>
        <v>5</v>
      </c>
      <c r="L64" s="23">
        <f>IFERROR(INDEX('Input Statistiche 2025_26'!$O$3:$O$665,MATCH($A64,'Input Statistiche 2025_26'!$A$3:$A$665,0)),"")</f>
        <v>0</v>
      </c>
      <c r="M64" s="25"/>
      <c r="N64" s="24">
        <f>IFERROR(INDEX('Input Giocatori 2026_27'!$E$3:$E$493,MATCH($A64,'Input Giocatori 2026_27'!$A$3:$A$493,0)),"")</f>
        <v>14</v>
      </c>
      <c r="O64" s="24">
        <f>IFERROR(INDEX('Input Giocatori 2026_27'!$G$3:$G$493,MATCH($A64,'Input Giocatori 2026_27'!$A$3:$A$493,0)),"")</f>
        <v>48</v>
      </c>
      <c r="P64" s="23" t="str">
        <f>IFERROR(IF($O64="","",IF((1-(COUNTIFS($B$2:$B$492,$B64,$O$2:$O$492,"&gt;"&amp;$O64)+1-1)/COUNTIF($B$2:$B$492,$B64))&gt;='Parametri Modello'!$B$63,"Top",IF((1-(COUNTIFS($B$2:$B$492,$B64,$O$2:$O$492,"&gt;"&amp;$O64)+1-1)/COUNTIF($B$2:$B$492,$B64))&gt;='Parametri Modello'!$B$64,"Buono",IF((1-(COUNTIFS($B$2:$B$492,$B64,$O$2:$O$492,"&gt;"&amp;$O64)+1-1)/COUNTIF($B$2:$B$492,$B64))&gt;='Parametri Modello'!$B$65,"Nella Media","Scommessa/Riserva")))),"")</f>
        <v>Top</v>
      </c>
      <c r="Q64" s="26">
        <f>IF(AND($D64="",$N64&gt;1),SUMPRODUCT(($D$2:$D64="")*($N$2:$N64&gt;1)),"")</f>
        <v>63</v>
      </c>
      <c r="R64" s="26" t="str">
        <f>IF($D64='Info Lega'!$B$28,COUNTIFS($D$2:$D64,'Info Lega'!$B$28),"")</f>
        <v/>
      </c>
      <c r="S64" s="27">
        <f>IFERROR(INDEX('Input Statistiche 2025_26'!$G$3:$G$665,MATCH($A64,'Input Statistiche 2025_26'!$A$3:$A$665,0)),"")</f>
        <v>6.24</v>
      </c>
      <c r="T64" s="27">
        <f>IFERROR(INDEX('Input Statistiche 2025_26'!$H$3:$H$665,MATCH($A64,'Input Statistiche 2025_26'!$A$3:$A$665,0)),"")</f>
        <v>6.62</v>
      </c>
      <c r="U64" s="23" t="str">
        <f>IF(OR('La Mia Rosa'!$O$12="",$D64&lt;&gt;""),"",IF($F64&lt;='La Mia Rosa'!$O$12*'Parametri Modello'!$B$24,"OK",IF($F64&lt;='La Mia Rosa'!$O$12*'Parametri Modello'!$B$25,"Attenzione","Rischio Alto")))</f>
        <v>OK</v>
      </c>
      <c r="V64" s="23">
        <f t="shared" si="1"/>
        <v>6</v>
      </c>
      <c r="W64" s="18">
        <f>'Info Lega'!$B$4-SUMIFS($M$2:$M$492,$D$2:$D$492,'Info Lega'!$B$28)</f>
        <v>1000</v>
      </c>
      <c r="X64" s="18">
        <f>('Info Lega'!$B$5-COUNTIFS($D$2:$D$492,'Info Lega'!$B$28,$B$2:$B$492,"P"))+('Info Lega'!$B$6-COUNTIFS($D$2:$D$492,'Info Lega'!$B$28,$B$2:$B$492,"D"))+('Info Lega'!$B$7-COUNTIFS($D$2:$D$492,'Info Lega'!$B$28,$B$2:$B$492,"C"))+('Info Lega'!$B$8-COUNTIFS($D$2:$D$492,'Info Lega'!$B$28,$B$2:$B$492,"A"))</f>
        <v>25</v>
      </c>
      <c r="Y64" s="18">
        <f>X64*'Parametri Modello'!$B$30</f>
        <v>25</v>
      </c>
      <c r="Z64" s="18">
        <f t="shared" si="2"/>
        <v>975</v>
      </c>
      <c r="AA64" s="18">
        <f t="shared" si="3"/>
        <v>33</v>
      </c>
      <c r="AB64" s="18"/>
      <c r="AC64" s="18" t="str">
        <f>IF($AB64="","",IF($AB64&gt;$AA64,"PASS",IF($AB64&lt;=$AA64*(1-'Parametri Modello'!$B$68),"BID","ATTENZIONE")))</f>
        <v/>
      </c>
      <c r="AD64" s="28">
        <f t="shared" si="4"/>
        <v>68</v>
      </c>
      <c r="AE64" s="5" t="str">
        <f>IFERROR(IF($AF64="Titolare",INDEX('Stato Asta'!$G$9:$G$12,MATCH($B64,'Stato Asta'!$A$9:$A$12,0)),INDEX('Stato Asta'!$P$9:$P$12,MATCH($B64,'Stato Asta'!$A$9:$A$12,0))),"")</f>
        <v>🟢 Puoi aspettare</v>
      </c>
      <c r="AF64" t="str">
        <f>IFERROR(IF($V64&lt;=INDEX('Parametri Modello'!$C$57:$C$60,MATCH($B64,'Parametri Modello'!$A$57:$A$60,0)),"Titolare","Riserva"),"")</f>
        <v>Titolare</v>
      </c>
      <c r="AG64" t="str">
        <f>IFERROR(INDEX('Pressione Competitiva'!$F$3:$F$6,MATCH($B64,'Pressione Competitiva'!$B$3:$B$6,0)),"")</f>
        <v>🔴 Molto Alta</v>
      </c>
      <c r="AH64" t="str">
        <f t="shared" si="5"/>
        <v/>
      </c>
      <c r="AI64" t="str">
        <f>IFERROR(IF($AH64="","",IF($AH64&gt;=$AA64*'Parametri Modello'!$B$68,"🟢 Opportunita'",IF($AH64&lt;=$AA64*'Parametri Modello'!$B$69,"🔴 Sovrapprezzo","🟡 Prezzo Corretto"))),"")</f>
        <v/>
      </c>
      <c r="AJ64" t="str">
        <f t="shared" si="6"/>
        <v/>
      </c>
      <c r="AK64">
        <f t="shared" si="7"/>
        <v>6</v>
      </c>
      <c r="AL64" t="str">
        <f t="shared" si="8"/>
        <v>D|Top|6</v>
      </c>
    </row>
    <row r="65" spans="1:38" ht="14.25" customHeight="1" x14ac:dyDescent="0.25">
      <c r="A65" s="18">
        <v>4409</v>
      </c>
      <c r="B65" s="18" t="s">
        <v>88</v>
      </c>
      <c r="C65" s="18" t="s">
        <v>96</v>
      </c>
      <c r="E65" s="23" t="str">
        <f>IF(COUNTIF('Info Strategia'!$D$2:$D$51,$C65)&gt;0,"SI","NO")</f>
        <v>NO</v>
      </c>
      <c r="F65" s="24">
        <f>IFERROR(ROUND(($G65+($H65-$G65)*'Info Strategia'!$B$6)*(1+IF($E65="SI",'Parametri Modello'!$B$7*'Info Strategia'!$B$6,0)),0),"")</f>
        <v>32</v>
      </c>
      <c r="G65" s="24">
        <f>IFERROR(ROUND(MAX(1,(IF($V65&lt;=INDEX('Parametri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24</v>
      </c>
      <c r="H65" s="24">
        <f>IFERROR(ROUND((IF($V65&lt;=INDEX('Parametri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36</v>
      </c>
      <c r="I65" s="23">
        <f>IFERROR(INDEX('Input Statistiche 2025_26'!$F$3:$F$665,MATCH($A65,'Input Statistiche 2025_26'!$A$3:$A$665,0)),"")</f>
        <v>21</v>
      </c>
      <c r="J65" s="23">
        <f t="shared" si="0"/>
        <v>17</v>
      </c>
      <c r="K65" s="23">
        <f>IFERROR(INDEX('Input Statistiche 2025_26'!$I$3:$I$665,MATCH($A65,'Input Statistiche 2025_26'!$A$3:$A$665,0)),"")</f>
        <v>2</v>
      </c>
      <c r="L65" s="23">
        <f>IFERROR(INDEX('Input Statistiche 2025_26'!$O$3:$O$665,MATCH($A65,'Input Statistiche 2025_26'!$A$3:$A$665,0)),"")</f>
        <v>0</v>
      </c>
      <c r="M65" s="25"/>
      <c r="N65" s="24">
        <f>IFERROR(INDEX('Input Giocatori 2026_27'!$E$3:$E$493,MATCH($A65,'Input Giocatori 2026_27'!$A$3:$A$493,0)),"")</f>
        <v>14</v>
      </c>
      <c r="O65" s="24">
        <f>IFERROR(INDEX('Input Giocatori 2026_27'!$G$3:$G$493,MATCH($A65,'Input Giocatori 2026_27'!$A$3:$A$493,0)),"")</f>
        <v>47</v>
      </c>
      <c r="P65" s="23" t="str">
        <f>IFERROR(IF($O65="","",IF((1-(COUNTIFS($B$2:$B$492,$B65,$O$2:$O$492,"&gt;"&amp;$O65)+1-1)/COUNTIF($B$2:$B$492,$B65))&gt;='Parametri Modello'!$B$63,"Top",IF((1-(COUNTIFS($B$2:$B$492,$B65,$O$2:$O$492,"&gt;"&amp;$O65)+1-1)/COUNTIF($B$2:$B$492,$B65))&gt;='Parametri Modello'!$B$64,"Buono",IF((1-(COUNTIFS($B$2:$B$492,$B65,$O$2:$O$492,"&gt;"&amp;$O65)+1-1)/COUNTIF($B$2:$B$492,$B65))&gt;='Parametri Modello'!$B$65,"Nella Media","Scommessa/Riserva")))),"")</f>
        <v>Top</v>
      </c>
      <c r="Q65" s="26">
        <f>IF(AND($D65="",$N65&gt;1),SUMPRODUCT(($D$2:$D65="")*($N$2:$N65&gt;1)),"")</f>
        <v>64</v>
      </c>
      <c r="R65" s="26" t="str">
        <f>IF($D65='Info Lega'!$B$28,COUNTIFS($D$2:$D65,'Info Lega'!$B$28),"")</f>
        <v/>
      </c>
      <c r="S65" s="27">
        <f>IFERROR(INDEX('Input Statistiche 2025_26'!$G$3:$G$665,MATCH($A65,'Input Statistiche 2025_26'!$A$3:$A$665,0)),"")</f>
        <v>6.24</v>
      </c>
      <c r="T65" s="27">
        <f>IFERROR(INDEX('Input Statistiche 2025_26'!$H$3:$H$665,MATCH($A65,'Input Statistiche 2025_26'!$A$3:$A$665,0)),"")</f>
        <v>6.45</v>
      </c>
      <c r="U65" s="23" t="str">
        <f>IF(OR('La Mia Rosa'!$O$12="",$D65&lt;&gt;""),"",IF($F65&lt;='La Mia Rosa'!$O$12*'Parametri Modello'!$B$24,"OK",IF($F65&lt;='La Mia Rosa'!$O$12*'Parametri Modello'!$B$25,"Attenzione","Rischio Alto")))</f>
        <v>OK</v>
      </c>
      <c r="V65" s="23">
        <f t="shared" si="1"/>
        <v>7</v>
      </c>
      <c r="W65" s="18">
        <f>'Info Lega'!$B$4-SUMIFS($M$2:$M$492,$D$2:$D$492,'Info Lega'!$B$28)</f>
        <v>1000</v>
      </c>
      <c r="X65" s="18">
        <f>('Info Lega'!$B$5-COUNTIFS($D$2:$D$492,'Info Lega'!$B$28,$B$2:$B$492,"P"))+('Info Lega'!$B$6-COUNTIFS($D$2:$D$492,'Info Lega'!$B$28,$B$2:$B$492,"D"))+('Info Lega'!$B$7-COUNTIFS($D$2:$D$492,'Info Lega'!$B$28,$B$2:$B$492,"C"))+('Info Lega'!$B$8-COUNTIFS($D$2:$D$492,'Info Lega'!$B$28,$B$2:$B$492,"A"))</f>
        <v>25</v>
      </c>
      <c r="Y65" s="18">
        <f>X65*'Parametri Modello'!$B$30</f>
        <v>25</v>
      </c>
      <c r="Z65" s="18">
        <f t="shared" si="2"/>
        <v>975</v>
      </c>
      <c r="AA65" s="18">
        <f t="shared" si="3"/>
        <v>32</v>
      </c>
      <c r="AB65" s="18"/>
      <c r="AC65" s="18" t="str">
        <f>IF($AB65="","",IF($AB65&gt;$AA65,"PASS",IF($AB65&lt;=$AA65*(1-'Parametri Modello'!$B$68),"BID","ATTENZIONE")))</f>
        <v/>
      </c>
      <c r="AD65" s="28">
        <f t="shared" si="4"/>
        <v>50</v>
      </c>
      <c r="AE65" s="5" t="str">
        <f>IFERROR(IF($AF65="Titolare",INDEX('Stato Asta'!$G$9:$G$12,MATCH($B65,'Stato Asta'!$A$9:$A$12,0)),INDEX('Stato Asta'!$P$9:$P$12,MATCH($B65,'Stato Asta'!$A$9:$A$12,0))),"")</f>
        <v>🟢 Puoi aspettare</v>
      </c>
      <c r="AF65" t="str">
        <f>IFERROR(IF($V65&lt;=INDEX('Parametri Modello'!$C$57:$C$60,MATCH($B65,'Parametri Modello'!$A$57:$A$60,0)),"Titolare","Riserva"),"")</f>
        <v>Titolare</v>
      </c>
      <c r="AG65" t="str">
        <f>IFERROR(INDEX('Pressione Competitiva'!$F$3:$F$6,MATCH($B65,'Pressione Competitiva'!$B$3:$B$6,0)),"")</f>
        <v>🔴 Molto Alta</v>
      </c>
      <c r="AH65" t="str">
        <f t="shared" si="5"/>
        <v/>
      </c>
      <c r="AI65" t="str">
        <f>IFERROR(IF($AH65="","",IF($AH65&gt;=$AA65*'Parametri Modello'!$B$68,"🟢 Opportunita'",IF($AH65&lt;=$AA65*'Parametri Modello'!$B$69,"🔴 Sovrapprezzo","🟡 Prezzo Corretto"))),"")</f>
        <v/>
      </c>
      <c r="AJ65" t="str">
        <f t="shared" si="6"/>
        <v/>
      </c>
      <c r="AK65">
        <f t="shared" si="7"/>
        <v>7</v>
      </c>
      <c r="AL65" t="str">
        <f t="shared" si="8"/>
        <v>D|Top|7</v>
      </c>
    </row>
    <row r="66" spans="1:38" ht="14.25" customHeight="1" x14ac:dyDescent="0.25">
      <c r="A66" s="18">
        <v>536</v>
      </c>
      <c r="B66" s="18" t="s">
        <v>264</v>
      </c>
      <c r="C66" s="18" t="s">
        <v>295</v>
      </c>
      <c r="E66" s="23" t="str">
        <f>IF(COUNTIF('Info Strategia'!$D$2:$D$51,$C66)&gt;0,"SI","NO")</f>
        <v>NO</v>
      </c>
      <c r="F66" s="24">
        <f>IFERROR(ROUND(($G66+($H66-$G66)*'Info Strategia'!$B$6)*(1+IF($E66="SI",'Parametri Modello'!$B$7*'Info Strategia'!$B$6,0)),0),"")</f>
        <v>31</v>
      </c>
      <c r="G66" s="24">
        <f>IFERROR(ROUND(MAX(1,(IF($V66&lt;=INDEX('Parametri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21</v>
      </c>
      <c r="H66" s="24">
        <f>IFERROR(ROUND((IF($V66&lt;=INDEX('Parametri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35</v>
      </c>
      <c r="I66" s="23">
        <f>IFERROR(INDEX('Input Statistiche 2025_26'!$F$3:$F$665,MATCH($A66,'Input Statistiche 2025_26'!$A$3:$A$665,0)),"")</f>
        <v>33</v>
      </c>
      <c r="J66" s="23">
        <f t="shared" ref="J66:J129" si="9">IFERROR(IF($I66="","",MAX(0,38-$I66)),"")</f>
        <v>5</v>
      </c>
      <c r="K66" s="23">
        <f>IFERROR(INDEX('Input Statistiche 2025_26'!$I$3:$I$665,MATCH($A66,'Input Statistiche 2025_26'!$A$3:$A$665,0)),"")</f>
        <v>2</v>
      </c>
      <c r="L66" s="23">
        <f>IFERROR(INDEX('Input Statistiche 2025_26'!$O$3:$O$665,MATCH($A66,'Input Statistiche 2025_26'!$A$3:$A$665,0)),"")</f>
        <v>5</v>
      </c>
      <c r="M66" s="25"/>
      <c r="N66" s="24">
        <f>IFERROR(INDEX('Input Giocatori 2026_27'!$E$3:$E$493,MATCH($A66,'Input Giocatori 2026_27'!$A$3:$A$493,0)),"")</f>
        <v>10</v>
      </c>
      <c r="O66" s="24">
        <f>IFERROR(INDEX('Input Giocatori 2026_27'!$G$3:$G$493,MATCH($A66,'Input Giocatori 2026_27'!$A$3:$A$493,0)),"")</f>
        <v>47</v>
      </c>
      <c r="P66" s="23" t="str">
        <f>IFERROR(IF($O66="","",IF((1-(COUNTIFS($B$2:$B$492,$B66,$O$2:$O$492,"&gt;"&amp;$O66)+1-1)/COUNTIF($B$2:$B$492,$B66))&gt;='Parametri Modello'!$B$63,"Top",IF((1-(COUNTIFS($B$2:$B$492,$B66,$O$2:$O$492,"&gt;"&amp;$O66)+1-1)/COUNTIF($B$2:$B$492,$B66))&gt;='Parametri Modello'!$B$64,"Buono",IF((1-(COUNTIFS($B$2:$B$492,$B66,$O$2:$O$492,"&gt;"&amp;$O66)+1-1)/COUNTIF($B$2:$B$492,$B66))&gt;='Parametri Modello'!$B$65,"Nella Media","Scommessa/Riserva")))),"")</f>
        <v>Buono</v>
      </c>
      <c r="Q66" s="26">
        <f>IF(AND($D66="",$N66&gt;1),SUMPRODUCT(($D$2:$D66="")*($N$2:$N66&gt;1)),"")</f>
        <v>65</v>
      </c>
      <c r="R66" s="26" t="str">
        <f>IF($D66='Info Lega'!$B$28,COUNTIFS($D$2:$D66,'Info Lega'!$B$28),"")</f>
        <v/>
      </c>
      <c r="S66" s="27">
        <f>IFERROR(INDEX('Input Statistiche 2025_26'!$G$3:$G$665,MATCH($A66,'Input Statistiche 2025_26'!$A$3:$A$665,0)),"")</f>
        <v>6.09</v>
      </c>
      <c r="T66" s="27">
        <f>IFERROR(INDEX('Input Statistiche 2025_26'!$H$3:$H$665,MATCH($A66,'Input Statistiche 2025_26'!$A$3:$A$665,0)),"")</f>
        <v>6.36</v>
      </c>
      <c r="U66" s="23" t="str">
        <f>IF(OR('La Mia Rosa'!$O$12="",$D66&lt;&gt;""),"",IF($F66&lt;='La Mia Rosa'!$O$12*'Parametri Modello'!$B$24,"OK",IF($F66&lt;='La Mia Rosa'!$O$12*'Parametri Modello'!$B$25,"Attenzione","Rischio Alto")))</f>
        <v>OK</v>
      </c>
      <c r="V66" s="23">
        <f t="shared" ref="V66:V129" si="10">IFERROR(COUNTIFS($B$2:$B$492,$B66,$O$2:$O$492,"&gt;"&amp;$O66)+1,"")</f>
        <v>22</v>
      </c>
      <c r="W66" s="18">
        <f>'Info Lega'!$B$4-SUMIFS($M$2:$M$492,$D$2:$D$492,'Info Lega'!$B$28)</f>
        <v>1000</v>
      </c>
      <c r="X66" s="18">
        <f>('Info Lega'!$B$5-COUNTIFS($D$2:$D$492,'Info Lega'!$B$28,$B$2:$B$492,"P"))+('Info Lega'!$B$6-COUNTIFS($D$2:$D$492,'Info Lega'!$B$28,$B$2:$B$492,"D"))+('Info Lega'!$B$7-COUNTIFS($D$2:$D$492,'Info Lega'!$B$28,$B$2:$B$492,"C"))+('Info Lega'!$B$8-COUNTIFS($D$2:$D$492,'Info Lega'!$B$28,$B$2:$B$492,"A"))</f>
        <v>25</v>
      </c>
      <c r="Y66" s="18">
        <f>X66*'Parametri Modello'!$B$30</f>
        <v>25</v>
      </c>
      <c r="Z66" s="18">
        <f t="shared" ref="Z66:Z129" si="11">MAX(0,W66-Y66)</f>
        <v>975</v>
      </c>
      <c r="AA66" s="18">
        <f t="shared" ref="AA66:AA129" si="12">MIN(F66,Z66)</f>
        <v>31</v>
      </c>
      <c r="AB66" s="18"/>
      <c r="AC66" s="18" t="str">
        <f>IF($AB66="","",IF($AB66&gt;$AA66,"PASS",IF($AB66&lt;=$AA66*(1-'Parametri Modello'!$B$68),"BID","ATTENZIONE")))</f>
        <v/>
      </c>
      <c r="AD66" s="28">
        <f t="shared" ref="AD66:AD129" si="13">IF(I66="","",ROUND(100*(1-EXP(-I66/30)),0))</f>
        <v>67</v>
      </c>
      <c r="AE66" s="5" t="str">
        <f>IFERROR(IF($AF66="Titolare",INDEX('Stato Asta'!$G$9:$G$12,MATCH($B66,'Stato Asta'!$A$9:$A$12,0)),INDEX('Stato Asta'!$P$9:$P$12,MATCH($B66,'Stato Asta'!$A$9:$A$12,0))),"")</f>
        <v>🟡 Attesa rischiosa</v>
      </c>
      <c r="AF66" t="str">
        <f>IFERROR(IF($V66&lt;=INDEX('Parametri Modello'!$C$57:$C$60,MATCH($B66,'Parametri Modello'!$A$57:$A$60,0)),"Titolare","Riserva"),"")</f>
        <v>Titolare</v>
      </c>
      <c r="AG66" t="str">
        <f>IFERROR(INDEX('Pressione Competitiva'!$F$3:$F$6,MATCH($B66,'Pressione Competitiva'!$B$3:$B$6,0)),"")</f>
        <v>🔴 Molto Alta</v>
      </c>
      <c r="AH66" t="str">
        <f t="shared" ref="AH66:AH129" si="14">IF($AB66="","",$AA66-$AB66)</f>
        <v/>
      </c>
      <c r="AI66" t="str">
        <f>IFERROR(IF($AH66="","",IF($AH66&gt;=$AA66*'Parametri Modello'!$B$68,"🟢 Opportunita'",IF($AH66&lt;=$AA66*'Parametri Modello'!$B$69,"🔴 Sovrapprezzo","🟡 Prezzo Corretto"))),"")</f>
        <v/>
      </c>
      <c r="AJ66" t="str">
        <f t="shared" ref="AJ66:AJ129" si="15">IF($AB66="","",IF($AC66="PASS","Prezzo sopra la tua Offerta Max Dinamica ("&amp;$AA66&amp;" cr).",IF($AC66="BID","Margine ampio sul tuo tetto (+"&amp;($AA66-$AB66)&amp;" cr).","Margine ridotto: sei vicino al tuo tetto ("&amp;($AA66-$AB66)&amp;" cr residui).")))</f>
        <v/>
      </c>
      <c r="AK66">
        <f t="shared" ref="AK66:AK129" si="16">IF(AND($D66="",$N66&gt;1),COUNTIFS($B$2:$B$492,$B66,$P$2:$P$492,$P66,$D$2:$D$492,"",$N$2:$N$492,"&gt;1",$O$2:$O$492,"&gt;"&amp;$O66)+1,"")</f>
        <v>4</v>
      </c>
      <c r="AL66" t="str">
        <f t="shared" ref="AL66:AL129" si="17">IF($AK66="","",$B66&amp;"|"&amp;$P66&amp;"|"&amp;$AK66)</f>
        <v>C|Buono|4</v>
      </c>
    </row>
    <row r="67" spans="1:38" ht="14.25" customHeight="1" x14ac:dyDescent="0.25">
      <c r="A67" s="18">
        <v>4976</v>
      </c>
      <c r="B67" s="18" t="s">
        <v>88</v>
      </c>
      <c r="C67" s="18" t="s">
        <v>97</v>
      </c>
      <c r="E67" s="23" t="str">
        <f>IF(COUNTIF('Info Strategia'!$D$2:$D$51,$C67)&gt;0,"SI","NO")</f>
        <v>NO</v>
      </c>
      <c r="F67" s="24">
        <f>IFERROR(ROUND(($G67+($H67-$G67)*'Info Strategia'!$B$6)*(1+IF($E67="SI",'Parametri Modello'!$B$7*'Info Strategia'!$B$6,0)),0),"")</f>
        <v>31</v>
      </c>
      <c r="G67" s="24">
        <f>IFERROR(ROUND(MAX(1,(IF($V67&lt;=INDEX('Parametri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23</v>
      </c>
      <c r="H67" s="24">
        <f>IFERROR(ROUND((IF($V67&lt;=INDEX('Parametri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35</v>
      </c>
      <c r="I67" s="23">
        <f>IFERROR(INDEX('Input Statistiche 2025_26'!$F$3:$F$665,MATCH($A67,'Input Statistiche 2025_26'!$A$3:$A$665,0)),"")</f>
        <v>37</v>
      </c>
      <c r="J67" s="23">
        <f t="shared" si="9"/>
        <v>1</v>
      </c>
      <c r="K67" s="23">
        <f>IFERROR(INDEX('Input Statistiche 2025_26'!$I$3:$I$665,MATCH($A67,'Input Statistiche 2025_26'!$A$3:$A$665,0)),"")</f>
        <v>2</v>
      </c>
      <c r="L67" s="23">
        <f>IFERROR(INDEX('Input Statistiche 2025_26'!$O$3:$O$665,MATCH($A67,'Input Statistiche 2025_26'!$A$3:$A$665,0)),"")</f>
        <v>4</v>
      </c>
      <c r="M67" s="25"/>
      <c r="N67" s="24">
        <f>IFERROR(INDEX('Input Giocatori 2026_27'!$E$3:$E$493,MATCH($A67,'Input Giocatori 2026_27'!$A$3:$A$493,0)),"")</f>
        <v>13</v>
      </c>
      <c r="O67" s="24">
        <f>IFERROR(INDEX('Input Giocatori 2026_27'!$G$3:$G$493,MATCH($A67,'Input Giocatori 2026_27'!$A$3:$A$493,0)),"")</f>
        <v>46</v>
      </c>
      <c r="P67" s="23" t="str">
        <f>IFERROR(IF($O67="","",IF((1-(COUNTIFS($B$2:$B$492,$B67,$O$2:$O$492,"&gt;"&amp;$O67)+1-1)/COUNTIF($B$2:$B$492,$B67))&gt;='Parametri Modello'!$B$63,"Top",IF((1-(COUNTIFS($B$2:$B$492,$B67,$O$2:$O$492,"&gt;"&amp;$O67)+1-1)/COUNTIF($B$2:$B$492,$B67))&gt;='Parametri Modello'!$B$64,"Buono",IF((1-(COUNTIFS($B$2:$B$492,$B67,$O$2:$O$492,"&gt;"&amp;$O67)+1-1)/COUNTIF($B$2:$B$492,$B67))&gt;='Parametri Modello'!$B$65,"Nella Media","Scommessa/Riserva")))),"")</f>
        <v>Top</v>
      </c>
      <c r="Q67" s="26">
        <f>IF(AND($D67="",$N67&gt;1),SUMPRODUCT(($D$2:$D67="")*($N$2:$N67&gt;1)),"")</f>
        <v>66</v>
      </c>
      <c r="R67" s="26" t="str">
        <f>IF($D67='Info Lega'!$B$28,COUNTIFS($D$2:$D67,'Info Lega'!$B$28),"")</f>
        <v/>
      </c>
      <c r="S67" s="27">
        <f>IFERROR(INDEX('Input Statistiche 2025_26'!$G$3:$G$665,MATCH($A67,'Input Statistiche 2025_26'!$A$3:$A$665,0)),"")</f>
        <v>6.14</v>
      </c>
      <c r="T67" s="27">
        <f>IFERROR(INDEX('Input Statistiche 2025_26'!$H$3:$H$665,MATCH($A67,'Input Statistiche 2025_26'!$A$3:$A$665,0)),"")</f>
        <v>6.35</v>
      </c>
      <c r="U67" s="23" t="str">
        <f>IF(OR('La Mia Rosa'!$O$12="",$D67&lt;&gt;""),"",IF($F67&lt;='La Mia Rosa'!$O$12*'Parametri Modello'!$B$24,"OK",IF($F67&lt;='La Mia Rosa'!$O$12*'Parametri Modello'!$B$25,"Attenzione","Rischio Alto")))</f>
        <v>OK</v>
      </c>
      <c r="V67" s="23">
        <f t="shared" si="10"/>
        <v>8</v>
      </c>
      <c r="W67" s="18">
        <f>'Info Lega'!$B$4-SUMIFS($M$2:$M$492,$D$2:$D$492,'Info Lega'!$B$28)</f>
        <v>1000</v>
      </c>
      <c r="X67" s="18">
        <f>('Info Lega'!$B$5-COUNTIFS($D$2:$D$492,'Info Lega'!$B$28,$B$2:$B$492,"P"))+('Info Lega'!$B$6-COUNTIFS($D$2:$D$492,'Info Lega'!$B$28,$B$2:$B$492,"D"))+('Info Lega'!$B$7-COUNTIFS($D$2:$D$492,'Info Lega'!$B$28,$B$2:$B$492,"C"))+('Info Lega'!$B$8-COUNTIFS($D$2:$D$492,'Info Lega'!$B$28,$B$2:$B$492,"A"))</f>
        <v>25</v>
      </c>
      <c r="Y67" s="18">
        <f>X67*'Parametri Modello'!$B$30</f>
        <v>25</v>
      </c>
      <c r="Z67" s="18">
        <f t="shared" si="11"/>
        <v>975</v>
      </c>
      <c r="AA67" s="18">
        <f t="shared" si="12"/>
        <v>31</v>
      </c>
      <c r="AB67" s="18"/>
      <c r="AC67" s="18" t="str">
        <f>IF($AB67="","",IF($AB67&gt;$AA67,"PASS",IF($AB67&lt;=$AA67*(1-'Parametri Modello'!$B$68),"BID","ATTENZIONE")))</f>
        <v/>
      </c>
      <c r="AD67" s="28">
        <f t="shared" si="13"/>
        <v>71</v>
      </c>
      <c r="AE67" s="5" t="str">
        <f>IFERROR(IF($AF67="Titolare",INDEX('Stato Asta'!$G$9:$G$12,MATCH($B67,'Stato Asta'!$A$9:$A$12,0)),INDEX('Stato Asta'!$P$9:$P$12,MATCH($B67,'Stato Asta'!$A$9:$A$12,0))),"")</f>
        <v>🟢 Puoi aspettare</v>
      </c>
      <c r="AF67" t="str">
        <f>IFERROR(IF($V67&lt;=INDEX('Parametri Modello'!$C$57:$C$60,MATCH($B67,'Parametri Modello'!$A$57:$A$60,0)),"Titolare","Riserva"),"")</f>
        <v>Titolare</v>
      </c>
      <c r="AG67" t="str">
        <f>IFERROR(INDEX('Pressione Competitiva'!$F$3:$F$6,MATCH($B67,'Pressione Competitiva'!$B$3:$B$6,0)),"")</f>
        <v>🔴 Molto Alta</v>
      </c>
      <c r="AH67" t="str">
        <f t="shared" si="14"/>
        <v/>
      </c>
      <c r="AI67" t="str">
        <f>IFERROR(IF($AH67="","",IF($AH67&gt;=$AA67*'Parametri Modello'!$B$68,"🟢 Opportunita'",IF($AH67&lt;=$AA67*'Parametri Modello'!$B$69,"🔴 Sovrapprezzo","🟡 Prezzo Corretto"))),"")</f>
        <v/>
      </c>
      <c r="AJ67" t="str">
        <f t="shared" si="15"/>
        <v/>
      </c>
      <c r="AK67">
        <f t="shared" si="16"/>
        <v>8</v>
      </c>
      <c r="AL67" t="str">
        <f t="shared" si="17"/>
        <v>D|Top|8</v>
      </c>
    </row>
    <row r="68" spans="1:38" ht="14.25" customHeight="1" x14ac:dyDescent="0.25">
      <c r="A68" s="18">
        <v>6956</v>
      </c>
      <c r="B68" s="18" t="s">
        <v>88</v>
      </c>
      <c r="C68" s="18" t="s">
        <v>99</v>
      </c>
      <c r="E68" s="23" t="str">
        <f>IF(COUNTIF('Info Strategia'!$D$2:$D$51,$C68)&gt;0,"SI","NO")</f>
        <v>NO</v>
      </c>
      <c r="F68" s="24">
        <f>IFERROR(ROUND(($G68+($H68-$G68)*'Info Strategia'!$B$6)*(1+IF($E68="SI",'Parametri Modello'!$B$7*'Info Strategia'!$B$6,0)),0),"")</f>
        <v>31</v>
      </c>
      <c r="G68" s="24">
        <f>IFERROR(ROUND(MAX(1,(IF($V68&lt;=INDEX('Parametri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23</v>
      </c>
      <c r="H68" s="24">
        <f>IFERROR(ROUND((IF($V68&lt;=INDEX('Parametri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35</v>
      </c>
      <c r="I68" s="23">
        <f>IFERROR(INDEX('Input Statistiche 2025_26'!$F$3:$F$665,MATCH($A68,'Input Statistiche 2025_26'!$A$3:$A$665,0)),"")</f>
        <v>34</v>
      </c>
      <c r="J68" s="23">
        <f t="shared" si="9"/>
        <v>4</v>
      </c>
      <c r="K68" s="23">
        <f>IFERROR(INDEX('Input Statistiche 2025_26'!$I$3:$I$665,MATCH($A68,'Input Statistiche 2025_26'!$A$3:$A$665,0)),"")</f>
        <v>3</v>
      </c>
      <c r="L68" s="23">
        <f>IFERROR(INDEX('Input Statistiche 2025_26'!$O$3:$O$665,MATCH($A68,'Input Statistiche 2025_26'!$A$3:$A$665,0)),"")</f>
        <v>1</v>
      </c>
      <c r="M68" s="25"/>
      <c r="N68" s="24">
        <f>IFERROR(INDEX('Input Giocatori 2026_27'!$E$3:$E$493,MATCH($A68,'Input Giocatori 2026_27'!$A$3:$A$493,0)),"")</f>
        <v>13</v>
      </c>
      <c r="O68" s="24">
        <f>IFERROR(INDEX('Input Giocatori 2026_27'!$G$3:$G$493,MATCH($A68,'Input Giocatori 2026_27'!$A$3:$A$493,0)),"")</f>
        <v>46</v>
      </c>
      <c r="P68" s="23" t="str">
        <f>IFERROR(IF($O68="","",IF((1-(COUNTIFS($B$2:$B$492,$B68,$O$2:$O$492,"&gt;"&amp;$O68)+1-1)/COUNTIF($B$2:$B$492,$B68))&gt;='Parametri Modello'!$B$63,"Top",IF((1-(COUNTIFS($B$2:$B$492,$B68,$O$2:$O$492,"&gt;"&amp;$O68)+1-1)/COUNTIF($B$2:$B$492,$B68))&gt;='Parametri Modello'!$B$64,"Buono",IF((1-(COUNTIFS($B$2:$B$492,$B68,$O$2:$O$492,"&gt;"&amp;$O68)+1-1)/COUNTIF($B$2:$B$492,$B68))&gt;='Parametri Modello'!$B$65,"Nella Media","Scommessa/Riserva")))),"")</f>
        <v>Top</v>
      </c>
      <c r="Q68" s="26">
        <f>IF(AND($D68="",$N68&gt;1),SUMPRODUCT(($D$2:$D68="")*($N$2:$N68&gt;1)),"")</f>
        <v>67</v>
      </c>
      <c r="R68" s="26" t="str">
        <f>IF($D68='Info Lega'!$B$28,COUNTIFS($D$2:$D68,'Info Lega'!$B$28),"")</f>
        <v/>
      </c>
      <c r="S68" s="27">
        <f>IFERROR(INDEX('Input Statistiche 2025_26'!$G$3:$G$665,MATCH($A68,'Input Statistiche 2025_26'!$A$3:$A$665,0)),"")</f>
        <v>6.18</v>
      </c>
      <c r="T68" s="27">
        <f>IFERROR(INDEX('Input Statistiche 2025_26'!$H$3:$H$665,MATCH($A68,'Input Statistiche 2025_26'!$A$3:$A$665,0)),"")</f>
        <v>6.4</v>
      </c>
      <c r="U68" s="23" t="str">
        <f>IF(OR('La Mia Rosa'!$O$12="",$D68&lt;&gt;""),"",IF($F68&lt;='La Mia Rosa'!$O$12*'Parametri Modello'!$B$24,"OK",IF($F68&lt;='La Mia Rosa'!$O$12*'Parametri Modello'!$B$25,"Attenzione","Rischio Alto")))</f>
        <v>OK</v>
      </c>
      <c r="V68" s="23">
        <f t="shared" si="10"/>
        <v>8</v>
      </c>
      <c r="W68" s="18">
        <f>'Info Lega'!$B$4-SUMIFS($M$2:$M$492,$D$2:$D$492,'Info Lega'!$B$28)</f>
        <v>1000</v>
      </c>
      <c r="X68" s="18">
        <f>('Info Lega'!$B$5-COUNTIFS($D$2:$D$492,'Info Lega'!$B$28,$B$2:$B$492,"P"))+('Info Lega'!$B$6-COUNTIFS($D$2:$D$492,'Info Lega'!$B$28,$B$2:$B$492,"D"))+('Info Lega'!$B$7-COUNTIFS($D$2:$D$492,'Info Lega'!$B$28,$B$2:$B$492,"C"))+('Info Lega'!$B$8-COUNTIFS($D$2:$D$492,'Info Lega'!$B$28,$B$2:$B$492,"A"))</f>
        <v>25</v>
      </c>
      <c r="Y68" s="18">
        <f>X68*'Parametri Modello'!$B$30</f>
        <v>25</v>
      </c>
      <c r="Z68" s="18">
        <f t="shared" si="11"/>
        <v>975</v>
      </c>
      <c r="AA68" s="18">
        <f t="shared" si="12"/>
        <v>31</v>
      </c>
      <c r="AB68" s="18"/>
      <c r="AC68" s="18" t="str">
        <f>IF($AB68="","",IF($AB68&gt;$AA68,"PASS",IF($AB68&lt;=$AA68*(1-'Parametri Modello'!$B$68),"BID","ATTENZIONE")))</f>
        <v/>
      </c>
      <c r="AD68" s="28">
        <f t="shared" si="13"/>
        <v>68</v>
      </c>
      <c r="AE68" s="5" t="str">
        <f>IFERROR(IF($AF68="Titolare",INDEX('Stato Asta'!$G$9:$G$12,MATCH($B68,'Stato Asta'!$A$9:$A$12,0)),INDEX('Stato Asta'!$P$9:$P$12,MATCH($B68,'Stato Asta'!$A$9:$A$12,0))),"")</f>
        <v>🟢 Puoi aspettare</v>
      </c>
      <c r="AF68" t="str">
        <f>IFERROR(IF($V68&lt;=INDEX('Parametri Modello'!$C$57:$C$60,MATCH($B68,'Parametri Modello'!$A$57:$A$60,0)),"Titolare","Riserva"),"")</f>
        <v>Titolare</v>
      </c>
      <c r="AG68" t="str">
        <f>IFERROR(INDEX('Pressione Competitiva'!$F$3:$F$6,MATCH($B68,'Pressione Competitiva'!$B$3:$B$6,0)),"")</f>
        <v>🔴 Molto Alta</v>
      </c>
      <c r="AH68" t="str">
        <f t="shared" si="14"/>
        <v/>
      </c>
      <c r="AI68" t="str">
        <f>IFERROR(IF($AH68="","",IF($AH68&gt;=$AA68*'Parametri Modello'!$B$68,"🟢 Opportunita'",IF($AH68&lt;=$AA68*'Parametri Modello'!$B$69,"🔴 Sovrapprezzo","🟡 Prezzo Corretto"))),"")</f>
        <v/>
      </c>
      <c r="AJ68" t="str">
        <f t="shared" si="15"/>
        <v/>
      </c>
      <c r="AK68">
        <f t="shared" si="16"/>
        <v>8</v>
      </c>
      <c r="AL68" t="str">
        <f t="shared" si="17"/>
        <v>D|Top|8</v>
      </c>
    </row>
    <row r="69" spans="1:38" ht="14.25" customHeight="1" x14ac:dyDescent="0.25">
      <c r="A69" s="18">
        <v>2521</v>
      </c>
      <c r="B69" s="18" t="s">
        <v>8</v>
      </c>
      <c r="C69" s="18" t="s">
        <v>19</v>
      </c>
      <c r="E69" s="23" t="str">
        <f>IF(COUNTIF('Info Strategia'!$D$2:$D$51,$C69)&gt;0,"SI","NO")</f>
        <v>NO</v>
      </c>
      <c r="F69" s="24">
        <f>IFERROR(ROUND(($G69+($H69-$G69)*'Info Strategia'!$B$6)*(1+IF($E69="SI",'Parametri Modello'!$B$7*'Info Strategia'!$B$6,0)),0),"")</f>
        <v>75</v>
      </c>
      <c r="G69" s="24">
        <f>IFERROR(ROUND(MAX(1,(IF($V69&lt;=INDEX('Parametri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60</v>
      </c>
      <c r="H69" s="24">
        <f>IFERROR(ROUND((IF($V69&lt;=INDEX('Parametri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81</v>
      </c>
      <c r="I69" s="23">
        <f>IFERROR(INDEX('Input Statistiche 2025_26'!$F$3:$F$665,MATCH($A69,'Input Statistiche 2025_26'!$A$3:$A$665,0)),"")</f>
        <v>37</v>
      </c>
      <c r="J69" s="23">
        <f t="shared" si="9"/>
        <v>1</v>
      </c>
      <c r="K69" s="23">
        <f>IFERROR(INDEX('Input Statistiche 2025_26'!$I$3:$I$665,MATCH($A69,'Input Statistiche 2025_26'!$A$3:$A$665,0)),"")</f>
        <v>0</v>
      </c>
      <c r="L69" s="23">
        <f>IFERROR(INDEX('Input Statistiche 2025_26'!$O$3:$O$665,MATCH($A69,'Input Statistiche 2025_26'!$A$3:$A$665,0)),"")</f>
        <v>0</v>
      </c>
      <c r="M69" s="25"/>
      <c r="N69" s="24">
        <f>IFERROR(INDEX('Input Giocatori 2026_27'!$E$3:$E$493,MATCH($A69,'Input Giocatori 2026_27'!$A$3:$A$493,0)),"")</f>
        <v>13</v>
      </c>
      <c r="O69" s="24">
        <f>IFERROR(INDEX('Input Giocatori 2026_27'!$G$3:$G$493,MATCH($A69,'Input Giocatori 2026_27'!$A$3:$A$493,0)),"")</f>
        <v>45</v>
      </c>
      <c r="P69" s="23" t="str">
        <f>IFERROR(IF($O69="","",IF((1-(COUNTIFS($B$2:$B$492,$B69,$O$2:$O$492,"&gt;"&amp;$O69)+1-1)/COUNTIF($B$2:$B$492,$B69))&gt;='Parametri Modello'!$B$63,"Top",IF((1-(COUNTIFS($B$2:$B$492,$B69,$O$2:$O$492,"&gt;"&amp;$O69)+1-1)/COUNTIF($B$2:$B$492,$B69))&gt;='Parametri Modello'!$B$64,"Buono",IF((1-(COUNTIFS($B$2:$B$492,$B69,$O$2:$O$492,"&gt;"&amp;$O69)+1-1)/COUNTIF($B$2:$B$492,$B69))&gt;='Parametri Modello'!$B$65,"Nella Media","Scommessa/Riserva")))),"")</f>
        <v>Top</v>
      </c>
      <c r="Q69" s="26">
        <f>IF(AND($D69="",$N69&gt;1),SUMPRODUCT(($D$2:$D69="")*($N$2:$N69&gt;1)),"")</f>
        <v>68</v>
      </c>
      <c r="R69" s="26" t="str">
        <f>IF($D69='Info Lega'!$B$28,COUNTIFS($D$2:$D69,'Info Lega'!$B$28),"")</f>
        <v/>
      </c>
      <c r="S69" s="27">
        <f>IFERROR(INDEX('Input Statistiche 2025_26'!$G$3:$G$665,MATCH($A69,'Input Statistiche 2025_26'!$A$3:$A$665,0)),"")</f>
        <v>6.24</v>
      </c>
      <c r="T69" s="27">
        <f>IFERROR(INDEX('Input Statistiche 2025_26'!$H$3:$H$665,MATCH($A69,'Input Statistiche 2025_26'!$A$3:$A$665,0)),"")</f>
        <v>5</v>
      </c>
      <c r="U69" s="23" t="str">
        <f>IF(OR('La Mia Rosa'!$O$12="",$D69&lt;&gt;""),"",IF($F69&lt;='La Mia Rosa'!$O$12*'Parametri Modello'!$B$24,"OK",IF($F69&lt;='La Mia Rosa'!$O$12*'Parametri Modello'!$B$25,"Attenzione","Rischio Alto")))</f>
        <v>Attenzione</v>
      </c>
      <c r="V69" s="23">
        <f t="shared" si="10"/>
        <v>6</v>
      </c>
      <c r="W69" s="18">
        <f>'Info Lega'!$B$4-SUMIFS($M$2:$M$492,$D$2:$D$492,'Info Lega'!$B$28)</f>
        <v>1000</v>
      </c>
      <c r="X69" s="18">
        <f>('Info Lega'!$B$5-COUNTIFS($D$2:$D$492,'Info Lega'!$B$28,$B$2:$B$492,"P"))+('Info Lega'!$B$6-COUNTIFS($D$2:$D$492,'Info Lega'!$B$28,$B$2:$B$492,"D"))+('Info Lega'!$B$7-COUNTIFS($D$2:$D$492,'Info Lega'!$B$28,$B$2:$B$492,"C"))+('Info Lega'!$B$8-COUNTIFS($D$2:$D$492,'Info Lega'!$B$28,$B$2:$B$492,"A"))</f>
        <v>25</v>
      </c>
      <c r="Y69" s="18">
        <f>X69*'Parametri Modello'!$B$30</f>
        <v>25</v>
      </c>
      <c r="Z69" s="18">
        <f t="shared" si="11"/>
        <v>975</v>
      </c>
      <c r="AA69" s="18">
        <f t="shared" si="12"/>
        <v>75</v>
      </c>
      <c r="AB69" s="18"/>
      <c r="AC69" s="18" t="str">
        <f>IF($AB69="","",IF($AB69&gt;$AA69,"PASS",IF($AB69&lt;=$AA69*(1-'Parametri Modello'!$B$68),"BID","ATTENZIONE")))</f>
        <v/>
      </c>
      <c r="AD69" s="28">
        <f t="shared" si="13"/>
        <v>71</v>
      </c>
      <c r="AE69" s="5" t="str">
        <f>IFERROR(IF($AF69="Titolare",INDEX('Stato Asta'!$G$9:$G$12,MATCH($B69,'Stato Asta'!$A$9:$A$12,0)),INDEX('Stato Asta'!$P$9:$P$12,MATCH($B69,'Stato Asta'!$A$9:$A$12,0))),"")</f>
        <v>🟢 Puoi aspettare</v>
      </c>
      <c r="AF69" t="str">
        <f>IFERROR(IF($V69&lt;=INDEX('Parametri Modello'!$C$57:$C$60,MATCH($B69,'Parametri Modello'!$A$57:$A$60,0)),"Titolare","Riserva"),"")</f>
        <v>Titolare</v>
      </c>
      <c r="AG69" t="str">
        <f>IFERROR(INDEX('Pressione Competitiva'!$F$3:$F$6,MATCH($B69,'Pressione Competitiva'!$B$3:$B$6,0)),"")</f>
        <v>🔴 Molto Alta</v>
      </c>
      <c r="AH69" t="str">
        <f t="shared" si="14"/>
        <v/>
      </c>
      <c r="AI69" t="str">
        <f>IFERROR(IF($AH69="","",IF($AH69&gt;=$AA69*'Parametri Modello'!$B$68,"🟢 Opportunita'",IF($AH69&lt;=$AA69*'Parametri Modello'!$B$69,"🔴 Sovrapprezzo","🟡 Prezzo Corretto"))),"")</f>
        <v/>
      </c>
      <c r="AJ69" t="str">
        <f t="shared" si="15"/>
        <v/>
      </c>
      <c r="AK69">
        <f t="shared" si="16"/>
        <v>6</v>
      </c>
      <c r="AL69" t="str">
        <f t="shared" si="17"/>
        <v>P|Top|6</v>
      </c>
    </row>
    <row r="70" spans="1:38" ht="14.25" customHeight="1" x14ac:dyDescent="0.25">
      <c r="A70" s="18">
        <v>572</v>
      </c>
      <c r="B70" s="18" t="s">
        <v>8</v>
      </c>
      <c r="C70" s="18" t="s">
        <v>21</v>
      </c>
      <c r="E70" s="23" t="str">
        <f>IF(COUNTIF('Info Strategia'!$D$2:$D$51,$C70)&gt;0,"SI","NO")</f>
        <v>NO</v>
      </c>
      <c r="F70" s="24">
        <f>IFERROR(ROUND(($G70+($H70-$G70)*'Info Strategia'!$B$6)*(1+IF($E70="SI",'Parametri Modello'!$B$7*'Info Strategia'!$B$6,0)),0),"")</f>
        <v>75</v>
      </c>
      <c r="G70" s="24">
        <f>IFERROR(ROUND(MAX(1,(IF($V70&lt;=INDEX('Parametri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60</v>
      </c>
      <c r="H70" s="24">
        <f>IFERROR(ROUND((IF($V70&lt;=INDEX('Parametri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82</v>
      </c>
      <c r="I70" s="23">
        <f>IFERROR(INDEX('Input Statistiche 2025_26'!$F$3:$F$665,MATCH($A70,'Input Statistiche 2025_26'!$A$3:$A$665,0)),"")</f>
        <v>11</v>
      </c>
      <c r="J70" s="23">
        <f t="shared" si="9"/>
        <v>27</v>
      </c>
      <c r="K70" s="23">
        <f>IFERROR(INDEX('Input Statistiche 2025_26'!$I$3:$I$665,MATCH($A70,'Input Statistiche 2025_26'!$A$3:$A$665,0)),"")</f>
        <v>0</v>
      </c>
      <c r="L70" s="23">
        <f>IFERROR(INDEX('Input Statistiche 2025_26'!$O$3:$O$665,MATCH($A70,'Input Statistiche 2025_26'!$A$3:$A$665,0)),"")</f>
        <v>1</v>
      </c>
      <c r="M70" s="25"/>
      <c r="N70" s="24">
        <f>IFERROR(INDEX('Input Giocatori 2026_27'!$E$3:$E$493,MATCH($A70,'Input Giocatori 2026_27'!$A$3:$A$493,0)),"")</f>
        <v>11</v>
      </c>
      <c r="O70" s="24">
        <f>IFERROR(INDEX('Input Giocatori 2026_27'!$G$3:$G$493,MATCH($A70,'Input Giocatori 2026_27'!$A$3:$A$493,0)),"")</f>
        <v>45</v>
      </c>
      <c r="P70" s="23" t="str">
        <f>IFERROR(IF($O70="","",IF((1-(COUNTIFS($B$2:$B$492,$B70,$O$2:$O$492,"&gt;"&amp;$O70)+1-1)/COUNTIF($B$2:$B$492,$B70))&gt;='Parametri Modello'!$B$63,"Top",IF((1-(COUNTIFS($B$2:$B$492,$B70,$O$2:$O$492,"&gt;"&amp;$O70)+1-1)/COUNTIF($B$2:$B$492,$B70))&gt;='Parametri Modello'!$B$64,"Buono",IF((1-(COUNTIFS($B$2:$B$492,$B70,$O$2:$O$492,"&gt;"&amp;$O70)+1-1)/COUNTIF($B$2:$B$492,$B70))&gt;='Parametri Modello'!$B$65,"Nella Media","Scommessa/Riserva")))),"")</f>
        <v>Top</v>
      </c>
      <c r="Q70" s="26">
        <f>IF(AND($D70="",$N70&gt;1),SUMPRODUCT(($D$2:$D70="")*($N$2:$N70&gt;1)),"")</f>
        <v>69</v>
      </c>
      <c r="R70" s="26" t="str">
        <f>IF($D70='Info Lega'!$B$28,COUNTIFS($D$2:$D70,'Info Lega'!$B$28),"")</f>
        <v/>
      </c>
      <c r="S70" s="27">
        <f>IFERROR(INDEX('Input Statistiche 2025_26'!$G$3:$G$665,MATCH($A70,'Input Statistiche 2025_26'!$A$3:$A$665,0)),"")</f>
        <v>6.23</v>
      </c>
      <c r="T70" s="27">
        <f>IFERROR(INDEX('Input Statistiche 2025_26'!$H$3:$H$665,MATCH($A70,'Input Statistiche 2025_26'!$A$3:$A$665,0)),"")</f>
        <v>5.18</v>
      </c>
      <c r="U70" s="23" t="str">
        <f>IF(OR('La Mia Rosa'!$O$12="",$D70&lt;&gt;""),"",IF($F70&lt;='La Mia Rosa'!$O$12*'Parametri Modello'!$B$24,"OK",IF($F70&lt;='La Mia Rosa'!$O$12*'Parametri Modello'!$B$25,"Attenzione","Rischio Alto")))</f>
        <v>Attenzione</v>
      </c>
      <c r="V70" s="23">
        <f t="shared" si="10"/>
        <v>6</v>
      </c>
      <c r="W70" s="18">
        <f>'Info Lega'!$B$4-SUMIFS($M$2:$M$492,$D$2:$D$492,'Info Lega'!$B$28)</f>
        <v>1000</v>
      </c>
      <c r="X70" s="18">
        <f>('Info Lega'!$B$5-COUNTIFS($D$2:$D$492,'Info Lega'!$B$28,$B$2:$B$492,"P"))+('Info Lega'!$B$6-COUNTIFS($D$2:$D$492,'Info Lega'!$B$28,$B$2:$B$492,"D"))+('Info Lega'!$B$7-COUNTIFS($D$2:$D$492,'Info Lega'!$B$28,$B$2:$B$492,"C"))+('Info Lega'!$B$8-COUNTIFS($D$2:$D$492,'Info Lega'!$B$28,$B$2:$B$492,"A"))</f>
        <v>25</v>
      </c>
      <c r="Y70" s="18">
        <f>X70*'Parametri Modello'!$B$30</f>
        <v>25</v>
      </c>
      <c r="Z70" s="18">
        <f t="shared" si="11"/>
        <v>975</v>
      </c>
      <c r="AA70" s="18">
        <f t="shared" si="12"/>
        <v>75</v>
      </c>
      <c r="AB70" s="18"/>
      <c r="AC70" s="18" t="str">
        <f>IF($AB70="","",IF($AB70&gt;$AA70,"PASS",IF($AB70&lt;=$AA70*(1-'Parametri Modello'!$B$68),"BID","ATTENZIONE")))</f>
        <v/>
      </c>
      <c r="AD70" s="28">
        <f t="shared" si="13"/>
        <v>31</v>
      </c>
      <c r="AE70" s="5" t="str">
        <f>IFERROR(IF($AF70="Titolare",INDEX('Stato Asta'!$G$9:$G$12,MATCH($B70,'Stato Asta'!$A$9:$A$12,0)),INDEX('Stato Asta'!$P$9:$P$12,MATCH($B70,'Stato Asta'!$A$9:$A$12,0))),"")</f>
        <v>🟢 Puoi aspettare</v>
      </c>
      <c r="AF70" t="str">
        <f>IFERROR(IF($V70&lt;=INDEX('Parametri Modello'!$C$57:$C$60,MATCH($B70,'Parametri Modello'!$A$57:$A$60,0)),"Titolare","Riserva"),"")</f>
        <v>Titolare</v>
      </c>
      <c r="AG70" t="str">
        <f>IFERROR(INDEX('Pressione Competitiva'!$F$3:$F$6,MATCH($B70,'Pressione Competitiva'!$B$3:$B$6,0)),"")</f>
        <v>🔴 Molto Alta</v>
      </c>
      <c r="AH70" t="str">
        <f t="shared" si="14"/>
        <v/>
      </c>
      <c r="AI70" t="str">
        <f>IFERROR(IF($AH70="","",IF($AH70&gt;=$AA70*'Parametri Modello'!$B$68,"🟢 Opportunita'",IF($AH70&lt;=$AA70*'Parametri Modello'!$B$69,"🔴 Sovrapprezzo","🟡 Prezzo Corretto"))),"")</f>
        <v/>
      </c>
      <c r="AJ70" t="str">
        <f t="shared" si="15"/>
        <v/>
      </c>
      <c r="AK70">
        <f t="shared" si="16"/>
        <v>6</v>
      </c>
      <c r="AL70" t="str">
        <f t="shared" si="17"/>
        <v>P|Top|6</v>
      </c>
    </row>
    <row r="71" spans="1:38" ht="14.25" customHeight="1" x14ac:dyDescent="0.25">
      <c r="A71" s="18">
        <v>5792</v>
      </c>
      <c r="B71" s="18" t="s">
        <v>264</v>
      </c>
      <c r="C71" s="18" t="s">
        <v>282</v>
      </c>
      <c r="E71" s="23" t="str">
        <f>IF(COUNTIF('Info Strategia'!$D$2:$D$51,$C71)&gt;0,"SI","NO")</f>
        <v>NO</v>
      </c>
      <c r="F71" s="24">
        <f>IFERROR(ROUND(($G71+($H71-$G71)*'Info Strategia'!$B$6)*(1+IF($E71="SI",'Parametri Modello'!$B$7*'Info Strategia'!$B$6,0)),0),"")</f>
        <v>30</v>
      </c>
      <c r="G71" s="24">
        <f>IFERROR(ROUND(MAX(1,(IF($V71&lt;=INDEX('Parametri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20</v>
      </c>
      <c r="H71" s="24">
        <f>IFERROR(ROUND((IF($V71&lt;=INDEX('Parametri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34</v>
      </c>
      <c r="I71" s="23">
        <f>IFERROR(INDEX('Input Statistiche 2025_26'!$F$3:$F$665,MATCH($A71,'Input Statistiche 2025_26'!$A$3:$A$665,0)),"")</f>
        <v>30</v>
      </c>
      <c r="J71" s="23">
        <f t="shared" si="9"/>
        <v>8</v>
      </c>
      <c r="K71" s="23">
        <f>IFERROR(INDEX('Input Statistiche 2025_26'!$I$3:$I$665,MATCH($A71,'Input Statistiche 2025_26'!$A$3:$A$665,0)),"")</f>
        <v>2</v>
      </c>
      <c r="L71" s="23">
        <f>IFERROR(INDEX('Input Statistiche 2025_26'!$O$3:$O$665,MATCH($A71,'Input Statistiche 2025_26'!$A$3:$A$665,0)),"")</f>
        <v>1</v>
      </c>
      <c r="M71" s="25"/>
      <c r="N71" s="24">
        <f>IFERROR(INDEX('Input Giocatori 2026_27'!$E$3:$E$493,MATCH($A71,'Input Giocatori 2026_27'!$A$3:$A$493,0)),"")</f>
        <v>12</v>
      </c>
      <c r="O71" s="24">
        <f>IFERROR(INDEX('Input Giocatori 2026_27'!$G$3:$G$493,MATCH($A71,'Input Giocatori 2026_27'!$A$3:$A$493,0)),"")</f>
        <v>45</v>
      </c>
      <c r="P71" s="23" t="str">
        <f>IFERROR(IF($O71="","",IF((1-(COUNTIFS($B$2:$B$492,$B71,$O$2:$O$492,"&gt;"&amp;$O71)+1-1)/COUNTIF($B$2:$B$492,$B71))&gt;='Parametri Modello'!$B$63,"Top",IF((1-(COUNTIFS($B$2:$B$492,$B71,$O$2:$O$492,"&gt;"&amp;$O71)+1-1)/COUNTIF($B$2:$B$492,$B71))&gt;='Parametri Modello'!$B$64,"Buono",IF((1-(COUNTIFS($B$2:$B$492,$B71,$O$2:$O$492,"&gt;"&amp;$O71)+1-1)/COUNTIF($B$2:$B$492,$B71))&gt;='Parametri Modello'!$B$65,"Nella Media","Scommessa/Riserva")))),"")</f>
        <v>Buono</v>
      </c>
      <c r="Q71" s="26">
        <f>IF(AND($D71="",$N71&gt;1),SUMPRODUCT(($D$2:$D71="")*($N$2:$N71&gt;1)),"")</f>
        <v>70</v>
      </c>
      <c r="R71" s="26" t="str">
        <f>IF($D71='Info Lega'!$B$28,COUNTIFS($D$2:$D71,'Info Lega'!$B$28),"")</f>
        <v/>
      </c>
      <c r="S71" s="27">
        <f>IFERROR(INDEX('Input Statistiche 2025_26'!$G$3:$G$665,MATCH($A71,'Input Statistiche 2025_26'!$A$3:$A$665,0)),"")</f>
        <v>6.25</v>
      </c>
      <c r="T71" s="27">
        <f>IFERROR(INDEX('Input Statistiche 2025_26'!$H$3:$H$665,MATCH($A71,'Input Statistiche 2025_26'!$A$3:$A$665,0)),"")</f>
        <v>6.43</v>
      </c>
      <c r="U71" s="23" t="str">
        <f>IF(OR('La Mia Rosa'!$O$12="",$D71&lt;&gt;""),"",IF($F71&lt;='La Mia Rosa'!$O$12*'Parametri Modello'!$B$24,"OK",IF($F71&lt;='La Mia Rosa'!$O$12*'Parametri Modello'!$B$25,"Attenzione","Rischio Alto")))</f>
        <v>OK</v>
      </c>
      <c r="V71" s="23">
        <f t="shared" si="10"/>
        <v>23</v>
      </c>
      <c r="W71" s="18">
        <f>'Info Lega'!$B$4-SUMIFS($M$2:$M$492,$D$2:$D$492,'Info Lega'!$B$28)</f>
        <v>1000</v>
      </c>
      <c r="X71" s="18">
        <f>('Info Lega'!$B$5-COUNTIFS($D$2:$D$492,'Info Lega'!$B$28,$B$2:$B$492,"P"))+('Info Lega'!$B$6-COUNTIFS($D$2:$D$492,'Info Lega'!$B$28,$B$2:$B$492,"D"))+('Info Lega'!$B$7-COUNTIFS($D$2:$D$492,'Info Lega'!$B$28,$B$2:$B$492,"C"))+('Info Lega'!$B$8-COUNTIFS($D$2:$D$492,'Info Lega'!$B$28,$B$2:$B$492,"A"))</f>
        <v>25</v>
      </c>
      <c r="Y71" s="18">
        <f>X71*'Parametri Modello'!$B$30</f>
        <v>25</v>
      </c>
      <c r="Z71" s="18">
        <f t="shared" si="11"/>
        <v>975</v>
      </c>
      <c r="AA71" s="18">
        <f t="shared" si="12"/>
        <v>30</v>
      </c>
      <c r="AB71" s="18"/>
      <c r="AC71" s="18" t="str">
        <f>IF($AB71="","",IF($AB71&gt;$AA71,"PASS",IF($AB71&lt;=$AA71*(1-'Parametri Modello'!$B$68),"BID","ATTENZIONE")))</f>
        <v/>
      </c>
      <c r="AD71" s="28">
        <f t="shared" si="13"/>
        <v>63</v>
      </c>
      <c r="AE71" s="5" t="str">
        <f>IFERROR(IF($AF71="Titolare",INDEX('Stato Asta'!$G$9:$G$12,MATCH($B71,'Stato Asta'!$A$9:$A$12,0)),INDEX('Stato Asta'!$P$9:$P$12,MATCH($B71,'Stato Asta'!$A$9:$A$12,0))),"")</f>
        <v>🟡 Attesa rischiosa</v>
      </c>
      <c r="AF71" t="str">
        <f>IFERROR(IF($V71&lt;=INDEX('Parametri Modello'!$C$57:$C$60,MATCH($B71,'Parametri Modello'!$A$57:$A$60,0)),"Titolare","Riserva"),"")</f>
        <v>Titolare</v>
      </c>
      <c r="AG71" t="str">
        <f>IFERROR(INDEX('Pressione Competitiva'!$F$3:$F$6,MATCH($B71,'Pressione Competitiva'!$B$3:$B$6,0)),"")</f>
        <v>🔴 Molto Alta</v>
      </c>
      <c r="AH71" t="str">
        <f t="shared" si="14"/>
        <v/>
      </c>
      <c r="AI71" t="str">
        <f>IFERROR(IF($AH71="","",IF($AH71&gt;=$AA71*'Parametri Modello'!$B$68,"🟢 Opportunita'",IF($AH71&lt;=$AA71*'Parametri Modello'!$B$69,"🔴 Sovrapprezzo","🟡 Prezzo Corretto"))),"")</f>
        <v/>
      </c>
      <c r="AJ71" t="str">
        <f t="shared" si="15"/>
        <v/>
      </c>
      <c r="AK71">
        <f t="shared" si="16"/>
        <v>5</v>
      </c>
      <c r="AL71" t="str">
        <f t="shared" si="17"/>
        <v>C|Buono|5</v>
      </c>
    </row>
    <row r="72" spans="1:38" ht="14.25" customHeight="1" x14ac:dyDescent="0.25">
      <c r="A72" s="18">
        <v>2531</v>
      </c>
      <c r="B72" s="18" t="s">
        <v>437</v>
      </c>
      <c r="C72" s="18" t="s">
        <v>471</v>
      </c>
      <c r="E72" s="23" t="str">
        <f>IF(COUNTIF('Info Strategia'!$D$2:$D$51,$C72)&gt;0,"SI","NO")</f>
        <v>NO</v>
      </c>
      <c r="F72" s="24">
        <f>IFERROR(ROUND(($G72+($H72-$G72)*'Info Strategia'!$B$6)*(1+IF($E72="SI",'Parametri Modello'!$B$7*'Info Strategia'!$B$6,0)),0),"")</f>
        <v>16</v>
      </c>
      <c r="G72" s="24">
        <f>IFERROR(ROUND(MAX(1,(IF($V72&lt;=INDEX('Parametri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10</v>
      </c>
      <c r="H72" s="24">
        <f>IFERROR(ROUND((IF($V72&lt;=INDEX('Parametri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18</v>
      </c>
      <c r="I72" s="23">
        <f>IFERROR(INDEX('Input Statistiche 2025_26'!$F$3:$F$665,MATCH($A72,'Input Statistiche 2025_26'!$A$3:$A$665,0)),"")</f>
        <v>1</v>
      </c>
      <c r="J72" s="23">
        <f t="shared" si="9"/>
        <v>37</v>
      </c>
      <c r="K72" s="23">
        <f>IFERROR(INDEX('Input Statistiche 2025_26'!$I$3:$I$665,MATCH($A72,'Input Statistiche 2025_26'!$A$3:$A$665,0)),"")</f>
        <v>1</v>
      </c>
      <c r="L72" s="23">
        <f>IFERROR(INDEX('Input Statistiche 2025_26'!$O$3:$O$665,MATCH($A72,'Input Statistiche 2025_26'!$A$3:$A$665,0)),"")</f>
        <v>0</v>
      </c>
      <c r="M72" s="25"/>
      <c r="N72" s="24">
        <f>IFERROR(INDEX('Input Giocatori 2026_27'!$E$3:$E$493,MATCH($A72,'Input Giocatori 2026_27'!$A$3:$A$493,0)),"")</f>
        <v>10</v>
      </c>
      <c r="O72" s="24">
        <f>IFERROR(INDEX('Input Giocatori 2026_27'!$G$3:$G$493,MATCH($A72,'Input Giocatori 2026_27'!$A$3:$A$493,0)),"")</f>
        <v>45</v>
      </c>
      <c r="P72" s="23" t="str">
        <f>IFERROR(IF($O72="","",IF((1-(COUNTIFS($B$2:$B$492,$B72,$O$2:$O$492,"&gt;"&amp;$O72)+1-1)/COUNTIF($B$2:$B$492,$B72))&gt;='Parametri Modello'!$B$63,"Top",IF((1-(COUNTIFS($B$2:$B$492,$B72,$O$2:$O$492,"&gt;"&amp;$O72)+1-1)/COUNTIF($B$2:$B$492,$B72))&gt;='Parametri Modello'!$B$64,"Buono",IF((1-(COUNTIFS($B$2:$B$492,$B72,$O$2:$O$492,"&gt;"&amp;$O72)+1-1)/COUNTIF($B$2:$B$492,$B72))&gt;='Parametri Modello'!$B$65,"Nella Media","Scommessa/Riserva")))),"")</f>
        <v>Nella Media</v>
      </c>
      <c r="Q72" s="26">
        <f>IF(AND($D72="",$N72&gt;1),SUMPRODUCT(($D$2:$D72="")*($N$2:$N72&gt;1)),"")</f>
        <v>71</v>
      </c>
      <c r="R72" s="26" t="str">
        <f>IF($D72='Info Lega'!$B$28,COUNTIFS($D$2:$D72,'Info Lega'!$B$28),"")</f>
        <v/>
      </c>
      <c r="S72" s="27">
        <f>IFERROR(INDEX('Input Statistiche 2025_26'!$G$3:$G$665,MATCH($A72,'Input Statistiche 2025_26'!$A$3:$A$665,0)),"")</f>
        <v>7</v>
      </c>
      <c r="T72" s="27">
        <f>IFERROR(INDEX('Input Statistiche 2025_26'!$H$3:$H$665,MATCH($A72,'Input Statistiche 2025_26'!$A$3:$A$665,0)),"")</f>
        <v>9.5</v>
      </c>
      <c r="U72" s="23" t="str">
        <f>IF(OR('La Mia Rosa'!$O$12="",$D72&lt;&gt;""),"",IF($F72&lt;='La Mia Rosa'!$O$12*'Parametri Modello'!$B$24,"OK",IF($F72&lt;='La Mia Rosa'!$O$12*'Parametri Modello'!$B$25,"Attenzione","Rischio Alto")))</f>
        <v>OK</v>
      </c>
      <c r="V72" s="23">
        <f t="shared" si="10"/>
        <v>32</v>
      </c>
      <c r="W72" s="18">
        <f>'Info Lega'!$B$4-SUMIFS($M$2:$M$492,$D$2:$D$492,'Info Lega'!$B$28)</f>
        <v>1000</v>
      </c>
      <c r="X72" s="18">
        <f>('Info Lega'!$B$5-COUNTIFS($D$2:$D$492,'Info Lega'!$B$28,$B$2:$B$492,"P"))+('Info Lega'!$B$6-COUNTIFS($D$2:$D$492,'Info Lega'!$B$28,$B$2:$B$492,"D"))+('Info Lega'!$B$7-COUNTIFS($D$2:$D$492,'Info Lega'!$B$28,$B$2:$B$492,"C"))+('Info Lega'!$B$8-COUNTIFS($D$2:$D$492,'Info Lega'!$B$28,$B$2:$B$492,"A"))</f>
        <v>25</v>
      </c>
      <c r="Y72" s="18">
        <f>X72*'Parametri Modello'!$B$30</f>
        <v>25</v>
      </c>
      <c r="Z72" s="18">
        <f t="shared" si="11"/>
        <v>975</v>
      </c>
      <c r="AA72" s="18">
        <f t="shared" si="12"/>
        <v>16</v>
      </c>
      <c r="AB72" s="18"/>
      <c r="AC72" s="18" t="str">
        <f>IF($AB72="","",IF($AB72&gt;$AA72,"PASS",IF($AB72&lt;=$AA72*(1-'Parametri Modello'!$B$68),"BID","ATTENZIONE")))</f>
        <v/>
      </c>
      <c r="AD72" s="28">
        <f t="shared" si="13"/>
        <v>3</v>
      </c>
      <c r="AE72" s="5" t="str">
        <f>IFERROR(IF($AF72="Titolare",INDEX('Stato Asta'!$G$9:$G$12,MATCH($B72,'Stato Asta'!$A$9:$A$12,0)),INDEX('Stato Asta'!$P$9:$P$12,MATCH($B72,'Stato Asta'!$A$9:$A$12,0))),"")</f>
        <v>🟢 Riserve abbondanti</v>
      </c>
      <c r="AF72" t="str">
        <f>IFERROR(IF($V72&lt;=INDEX('Parametri Modello'!$C$57:$C$60,MATCH($B72,'Parametri Modello'!$A$57:$A$60,0)),"Titolare","Riserva"),"")</f>
        <v>Riserva</v>
      </c>
      <c r="AG72" t="str">
        <f>IFERROR(INDEX('Pressione Competitiva'!$F$3:$F$6,MATCH($B72,'Pressione Competitiva'!$B$3:$B$6,0)),"")</f>
        <v>🔴 Molto Alta</v>
      </c>
      <c r="AH72" t="str">
        <f t="shared" si="14"/>
        <v/>
      </c>
      <c r="AI72" t="str">
        <f>IFERROR(IF($AH72="","",IF($AH72&gt;=$AA72*'Parametri Modello'!$B$68,"🟢 Opportunita'",IF($AH72&lt;=$AA72*'Parametri Modello'!$B$69,"🔴 Sovrapprezzo","🟡 Prezzo Corretto"))),"")</f>
        <v/>
      </c>
      <c r="AJ72" t="str">
        <f t="shared" si="15"/>
        <v/>
      </c>
      <c r="AK72">
        <f t="shared" si="16"/>
        <v>6</v>
      </c>
      <c r="AL72" t="str">
        <f t="shared" si="17"/>
        <v>A|Nella Media|6</v>
      </c>
    </row>
    <row r="73" spans="1:38" ht="14.25" customHeight="1" x14ac:dyDescent="0.25">
      <c r="A73" s="18">
        <v>2120</v>
      </c>
      <c r="B73" s="18" t="s">
        <v>88</v>
      </c>
      <c r="C73" s="18" t="s">
        <v>94</v>
      </c>
      <c r="E73" s="23" t="str">
        <f>IF(COUNTIF('Info Strategia'!$D$2:$D$51,$C73)&gt;0,"SI","NO")</f>
        <v>NO</v>
      </c>
      <c r="F73" s="24">
        <f>IFERROR(ROUND(($G73+($H73-$G73)*'Info Strategia'!$B$6)*(1+IF($E73="SI",'Parametri Modello'!$B$7*'Info Strategia'!$B$6,0)),0),"")</f>
        <v>30</v>
      </c>
      <c r="G73" s="24">
        <f>IFERROR(ROUND(MAX(1,(IF($V73&lt;=INDEX('Parametri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22</v>
      </c>
      <c r="H73" s="24">
        <f>IFERROR(ROUND((IF($V73&lt;=INDEX('Parametri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34</v>
      </c>
      <c r="I73" s="23">
        <f>IFERROR(INDEX('Input Statistiche 2025_26'!$F$3:$F$665,MATCH($A73,'Input Statistiche 2025_26'!$A$3:$A$665,0)),"")</f>
        <v>28</v>
      </c>
      <c r="J73" s="23">
        <f t="shared" si="9"/>
        <v>10</v>
      </c>
      <c r="K73" s="23">
        <f>IFERROR(INDEX('Input Statistiche 2025_26'!$I$3:$I$665,MATCH($A73,'Input Statistiche 2025_26'!$A$3:$A$665,0)),"")</f>
        <v>1</v>
      </c>
      <c r="L73" s="23">
        <f>IFERROR(INDEX('Input Statistiche 2025_26'!$O$3:$O$665,MATCH($A73,'Input Statistiche 2025_26'!$A$3:$A$665,0)),"")</f>
        <v>4</v>
      </c>
      <c r="M73" s="25"/>
      <c r="N73" s="24">
        <f>IFERROR(INDEX('Input Giocatori 2026_27'!$E$3:$E$493,MATCH($A73,'Input Giocatori 2026_27'!$A$3:$A$493,0)),"")</f>
        <v>14</v>
      </c>
      <c r="O73" s="24">
        <f>IFERROR(INDEX('Input Giocatori 2026_27'!$G$3:$G$493,MATCH($A73,'Input Giocatori 2026_27'!$A$3:$A$493,0)),"")</f>
        <v>44</v>
      </c>
      <c r="P73" s="23" t="str">
        <f>IFERROR(IF($O73="","",IF((1-(COUNTIFS($B$2:$B$492,$B73,$O$2:$O$492,"&gt;"&amp;$O73)+1-1)/COUNTIF($B$2:$B$492,$B73))&gt;='Parametri Modello'!$B$63,"Top",IF((1-(COUNTIFS($B$2:$B$492,$B73,$O$2:$O$492,"&gt;"&amp;$O73)+1-1)/COUNTIF($B$2:$B$492,$B73))&gt;='Parametri Modello'!$B$64,"Buono",IF((1-(COUNTIFS($B$2:$B$492,$B73,$O$2:$O$492,"&gt;"&amp;$O73)+1-1)/COUNTIF($B$2:$B$492,$B73))&gt;='Parametri Modello'!$B$65,"Nella Media","Scommessa/Riserva")))),"")</f>
        <v>Top</v>
      </c>
      <c r="Q73" s="26">
        <f>IF(AND($D73="",$N73&gt;1),SUMPRODUCT(($D$2:$D73="")*($N$2:$N73&gt;1)),"")</f>
        <v>72</v>
      </c>
      <c r="R73" s="26" t="str">
        <f>IF($D73='Info Lega'!$B$28,COUNTIFS($D$2:$D73,'Info Lega'!$B$28),"")</f>
        <v/>
      </c>
      <c r="S73" s="27">
        <f>IFERROR(INDEX('Input Statistiche 2025_26'!$G$3:$G$665,MATCH($A73,'Input Statistiche 2025_26'!$A$3:$A$665,0)),"")</f>
        <v>6.2</v>
      </c>
      <c r="T73" s="27">
        <f>IFERROR(INDEX('Input Statistiche 2025_26'!$H$3:$H$665,MATCH($A73,'Input Statistiche 2025_26'!$A$3:$A$665,0)),"")</f>
        <v>6.34</v>
      </c>
      <c r="U73" s="23" t="str">
        <f>IF(OR('La Mia Rosa'!$O$12="",$D73&lt;&gt;""),"",IF($F73&lt;='La Mia Rosa'!$O$12*'Parametri Modello'!$B$24,"OK",IF($F73&lt;='La Mia Rosa'!$O$12*'Parametri Modello'!$B$25,"Attenzione","Rischio Alto")))</f>
        <v>OK</v>
      </c>
      <c r="V73" s="23">
        <f t="shared" si="10"/>
        <v>10</v>
      </c>
      <c r="W73" s="18">
        <f>'Info Lega'!$B$4-SUMIFS($M$2:$M$492,$D$2:$D$492,'Info Lega'!$B$28)</f>
        <v>1000</v>
      </c>
      <c r="X73" s="18">
        <f>('Info Lega'!$B$5-COUNTIFS($D$2:$D$492,'Info Lega'!$B$28,$B$2:$B$492,"P"))+('Info Lega'!$B$6-COUNTIFS($D$2:$D$492,'Info Lega'!$B$28,$B$2:$B$492,"D"))+('Info Lega'!$B$7-COUNTIFS($D$2:$D$492,'Info Lega'!$B$28,$B$2:$B$492,"C"))+('Info Lega'!$B$8-COUNTIFS($D$2:$D$492,'Info Lega'!$B$28,$B$2:$B$492,"A"))</f>
        <v>25</v>
      </c>
      <c r="Y73" s="18">
        <f>X73*'Parametri Modello'!$B$30</f>
        <v>25</v>
      </c>
      <c r="Z73" s="18">
        <f t="shared" si="11"/>
        <v>975</v>
      </c>
      <c r="AA73" s="18">
        <f t="shared" si="12"/>
        <v>30</v>
      </c>
      <c r="AB73" s="18"/>
      <c r="AC73" s="18" t="str">
        <f>IF($AB73="","",IF($AB73&gt;$AA73,"PASS",IF($AB73&lt;=$AA73*(1-'Parametri Modello'!$B$68),"BID","ATTENZIONE")))</f>
        <v/>
      </c>
      <c r="AD73" s="28">
        <f t="shared" si="13"/>
        <v>61</v>
      </c>
      <c r="AE73" s="5" t="str">
        <f>IFERROR(IF($AF73="Titolare",INDEX('Stato Asta'!$G$9:$G$12,MATCH($B73,'Stato Asta'!$A$9:$A$12,0)),INDEX('Stato Asta'!$P$9:$P$12,MATCH($B73,'Stato Asta'!$A$9:$A$12,0))),"")</f>
        <v>🟢 Puoi aspettare</v>
      </c>
      <c r="AF73" t="str">
        <f>IFERROR(IF($V73&lt;=INDEX('Parametri Modello'!$C$57:$C$60,MATCH($B73,'Parametri Modello'!$A$57:$A$60,0)),"Titolare","Riserva"),"")</f>
        <v>Titolare</v>
      </c>
      <c r="AG73" t="str">
        <f>IFERROR(INDEX('Pressione Competitiva'!$F$3:$F$6,MATCH($B73,'Pressione Competitiva'!$B$3:$B$6,0)),"")</f>
        <v>🔴 Molto Alta</v>
      </c>
      <c r="AH73" t="str">
        <f t="shared" si="14"/>
        <v/>
      </c>
      <c r="AI73" t="str">
        <f>IFERROR(IF($AH73="","",IF($AH73&gt;=$AA73*'Parametri Modello'!$B$68,"🟢 Opportunita'",IF($AH73&lt;=$AA73*'Parametri Modello'!$B$69,"🔴 Sovrapprezzo","🟡 Prezzo Corretto"))),"")</f>
        <v/>
      </c>
      <c r="AJ73" t="str">
        <f t="shared" si="15"/>
        <v/>
      </c>
      <c r="AK73">
        <f t="shared" si="16"/>
        <v>10</v>
      </c>
      <c r="AL73" t="str">
        <f t="shared" si="17"/>
        <v>D|Top|10</v>
      </c>
    </row>
    <row r="74" spans="1:38" ht="14.25" customHeight="1" x14ac:dyDescent="0.25">
      <c r="A74" s="18">
        <v>4317</v>
      </c>
      <c r="B74" s="18" t="s">
        <v>88</v>
      </c>
      <c r="C74" s="18" t="s">
        <v>98</v>
      </c>
      <c r="E74" s="23" t="str">
        <f>IF(COUNTIF('Info Strategia'!$D$2:$D$51,$C74)&gt;0,"SI","NO")</f>
        <v>NO</v>
      </c>
      <c r="F74" s="24">
        <f>IFERROR(ROUND(($G74+($H74-$G74)*'Info Strategia'!$B$6)*(1+IF($E74="SI",'Parametri Modello'!$B$7*'Info Strategia'!$B$6,0)),0),"")</f>
        <v>30</v>
      </c>
      <c r="G74" s="24">
        <f>IFERROR(ROUND(MAX(1,(IF($V74&lt;=INDEX('Parametri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22</v>
      </c>
      <c r="H74" s="24">
        <f>IFERROR(ROUND((IF($V74&lt;=INDEX('Parametri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34</v>
      </c>
      <c r="I74" s="23">
        <f>IFERROR(INDEX('Input Statistiche 2025_26'!$F$3:$F$665,MATCH($A74,'Input Statistiche 2025_26'!$A$3:$A$665,0)),"")</f>
        <v>31</v>
      </c>
      <c r="J74" s="23">
        <f t="shared" si="9"/>
        <v>7</v>
      </c>
      <c r="K74" s="23">
        <f>IFERROR(INDEX('Input Statistiche 2025_26'!$I$3:$I$665,MATCH($A74,'Input Statistiche 2025_26'!$A$3:$A$665,0)),"")</f>
        <v>3</v>
      </c>
      <c r="L74" s="23">
        <f>IFERROR(INDEX('Input Statistiche 2025_26'!$O$3:$O$665,MATCH($A74,'Input Statistiche 2025_26'!$A$3:$A$665,0)),"")</f>
        <v>1</v>
      </c>
      <c r="M74" s="25"/>
      <c r="N74" s="24">
        <f>IFERROR(INDEX('Input Giocatori 2026_27'!$E$3:$E$493,MATCH($A74,'Input Giocatori 2026_27'!$A$3:$A$493,0)),"")</f>
        <v>13</v>
      </c>
      <c r="O74" s="24">
        <f>IFERROR(INDEX('Input Giocatori 2026_27'!$G$3:$G$493,MATCH($A74,'Input Giocatori 2026_27'!$A$3:$A$493,0)),"")</f>
        <v>44</v>
      </c>
      <c r="P74" s="23" t="str">
        <f>IFERROR(IF($O74="","",IF((1-(COUNTIFS($B$2:$B$492,$B74,$O$2:$O$492,"&gt;"&amp;$O74)+1-1)/COUNTIF($B$2:$B$492,$B74))&gt;='Parametri Modello'!$B$63,"Top",IF((1-(COUNTIFS($B$2:$B$492,$B74,$O$2:$O$492,"&gt;"&amp;$O74)+1-1)/COUNTIF($B$2:$B$492,$B74))&gt;='Parametri Modello'!$B$64,"Buono",IF((1-(COUNTIFS($B$2:$B$492,$B74,$O$2:$O$492,"&gt;"&amp;$O74)+1-1)/COUNTIF($B$2:$B$492,$B74))&gt;='Parametri Modello'!$B$65,"Nella Media","Scommessa/Riserva")))),"")</f>
        <v>Top</v>
      </c>
      <c r="Q74" s="26">
        <f>IF(AND($D74="",$N74&gt;1),SUMPRODUCT(($D$2:$D74="")*($N$2:$N74&gt;1)),"")</f>
        <v>73</v>
      </c>
      <c r="R74" s="26" t="str">
        <f>IF($D74='Info Lega'!$B$28,COUNTIFS($D$2:$D74,'Info Lega'!$B$28),"")</f>
        <v/>
      </c>
      <c r="S74" s="27">
        <f>IFERROR(INDEX('Input Statistiche 2025_26'!$G$3:$G$665,MATCH($A74,'Input Statistiche 2025_26'!$A$3:$A$665,0)),"")</f>
        <v>6.08</v>
      </c>
      <c r="T74" s="27">
        <f>IFERROR(INDEX('Input Statistiche 2025_26'!$H$3:$H$665,MATCH($A74,'Input Statistiche 2025_26'!$A$3:$A$665,0)),"")</f>
        <v>6.32</v>
      </c>
      <c r="U74" s="23" t="str">
        <f>IF(OR('La Mia Rosa'!$O$12="",$D74&lt;&gt;""),"",IF($F74&lt;='La Mia Rosa'!$O$12*'Parametri Modello'!$B$24,"OK",IF($F74&lt;='La Mia Rosa'!$O$12*'Parametri Modello'!$B$25,"Attenzione","Rischio Alto")))</f>
        <v>OK</v>
      </c>
      <c r="V74" s="23">
        <f t="shared" si="10"/>
        <v>10</v>
      </c>
      <c r="W74" s="18">
        <f>'Info Lega'!$B$4-SUMIFS($M$2:$M$492,$D$2:$D$492,'Info Lega'!$B$28)</f>
        <v>1000</v>
      </c>
      <c r="X74" s="18">
        <f>('Info Lega'!$B$5-COUNTIFS($D$2:$D$492,'Info Lega'!$B$28,$B$2:$B$492,"P"))+('Info Lega'!$B$6-COUNTIFS($D$2:$D$492,'Info Lega'!$B$28,$B$2:$B$492,"D"))+('Info Lega'!$B$7-COUNTIFS($D$2:$D$492,'Info Lega'!$B$28,$B$2:$B$492,"C"))+('Info Lega'!$B$8-COUNTIFS($D$2:$D$492,'Info Lega'!$B$28,$B$2:$B$492,"A"))</f>
        <v>25</v>
      </c>
      <c r="Y74" s="18">
        <f>X74*'Parametri Modello'!$B$30</f>
        <v>25</v>
      </c>
      <c r="Z74" s="18">
        <f t="shared" si="11"/>
        <v>975</v>
      </c>
      <c r="AA74" s="18">
        <f t="shared" si="12"/>
        <v>30</v>
      </c>
      <c r="AB74" s="18"/>
      <c r="AC74" s="18" t="str">
        <f>IF($AB74="","",IF($AB74&gt;$AA74,"PASS",IF($AB74&lt;=$AA74*(1-'Parametri Modello'!$B$68),"BID","ATTENZIONE")))</f>
        <v/>
      </c>
      <c r="AD74" s="28">
        <f t="shared" si="13"/>
        <v>64</v>
      </c>
      <c r="AE74" s="5" t="str">
        <f>IFERROR(IF($AF74="Titolare",INDEX('Stato Asta'!$G$9:$G$12,MATCH($B74,'Stato Asta'!$A$9:$A$12,0)),INDEX('Stato Asta'!$P$9:$P$12,MATCH($B74,'Stato Asta'!$A$9:$A$12,0))),"")</f>
        <v>🟢 Puoi aspettare</v>
      </c>
      <c r="AF74" t="str">
        <f>IFERROR(IF($V74&lt;=INDEX('Parametri Modello'!$C$57:$C$60,MATCH($B74,'Parametri Modello'!$A$57:$A$60,0)),"Titolare","Riserva"),"")</f>
        <v>Titolare</v>
      </c>
      <c r="AG74" t="str">
        <f>IFERROR(INDEX('Pressione Competitiva'!$F$3:$F$6,MATCH($B74,'Pressione Competitiva'!$B$3:$B$6,0)),"")</f>
        <v>🔴 Molto Alta</v>
      </c>
      <c r="AH74" t="str">
        <f t="shared" si="14"/>
        <v/>
      </c>
      <c r="AI74" t="str">
        <f>IFERROR(IF($AH74="","",IF($AH74&gt;=$AA74*'Parametri Modello'!$B$68,"🟢 Opportunita'",IF($AH74&lt;=$AA74*'Parametri Modello'!$B$69,"🔴 Sovrapprezzo","🟡 Prezzo Corretto"))),"")</f>
        <v/>
      </c>
      <c r="AJ74" t="str">
        <f t="shared" si="15"/>
        <v/>
      </c>
      <c r="AK74">
        <f t="shared" si="16"/>
        <v>10</v>
      </c>
      <c r="AL74" t="str">
        <f t="shared" si="17"/>
        <v>D|Top|10</v>
      </c>
    </row>
    <row r="75" spans="1:38" ht="14.25" customHeight="1" x14ac:dyDescent="0.25">
      <c r="A75" s="18">
        <v>4892</v>
      </c>
      <c r="B75" s="18" t="s">
        <v>264</v>
      </c>
      <c r="C75" s="18" t="s">
        <v>294</v>
      </c>
      <c r="E75" s="23" t="str">
        <f>IF(COUNTIF('Info Strategia'!$D$2:$D$51,$C75)&gt;0,"SI","NO")</f>
        <v>NO</v>
      </c>
      <c r="F75" s="24">
        <f>IFERROR(ROUND(($G75+($H75-$G75)*'Info Strategia'!$B$6)*(1+IF($E75="SI",'Parametri Modello'!$B$7*'Info Strategia'!$B$6,0)),0),"")</f>
        <v>28</v>
      </c>
      <c r="G75" s="24">
        <f>IFERROR(ROUND(MAX(1,(IF($V75&lt;=INDEX('Parametri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19</v>
      </c>
      <c r="H75" s="24">
        <f>IFERROR(ROUND((IF($V75&lt;=INDEX('Parametri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32</v>
      </c>
      <c r="I75" s="23">
        <f>IFERROR(INDEX('Input Statistiche 2025_26'!$F$3:$F$665,MATCH($A75,'Input Statistiche 2025_26'!$A$3:$A$665,0)),"")</f>
        <v>35</v>
      </c>
      <c r="J75" s="23">
        <f t="shared" si="9"/>
        <v>3</v>
      </c>
      <c r="K75" s="23">
        <f>IFERROR(INDEX('Input Statistiche 2025_26'!$I$3:$I$665,MATCH($A75,'Input Statistiche 2025_26'!$A$3:$A$665,0)),"")</f>
        <v>3</v>
      </c>
      <c r="L75" s="23">
        <f>IFERROR(INDEX('Input Statistiche 2025_26'!$O$3:$O$665,MATCH($A75,'Input Statistiche 2025_26'!$A$3:$A$665,0)),"")</f>
        <v>3</v>
      </c>
      <c r="M75" s="25"/>
      <c r="N75" s="24">
        <f>IFERROR(INDEX('Input Giocatori 2026_27'!$E$3:$E$493,MATCH($A75,'Input Giocatori 2026_27'!$A$3:$A$493,0)),"")</f>
        <v>10</v>
      </c>
      <c r="O75" s="24">
        <f>IFERROR(INDEX('Input Giocatori 2026_27'!$G$3:$G$493,MATCH($A75,'Input Giocatori 2026_27'!$A$3:$A$493,0)),"")</f>
        <v>43</v>
      </c>
      <c r="P75" s="23" t="str">
        <f>IFERROR(IF($O75="","",IF((1-(COUNTIFS($B$2:$B$492,$B75,$O$2:$O$492,"&gt;"&amp;$O75)+1-1)/COUNTIF($B$2:$B$492,$B75))&gt;='Parametri Modello'!$B$63,"Top",IF((1-(COUNTIFS($B$2:$B$492,$B75,$O$2:$O$492,"&gt;"&amp;$O75)+1-1)/COUNTIF($B$2:$B$492,$B75))&gt;='Parametri Modello'!$B$64,"Buono",IF((1-(COUNTIFS($B$2:$B$492,$B75,$O$2:$O$492,"&gt;"&amp;$O75)+1-1)/COUNTIF($B$2:$B$492,$B75))&gt;='Parametri Modello'!$B$65,"Nella Media","Scommessa/Riserva")))),"")</f>
        <v>Buono</v>
      </c>
      <c r="Q75" s="26">
        <f>IF(AND($D75="",$N75&gt;1),SUMPRODUCT(($D$2:$D75="")*($N$2:$N75&gt;1)),"")</f>
        <v>74</v>
      </c>
      <c r="R75" s="26" t="str">
        <f>IF($D75='Info Lega'!$B$28,COUNTIFS($D$2:$D75,'Info Lega'!$B$28),"")</f>
        <v/>
      </c>
      <c r="S75" s="27">
        <f>IFERROR(INDEX('Input Statistiche 2025_26'!$G$3:$G$665,MATCH($A75,'Input Statistiche 2025_26'!$A$3:$A$665,0)),"")</f>
        <v>6.14</v>
      </c>
      <c r="T75" s="27">
        <f>IFERROR(INDEX('Input Statistiche 2025_26'!$H$3:$H$665,MATCH($A75,'Input Statistiche 2025_26'!$A$3:$A$665,0)),"")</f>
        <v>6.41</v>
      </c>
      <c r="U75" s="23" t="str">
        <f>IF(OR('La Mia Rosa'!$O$12="",$D75&lt;&gt;""),"",IF($F75&lt;='La Mia Rosa'!$O$12*'Parametri Modello'!$B$24,"OK",IF($F75&lt;='La Mia Rosa'!$O$12*'Parametri Modello'!$B$25,"Attenzione","Rischio Alto")))</f>
        <v>OK</v>
      </c>
      <c r="V75" s="23">
        <f t="shared" si="10"/>
        <v>24</v>
      </c>
      <c r="W75" s="18">
        <f>'Info Lega'!$B$4-SUMIFS($M$2:$M$492,$D$2:$D$492,'Info Lega'!$B$28)</f>
        <v>1000</v>
      </c>
      <c r="X75" s="18">
        <f>('Info Lega'!$B$5-COUNTIFS($D$2:$D$492,'Info Lega'!$B$28,$B$2:$B$492,"P"))+('Info Lega'!$B$6-COUNTIFS($D$2:$D$492,'Info Lega'!$B$28,$B$2:$B$492,"D"))+('Info Lega'!$B$7-COUNTIFS($D$2:$D$492,'Info Lega'!$B$28,$B$2:$B$492,"C"))+('Info Lega'!$B$8-COUNTIFS($D$2:$D$492,'Info Lega'!$B$28,$B$2:$B$492,"A"))</f>
        <v>25</v>
      </c>
      <c r="Y75" s="18">
        <f>X75*'Parametri Modello'!$B$30</f>
        <v>25</v>
      </c>
      <c r="Z75" s="18">
        <f t="shared" si="11"/>
        <v>975</v>
      </c>
      <c r="AA75" s="18">
        <f t="shared" si="12"/>
        <v>28</v>
      </c>
      <c r="AB75" s="18"/>
      <c r="AC75" s="18" t="str">
        <f>IF($AB75="","",IF($AB75&gt;$AA75,"PASS",IF($AB75&lt;=$AA75*(1-'Parametri Modello'!$B$68),"BID","ATTENZIONE")))</f>
        <v/>
      </c>
      <c r="AD75" s="28">
        <f t="shared" si="13"/>
        <v>69</v>
      </c>
      <c r="AE75" s="5" t="str">
        <f>IFERROR(IF($AF75="Titolare",INDEX('Stato Asta'!$G$9:$G$12,MATCH($B75,'Stato Asta'!$A$9:$A$12,0)),INDEX('Stato Asta'!$P$9:$P$12,MATCH($B75,'Stato Asta'!$A$9:$A$12,0))),"")</f>
        <v>🟡 Attesa rischiosa</v>
      </c>
      <c r="AF75" t="str">
        <f>IFERROR(IF($V75&lt;=INDEX('Parametri Modello'!$C$57:$C$60,MATCH($B75,'Parametri Modello'!$A$57:$A$60,0)),"Titolare","Riserva"),"")</f>
        <v>Titolare</v>
      </c>
      <c r="AG75" t="str">
        <f>IFERROR(INDEX('Pressione Competitiva'!$F$3:$F$6,MATCH($B75,'Pressione Competitiva'!$B$3:$B$6,0)),"")</f>
        <v>🔴 Molto Alta</v>
      </c>
      <c r="AH75" t="str">
        <f t="shared" si="14"/>
        <v/>
      </c>
      <c r="AI75" t="str">
        <f>IFERROR(IF($AH75="","",IF($AH75&gt;=$AA75*'Parametri Modello'!$B$68,"🟢 Opportunita'",IF($AH75&lt;=$AA75*'Parametri Modello'!$B$69,"🔴 Sovrapprezzo","🟡 Prezzo Corretto"))),"")</f>
        <v/>
      </c>
      <c r="AJ75" t="str">
        <f t="shared" si="15"/>
        <v/>
      </c>
      <c r="AK75">
        <f t="shared" si="16"/>
        <v>6</v>
      </c>
      <c r="AL75" t="str">
        <f t="shared" si="17"/>
        <v>C|Buono|6</v>
      </c>
    </row>
    <row r="76" spans="1:38" ht="14.25" customHeight="1" x14ac:dyDescent="0.25">
      <c r="A76" s="18">
        <v>5119</v>
      </c>
      <c r="B76" s="18" t="s">
        <v>264</v>
      </c>
      <c r="C76" s="18" t="s">
        <v>283</v>
      </c>
      <c r="E76" s="23" t="str">
        <f>IF(COUNTIF('Info Strategia'!$D$2:$D$51,$C76)&gt;0,"SI","NO")</f>
        <v>NO</v>
      </c>
      <c r="F76" s="24">
        <f>IFERROR(ROUND(($G76+($H76-$G76)*'Info Strategia'!$B$6)*(1+IF($E76="SI",'Parametri Modello'!$B$7*'Info Strategia'!$B$6,0)),0),"")</f>
        <v>28</v>
      </c>
      <c r="G76" s="24">
        <f>IFERROR(ROUND(MAX(1,(IF($V76&lt;=INDEX('Parametri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19</v>
      </c>
      <c r="H76" s="24">
        <f>IFERROR(ROUND((IF($V76&lt;=INDEX('Parametri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32</v>
      </c>
      <c r="I76" s="23">
        <f>IFERROR(INDEX('Input Statistiche 2025_26'!$F$3:$F$665,MATCH($A76,'Input Statistiche 2025_26'!$A$3:$A$665,0)),"")</f>
        <v>21</v>
      </c>
      <c r="J76" s="23">
        <f t="shared" si="9"/>
        <v>17</v>
      </c>
      <c r="K76" s="23">
        <f>IFERROR(INDEX('Input Statistiche 2025_26'!$I$3:$I$665,MATCH($A76,'Input Statistiche 2025_26'!$A$3:$A$665,0)),"")</f>
        <v>2</v>
      </c>
      <c r="L76" s="23">
        <f>IFERROR(INDEX('Input Statistiche 2025_26'!$O$3:$O$665,MATCH($A76,'Input Statistiche 2025_26'!$A$3:$A$665,0)),"")</f>
        <v>2</v>
      </c>
      <c r="M76" s="25"/>
      <c r="N76" s="24">
        <f>IFERROR(INDEX('Input Giocatori 2026_27'!$E$3:$E$493,MATCH($A76,'Input Giocatori 2026_27'!$A$3:$A$493,0)),"")</f>
        <v>12</v>
      </c>
      <c r="O76" s="24">
        <f>IFERROR(INDEX('Input Giocatori 2026_27'!$G$3:$G$493,MATCH($A76,'Input Giocatori 2026_27'!$A$3:$A$493,0)),"")</f>
        <v>42</v>
      </c>
      <c r="P76" s="23" t="str">
        <f>IFERROR(IF($O76="","",IF((1-(COUNTIFS($B$2:$B$492,$B76,$O$2:$O$492,"&gt;"&amp;$O76)+1-1)/COUNTIF($B$2:$B$492,$B76))&gt;='Parametri Modello'!$B$63,"Top",IF((1-(COUNTIFS($B$2:$B$492,$B76,$O$2:$O$492,"&gt;"&amp;$O76)+1-1)/COUNTIF($B$2:$B$492,$B76))&gt;='Parametri Modello'!$B$64,"Buono",IF((1-(COUNTIFS($B$2:$B$492,$B76,$O$2:$O$492,"&gt;"&amp;$O76)+1-1)/COUNTIF($B$2:$B$492,$B76))&gt;='Parametri Modello'!$B$65,"Nella Media","Scommessa/Riserva")))),"")</f>
        <v>Buono</v>
      </c>
      <c r="Q76" s="26">
        <f>IF(AND($D76="",$N76&gt;1),SUMPRODUCT(($D$2:$D76="")*($N$2:$N76&gt;1)),"")</f>
        <v>75</v>
      </c>
      <c r="R76" s="26" t="str">
        <f>IF($D76='Info Lega'!$B$28,COUNTIFS($D$2:$D76,'Info Lega'!$B$28),"")</f>
        <v/>
      </c>
      <c r="S76" s="27">
        <f>IFERROR(INDEX('Input Statistiche 2025_26'!$G$3:$G$665,MATCH($A76,'Input Statistiche 2025_26'!$A$3:$A$665,0)),"")</f>
        <v>5.93</v>
      </c>
      <c r="T76" s="27">
        <f>IFERROR(INDEX('Input Statistiche 2025_26'!$H$3:$H$665,MATCH($A76,'Input Statistiche 2025_26'!$A$3:$A$665,0)),"")</f>
        <v>6.29</v>
      </c>
      <c r="U76" s="23" t="str">
        <f>IF(OR('La Mia Rosa'!$O$12="",$D76&lt;&gt;""),"",IF($F76&lt;='La Mia Rosa'!$O$12*'Parametri Modello'!$B$24,"OK",IF($F76&lt;='La Mia Rosa'!$O$12*'Parametri Modello'!$B$25,"Attenzione","Rischio Alto")))</f>
        <v>OK</v>
      </c>
      <c r="V76" s="23">
        <f t="shared" si="10"/>
        <v>25</v>
      </c>
      <c r="W76" s="18">
        <f>'Info Lega'!$B$4-SUMIFS($M$2:$M$492,$D$2:$D$492,'Info Lega'!$B$28)</f>
        <v>1000</v>
      </c>
      <c r="X76" s="18">
        <f>('Info Lega'!$B$5-COUNTIFS($D$2:$D$492,'Info Lega'!$B$28,$B$2:$B$492,"P"))+('Info Lega'!$B$6-COUNTIFS($D$2:$D$492,'Info Lega'!$B$28,$B$2:$B$492,"D"))+('Info Lega'!$B$7-COUNTIFS($D$2:$D$492,'Info Lega'!$B$28,$B$2:$B$492,"C"))+('Info Lega'!$B$8-COUNTIFS($D$2:$D$492,'Info Lega'!$B$28,$B$2:$B$492,"A"))</f>
        <v>25</v>
      </c>
      <c r="Y76" s="18">
        <f>X76*'Parametri Modello'!$B$30</f>
        <v>25</v>
      </c>
      <c r="Z76" s="18">
        <f t="shared" si="11"/>
        <v>975</v>
      </c>
      <c r="AA76" s="18">
        <f t="shared" si="12"/>
        <v>28</v>
      </c>
      <c r="AB76" s="18"/>
      <c r="AC76" s="18" t="str">
        <f>IF($AB76="","",IF($AB76&gt;$AA76,"PASS",IF($AB76&lt;=$AA76*(1-'Parametri Modello'!$B$68),"BID","ATTENZIONE")))</f>
        <v/>
      </c>
      <c r="AD76" s="28">
        <f t="shared" si="13"/>
        <v>50</v>
      </c>
      <c r="AE76" s="5" t="str">
        <f>IFERROR(IF($AF76="Titolare",INDEX('Stato Asta'!$G$9:$G$12,MATCH($B76,'Stato Asta'!$A$9:$A$12,0)),INDEX('Stato Asta'!$P$9:$P$12,MATCH($B76,'Stato Asta'!$A$9:$A$12,0))),"")</f>
        <v>🟡 Attesa rischiosa</v>
      </c>
      <c r="AF76" t="str">
        <f>IFERROR(IF($V76&lt;=INDEX('Parametri Modello'!$C$57:$C$60,MATCH($B76,'Parametri Modello'!$A$57:$A$60,0)),"Titolare","Riserva"),"")</f>
        <v>Titolare</v>
      </c>
      <c r="AG76" t="str">
        <f>IFERROR(INDEX('Pressione Competitiva'!$F$3:$F$6,MATCH($B76,'Pressione Competitiva'!$B$3:$B$6,0)),"")</f>
        <v>🔴 Molto Alta</v>
      </c>
      <c r="AH76" t="str">
        <f t="shared" si="14"/>
        <v/>
      </c>
      <c r="AI76" t="str">
        <f>IFERROR(IF($AH76="","",IF($AH76&gt;=$AA76*'Parametri Modello'!$B$68,"🟢 Opportunita'",IF($AH76&lt;=$AA76*'Parametri Modello'!$B$69,"🔴 Sovrapprezzo","🟡 Prezzo Corretto"))),"")</f>
        <v/>
      </c>
      <c r="AJ76" t="str">
        <f t="shared" si="15"/>
        <v/>
      </c>
      <c r="AK76">
        <f t="shared" si="16"/>
        <v>7</v>
      </c>
      <c r="AL76" t="str">
        <f t="shared" si="17"/>
        <v>C|Buono|7</v>
      </c>
    </row>
    <row r="77" spans="1:38" ht="14.25" customHeight="1" x14ac:dyDescent="0.25">
      <c r="A77" s="18">
        <v>5589</v>
      </c>
      <c r="B77" s="18" t="s">
        <v>264</v>
      </c>
      <c r="C77" s="18" t="s">
        <v>296</v>
      </c>
      <c r="E77" s="23" t="str">
        <f>IF(COUNTIF('Info Strategia'!$D$2:$D$51,$C77)&gt;0,"SI","NO")</f>
        <v>NO</v>
      </c>
      <c r="F77" s="24">
        <f>IFERROR(ROUND(($G77+($H77-$G77)*'Info Strategia'!$B$6)*(1+IF($E77="SI",'Parametri Modello'!$B$7*'Info Strategia'!$B$6,0)),0),"")</f>
        <v>28</v>
      </c>
      <c r="G77" s="24">
        <f>IFERROR(ROUND(MAX(1,(IF($V77&lt;=INDEX('Parametri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19</v>
      </c>
      <c r="H77" s="24">
        <f>IFERROR(ROUND((IF($V77&lt;=INDEX('Parametri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32</v>
      </c>
      <c r="I77" s="23">
        <f>IFERROR(INDEX('Input Statistiche 2025_26'!$F$3:$F$665,MATCH($A77,'Input Statistiche 2025_26'!$A$3:$A$665,0)),"")</f>
        <v>29</v>
      </c>
      <c r="J77" s="23">
        <f t="shared" si="9"/>
        <v>9</v>
      </c>
      <c r="K77" s="23">
        <f>IFERROR(INDEX('Input Statistiche 2025_26'!$I$3:$I$665,MATCH($A77,'Input Statistiche 2025_26'!$A$3:$A$665,0)),"")</f>
        <v>2</v>
      </c>
      <c r="L77" s="23">
        <f>IFERROR(INDEX('Input Statistiche 2025_26'!$O$3:$O$665,MATCH($A77,'Input Statistiche 2025_26'!$A$3:$A$665,0)),"")</f>
        <v>3</v>
      </c>
      <c r="M77" s="25"/>
      <c r="N77" s="24">
        <f>IFERROR(INDEX('Input Giocatori 2026_27'!$E$3:$E$493,MATCH($A77,'Input Giocatori 2026_27'!$A$3:$A$493,0)),"")</f>
        <v>10</v>
      </c>
      <c r="O77" s="24">
        <f>IFERROR(INDEX('Input Giocatori 2026_27'!$G$3:$G$493,MATCH($A77,'Input Giocatori 2026_27'!$A$3:$A$493,0)),"")</f>
        <v>42</v>
      </c>
      <c r="P77" s="23" t="str">
        <f>IFERROR(IF($O77="","",IF((1-(COUNTIFS($B$2:$B$492,$B77,$O$2:$O$492,"&gt;"&amp;$O77)+1-1)/COUNTIF($B$2:$B$492,$B77))&gt;='Parametri Modello'!$B$63,"Top",IF((1-(COUNTIFS($B$2:$B$492,$B77,$O$2:$O$492,"&gt;"&amp;$O77)+1-1)/COUNTIF($B$2:$B$492,$B77))&gt;='Parametri Modello'!$B$64,"Buono",IF((1-(COUNTIFS($B$2:$B$492,$B77,$O$2:$O$492,"&gt;"&amp;$O77)+1-1)/COUNTIF($B$2:$B$492,$B77))&gt;='Parametri Modello'!$B$65,"Nella Media","Scommessa/Riserva")))),"")</f>
        <v>Buono</v>
      </c>
      <c r="Q77" s="26">
        <f>IF(AND($D77="",$N77&gt;1),SUMPRODUCT(($D$2:$D77="")*($N$2:$N77&gt;1)),"")</f>
        <v>76</v>
      </c>
      <c r="R77" s="26" t="str">
        <f>IF($D77='Info Lega'!$B$28,COUNTIFS($D$2:$D77,'Info Lega'!$B$28),"")</f>
        <v/>
      </c>
      <c r="S77" s="27">
        <f>IFERROR(INDEX('Input Statistiche 2025_26'!$G$3:$G$665,MATCH($A77,'Input Statistiche 2025_26'!$A$3:$A$665,0)),"")</f>
        <v>6.26</v>
      </c>
      <c r="T77" s="27">
        <f>IFERROR(INDEX('Input Statistiche 2025_26'!$H$3:$H$665,MATCH($A77,'Input Statistiche 2025_26'!$A$3:$A$665,0)),"")</f>
        <v>6.53</v>
      </c>
      <c r="U77" s="23" t="str">
        <f>IF(OR('La Mia Rosa'!$O$12="",$D77&lt;&gt;""),"",IF($F77&lt;='La Mia Rosa'!$O$12*'Parametri Modello'!$B$24,"OK",IF($F77&lt;='La Mia Rosa'!$O$12*'Parametri Modello'!$B$25,"Attenzione","Rischio Alto")))</f>
        <v>OK</v>
      </c>
      <c r="V77" s="23">
        <f t="shared" si="10"/>
        <v>25</v>
      </c>
      <c r="W77" s="18">
        <f>'Info Lega'!$B$4-SUMIFS($M$2:$M$492,$D$2:$D$492,'Info Lega'!$B$28)</f>
        <v>1000</v>
      </c>
      <c r="X77" s="18">
        <f>('Info Lega'!$B$5-COUNTIFS($D$2:$D$492,'Info Lega'!$B$28,$B$2:$B$492,"P"))+('Info Lega'!$B$6-COUNTIFS($D$2:$D$492,'Info Lega'!$B$28,$B$2:$B$492,"D"))+('Info Lega'!$B$7-COUNTIFS($D$2:$D$492,'Info Lega'!$B$28,$B$2:$B$492,"C"))+('Info Lega'!$B$8-COUNTIFS($D$2:$D$492,'Info Lega'!$B$28,$B$2:$B$492,"A"))</f>
        <v>25</v>
      </c>
      <c r="Y77" s="18">
        <f>X77*'Parametri Modello'!$B$30</f>
        <v>25</v>
      </c>
      <c r="Z77" s="18">
        <f t="shared" si="11"/>
        <v>975</v>
      </c>
      <c r="AA77" s="18">
        <f t="shared" si="12"/>
        <v>28</v>
      </c>
      <c r="AB77" s="18"/>
      <c r="AC77" s="18" t="str">
        <f>IF($AB77="","",IF($AB77&gt;$AA77,"PASS",IF($AB77&lt;=$AA77*(1-'Parametri Modello'!$B$68),"BID","ATTENZIONE")))</f>
        <v/>
      </c>
      <c r="AD77" s="28">
        <f t="shared" si="13"/>
        <v>62</v>
      </c>
      <c r="AE77" s="5" t="str">
        <f>IFERROR(IF($AF77="Titolare",INDEX('Stato Asta'!$G$9:$G$12,MATCH($B77,'Stato Asta'!$A$9:$A$12,0)),INDEX('Stato Asta'!$P$9:$P$12,MATCH($B77,'Stato Asta'!$A$9:$A$12,0))),"")</f>
        <v>🟡 Attesa rischiosa</v>
      </c>
      <c r="AF77" t="str">
        <f>IFERROR(IF($V77&lt;=INDEX('Parametri Modello'!$C$57:$C$60,MATCH($B77,'Parametri Modello'!$A$57:$A$60,0)),"Titolare","Riserva"),"")</f>
        <v>Titolare</v>
      </c>
      <c r="AG77" t="str">
        <f>IFERROR(INDEX('Pressione Competitiva'!$F$3:$F$6,MATCH($B77,'Pressione Competitiva'!$B$3:$B$6,0)),"")</f>
        <v>🔴 Molto Alta</v>
      </c>
      <c r="AH77" t="str">
        <f t="shared" si="14"/>
        <v/>
      </c>
      <c r="AI77" t="str">
        <f>IFERROR(IF($AH77="","",IF($AH77&gt;=$AA77*'Parametri Modello'!$B$68,"🟢 Opportunita'",IF($AH77&lt;=$AA77*'Parametri Modello'!$B$69,"🔴 Sovrapprezzo","🟡 Prezzo Corretto"))),"")</f>
        <v/>
      </c>
      <c r="AJ77" t="str">
        <f t="shared" si="15"/>
        <v/>
      </c>
      <c r="AK77">
        <f t="shared" si="16"/>
        <v>7</v>
      </c>
      <c r="AL77" t="str">
        <f t="shared" si="17"/>
        <v>C|Buono|7</v>
      </c>
    </row>
    <row r="78" spans="1:38" ht="14.25" customHeight="1" x14ac:dyDescent="0.25">
      <c r="A78" s="18">
        <v>152</v>
      </c>
      <c r="B78" s="18" t="s">
        <v>264</v>
      </c>
      <c r="C78" s="18" t="s">
        <v>292</v>
      </c>
      <c r="E78" s="23" t="str">
        <f>IF(COUNTIF('Info Strategia'!$D$2:$D$51,$C78)&gt;0,"SI","NO")</f>
        <v>NO</v>
      </c>
      <c r="F78" s="24">
        <f>IFERROR(ROUND(($G78+($H78-$G78)*'Info Strategia'!$B$6)*(1+IF($E78="SI",'Parametri Modello'!$B$7*'Info Strategia'!$B$6,0)),0),"")</f>
        <v>27</v>
      </c>
      <c r="G78" s="24">
        <f>IFERROR(ROUND(MAX(1,(IF($V78&lt;=INDEX('Parametri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19</v>
      </c>
      <c r="H78" s="24">
        <f>IFERROR(ROUND((IF($V78&lt;=INDEX('Parametri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31</v>
      </c>
      <c r="I78" s="23">
        <f>IFERROR(INDEX('Input Statistiche 2025_26'!$F$3:$F$665,MATCH($A78,'Input Statistiche 2025_26'!$A$3:$A$665,0)),"")</f>
        <v>30</v>
      </c>
      <c r="J78" s="23">
        <f t="shared" si="9"/>
        <v>8</v>
      </c>
      <c r="K78" s="23">
        <f>IFERROR(INDEX('Input Statistiche 2025_26'!$I$3:$I$665,MATCH($A78,'Input Statistiche 2025_26'!$A$3:$A$665,0)),"")</f>
        <v>6</v>
      </c>
      <c r="L78" s="23">
        <f>IFERROR(INDEX('Input Statistiche 2025_26'!$O$3:$O$665,MATCH($A78,'Input Statistiche 2025_26'!$A$3:$A$665,0)),"")</f>
        <v>2</v>
      </c>
      <c r="M78" s="25"/>
      <c r="N78" s="24">
        <f>IFERROR(INDEX('Input Giocatori 2026_27'!$E$3:$E$493,MATCH($A78,'Input Giocatori 2026_27'!$A$3:$A$493,0)),"")</f>
        <v>10</v>
      </c>
      <c r="O78" s="24">
        <f>IFERROR(INDEX('Input Giocatori 2026_27'!$G$3:$G$493,MATCH($A78,'Input Giocatori 2026_27'!$A$3:$A$493,0)),"")</f>
        <v>41</v>
      </c>
      <c r="P78" s="23" t="str">
        <f>IFERROR(IF($O78="","",IF((1-(COUNTIFS($B$2:$B$492,$B78,$O$2:$O$492,"&gt;"&amp;$O78)+1-1)/COUNTIF($B$2:$B$492,$B78))&gt;='Parametri Modello'!$B$63,"Top",IF((1-(COUNTIFS($B$2:$B$492,$B78,$O$2:$O$492,"&gt;"&amp;$O78)+1-1)/COUNTIF($B$2:$B$492,$B78))&gt;='Parametri Modello'!$B$64,"Buono",IF((1-(COUNTIFS($B$2:$B$492,$B78,$O$2:$O$492,"&gt;"&amp;$O78)+1-1)/COUNTIF($B$2:$B$492,$B78))&gt;='Parametri Modello'!$B$65,"Nella Media","Scommessa/Riserva")))),"")</f>
        <v>Buono</v>
      </c>
      <c r="Q78" s="26">
        <f>IF(AND($D78="",$N78&gt;1),SUMPRODUCT(($D$2:$D78="")*($N$2:$N78&gt;1)),"")</f>
        <v>77</v>
      </c>
      <c r="R78" s="26" t="str">
        <f>IF($D78='Info Lega'!$B$28,COUNTIFS($D$2:$D78,'Info Lega'!$B$28),"")</f>
        <v/>
      </c>
      <c r="S78" s="27">
        <f>IFERROR(INDEX('Input Statistiche 2025_26'!$G$3:$G$665,MATCH($A78,'Input Statistiche 2025_26'!$A$3:$A$665,0)),"")</f>
        <v>6.25</v>
      </c>
      <c r="T78" s="27">
        <f>IFERROR(INDEX('Input Statistiche 2025_26'!$H$3:$H$665,MATCH($A78,'Input Statistiche 2025_26'!$A$3:$A$665,0)),"")</f>
        <v>6.8</v>
      </c>
      <c r="U78" s="23" t="str">
        <f>IF(OR('La Mia Rosa'!$O$12="",$D78&lt;&gt;""),"",IF($F78&lt;='La Mia Rosa'!$O$12*'Parametri Modello'!$B$24,"OK",IF($F78&lt;='La Mia Rosa'!$O$12*'Parametri Modello'!$B$25,"Attenzione","Rischio Alto")))</f>
        <v>OK</v>
      </c>
      <c r="V78" s="23">
        <f t="shared" si="10"/>
        <v>27</v>
      </c>
      <c r="W78" s="18">
        <f>'Info Lega'!$B$4-SUMIFS($M$2:$M$492,$D$2:$D$492,'Info Lega'!$B$28)</f>
        <v>1000</v>
      </c>
      <c r="X78" s="18">
        <f>('Info Lega'!$B$5-COUNTIFS($D$2:$D$492,'Info Lega'!$B$28,$B$2:$B$492,"P"))+('Info Lega'!$B$6-COUNTIFS($D$2:$D$492,'Info Lega'!$B$28,$B$2:$B$492,"D"))+('Info Lega'!$B$7-COUNTIFS($D$2:$D$492,'Info Lega'!$B$28,$B$2:$B$492,"C"))+('Info Lega'!$B$8-COUNTIFS($D$2:$D$492,'Info Lega'!$B$28,$B$2:$B$492,"A"))</f>
        <v>25</v>
      </c>
      <c r="Y78" s="18">
        <f>X78*'Parametri Modello'!$B$30</f>
        <v>25</v>
      </c>
      <c r="Z78" s="18">
        <f t="shared" si="11"/>
        <v>975</v>
      </c>
      <c r="AA78" s="18">
        <f t="shared" si="12"/>
        <v>27</v>
      </c>
      <c r="AB78" s="18"/>
      <c r="AC78" s="18" t="str">
        <f>IF($AB78="","",IF($AB78&gt;$AA78,"PASS",IF($AB78&lt;=$AA78*(1-'Parametri Modello'!$B$68),"BID","ATTENZIONE")))</f>
        <v/>
      </c>
      <c r="AD78" s="28">
        <f t="shared" si="13"/>
        <v>63</v>
      </c>
      <c r="AE78" s="5" t="str">
        <f>IFERROR(IF($AF78="Titolare",INDEX('Stato Asta'!$G$9:$G$12,MATCH($B78,'Stato Asta'!$A$9:$A$12,0)),INDEX('Stato Asta'!$P$9:$P$12,MATCH($B78,'Stato Asta'!$A$9:$A$12,0))),"")</f>
        <v>🟡 Attesa rischiosa</v>
      </c>
      <c r="AF78" t="str">
        <f>IFERROR(IF($V78&lt;=INDEX('Parametri Modello'!$C$57:$C$60,MATCH($B78,'Parametri Modello'!$A$57:$A$60,0)),"Titolare","Riserva"),"")</f>
        <v>Titolare</v>
      </c>
      <c r="AG78" t="str">
        <f>IFERROR(INDEX('Pressione Competitiva'!$F$3:$F$6,MATCH($B78,'Pressione Competitiva'!$B$3:$B$6,0)),"")</f>
        <v>🔴 Molto Alta</v>
      </c>
      <c r="AH78" t="str">
        <f t="shared" si="14"/>
        <v/>
      </c>
      <c r="AI78" t="str">
        <f>IFERROR(IF($AH78="","",IF($AH78&gt;=$AA78*'Parametri Modello'!$B$68,"🟢 Opportunita'",IF($AH78&lt;=$AA78*'Parametri Modello'!$B$69,"🔴 Sovrapprezzo","🟡 Prezzo Corretto"))),"")</f>
        <v/>
      </c>
      <c r="AJ78" t="str">
        <f t="shared" si="15"/>
        <v/>
      </c>
      <c r="AK78">
        <f t="shared" si="16"/>
        <v>9</v>
      </c>
      <c r="AL78" t="str">
        <f t="shared" si="17"/>
        <v>C|Buono|9</v>
      </c>
    </row>
    <row r="79" spans="1:38" ht="14.25" customHeight="1" x14ac:dyDescent="0.25">
      <c r="A79" s="18">
        <v>5562</v>
      </c>
      <c r="B79" s="18" t="s">
        <v>264</v>
      </c>
      <c r="C79" s="18" t="s">
        <v>293</v>
      </c>
      <c r="E79" s="23" t="str">
        <f>IF(COUNTIF('Info Strategia'!$D$2:$D$51,$C79)&gt;0,"SI","NO")</f>
        <v>NO</v>
      </c>
      <c r="F79" s="24">
        <f>IFERROR(ROUND(($G79+($H79-$G79)*'Info Strategia'!$B$6)*(1+IF($E79="SI",'Parametri Modello'!$B$7*'Info Strategia'!$B$6,0)),0),"")</f>
        <v>27</v>
      </c>
      <c r="G79" s="24">
        <f>IFERROR(ROUND(MAX(1,(IF($V79&lt;=INDEX('Parametri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19</v>
      </c>
      <c r="H79" s="24">
        <f>IFERROR(ROUND((IF($V79&lt;=INDEX('Parametri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31</v>
      </c>
      <c r="I79" s="23">
        <f>IFERROR(INDEX('Input Statistiche 2025_26'!$F$3:$F$665,MATCH($A79,'Input Statistiche 2025_26'!$A$3:$A$665,0)),"")</f>
        <v>34</v>
      </c>
      <c r="J79" s="23">
        <f t="shared" si="9"/>
        <v>4</v>
      </c>
      <c r="K79" s="23">
        <f>IFERROR(INDEX('Input Statistiche 2025_26'!$I$3:$I$665,MATCH($A79,'Input Statistiche 2025_26'!$A$3:$A$665,0)),"")</f>
        <v>3</v>
      </c>
      <c r="L79" s="23">
        <f>IFERROR(INDEX('Input Statistiche 2025_26'!$O$3:$O$665,MATCH($A79,'Input Statistiche 2025_26'!$A$3:$A$665,0)),"")</f>
        <v>2</v>
      </c>
      <c r="M79" s="25"/>
      <c r="N79" s="24">
        <f>IFERROR(INDEX('Input Giocatori 2026_27'!$E$3:$E$493,MATCH($A79,'Input Giocatori 2026_27'!$A$3:$A$493,0)),"")</f>
        <v>10</v>
      </c>
      <c r="O79" s="24">
        <f>IFERROR(INDEX('Input Giocatori 2026_27'!$G$3:$G$493,MATCH($A79,'Input Giocatori 2026_27'!$A$3:$A$493,0)),"")</f>
        <v>41</v>
      </c>
      <c r="P79" s="23" t="str">
        <f>IFERROR(IF($O79="","",IF((1-(COUNTIFS($B$2:$B$492,$B79,$O$2:$O$492,"&gt;"&amp;$O79)+1-1)/COUNTIF($B$2:$B$492,$B79))&gt;='Parametri Modello'!$B$63,"Top",IF((1-(COUNTIFS($B$2:$B$492,$B79,$O$2:$O$492,"&gt;"&amp;$O79)+1-1)/COUNTIF($B$2:$B$492,$B79))&gt;='Parametri Modello'!$B$64,"Buono",IF((1-(COUNTIFS($B$2:$B$492,$B79,$O$2:$O$492,"&gt;"&amp;$O79)+1-1)/COUNTIF($B$2:$B$492,$B79))&gt;='Parametri Modello'!$B$65,"Nella Media","Scommessa/Riserva")))),"")</f>
        <v>Buono</v>
      </c>
      <c r="Q79" s="26">
        <f>IF(AND($D79="",$N79&gt;1),SUMPRODUCT(($D$2:$D79="")*($N$2:$N79&gt;1)),"")</f>
        <v>78</v>
      </c>
      <c r="R79" s="26" t="str">
        <f>IF($D79='Info Lega'!$B$28,COUNTIFS($D$2:$D79,'Info Lega'!$B$28),"")</f>
        <v/>
      </c>
      <c r="S79" s="27">
        <f>IFERROR(INDEX('Input Statistiche 2025_26'!$G$3:$G$665,MATCH($A79,'Input Statistiche 2025_26'!$A$3:$A$665,0)),"")</f>
        <v>6.1</v>
      </c>
      <c r="T79" s="27">
        <f>IFERROR(INDEX('Input Statistiche 2025_26'!$H$3:$H$665,MATCH($A79,'Input Statistiche 2025_26'!$A$3:$A$665,0)),"")</f>
        <v>6.4</v>
      </c>
      <c r="U79" s="23" t="str">
        <f>IF(OR('La Mia Rosa'!$O$12="",$D79&lt;&gt;""),"",IF($F79&lt;='La Mia Rosa'!$O$12*'Parametri Modello'!$B$24,"OK",IF($F79&lt;='La Mia Rosa'!$O$12*'Parametri Modello'!$B$25,"Attenzione","Rischio Alto")))</f>
        <v>OK</v>
      </c>
      <c r="V79" s="23">
        <f t="shared" si="10"/>
        <v>27</v>
      </c>
      <c r="W79" s="18">
        <f>'Info Lega'!$B$4-SUMIFS($M$2:$M$492,$D$2:$D$492,'Info Lega'!$B$28)</f>
        <v>1000</v>
      </c>
      <c r="X79" s="18">
        <f>('Info Lega'!$B$5-COUNTIFS($D$2:$D$492,'Info Lega'!$B$28,$B$2:$B$492,"P"))+('Info Lega'!$B$6-COUNTIFS($D$2:$D$492,'Info Lega'!$B$28,$B$2:$B$492,"D"))+('Info Lega'!$B$7-COUNTIFS($D$2:$D$492,'Info Lega'!$B$28,$B$2:$B$492,"C"))+('Info Lega'!$B$8-COUNTIFS($D$2:$D$492,'Info Lega'!$B$28,$B$2:$B$492,"A"))</f>
        <v>25</v>
      </c>
      <c r="Y79" s="18">
        <f>X79*'Parametri Modello'!$B$30</f>
        <v>25</v>
      </c>
      <c r="Z79" s="18">
        <f t="shared" si="11"/>
        <v>975</v>
      </c>
      <c r="AA79" s="18">
        <f t="shared" si="12"/>
        <v>27</v>
      </c>
      <c r="AB79" s="18"/>
      <c r="AC79" s="18" t="str">
        <f>IF($AB79="","",IF($AB79&gt;$AA79,"PASS",IF($AB79&lt;=$AA79*(1-'Parametri Modello'!$B$68),"BID","ATTENZIONE")))</f>
        <v/>
      </c>
      <c r="AD79" s="28">
        <f t="shared" si="13"/>
        <v>68</v>
      </c>
      <c r="AE79" s="5" t="str">
        <f>IFERROR(IF($AF79="Titolare",INDEX('Stato Asta'!$G$9:$G$12,MATCH($B79,'Stato Asta'!$A$9:$A$12,0)),INDEX('Stato Asta'!$P$9:$P$12,MATCH($B79,'Stato Asta'!$A$9:$A$12,0))),"")</f>
        <v>🟡 Attesa rischiosa</v>
      </c>
      <c r="AF79" t="str">
        <f>IFERROR(IF($V79&lt;=INDEX('Parametri Modello'!$C$57:$C$60,MATCH($B79,'Parametri Modello'!$A$57:$A$60,0)),"Titolare","Riserva"),"")</f>
        <v>Titolare</v>
      </c>
      <c r="AG79" t="str">
        <f>IFERROR(INDEX('Pressione Competitiva'!$F$3:$F$6,MATCH($B79,'Pressione Competitiva'!$B$3:$B$6,0)),"")</f>
        <v>🔴 Molto Alta</v>
      </c>
      <c r="AH79" t="str">
        <f t="shared" si="14"/>
        <v/>
      </c>
      <c r="AI79" t="str">
        <f>IFERROR(IF($AH79="","",IF($AH79&gt;=$AA79*'Parametri Modello'!$B$68,"🟢 Opportunita'",IF($AH79&lt;=$AA79*'Parametri Modello'!$B$69,"🔴 Sovrapprezzo","🟡 Prezzo Corretto"))),"")</f>
        <v/>
      </c>
      <c r="AJ79" t="str">
        <f t="shared" si="15"/>
        <v/>
      </c>
      <c r="AK79">
        <f t="shared" si="16"/>
        <v>9</v>
      </c>
      <c r="AL79" t="str">
        <f t="shared" si="17"/>
        <v>C|Buono|9</v>
      </c>
    </row>
    <row r="80" spans="1:38" ht="14.25" customHeight="1" x14ac:dyDescent="0.25">
      <c r="A80" s="18">
        <v>5844</v>
      </c>
      <c r="B80" s="18" t="s">
        <v>264</v>
      </c>
      <c r="C80" s="18" t="s">
        <v>297</v>
      </c>
      <c r="E80" s="23" t="str">
        <f>IF(COUNTIF('Info Strategia'!$D$2:$D$51,$C80)&gt;0,"SI","NO")</f>
        <v>NO</v>
      </c>
      <c r="F80" s="24">
        <f>IFERROR(ROUND(($G80+($H80-$G80)*'Info Strategia'!$B$6)*(1+IF($E80="SI",'Parametri Modello'!$B$7*'Info Strategia'!$B$6,0)),0),"")</f>
        <v>27</v>
      </c>
      <c r="G80" s="24">
        <f>IFERROR(ROUND(MAX(1,(IF($V80&lt;=INDEX('Parametri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19</v>
      </c>
      <c r="H80" s="24">
        <f>IFERROR(ROUND((IF($V80&lt;=INDEX('Parametri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31</v>
      </c>
      <c r="I80" s="23">
        <f>IFERROR(INDEX('Input Statistiche 2025_26'!$F$3:$F$665,MATCH($A80,'Input Statistiche 2025_26'!$A$3:$A$665,0)),"")</f>
        <v>31</v>
      </c>
      <c r="J80" s="23">
        <f t="shared" si="9"/>
        <v>7</v>
      </c>
      <c r="K80" s="23">
        <f>IFERROR(INDEX('Input Statistiche 2025_26'!$I$3:$I$665,MATCH($A80,'Input Statistiche 2025_26'!$A$3:$A$665,0)),"")</f>
        <v>4</v>
      </c>
      <c r="L80" s="23">
        <f>IFERROR(INDEX('Input Statistiche 2025_26'!$O$3:$O$665,MATCH($A80,'Input Statistiche 2025_26'!$A$3:$A$665,0)),"")</f>
        <v>3</v>
      </c>
      <c r="M80" s="25"/>
      <c r="N80" s="24">
        <f>IFERROR(INDEX('Input Giocatori 2026_27'!$E$3:$E$493,MATCH($A80,'Input Giocatori 2026_27'!$A$3:$A$493,0)),"")</f>
        <v>10</v>
      </c>
      <c r="O80" s="24">
        <f>IFERROR(INDEX('Input Giocatori 2026_27'!$G$3:$G$493,MATCH($A80,'Input Giocatori 2026_27'!$A$3:$A$493,0)),"")</f>
        <v>41</v>
      </c>
      <c r="P80" s="23" t="str">
        <f>IFERROR(IF($O80="","",IF((1-(COUNTIFS($B$2:$B$492,$B80,$O$2:$O$492,"&gt;"&amp;$O80)+1-1)/COUNTIF($B$2:$B$492,$B80))&gt;='Parametri Modello'!$B$63,"Top",IF((1-(COUNTIFS($B$2:$B$492,$B80,$O$2:$O$492,"&gt;"&amp;$O80)+1-1)/COUNTIF($B$2:$B$492,$B80))&gt;='Parametri Modello'!$B$64,"Buono",IF((1-(COUNTIFS($B$2:$B$492,$B80,$O$2:$O$492,"&gt;"&amp;$O80)+1-1)/COUNTIF($B$2:$B$492,$B80))&gt;='Parametri Modello'!$B$65,"Nella Media","Scommessa/Riserva")))),"")</f>
        <v>Buono</v>
      </c>
      <c r="Q80" s="26">
        <f>IF(AND($D80="",$N80&gt;1),SUMPRODUCT(($D$2:$D80="")*($N$2:$N80&gt;1)),"")</f>
        <v>79</v>
      </c>
      <c r="R80" s="26" t="str">
        <f>IF($D80='Info Lega'!$B$28,COUNTIFS($D$2:$D80,'Info Lega'!$B$28),"")</f>
        <v/>
      </c>
      <c r="S80" s="27">
        <f>IFERROR(INDEX('Input Statistiche 2025_26'!$G$3:$G$665,MATCH($A80,'Input Statistiche 2025_26'!$A$3:$A$665,0)),"")</f>
        <v>6.15</v>
      </c>
      <c r="T80" s="27">
        <f>IFERROR(INDEX('Input Statistiche 2025_26'!$H$3:$H$665,MATCH($A80,'Input Statistiche 2025_26'!$A$3:$A$665,0)),"")</f>
        <v>6.48</v>
      </c>
      <c r="U80" s="23" t="str">
        <f>IF(OR('La Mia Rosa'!$O$12="",$D80&lt;&gt;""),"",IF($F80&lt;='La Mia Rosa'!$O$12*'Parametri Modello'!$B$24,"OK",IF($F80&lt;='La Mia Rosa'!$O$12*'Parametri Modello'!$B$25,"Attenzione","Rischio Alto")))</f>
        <v>OK</v>
      </c>
      <c r="V80" s="23">
        <f t="shared" si="10"/>
        <v>27</v>
      </c>
      <c r="W80" s="18">
        <f>'Info Lega'!$B$4-SUMIFS($M$2:$M$492,$D$2:$D$492,'Info Lega'!$B$28)</f>
        <v>1000</v>
      </c>
      <c r="X80" s="18">
        <f>('Info Lega'!$B$5-COUNTIFS($D$2:$D$492,'Info Lega'!$B$28,$B$2:$B$492,"P"))+('Info Lega'!$B$6-COUNTIFS($D$2:$D$492,'Info Lega'!$B$28,$B$2:$B$492,"D"))+('Info Lega'!$B$7-COUNTIFS($D$2:$D$492,'Info Lega'!$B$28,$B$2:$B$492,"C"))+('Info Lega'!$B$8-COUNTIFS($D$2:$D$492,'Info Lega'!$B$28,$B$2:$B$492,"A"))</f>
        <v>25</v>
      </c>
      <c r="Y80" s="18">
        <f>X80*'Parametri Modello'!$B$30</f>
        <v>25</v>
      </c>
      <c r="Z80" s="18">
        <f t="shared" si="11"/>
        <v>975</v>
      </c>
      <c r="AA80" s="18">
        <f t="shared" si="12"/>
        <v>27</v>
      </c>
      <c r="AB80" s="18"/>
      <c r="AC80" s="18" t="str">
        <f>IF($AB80="","",IF($AB80&gt;$AA80,"PASS",IF($AB80&lt;=$AA80*(1-'Parametri Modello'!$B$68),"BID","ATTENZIONE")))</f>
        <v/>
      </c>
      <c r="AD80" s="28">
        <f t="shared" si="13"/>
        <v>64</v>
      </c>
      <c r="AE80" s="5" t="str">
        <f>IFERROR(IF($AF80="Titolare",INDEX('Stato Asta'!$G$9:$G$12,MATCH($B80,'Stato Asta'!$A$9:$A$12,0)),INDEX('Stato Asta'!$P$9:$P$12,MATCH($B80,'Stato Asta'!$A$9:$A$12,0))),"")</f>
        <v>🟡 Attesa rischiosa</v>
      </c>
      <c r="AF80" t="str">
        <f>IFERROR(IF($V80&lt;=INDEX('Parametri Modello'!$C$57:$C$60,MATCH($B80,'Parametri Modello'!$A$57:$A$60,0)),"Titolare","Riserva"),"")</f>
        <v>Titolare</v>
      </c>
      <c r="AG80" t="str">
        <f>IFERROR(INDEX('Pressione Competitiva'!$F$3:$F$6,MATCH($B80,'Pressione Competitiva'!$B$3:$B$6,0)),"")</f>
        <v>🔴 Molto Alta</v>
      </c>
      <c r="AH80" t="str">
        <f t="shared" si="14"/>
        <v/>
      </c>
      <c r="AI80" t="str">
        <f>IFERROR(IF($AH80="","",IF($AH80&gt;=$AA80*'Parametri Modello'!$B$68,"🟢 Opportunita'",IF($AH80&lt;=$AA80*'Parametri Modello'!$B$69,"🔴 Sovrapprezzo","🟡 Prezzo Corretto"))),"")</f>
        <v/>
      </c>
      <c r="AJ80" t="str">
        <f t="shared" si="15"/>
        <v/>
      </c>
      <c r="AK80">
        <f t="shared" si="16"/>
        <v>9</v>
      </c>
      <c r="AL80" t="str">
        <f t="shared" si="17"/>
        <v>C|Buono|9</v>
      </c>
    </row>
    <row r="81" spans="1:38" ht="14.25" customHeight="1" x14ac:dyDescent="0.25">
      <c r="A81" s="18">
        <v>6684</v>
      </c>
      <c r="B81" s="18" t="s">
        <v>264</v>
      </c>
      <c r="C81" s="18" t="s">
        <v>299</v>
      </c>
      <c r="E81" s="23" t="str">
        <f>IF(COUNTIF('Info Strategia'!$D$2:$D$51,$C81)&gt;0,"SI","NO")</f>
        <v>NO</v>
      </c>
      <c r="F81" s="24">
        <f>IFERROR(ROUND(($G81+($H81-$G81)*'Info Strategia'!$B$6)*(1+IF($E81="SI",'Parametri Modello'!$B$7*'Info Strategia'!$B$6,0)),0),"")</f>
        <v>27</v>
      </c>
      <c r="G81" s="24">
        <f>IFERROR(ROUND(MAX(1,(IF($V81&lt;=INDEX('Parametri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19</v>
      </c>
      <c r="H81" s="24">
        <f>IFERROR(ROUND((IF($V81&lt;=INDEX('Parametri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31</v>
      </c>
      <c r="I81" s="23">
        <f>IFERROR(INDEX('Input Statistiche 2025_26'!$F$3:$F$665,MATCH($A81,'Input Statistiche 2025_26'!$A$3:$A$665,0)),"")</f>
        <v>31</v>
      </c>
      <c r="J81" s="23">
        <f t="shared" si="9"/>
        <v>7</v>
      </c>
      <c r="K81" s="23">
        <f>IFERROR(INDEX('Input Statistiche 2025_26'!$I$3:$I$665,MATCH($A81,'Input Statistiche 2025_26'!$A$3:$A$665,0)),"")</f>
        <v>5</v>
      </c>
      <c r="L81" s="23">
        <f>IFERROR(INDEX('Input Statistiche 2025_26'!$O$3:$O$665,MATCH($A81,'Input Statistiche 2025_26'!$A$3:$A$665,0)),"")</f>
        <v>3</v>
      </c>
      <c r="M81" s="25"/>
      <c r="N81" s="24">
        <f>IFERROR(INDEX('Input Giocatori 2026_27'!$E$3:$E$493,MATCH($A81,'Input Giocatori 2026_27'!$A$3:$A$493,0)),"")</f>
        <v>10</v>
      </c>
      <c r="O81" s="24">
        <f>IFERROR(INDEX('Input Giocatori 2026_27'!$G$3:$G$493,MATCH($A81,'Input Giocatori 2026_27'!$A$3:$A$493,0)),"")</f>
        <v>41</v>
      </c>
      <c r="P81" s="23" t="str">
        <f>IFERROR(IF($O81="","",IF((1-(COUNTIFS($B$2:$B$492,$B81,$O$2:$O$492,"&gt;"&amp;$O81)+1-1)/COUNTIF($B$2:$B$492,$B81))&gt;='Parametri Modello'!$B$63,"Top",IF((1-(COUNTIFS($B$2:$B$492,$B81,$O$2:$O$492,"&gt;"&amp;$O81)+1-1)/COUNTIF($B$2:$B$492,$B81))&gt;='Parametri Modello'!$B$64,"Buono",IF((1-(COUNTIFS($B$2:$B$492,$B81,$O$2:$O$492,"&gt;"&amp;$O81)+1-1)/COUNTIF($B$2:$B$492,$B81))&gt;='Parametri Modello'!$B$65,"Nella Media","Scommessa/Riserva")))),"")</f>
        <v>Buono</v>
      </c>
      <c r="Q81" s="26">
        <f>IF(AND($D81="",$N81&gt;1),SUMPRODUCT(($D$2:$D81="")*($N$2:$N81&gt;1)),"")</f>
        <v>80</v>
      </c>
      <c r="R81" s="26" t="str">
        <f>IF($D81='Info Lega'!$B$28,COUNTIFS($D$2:$D81,'Info Lega'!$B$28),"")</f>
        <v/>
      </c>
      <c r="S81" s="27">
        <f>IFERROR(INDEX('Input Statistiche 2025_26'!$G$3:$G$665,MATCH($A81,'Input Statistiche 2025_26'!$A$3:$A$665,0)),"")</f>
        <v>6.05</v>
      </c>
      <c r="T81" s="27">
        <f>IFERROR(INDEX('Input Statistiche 2025_26'!$H$3:$H$665,MATCH($A81,'Input Statistiche 2025_26'!$A$3:$A$665,0)),"")</f>
        <v>6.61</v>
      </c>
      <c r="U81" s="23" t="str">
        <f>IF(OR('La Mia Rosa'!$O$12="",$D81&lt;&gt;""),"",IF($F81&lt;='La Mia Rosa'!$O$12*'Parametri Modello'!$B$24,"OK",IF($F81&lt;='La Mia Rosa'!$O$12*'Parametri Modello'!$B$25,"Attenzione","Rischio Alto")))</f>
        <v>OK</v>
      </c>
      <c r="V81" s="23">
        <f t="shared" si="10"/>
        <v>27</v>
      </c>
      <c r="W81" s="18">
        <f>'Info Lega'!$B$4-SUMIFS($M$2:$M$492,$D$2:$D$492,'Info Lega'!$B$28)</f>
        <v>1000</v>
      </c>
      <c r="X81" s="18">
        <f>('Info Lega'!$B$5-COUNTIFS($D$2:$D$492,'Info Lega'!$B$28,$B$2:$B$492,"P"))+('Info Lega'!$B$6-COUNTIFS($D$2:$D$492,'Info Lega'!$B$28,$B$2:$B$492,"D"))+('Info Lega'!$B$7-COUNTIFS($D$2:$D$492,'Info Lega'!$B$28,$B$2:$B$492,"C"))+('Info Lega'!$B$8-COUNTIFS($D$2:$D$492,'Info Lega'!$B$28,$B$2:$B$492,"A"))</f>
        <v>25</v>
      </c>
      <c r="Y81" s="18">
        <f>X81*'Parametri Modello'!$B$30</f>
        <v>25</v>
      </c>
      <c r="Z81" s="18">
        <f t="shared" si="11"/>
        <v>975</v>
      </c>
      <c r="AA81" s="18">
        <f t="shared" si="12"/>
        <v>27</v>
      </c>
      <c r="AB81" s="18"/>
      <c r="AC81" s="18" t="str">
        <f>IF($AB81="","",IF($AB81&gt;$AA81,"PASS",IF($AB81&lt;=$AA81*(1-'Parametri Modello'!$B$68),"BID","ATTENZIONE")))</f>
        <v/>
      </c>
      <c r="AD81" s="28">
        <f t="shared" si="13"/>
        <v>64</v>
      </c>
      <c r="AE81" s="5" t="str">
        <f>IFERROR(IF($AF81="Titolare",INDEX('Stato Asta'!$G$9:$G$12,MATCH($B81,'Stato Asta'!$A$9:$A$12,0)),INDEX('Stato Asta'!$P$9:$P$12,MATCH($B81,'Stato Asta'!$A$9:$A$12,0))),"")</f>
        <v>🟡 Attesa rischiosa</v>
      </c>
      <c r="AF81" t="str">
        <f>IFERROR(IF($V81&lt;=INDEX('Parametri Modello'!$C$57:$C$60,MATCH($B81,'Parametri Modello'!$A$57:$A$60,0)),"Titolare","Riserva"),"")</f>
        <v>Titolare</v>
      </c>
      <c r="AG81" t="str">
        <f>IFERROR(INDEX('Pressione Competitiva'!$F$3:$F$6,MATCH($B81,'Pressione Competitiva'!$B$3:$B$6,0)),"")</f>
        <v>🔴 Molto Alta</v>
      </c>
      <c r="AH81" t="str">
        <f t="shared" si="14"/>
        <v/>
      </c>
      <c r="AI81" t="str">
        <f>IFERROR(IF($AH81="","",IF($AH81&gt;=$AA81*'Parametri Modello'!$B$68,"🟢 Opportunita'",IF($AH81&lt;=$AA81*'Parametri Modello'!$B$69,"🔴 Sovrapprezzo","🟡 Prezzo Corretto"))),"")</f>
        <v/>
      </c>
      <c r="AJ81" t="str">
        <f t="shared" si="15"/>
        <v/>
      </c>
      <c r="AK81">
        <f t="shared" si="16"/>
        <v>9</v>
      </c>
      <c r="AL81" t="str">
        <f t="shared" si="17"/>
        <v>C|Buono|9</v>
      </c>
    </row>
    <row r="82" spans="1:38" ht="14.25" customHeight="1" x14ac:dyDescent="0.25">
      <c r="A82" s="18">
        <v>5876</v>
      </c>
      <c r="B82" s="18" t="s">
        <v>8</v>
      </c>
      <c r="C82" s="18" t="s">
        <v>27</v>
      </c>
      <c r="E82" s="23" t="str">
        <f>IF(COUNTIF('Info Strategia'!$D$2:$D$51,$C82)&gt;0,"SI","NO")</f>
        <v>NO</v>
      </c>
      <c r="F82" s="24">
        <f>IFERROR(ROUND(($G82+($H82-$G82)*'Info Strategia'!$B$6)*(1+IF($E82="SI",'Parametri Modello'!$B$7*'Info Strategia'!$B$6,0)),0),"")</f>
        <v>67</v>
      </c>
      <c r="G82" s="24">
        <f>IFERROR(ROUND(MAX(1,(IF($V82&lt;=INDEX('Parametri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54</v>
      </c>
      <c r="H82" s="24">
        <f>IFERROR(ROUND((IF($V82&lt;=INDEX('Parametri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73</v>
      </c>
      <c r="I82" s="23">
        <f>IFERROR(INDEX('Input Statistiche 2025_26'!$F$3:$F$665,MATCH($A82,'Input Statistiche 2025_26'!$A$3:$A$665,0)),"")</f>
        <v>30</v>
      </c>
      <c r="J82" s="23">
        <f t="shared" si="9"/>
        <v>8</v>
      </c>
      <c r="K82" s="23">
        <f>IFERROR(INDEX('Input Statistiche 2025_26'!$I$3:$I$665,MATCH($A82,'Input Statistiche 2025_26'!$A$3:$A$665,0)),"")</f>
        <v>0</v>
      </c>
      <c r="L82" s="23">
        <f>IFERROR(INDEX('Input Statistiche 2025_26'!$O$3:$O$665,MATCH($A82,'Input Statistiche 2025_26'!$A$3:$A$665,0)),"")</f>
        <v>0</v>
      </c>
      <c r="M82" s="25"/>
      <c r="N82" s="24">
        <f>IFERROR(INDEX('Input Giocatori 2026_27'!$E$3:$E$493,MATCH($A82,'Input Giocatori 2026_27'!$A$3:$A$493,0)),"")</f>
        <v>9</v>
      </c>
      <c r="O82" s="24">
        <f>IFERROR(INDEX('Input Giocatori 2026_27'!$G$3:$G$493,MATCH($A82,'Input Giocatori 2026_27'!$A$3:$A$493,0)),"")</f>
        <v>40</v>
      </c>
      <c r="P82" s="23" t="str">
        <f>IFERROR(IF($O82="","",IF((1-(COUNTIFS($B$2:$B$492,$B82,$O$2:$O$492,"&gt;"&amp;$O82)+1-1)/COUNTIF($B$2:$B$492,$B82))&gt;='Parametri Modello'!$B$63,"Top",IF((1-(COUNTIFS($B$2:$B$492,$B82,$O$2:$O$492,"&gt;"&amp;$O82)+1-1)/COUNTIF($B$2:$B$492,$B82))&gt;='Parametri Modello'!$B$64,"Buono",IF((1-(COUNTIFS($B$2:$B$492,$B82,$O$2:$O$492,"&gt;"&amp;$O82)+1-1)/COUNTIF($B$2:$B$492,$B82))&gt;='Parametri Modello'!$B$65,"Nella Media","Scommessa/Riserva")))),"")</f>
        <v>Buono</v>
      </c>
      <c r="Q82" s="26">
        <f>IF(AND($D82="",$N82&gt;1),SUMPRODUCT(($D$2:$D82="")*($N$2:$N82&gt;1)),"")</f>
        <v>81</v>
      </c>
      <c r="R82" s="26" t="str">
        <f>IF($D82='Info Lega'!$B$28,COUNTIFS($D$2:$D82,'Info Lega'!$B$28),"")</f>
        <v/>
      </c>
      <c r="S82" s="27">
        <f>IFERROR(INDEX('Input Statistiche 2025_26'!$G$3:$G$665,MATCH($A82,'Input Statistiche 2025_26'!$A$3:$A$665,0)),"")</f>
        <v>6.08</v>
      </c>
      <c r="T82" s="27">
        <f>IFERROR(INDEX('Input Statistiche 2025_26'!$H$3:$H$665,MATCH($A82,'Input Statistiche 2025_26'!$A$3:$A$665,0)),"")</f>
        <v>5.33</v>
      </c>
      <c r="U82" s="23" t="str">
        <f>IF(OR('La Mia Rosa'!$O$12="",$D82&lt;&gt;""),"",IF($F82&lt;='La Mia Rosa'!$O$12*'Parametri Modello'!$B$24,"OK",IF($F82&lt;='La Mia Rosa'!$O$12*'Parametri Modello'!$B$25,"Attenzione","Rischio Alto")))</f>
        <v>Attenzione</v>
      </c>
      <c r="V82" s="23">
        <f t="shared" si="10"/>
        <v>8</v>
      </c>
      <c r="W82" s="18">
        <f>'Info Lega'!$B$4-SUMIFS($M$2:$M$492,$D$2:$D$492,'Info Lega'!$B$28)</f>
        <v>1000</v>
      </c>
      <c r="X82" s="18">
        <f>('Info Lega'!$B$5-COUNTIFS($D$2:$D$492,'Info Lega'!$B$28,$B$2:$B$492,"P"))+('Info Lega'!$B$6-COUNTIFS($D$2:$D$492,'Info Lega'!$B$28,$B$2:$B$492,"D"))+('Info Lega'!$B$7-COUNTIFS($D$2:$D$492,'Info Lega'!$B$28,$B$2:$B$492,"C"))+('Info Lega'!$B$8-COUNTIFS($D$2:$D$492,'Info Lega'!$B$28,$B$2:$B$492,"A"))</f>
        <v>25</v>
      </c>
      <c r="Y82" s="18">
        <f>X82*'Parametri Modello'!$B$30</f>
        <v>25</v>
      </c>
      <c r="Z82" s="18">
        <f t="shared" si="11"/>
        <v>975</v>
      </c>
      <c r="AA82" s="18">
        <f t="shared" si="12"/>
        <v>67</v>
      </c>
      <c r="AB82" s="18"/>
      <c r="AC82" s="18" t="str">
        <f>IF($AB82="","",IF($AB82&gt;$AA82,"PASS",IF($AB82&lt;=$AA82*(1-'Parametri Modello'!$B$68),"BID","ATTENZIONE")))</f>
        <v/>
      </c>
      <c r="AD82" s="28">
        <f t="shared" si="13"/>
        <v>63</v>
      </c>
      <c r="AE82" s="5" t="str">
        <f>IFERROR(IF($AF82="Titolare",INDEX('Stato Asta'!$G$9:$G$12,MATCH($B82,'Stato Asta'!$A$9:$A$12,0)),INDEX('Stato Asta'!$P$9:$P$12,MATCH($B82,'Stato Asta'!$A$9:$A$12,0))),"")</f>
        <v>🟢 Puoi aspettare</v>
      </c>
      <c r="AF82" t="str">
        <f>IFERROR(IF($V82&lt;=INDEX('Parametri Modello'!$C$57:$C$60,MATCH($B82,'Parametri Modello'!$A$57:$A$60,0)),"Titolare","Riserva"),"")</f>
        <v>Titolare</v>
      </c>
      <c r="AG82" t="str">
        <f>IFERROR(INDEX('Pressione Competitiva'!$F$3:$F$6,MATCH($B82,'Pressione Competitiva'!$B$3:$B$6,0)),"")</f>
        <v>🔴 Molto Alta</v>
      </c>
      <c r="AH82" t="str">
        <f t="shared" si="14"/>
        <v/>
      </c>
      <c r="AI82" t="str">
        <f>IFERROR(IF($AH82="","",IF($AH82&gt;=$AA82*'Parametri Modello'!$B$68,"🟢 Opportunita'",IF($AH82&lt;=$AA82*'Parametri Modello'!$B$69,"🔴 Sovrapprezzo","🟡 Prezzo Corretto"))),"")</f>
        <v/>
      </c>
      <c r="AJ82" t="str">
        <f t="shared" si="15"/>
        <v/>
      </c>
      <c r="AK82">
        <f t="shared" si="16"/>
        <v>1</v>
      </c>
      <c r="AL82" t="str">
        <f t="shared" si="17"/>
        <v>P|Buono|1</v>
      </c>
    </row>
    <row r="83" spans="1:38" ht="14.25" customHeight="1" x14ac:dyDescent="0.25">
      <c r="A83" s="18">
        <v>2816</v>
      </c>
      <c r="B83" s="18" t="s">
        <v>88</v>
      </c>
      <c r="C83" s="18" t="s">
        <v>102</v>
      </c>
      <c r="E83" s="23" t="str">
        <f>IF(COUNTIF('Info Strategia'!$D$2:$D$51,$C83)&gt;0,"SI","NO")</f>
        <v>NO</v>
      </c>
      <c r="F83" s="24">
        <f>IFERROR(ROUND(($G83+($H83-$G83)*'Info Strategia'!$B$6)*(1+IF($E83="SI",'Parametri Modello'!$B$7*'Info Strategia'!$B$6,0)),0),"")</f>
        <v>28</v>
      </c>
      <c r="G83" s="24">
        <f>IFERROR(ROUND(MAX(1,(IF($V83&lt;=INDEX('Parametri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20</v>
      </c>
      <c r="H83" s="24">
        <f>IFERROR(ROUND((IF($V83&lt;=INDEX('Parametri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31</v>
      </c>
      <c r="I83" s="23">
        <f>IFERROR(INDEX('Input Statistiche 2025_26'!$F$3:$F$665,MATCH($A83,'Input Statistiche 2025_26'!$A$3:$A$665,0)),"")</f>
        <v>26</v>
      </c>
      <c r="J83" s="23">
        <f t="shared" si="9"/>
        <v>12</v>
      </c>
      <c r="K83" s="23">
        <f>IFERROR(INDEX('Input Statistiche 2025_26'!$I$3:$I$665,MATCH($A83,'Input Statistiche 2025_26'!$A$3:$A$665,0)),"")</f>
        <v>2</v>
      </c>
      <c r="L83" s="23">
        <f>IFERROR(INDEX('Input Statistiche 2025_26'!$O$3:$O$665,MATCH($A83,'Input Statistiche 2025_26'!$A$3:$A$665,0)),"")</f>
        <v>1</v>
      </c>
      <c r="M83" s="25"/>
      <c r="N83" s="24">
        <f>IFERROR(INDEX('Input Giocatori 2026_27'!$E$3:$E$493,MATCH($A83,'Input Giocatori 2026_27'!$A$3:$A$493,0)),"")</f>
        <v>12</v>
      </c>
      <c r="O83" s="24">
        <f>IFERROR(INDEX('Input Giocatori 2026_27'!$G$3:$G$493,MATCH($A83,'Input Giocatori 2026_27'!$A$3:$A$493,0)),"")</f>
        <v>40</v>
      </c>
      <c r="P83" s="23" t="str">
        <f>IFERROR(IF($O83="","",IF((1-(COUNTIFS($B$2:$B$492,$B83,$O$2:$O$492,"&gt;"&amp;$O83)+1-1)/COUNTIF($B$2:$B$492,$B83))&gt;='Parametri Modello'!$B$63,"Top",IF((1-(COUNTIFS($B$2:$B$492,$B83,$O$2:$O$492,"&gt;"&amp;$O83)+1-1)/COUNTIF($B$2:$B$492,$B83))&gt;='Parametri Modello'!$B$64,"Buono",IF((1-(COUNTIFS($B$2:$B$492,$B83,$O$2:$O$492,"&gt;"&amp;$O83)+1-1)/COUNTIF($B$2:$B$492,$B83))&gt;='Parametri Modello'!$B$65,"Nella Media","Scommessa/Riserva")))),"")</f>
        <v>Top</v>
      </c>
      <c r="Q83" s="26">
        <f>IF(AND($D83="",$N83&gt;1),SUMPRODUCT(($D$2:$D83="")*($N$2:$N83&gt;1)),"")</f>
        <v>82</v>
      </c>
      <c r="R83" s="26" t="str">
        <f>IF($D83='Info Lega'!$B$28,COUNTIFS($D$2:$D83,'Info Lega'!$B$28),"")</f>
        <v/>
      </c>
      <c r="S83" s="27">
        <f>IFERROR(INDEX('Input Statistiche 2025_26'!$G$3:$G$665,MATCH($A83,'Input Statistiche 2025_26'!$A$3:$A$665,0)),"")</f>
        <v>6.08</v>
      </c>
      <c r="T83" s="27">
        <f>IFERROR(INDEX('Input Statistiche 2025_26'!$H$3:$H$665,MATCH($A83,'Input Statistiche 2025_26'!$A$3:$A$665,0)),"")</f>
        <v>6.33</v>
      </c>
      <c r="U83" s="23" t="str">
        <f>IF(OR('La Mia Rosa'!$O$12="",$D83&lt;&gt;""),"",IF($F83&lt;='La Mia Rosa'!$O$12*'Parametri Modello'!$B$24,"OK",IF($F83&lt;='La Mia Rosa'!$O$12*'Parametri Modello'!$B$25,"Attenzione","Rischio Alto")))</f>
        <v>OK</v>
      </c>
      <c r="V83" s="23">
        <f t="shared" si="10"/>
        <v>12</v>
      </c>
      <c r="W83" s="18">
        <f>'Info Lega'!$B$4-SUMIFS($M$2:$M$492,$D$2:$D$492,'Info Lega'!$B$28)</f>
        <v>1000</v>
      </c>
      <c r="X83" s="18">
        <f>('Info Lega'!$B$5-COUNTIFS($D$2:$D$492,'Info Lega'!$B$28,$B$2:$B$492,"P"))+('Info Lega'!$B$6-COUNTIFS($D$2:$D$492,'Info Lega'!$B$28,$B$2:$B$492,"D"))+('Info Lega'!$B$7-COUNTIFS($D$2:$D$492,'Info Lega'!$B$28,$B$2:$B$492,"C"))+('Info Lega'!$B$8-COUNTIFS($D$2:$D$492,'Info Lega'!$B$28,$B$2:$B$492,"A"))</f>
        <v>25</v>
      </c>
      <c r="Y83" s="18">
        <f>X83*'Parametri Modello'!$B$30</f>
        <v>25</v>
      </c>
      <c r="Z83" s="18">
        <f t="shared" si="11"/>
        <v>975</v>
      </c>
      <c r="AA83" s="18">
        <f t="shared" si="12"/>
        <v>28</v>
      </c>
      <c r="AB83" s="18"/>
      <c r="AC83" s="18" t="str">
        <f>IF($AB83="","",IF($AB83&gt;$AA83,"PASS",IF($AB83&lt;=$AA83*(1-'Parametri Modello'!$B$68),"BID","ATTENZIONE")))</f>
        <v/>
      </c>
      <c r="AD83" s="28">
        <f t="shared" si="13"/>
        <v>58</v>
      </c>
      <c r="AE83" s="5" t="str">
        <f>IFERROR(IF($AF83="Titolare",INDEX('Stato Asta'!$G$9:$G$12,MATCH($B83,'Stato Asta'!$A$9:$A$12,0)),INDEX('Stato Asta'!$P$9:$P$12,MATCH($B83,'Stato Asta'!$A$9:$A$12,0))),"")</f>
        <v>🟢 Puoi aspettare</v>
      </c>
      <c r="AF83" t="str">
        <f>IFERROR(IF($V83&lt;=INDEX('Parametri Modello'!$C$57:$C$60,MATCH($B83,'Parametri Modello'!$A$57:$A$60,0)),"Titolare","Riserva"),"")</f>
        <v>Titolare</v>
      </c>
      <c r="AG83" t="str">
        <f>IFERROR(INDEX('Pressione Competitiva'!$F$3:$F$6,MATCH($B83,'Pressione Competitiva'!$B$3:$B$6,0)),"")</f>
        <v>🔴 Molto Alta</v>
      </c>
      <c r="AH83" t="str">
        <f t="shared" si="14"/>
        <v/>
      </c>
      <c r="AI83" t="str">
        <f>IFERROR(IF($AH83="","",IF($AH83&gt;=$AA83*'Parametri Modello'!$B$68,"🟢 Opportunita'",IF($AH83&lt;=$AA83*'Parametri Modello'!$B$69,"🔴 Sovrapprezzo","🟡 Prezzo Corretto"))),"")</f>
        <v/>
      </c>
      <c r="AJ83" t="str">
        <f t="shared" si="15"/>
        <v/>
      </c>
      <c r="AK83">
        <f t="shared" si="16"/>
        <v>12</v>
      </c>
      <c r="AL83" t="str">
        <f t="shared" si="17"/>
        <v>D|Top|12</v>
      </c>
    </row>
    <row r="84" spans="1:38" ht="14.25" customHeight="1" x14ac:dyDescent="0.25">
      <c r="A84" s="18">
        <v>5750</v>
      </c>
      <c r="B84" s="18" t="s">
        <v>88</v>
      </c>
      <c r="C84" s="18" t="s">
        <v>103</v>
      </c>
      <c r="E84" s="23" t="str">
        <f>IF(COUNTIF('Info Strategia'!$D$2:$D$51,$C84)&gt;0,"SI","NO")</f>
        <v>NO</v>
      </c>
      <c r="F84" s="24">
        <f>IFERROR(ROUND(($G84+($H84-$G84)*'Info Strategia'!$B$6)*(1+IF($E84="SI",'Parametri Modello'!$B$7*'Info Strategia'!$B$6,0)),0),"")</f>
        <v>28</v>
      </c>
      <c r="G84" s="24">
        <f>IFERROR(ROUND(MAX(1,(IF($V84&lt;=INDEX('Parametri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20</v>
      </c>
      <c r="H84" s="24">
        <f>IFERROR(ROUND((IF($V84&lt;=INDEX('Parametri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31</v>
      </c>
      <c r="I84" s="23">
        <f>IFERROR(INDEX('Input Statistiche 2025_26'!$F$3:$F$665,MATCH($A84,'Input Statistiche 2025_26'!$A$3:$A$665,0)),"")</f>
        <v>30</v>
      </c>
      <c r="J84" s="23">
        <f t="shared" si="9"/>
        <v>8</v>
      </c>
      <c r="K84" s="23">
        <f>IFERROR(INDEX('Input Statistiche 2025_26'!$I$3:$I$665,MATCH($A84,'Input Statistiche 2025_26'!$A$3:$A$665,0)),"")</f>
        <v>5</v>
      </c>
      <c r="L84" s="23">
        <f>IFERROR(INDEX('Input Statistiche 2025_26'!$O$3:$O$665,MATCH($A84,'Input Statistiche 2025_26'!$A$3:$A$665,0)),"")</f>
        <v>0</v>
      </c>
      <c r="M84" s="25"/>
      <c r="N84" s="24">
        <f>IFERROR(INDEX('Input Giocatori 2026_27'!$E$3:$E$493,MATCH($A84,'Input Giocatori 2026_27'!$A$3:$A$493,0)),"")</f>
        <v>11</v>
      </c>
      <c r="O84" s="24">
        <f>IFERROR(INDEX('Input Giocatori 2026_27'!$G$3:$G$493,MATCH($A84,'Input Giocatori 2026_27'!$A$3:$A$493,0)),"")</f>
        <v>40</v>
      </c>
      <c r="P84" s="23" t="str">
        <f>IFERROR(IF($O84="","",IF((1-(COUNTIFS($B$2:$B$492,$B84,$O$2:$O$492,"&gt;"&amp;$O84)+1-1)/COUNTIF($B$2:$B$492,$B84))&gt;='Parametri Modello'!$B$63,"Top",IF((1-(COUNTIFS($B$2:$B$492,$B84,$O$2:$O$492,"&gt;"&amp;$O84)+1-1)/COUNTIF($B$2:$B$492,$B84))&gt;='Parametri Modello'!$B$64,"Buono",IF((1-(COUNTIFS($B$2:$B$492,$B84,$O$2:$O$492,"&gt;"&amp;$O84)+1-1)/COUNTIF($B$2:$B$492,$B84))&gt;='Parametri Modello'!$B$65,"Nella Media","Scommessa/Riserva")))),"")</f>
        <v>Top</v>
      </c>
      <c r="Q84" s="26">
        <f>IF(AND($D84="",$N84&gt;1),SUMPRODUCT(($D$2:$D84="")*($N$2:$N84&gt;1)),"")</f>
        <v>83</v>
      </c>
      <c r="R84" s="26" t="str">
        <f>IF($D84='Info Lega'!$B$28,COUNTIFS($D$2:$D84,'Info Lega'!$B$28),"")</f>
        <v/>
      </c>
      <c r="S84" s="27">
        <f>IFERROR(INDEX('Input Statistiche 2025_26'!$G$3:$G$665,MATCH($A84,'Input Statistiche 2025_26'!$A$3:$A$665,0)),"")</f>
        <v>6.13</v>
      </c>
      <c r="T84" s="27">
        <f>IFERROR(INDEX('Input Statistiche 2025_26'!$H$3:$H$665,MATCH($A84,'Input Statistiche 2025_26'!$A$3:$A$665,0)),"")</f>
        <v>6.52</v>
      </c>
      <c r="U84" s="23" t="str">
        <f>IF(OR('La Mia Rosa'!$O$12="",$D84&lt;&gt;""),"",IF($F84&lt;='La Mia Rosa'!$O$12*'Parametri Modello'!$B$24,"OK",IF($F84&lt;='La Mia Rosa'!$O$12*'Parametri Modello'!$B$25,"Attenzione","Rischio Alto")))</f>
        <v>OK</v>
      </c>
      <c r="V84" s="23">
        <f t="shared" si="10"/>
        <v>12</v>
      </c>
      <c r="W84" s="18">
        <f>'Info Lega'!$B$4-SUMIFS($M$2:$M$492,$D$2:$D$492,'Info Lega'!$B$28)</f>
        <v>1000</v>
      </c>
      <c r="X84" s="18">
        <f>('Info Lega'!$B$5-COUNTIFS($D$2:$D$492,'Info Lega'!$B$28,$B$2:$B$492,"P"))+('Info Lega'!$B$6-COUNTIFS($D$2:$D$492,'Info Lega'!$B$28,$B$2:$B$492,"D"))+('Info Lega'!$B$7-COUNTIFS($D$2:$D$492,'Info Lega'!$B$28,$B$2:$B$492,"C"))+('Info Lega'!$B$8-COUNTIFS($D$2:$D$492,'Info Lega'!$B$28,$B$2:$B$492,"A"))</f>
        <v>25</v>
      </c>
      <c r="Y84" s="18">
        <f>X84*'Parametri Modello'!$B$30</f>
        <v>25</v>
      </c>
      <c r="Z84" s="18">
        <f t="shared" si="11"/>
        <v>975</v>
      </c>
      <c r="AA84" s="18">
        <f t="shared" si="12"/>
        <v>28</v>
      </c>
      <c r="AB84" s="18"/>
      <c r="AC84" s="18" t="str">
        <f>IF($AB84="","",IF($AB84&gt;$AA84,"PASS",IF($AB84&lt;=$AA84*(1-'Parametri Modello'!$B$68),"BID","ATTENZIONE")))</f>
        <v/>
      </c>
      <c r="AD84" s="28">
        <f t="shared" si="13"/>
        <v>63</v>
      </c>
      <c r="AE84" s="5" t="str">
        <f>IFERROR(IF($AF84="Titolare",INDEX('Stato Asta'!$G$9:$G$12,MATCH($B84,'Stato Asta'!$A$9:$A$12,0)),INDEX('Stato Asta'!$P$9:$P$12,MATCH($B84,'Stato Asta'!$A$9:$A$12,0))),"")</f>
        <v>🟢 Puoi aspettare</v>
      </c>
      <c r="AF84" t="str">
        <f>IFERROR(IF($V84&lt;=INDEX('Parametri Modello'!$C$57:$C$60,MATCH($B84,'Parametri Modello'!$A$57:$A$60,0)),"Titolare","Riserva"),"")</f>
        <v>Titolare</v>
      </c>
      <c r="AG84" t="str">
        <f>IFERROR(INDEX('Pressione Competitiva'!$F$3:$F$6,MATCH($B84,'Pressione Competitiva'!$B$3:$B$6,0)),"")</f>
        <v>🔴 Molto Alta</v>
      </c>
      <c r="AH84" t="str">
        <f t="shared" si="14"/>
        <v/>
      </c>
      <c r="AI84" t="str">
        <f>IFERROR(IF($AH84="","",IF($AH84&gt;=$AA84*'Parametri Modello'!$B$68,"🟢 Opportunita'",IF($AH84&lt;=$AA84*'Parametri Modello'!$B$69,"🔴 Sovrapprezzo","🟡 Prezzo Corretto"))),"")</f>
        <v/>
      </c>
      <c r="AJ84" t="str">
        <f t="shared" si="15"/>
        <v/>
      </c>
      <c r="AK84">
        <f t="shared" si="16"/>
        <v>12</v>
      </c>
      <c r="AL84" t="str">
        <f t="shared" si="17"/>
        <v>D|Top|12</v>
      </c>
    </row>
    <row r="85" spans="1:38" ht="14.25" customHeight="1" x14ac:dyDescent="0.25">
      <c r="A85" s="18">
        <v>5544</v>
      </c>
      <c r="B85" s="18" t="s">
        <v>437</v>
      </c>
      <c r="C85" s="18" t="s">
        <v>474</v>
      </c>
      <c r="E85" s="23" t="str">
        <f>IF(COUNTIF('Info Strategia'!$D$2:$D$51,$C85)&gt;0,"SI","NO")</f>
        <v>NO</v>
      </c>
      <c r="F85" s="24">
        <f>IFERROR(ROUND(($G85+($H85-$G85)*'Info Strategia'!$B$6)*(1+IF($E85="SI",'Parametri Modello'!$B$7*'Info Strategia'!$B$6,0)),0),"")</f>
        <v>13</v>
      </c>
      <c r="G85" s="24">
        <f>IFERROR(ROUND(MAX(1,(IF($V85&lt;=INDEX('Parametri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8</v>
      </c>
      <c r="H85" s="24">
        <f>IFERROR(ROUND((IF($V85&lt;=INDEX('Parametri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15</v>
      </c>
      <c r="I85" s="23">
        <f>IFERROR(INDEX('Input Statistiche 2025_26'!$F$3:$F$665,MATCH($A85,'Input Statistiche 2025_26'!$A$3:$A$665,0)),"")</f>
        <v>30</v>
      </c>
      <c r="J85" s="23">
        <f t="shared" si="9"/>
        <v>8</v>
      </c>
      <c r="K85" s="23">
        <f>IFERROR(INDEX('Input Statistiche 2025_26'!$I$3:$I$665,MATCH($A85,'Input Statistiche 2025_26'!$A$3:$A$665,0)),"")</f>
        <v>6</v>
      </c>
      <c r="L85" s="23">
        <f>IFERROR(INDEX('Input Statistiche 2025_26'!$O$3:$O$665,MATCH($A85,'Input Statistiche 2025_26'!$A$3:$A$665,0)),"")</f>
        <v>2</v>
      </c>
      <c r="M85" s="25"/>
      <c r="N85" s="24">
        <f>IFERROR(INDEX('Input Giocatori 2026_27'!$E$3:$E$493,MATCH($A85,'Input Giocatori 2026_27'!$A$3:$A$493,0)),"")</f>
        <v>9</v>
      </c>
      <c r="O85" s="24">
        <f>IFERROR(INDEX('Input Giocatori 2026_27'!$G$3:$G$493,MATCH($A85,'Input Giocatori 2026_27'!$A$3:$A$493,0)),"")</f>
        <v>40</v>
      </c>
      <c r="P85" s="23" t="str">
        <f>IFERROR(IF($O85="","",IF((1-(COUNTIFS($B$2:$B$492,$B85,$O$2:$O$492,"&gt;"&amp;$O85)+1-1)/COUNTIF($B$2:$B$492,$B85))&gt;='Parametri Modello'!$B$63,"Top",IF((1-(COUNTIFS($B$2:$B$492,$B85,$O$2:$O$492,"&gt;"&amp;$O85)+1-1)/COUNTIF($B$2:$B$492,$B85))&gt;='Parametri Modello'!$B$64,"Buono",IF((1-(COUNTIFS($B$2:$B$492,$B85,$O$2:$O$492,"&gt;"&amp;$O85)+1-1)/COUNTIF($B$2:$B$492,$B85))&gt;='Parametri Modello'!$B$65,"Nella Media","Scommessa/Riserva")))),"")</f>
        <v>Nella Media</v>
      </c>
      <c r="Q85" s="26">
        <f>IF(AND($D85="",$N85&gt;1),SUMPRODUCT(($D$2:$D85="")*($N$2:$N85&gt;1)),"")</f>
        <v>84</v>
      </c>
      <c r="R85" s="26" t="str">
        <f>IF($D85='Info Lega'!$B$28,COUNTIFS($D$2:$D85,'Info Lega'!$B$28),"")</f>
        <v/>
      </c>
      <c r="S85" s="27">
        <f>IFERROR(INDEX('Input Statistiche 2025_26'!$G$3:$G$665,MATCH($A85,'Input Statistiche 2025_26'!$A$3:$A$665,0)),"")</f>
        <v>5.77</v>
      </c>
      <c r="T85" s="27">
        <f>IFERROR(INDEX('Input Statistiche 2025_26'!$H$3:$H$665,MATCH($A85,'Input Statistiche 2025_26'!$A$3:$A$665,0)),"")</f>
        <v>6.33</v>
      </c>
      <c r="U85" s="23" t="str">
        <f>IF(OR('La Mia Rosa'!$O$12="",$D85&lt;&gt;""),"",IF($F85&lt;='La Mia Rosa'!$O$12*'Parametri Modello'!$B$24,"OK",IF($F85&lt;='La Mia Rosa'!$O$12*'Parametri Modello'!$B$25,"Attenzione","Rischio Alto")))</f>
        <v>OK</v>
      </c>
      <c r="V85" s="23">
        <f t="shared" si="10"/>
        <v>33</v>
      </c>
      <c r="W85" s="18">
        <f>'Info Lega'!$B$4-SUMIFS($M$2:$M$492,$D$2:$D$492,'Info Lega'!$B$28)</f>
        <v>1000</v>
      </c>
      <c r="X85" s="18">
        <f>('Info Lega'!$B$5-COUNTIFS($D$2:$D$492,'Info Lega'!$B$28,$B$2:$B$492,"P"))+('Info Lega'!$B$6-COUNTIFS($D$2:$D$492,'Info Lega'!$B$28,$B$2:$B$492,"D"))+('Info Lega'!$B$7-COUNTIFS($D$2:$D$492,'Info Lega'!$B$28,$B$2:$B$492,"C"))+('Info Lega'!$B$8-COUNTIFS($D$2:$D$492,'Info Lega'!$B$28,$B$2:$B$492,"A"))</f>
        <v>25</v>
      </c>
      <c r="Y85" s="18">
        <f>X85*'Parametri Modello'!$B$30</f>
        <v>25</v>
      </c>
      <c r="Z85" s="18">
        <f t="shared" si="11"/>
        <v>975</v>
      </c>
      <c r="AA85" s="18">
        <f t="shared" si="12"/>
        <v>13</v>
      </c>
      <c r="AB85" s="18"/>
      <c r="AC85" s="18" t="str">
        <f>IF($AB85="","",IF($AB85&gt;$AA85,"PASS",IF($AB85&lt;=$AA85*(1-'Parametri Modello'!$B$68),"BID","ATTENZIONE")))</f>
        <v/>
      </c>
      <c r="AD85" s="28">
        <f t="shared" si="13"/>
        <v>63</v>
      </c>
      <c r="AE85" s="5" t="str">
        <f>IFERROR(IF($AF85="Titolare",INDEX('Stato Asta'!$G$9:$G$12,MATCH($B85,'Stato Asta'!$A$9:$A$12,0)),INDEX('Stato Asta'!$P$9:$P$12,MATCH($B85,'Stato Asta'!$A$9:$A$12,0))),"")</f>
        <v>🟢 Riserve abbondanti</v>
      </c>
      <c r="AF85" t="str">
        <f>IFERROR(IF($V85&lt;=INDEX('Parametri Modello'!$C$57:$C$60,MATCH($B85,'Parametri Modello'!$A$57:$A$60,0)),"Titolare","Riserva"),"")</f>
        <v>Riserva</v>
      </c>
      <c r="AG85" t="str">
        <f>IFERROR(INDEX('Pressione Competitiva'!$F$3:$F$6,MATCH($B85,'Pressione Competitiva'!$B$3:$B$6,0)),"")</f>
        <v>🔴 Molto Alta</v>
      </c>
      <c r="AH85" t="str">
        <f t="shared" si="14"/>
        <v/>
      </c>
      <c r="AI85" t="str">
        <f>IFERROR(IF($AH85="","",IF($AH85&gt;=$AA85*'Parametri Modello'!$B$68,"🟢 Opportunita'",IF($AH85&lt;=$AA85*'Parametri Modello'!$B$69,"🔴 Sovrapprezzo","🟡 Prezzo Corretto"))),"")</f>
        <v/>
      </c>
      <c r="AJ85" t="str">
        <f t="shared" si="15"/>
        <v/>
      </c>
      <c r="AK85">
        <f t="shared" si="16"/>
        <v>7</v>
      </c>
      <c r="AL85" t="str">
        <f t="shared" si="17"/>
        <v>A|Nella Media|7</v>
      </c>
    </row>
    <row r="86" spans="1:38" ht="14.25" customHeight="1" x14ac:dyDescent="0.25">
      <c r="A86" s="18">
        <v>7347</v>
      </c>
      <c r="B86" s="18" t="s">
        <v>437</v>
      </c>
      <c r="C86" s="18" t="s">
        <v>472</v>
      </c>
      <c r="E86" s="23" t="str">
        <f>IF(COUNTIF('Info Strategia'!$D$2:$D$51,$C86)&gt;0,"SI","NO")</f>
        <v>NO</v>
      </c>
      <c r="F86" s="24">
        <f>IFERROR(ROUND(($G86+($H86-$G86)*'Info Strategia'!$B$6)*(1+IF($E86="SI",'Parametri Modello'!$B$7*'Info Strategia'!$B$6,0)),0),"")</f>
        <v>13</v>
      </c>
      <c r="G86" s="24">
        <f>IFERROR(ROUND(MAX(1,(IF($V86&lt;=INDEX('Parametri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8</v>
      </c>
      <c r="H86" s="24">
        <f>IFERROR(ROUND((IF($V86&lt;=INDEX('Parametri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15</v>
      </c>
      <c r="I86" s="23">
        <f>IFERROR(INDEX('Input Statistiche 2025_26'!$F$3:$F$665,MATCH($A86,'Input Statistiche 2025_26'!$A$3:$A$665,0)),"")</f>
        <v>14</v>
      </c>
      <c r="J86" s="23">
        <f t="shared" si="9"/>
        <v>24</v>
      </c>
      <c r="K86" s="23">
        <f>IFERROR(INDEX('Input Statistiche 2025_26'!$I$3:$I$665,MATCH($A86,'Input Statistiche 2025_26'!$A$3:$A$665,0)),"")</f>
        <v>4</v>
      </c>
      <c r="L86" s="23">
        <f>IFERROR(INDEX('Input Statistiche 2025_26'!$O$3:$O$665,MATCH($A86,'Input Statistiche 2025_26'!$A$3:$A$665,0)),"")</f>
        <v>0</v>
      </c>
      <c r="M86" s="25"/>
      <c r="N86" s="24">
        <f>IFERROR(INDEX('Input Giocatori 2026_27'!$E$3:$E$493,MATCH($A86,'Input Giocatori 2026_27'!$A$3:$A$493,0)),"")</f>
        <v>10</v>
      </c>
      <c r="O86" s="24">
        <f>IFERROR(INDEX('Input Giocatori 2026_27'!$G$3:$G$493,MATCH($A86,'Input Giocatori 2026_27'!$A$3:$A$493,0)),"")</f>
        <v>39</v>
      </c>
      <c r="P86" s="23" t="str">
        <f>IFERROR(IF($O86="","",IF((1-(COUNTIFS($B$2:$B$492,$B86,$O$2:$O$492,"&gt;"&amp;$O86)+1-1)/COUNTIF($B$2:$B$492,$B86))&gt;='Parametri Modello'!$B$63,"Top",IF((1-(COUNTIFS($B$2:$B$492,$B86,$O$2:$O$492,"&gt;"&amp;$O86)+1-1)/COUNTIF($B$2:$B$492,$B86))&gt;='Parametri Modello'!$B$64,"Buono",IF((1-(COUNTIFS($B$2:$B$492,$B86,$O$2:$O$492,"&gt;"&amp;$O86)+1-1)/COUNTIF($B$2:$B$492,$B86))&gt;='Parametri Modello'!$B$65,"Nella Media","Scommessa/Riserva")))),"")</f>
        <v>Nella Media</v>
      </c>
      <c r="Q86" s="26">
        <f>IF(AND($D86="",$N86&gt;1),SUMPRODUCT(($D$2:$D86="")*($N$2:$N86&gt;1)),"")</f>
        <v>85</v>
      </c>
      <c r="R86" s="26" t="str">
        <f>IF($D86='Info Lega'!$B$28,COUNTIFS($D$2:$D86,'Info Lega'!$B$28),"")</f>
        <v/>
      </c>
      <c r="S86" s="27">
        <f>IFERROR(INDEX('Input Statistiche 2025_26'!$G$3:$G$665,MATCH($A86,'Input Statistiche 2025_26'!$A$3:$A$665,0)),"")</f>
        <v>5.96</v>
      </c>
      <c r="T86" s="27">
        <f>IFERROR(INDEX('Input Statistiche 2025_26'!$H$3:$H$665,MATCH($A86,'Input Statistiche 2025_26'!$A$3:$A$665,0)),"")</f>
        <v>6.79</v>
      </c>
      <c r="U86" s="23" t="str">
        <f>IF(OR('La Mia Rosa'!$O$12="",$D86&lt;&gt;""),"",IF($F86&lt;='La Mia Rosa'!$O$12*'Parametri Modello'!$B$24,"OK",IF($F86&lt;='La Mia Rosa'!$O$12*'Parametri Modello'!$B$25,"Attenzione","Rischio Alto")))</f>
        <v>OK</v>
      </c>
      <c r="V86" s="23">
        <f t="shared" si="10"/>
        <v>34</v>
      </c>
      <c r="W86" s="18">
        <f>'Info Lega'!$B$4-SUMIFS($M$2:$M$492,$D$2:$D$492,'Info Lega'!$B$28)</f>
        <v>1000</v>
      </c>
      <c r="X86" s="18">
        <f>('Info Lega'!$B$5-COUNTIFS($D$2:$D$492,'Info Lega'!$B$28,$B$2:$B$492,"P"))+('Info Lega'!$B$6-COUNTIFS($D$2:$D$492,'Info Lega'!$B$28,$B$2:$B$492,"D"))+('Info Lega'!$B$7-COUNTIFS($D$2:$D$492,'Info Lega'!$B$28,$B$2:$B$492,"C"))+('Info Lega'!$B$8-COUNTIFS($D$2:$D$492,'Info Lega'!$B$28,$B$2:$B$492,"A"))</f>
        <v>25</v>
      </c>
      <c r="Y86" s="18">
        <f>X86*'Parametri Modello'!$B$30</f>
        <v>25</v>
      </c>
      <c r="Z86" s="18">
        <f t="shared" si="11"/>
        <v>975</v>
      </c>
      <c r="AA86" s="18">
        <f t="shared" si="12"/>
        <v>13</v>
      </c>
      <c r="AB86" s="18"/>
      <c r="AC86" s="18" t="str">
        <f>IF($AB86="","",IF($AB86&gt;$AA86,"PASS",IF($AB86&lt;=$AA86*(1-'Parametri Modello'!$B$68),"BID","ATTENZIONE")))</f>
        <v/>
      </c>
      <c r="AD86" s="28">
        <f t="shared" si="13"/>
        <v>37</v>
      </c>
      <c r="AE86" s="5" t="str">
        <f>IFERROR(IF($AF86="Titolare",INDEX('Stato Asta'!$G$9:$G$12,MATCH($B86,'Stato Asta'!$A$9:$A$12,0)),INDEX('Stato Asta'!$P$9:$P$12,MATCH($B86,'Stato Asta'!$A$9:$A$12,0))),"")</f>
        <v>🟢 Riserve abbondanti</v>
      </c>
      <c r="AF86" t="str">
        <f>IFERROR(IF($V86&lt;=INDEX('Parametri Modello'!$C$57:$C$60,MATCH($B86,'Parametri Modello'!$A$57:$A$60,0)),"Titolare","Riserva"),"")</f>
        <v>Riserva</v>
      </c>
      <c r="AG86" t="str">
        <f>IFERROR(INDEX('Pressione Competitiva'!$F$3:$F$6,MATCH($B86,'Pressione Competitiva'!$B$3:$B$6,0)),"")</f>
        <v>🔴 Molto Alta</v>
      </c>
      <c r="AH86" t="str">
        <f t="shared" si="14"/>
        <v/>
      </c>
      <c r="AI86" t="str">
        <f>IFERROR(IF($AH86="","",IF($AH86&gt;=$AA86*'Parametri Modello'!$B$68,"🟢 Opportunita'",IF($AH86&lt;=$AA86*'Parametri Modello'!$B$69,"🔴 Sovrapprezzo","🟡 Prezzo Corretto"))),"")</f>
        <v/>
      </c>
      <c r="AJ86" t="str">
        <f t="shared" si="15"/>
        <v/>
      </c>
      <c r="AK86">
        <f t="shared" si="16"/>
        <v>8</v>
      </c>
      <c r="AL86" t="str">
        <f t="shared" si="17"/>
        <v>A|Nella Media|8</v>
      </c>
    </row>
    <row r="87" spans="1:38" ht="14.25" customHeight="1" x14ac:dyDescent="0.25">
      <c r="A87" s="18">
        <v>2514</v>
      </c>
      <c r="B87" s="18" t="s">
        <v>88</v>
      </c>
      <c r="C87" s="18" t="s">
        <v>100</v>
      </c>
      <c r="E87" s="23" t="str">
        <f>IF(COUNTIF('Info Strategia'!$D$2:$D$51,$C87)&gt;0,"SI","NO")</f>
        <v>NO</v>
      </c>
      <c r="F87" s="24">
        <f>IFERROR(ROUND(($G87+($H87-$G87)*'Info Strategia'!$B$6)*(1+IF($E87="SI",'Parametri Modello'!$B$7*'Info Strategia'!$B$6,0)),0),"")</f>
        <v>26</v>
      </c>
      <c r="G87" s="24">
        <f>IFERROR(ROUND(MAX(1,(IF($V87&lt;=INDEX('Parametri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19</v>
      </c>
      <c r="H87" s="24">
        <f>IFERROR(ROUND((IF($V87&lt;=INDEX('Parametri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29</v>
      </c>
      <c r="I87" s="23" t="str">
        <f>IFERROR(INDEX('Input Statistiche 2025_26'!$F$3:$F$665,MATCH($A87,'Input Statistiche 2025_26'!$A$3:$A$665,0)),"")</f>
        <v/>
      </c>
      <c r="J87" s="23" t="str">
        <f t="shared" si="9"/>
        <v/>
      </c>
      <c r="K87" s="23" t="str">
        <f>IFERROR(INDEX('Input Statistiche 2025_26'!$I$3:$I$665,MATCH($A87,'Input Statistiche 2025_26'!$A$3:$A$665,0)),"")</f>
        <v/>
      </c>
      <c r="L87" s="23" t="str">
        <f>IFERROR(INDEX('Input Statistiche 2025_26'!$O$3:$O$665,MATCH($A87,'Input Statistiche 2025_26'!$A$3:$A$665,0)),"")</f>
        <v/>
      </c>
      <c r="M87" s="25"/>
      <c r="N87" s="24">
        <f>IFERROR(INDEX('Input Giocatori 2026_27'!$E$3:$E$493,MATCH($A87,'Input Giocatori 2026_27'!$A$3:$A$493,0)),"")</f>
        <v>12</v>
      </c>
      <c r="O87" s="24">
        <f>IFERROR(INDEX('Input Giocatori 2026_27'!$G$3:$G$493,MATCH($A87,'Input Giocatori 2026_27'!$A$3:$A$493,0)),"")</f>
        <v>38</v>
      </c>
      <c r="P87" s="23" t="str">
        <f>IFERROR(IF($O87="","",IF((1-(COUNTIFS($B$2:$B$492,$B87,$O$2:$O$492,"&gt;"&amp;$O87)+1-1)/COUNTIF($B$2:$B$492,$B87))&gt;='Parametri Modello'!$B$63,"Top",IF((1-(COUNTIFS($B$2:$B$492,$B87,$O$2:$O$492,"&gt;"&amp;$O87)+1-1)/COUNTIF($B$2:$B$492,$B87))&gt;='Parametri Modello'!$B$64,"Buono",IF((1-(COUNTIFS($B$2:$B$492,$B87,$O$2:$O$492,"&gt;"&amp;$O87)+1-1)/COUNTIF($B$2:$B$492,$B87))&gt;='Parametri Modello'!$B$65,"Nella Media","Scommessa/Riserva")))),"")</f>
        <v>Top</v>
      </c>
      <c r="Q87" s="26">
        <f>IF(AND($D87="",$N87&gt;1),SUMPRODUCT(($D$2:$D87="")*($N$2:$N87&gt;1)),"")</f>
        <v>86</v>
      </c>
      <c r="R87" s="26" t="str">
        <f>IF($D87='Info Lega'!$B$28,COUNTIFS($D$2:$D87,'Info Lega'!$B$28),"")</f>
        <v/>
      </c>
      <c r="S87" s="27" t="str">
        <f>IFERROR(INDEX('Input Statistiche 2025_26'!$G$3:$G$665,MATCH($A87,'Input Statistiche 2025_26'!$A$3:$A$665,0)),"")</f>
        <v/>
      </c>
      <c r="T87" s="27" t="str">
        <f>IFERROR(INDEX('Input Statistiche 2025_26'!$H$3:$H$665,MATCH($A87,'Input Statistiche 2025_26'!$A$3:$A$665,0)),"")</f>
        <v/>
      </c>
      <c r="U87" s="23" t="str">
        <f>IF(OR('La Mia Rosa'!$O$12="",$D87&lt;&gt;""),"",IF($F87&lt;='La Mia Rosa'!$O$12*'Parametri Modello'!$B$24,"OK",IF($F87&lt;='La Mia Rosa'!$O$12*'Parametri Modello'!$B$25,"Attenzione","Rischio Alto")))</f>
        <v>OK</v>
      </c>
      <c r="V87" s="23">
        <f t="shared" si="10"/>
        <v>14</v>
      </c>
      <c r="W87" s="18">
        <f>'Info Lega'!$B$4-SUMIFS($M$2:$M$492,$D$2:$D$492,'Info Lega'!$B$28)</f>
        <v>1000</v>
      </c>
      <c r="X87" s="18">
        <f>('Info Lega'!$B$5-COUNTIFS($D$2:$D$492,'Info Lega'!$B$28,$B$2:$B$492,"P"))+('Info Lega'!$B$6-COUNTIFS($D$2:$D$492,'Info Lega'!$B$28,$B$2:$B$492,"D"))+('Info Lega'!$B$7-COUNTIFS($D$2:$D$492,'Info Lega'!$B$28,$B$2:$B$492,"C"))+('Info Lega'!$B$8-COUNTIFS($D$2:$D$492,'Info Lega'!$B$28,$B$2:$B$492,"A"))</f>
        <v>25</v>
      </c>
      <c r="Y87" s="18">
        <f>X87*'Parametri Modello'!$B$30</f>
        <v>25</v>
      </c>
      <c r="Z87" s="18">
        <f t="shared" si="11"/>
        <v>975</v>
      </c>
      <c r="AA87" s="18">
        <f t="shared" si="12"/>
        <v>26</v>
      </c>
      <c r="AB87" s="18"/>
      <c r="AC87" s="18" t="str">
        <f>IF($AB87="","",IF($AB87&gt;$AA87,"PASS",IF($AB87&lt;=$AA87*(1-'Parametri Modello'!$B$68),"BID","ATTENZIONE")))</f>
        <v/>
      </c>
      <c r="AD87" s="28" t="str">
        <f t="shared" si="13"/>
        <v/>
      </c>
      <c r="AE87" s="5" t="str">
        <f>IFERROR(IF($AF87="Titolare",INDEX('Stato Asta'!$G$9:$G$12,MATCH($B87,'Stato Asta'!$A$9:$A$12,0)),INDEX('Stato Asta'!$P$9:$P$12,MATCH($B87,'Stato Asta'!$A$9:$A$12,0))),"")</f>
        <v>🟢 Puoi aspettare</v>
      </c>
      <c r="AF87" t="str">
        <f>IFERROR(IF($V87&lt;=INDEX('Parametri Modello'!$C$57:$C$60,MATCH($B87,'Parametri Modello'!$A$57:$A$60,0)),"Titolare","Riserva"),"")</f>
        <v>Titolare</v>
      </c>
      <c r="AG87" t="str">
        <f>IFERROR(INDEX('Pressione Competitiva'!$F$3:$F$6,MATCH($B87,'Pressione Competitiva'!$B$3:$B$6,0)),"")</f>
        <v>🔴 Molto Alta</v>
      </c>
      <c r="AH87" t="str">
        <f t="shared" si="14"/>
        <v/>
      </c>
      <c r="AI87" t="str">
        <f>IFERROR(IF($AH87="","",IF($AH87&gt;=$AA87*'Parametri Modello'!$B$68,"🟢 Opportunita'",IF($AH87&lt;=$AA87*'Parametri Modello'!$B$69,"🔴 Sovrapprezzo","🟡 Prezzo Corretto"))),"")</f>
        <v/>
      </c>
      <c r="AJ87" t="str">
        <f t="shared" si="15"/>
        <v/>
      </c>
      <c r="AK87">
        <f t="shared" si="16"/>
        <v>14</v>
      </c>
      <c r="AL87" t="str">
        <f t="shared" si="17"/>
        <v>D|Top|14</v>
      </c>
    </row>
    <row r="88" spans="1:38" ht="14.25" customHeight="1" x14ac:dyDescent="0.25">
      <c r="A88" s="18">
        <v>6151</v>
      </c>
      <c r="B88" s="18" t="s">
        <v>264</v>
      </c>
      <c r="C88" s="18" t="s">
        <v>291</v>
      </c>
      <c r="E88" s="23" t="str">
        <f>IF(COUNTIF('Info Strategia'!$D$2:$D$51,$C88)&gt;0,"SI","NO")</f>
        <v>NO</v>
      </c>
      <c r="F88" s="24">
        <f>IFERROR(ROUND(($G88+($H88-$G88)*'Info Strategia'!$B$6)*(1+IF($E88="SI",'Parametri Modello'!$B$7*'Info Strategia'!$B$6,0)),0),"")</f>
        <v>25</v>
      </c>
      <c r="G88" s="24">
        <f>IFERROR(ROUND(MAX(1,(IF($V88&lt;=INDEX('Parametri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17</v>
      </c>
      <c r="H88" s="24">
        <f>IFERROR(ROUND((IF($V88&lt;=INDEX('Parametri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29</v>
      </c>
      <c r="I88" s="23">
        <f>IFERROR(INDEX('Input Statistiche 2025_26'!$F$3:$F$665,MATCH($A88,'Input Statistiche 2025_26'!$A$3:$A$665,0)),"")</f>
        <v>36</v>
      </c>
      <c r="J88" s="23">
        <f t="shared" si="9"/>
        <v>2</v>
      </c>
      <c r="K88" s="23">
        <f>IFERROR(INDEX('Input Statistiche 2025_26'!$I$3:$I$665,MATCH($A88,'Input Statistiche 2025_26'!$A$3:$A$665,0)),"")</f>
        <v>3</v>
      </c>
      <c r="L88" s="23">
        <f>IFERROR(INDEX('Input Statistiche 2025_26'!$O$3:$O$665,MATCH($A88,'Input Statistiche 2025_26'!$A$3:$A$665,0)),"")</f>
        <v>4</v>
      </c>
      <c r="M88" s="25"/>
      <c r="N88" s="24">
        <f>IFERROR(INDEX('Input Giocatori 2026_27'!$E$3:$E$493,MATCH($A88,'Input Giocatori 2026_27'!$A$3:$A$493,0)),"")</f>
        <v>10</v>
      </c>
      <c r="O88" s="24">
        <f>IFERROR(INDEX('Input Giocatori 2026_27'!$G$3:$G$493,MATCH($A88,'Input Giocatori 2026_27'!$A$3:$A$493,0)),"")</f>
        <v>38</v>
      </c>
      <c r="P88" s="23" t="str">
        <f>IFERROR(IF($O88="","",IF((1-(COUNTIFS($B$2:$B$492,$B88,$O$2:$O$492,"&gt;"&amp;$O88)+1-1)/COUNTIF($B$2:$B$492,$B88))&gt;='Parametri Modello'!$B$63,"Top",IF((1-(COUNTIFS($B$2:$B$492,$B88,$O$2:$O$492,"&gt;"&amp;$O88)+1-1)/COUNTIF($B$2:$B$492,$B88))&gt;='Parametri Modello'!$B$64,"Buono",IF((1-(COUNTIFS($B$2:$B$492,$B88,$O$2:$O$492,"&gt;"&amp;$O88)+1-1)/COUNTIF($B$2:$B$492,$B88))&gt;='Parametri Modello'!$B$65,"Nella Media","Scommessa/Riserva")))),"")</f>
        <v>Buono</v>
      </c>
      <c r="Q88" s="26">
        <f>IF(AND($D88="",$N88&gt;1),SUMPRODUCT(($D$2:$D88="")*($N$2:$N88&gt;1)),"")</f>
        <v>87</v>
      </c>
      <c r="R88" s="26" t="str">
        <f>IF($D88='Info Lega'!$B$28,COUNTIFS($D$2:$D88,'Info Lega'!$B$28),"")</f>
        <v/>
      </c>
      <c r="S88" s="27">
        <f>IFERROR(INDEX('Input Statistiche 2025_26'!$G$3:$G$665,MATCH($A88,'Input Statistiche 2025_26'!$A$3:$A$665,0)),"")</f>
        <v>6.22</v>
      </c>
      <c r="T88" s="27">
        <f>IFERROR(INDEX('Input Statistiche 2025_26'!$H$3:$H$665,MATCH($A88,'Input Statistiche 2025_26'!$A$3:$A$665,0)),"")</f>
        <v>6.47</v>
      </c>
      <c r="U88" s="23" t="str">
        <f>IF(OR('La Mia Rosa'!$O$12="",$D88&lt;&gt;""),"",IF($F88&lt;='La Mia Rosa'!$O$12*'Parametri Modello'!$B$24,"OK",IF($F88&lt;='La Mia Rosa'!$O$12*'Parametri Modello'!$B$25,"Attenzione","Rischio Alto")))</f>
        <v>OK</v>
      </c>
      <c r="V88" s="23">
        <f t="shared" si="10"/>
        <v>31</v>
      </c>
      <c r="W88" s="18">
        <f>'Info Lega'!$B$4-SUMIFS($M$2:$M$492,$D$2:$D$492,'Info Lega'!$B$28)</f>
        <v>1000</v>
      </c>
      <c r="X88" s="18">
        <f>('Info Lega'!$B$5-COUNTIFS($D$2:$D$492,'Info Lega'!$B$28,$B$2:$B$492,"P"))+('Info Lega'!$B$6-COUNTIFS($D$2:$D$492,'Info Lega'!$B$28,$B$2:$B$492,"D"))+('Info Lega'!$B$7-COUNTIFS($D$2:$D$492,'Info Lega'!$B$28,$B$2:$B$492,"C"))+('Info Lega'!$B$8-COUNTIFS($D$2:$D$492,'Info Lega'!$B$28,$B$2:$B$492,"A"))</f>
        <v>25</v>
      </c>
      <c r="Y88" s="18">
        <f>X88*'Parametri Modello'!$B$30</f>
        <v>25</v>
      </c>
      <c r="Z88" s="18">
        <f t="shared" si="11"/>
        <v>975</v>
      </c>
      <c r="AA88" s="18">
        <f t="shared" si="12"/>
        <v>25</v>
      </c>
      <c r="AB88" s="18"/>
      <c r="AC88" s="18" t="str">
        <f>IF($AB88="","",IF($AB88&gt;$AA88,"PASS",IF($AB88&lt;=$AA88*(1-'Parametri Modello'!$B$68),"BID","ATTENZIONE")))</f>
        <v/>
      </c>
      <c r="AD88" s="28">
        <f t="shared" si="13"/>
        <v>70</v>
      </c>
      <c r="AE88" s="5" t="str">
        <f>IFERROR(IF($AF88="Titolare",INDEX('Stato Asta'!$G$9:$G$12,MATCH($B88,'Stato Asta'!$A$9:$A$12,0)),INDEX('Stato Asta'!$P$9:$P$12,MATCH($B88,'Stato Asta'!$A$9:$A$12,0))),"")</f>
        <v>🟡 Attesa rischiosa</v>
      </c>
      <c r="AF88" t="str">
        <f>IFERROR(IF($V88&lt;=INDEX('Parametri Modello'!$C$57:$C$60,MATCH($B88,'Parametri Modello'!$A$57:$A$60,0)),"Titolare","Riserva"),"")</f>
        <v>Titolare</v>
      </c>
      <c r="AG88" t="str">
        <f>IFERROR(INDEX('Pressione Competitiva'!$F$3:$F$6,MATCH($B88,'Pressione Competitiva'!$B$3:$B$6,0)),"")</f>
        <v>🔴 Molto Alta</v>
      </c>
      <c r="AH88" t="str">
        <f t="shared" si="14"/>
        <v/>
      </c>
      <c r="AI88" t="str">
        <f>IFERROR(IF($AH88="","",IF($AH88&gt;=$AA88*'Parametri Modello'!$B$68,"🟢 Opportunita'",IF($AH88&lt;=$AA88*'Parametri Modello'!$B$69,"🔴 Sovrapprezzo","🟡 Prezzo Corretto"))),"")</f>
        <v/>
      </c>
      <c r="AJ88" t="str">
        <f t="shared" si="15"/>
        <v/>
      </c>
      <c r="AK88">
        <f t="shared" si="16"/>
        <v>13</v>
      </c>
      <c r="AL88" t="str">
        <f t="shared" si="17"/>
        <v>C|Buono|13</v>
      </c>
    </row>
    <row r="89" spans="1:38" ht="14.25" customHeight="1" x14ac:dyDescent="0.25">
      <c r="A89" s="18">
        <v>133</v>
      </c>
      <c r="B89" s="18" t="s">
        <v>8</v>
      </c>
      <c r="C89" s="18" t="s">
        <v>23</v>
      </c>
      <c r="E89" s="23" t="str">
        <f>IF(COUNTIF('Info Strategia'!$D$2:$D$51,$C89)&gt;0,"SI","NO")</f>
        <v>NO</v>
      </c>
      <c r="F89" s="24">
        <f>IFERROR(ROUND(($G89+($H89-$G89)*'Info Strategia'!$B$6)*(1+IF($E89="SI",'Parametri Modello'!$B$7*'Info Strategia'!$B$6,0)),0),"")</f>
        <v>13</v>
      </c>
      <c r="G89" s="24">
        <f>IFERROR(ROUND(MAX(1,(IF($V89&lt;=INDEX('Parametri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10</v>
      </c>
      <c r="H89" s="24">
        <f>IFERROR(ROUND((IF($V89&lt;=INDEX('Parametri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14</v>
      </c>
      <c r="I89" s="23">
        <f>IFERROR(INDEX('Input Statistiche 2025_26'!$F$3:$F$665,MATCH($A89,'Input Statistiche 2025_26'!$A$3:$A$665,0)),"")</f>
        <v>18</v>
      </c>
      <c r="J89" s="23">
        <f t="shared" si="9"/>
        <v>20</v>
      </c>
      <c r="K89" s="23">
        <f>IFERROR(INDEX('Input Statistiche 2025_26'!$I$3:$I$665,MATCH($A89,'Input Statistiche 2025_26'!$A$3:$A$665,0)),"")</f>
        <v>0</v>
      </c>
      <c r="L89" s="23">
        <f>IFERROR(INDEX('Input Statistiche 2025_26'!$O$3:$O$665,MATCH($A89,'Input Statistiche 2025_26'!$A$3:$A$665,0)),"")</f>
        <v>0</v>
      </c>
      <c r="M89" s="25"/>
      <c r="N89" s="24">
        <f>IFERROR(INDEX('Input Giocatori 2026_27'!$E$3:$E$493,MATCH($A89,'Input Giocatori 2026_27'!$A$3:$A$493,0)),"")</f>
        <v>10</v>
      </c>
      <c r="O89" s="24">
        <f>IFERROR(INDEX('Input Giocatori 2026_27'!$G$3:$G$493,MATCH($A89,'Input Giocatori 2026_27'!$A$3:$A$493,0)),"")</f>
        <v>37</v>
      </c>
      <c r="P89" s="23" t="str">
        <f>IFERROR(IF($O89="","",IF((1-(COUNTIFS($B$2:$B$492,$B89,$O$2:$O$492,"&gt;"&amp;$O89)+1-1)/COUNTIF($B$2:$B$492,$B89))&gt;='Parametri Modello'!$B$63,"Top",IF((1-(COUNTIFS($B$2:$B$492,$B89,$O$2:$O$492,"&gt;"&amp;$O89)+1-1)/COUNTIF($B$2:$B$492,$B89))&gt;='Parametri Modello'!$B$64,"Buono",IF((1-(COUNTIFS($B$2:$B$492,$B89,$O$2:$O$492,"&gt;"&amp;$O89)+1-1)/COUNTIF($B$2:$B$492,$B89))&gt;='Parametri Modello'!$B$65,"Nella Media","Scommessa/Riserva")))),"")</f>
        <v>Buono</v>
      </c>
      <c r="Q89" s="26">
        <f>IF(AND($D89="",$N89&gt;1),SUMPRODUCT(($D$2:$D89="")*($N$2:$N89&gt;1)),"")</f>
        <v>88</v>
      </c>
      <c r="R89" s="26" t="str">
        <f>IF($D89='Info Lega'!$B$28,COUNTIFS($D$2:$D89,'Info Lega'!$B$28),"")</f>
        <v/>
      </c>
      <c r="S89" s="27">
        <f>IFERROR(INDEX('Input Statistiche 2025_26'!$G$3:$G$665,MATCH($A89,'Input Statistiche 2025_26'!$A$3:$A$665,0)),"")</f>
        <v>6.19</v>
      </c>
      <c r="T89" s="27">
        <f>IFERROR(INDEX('Input Statistiche 2025_26'!$H$3:$H$665,MATCH($A89,'Input Statistiche 2025_26'!$A$3:$A$665,0)),"")</f>
        <v>5.28</v>
      </c>
      <c r="U89" s="23" t="str">
        <f>IF(OR('La Mia Rosa'!$O$12="",$D89&lt;&gt;""),"",IF($F89&lt;='La Mia Rosa'!$O$12*'Parametri Modello'!$B$24,"OK",IF($F89&lt;='La Mia Rosa'!$O$12*'Parametri Modello'!$B$25,"Attenzione","Rischio Alto")))</f>
        <v>OK</v>
      </c>
      <c r="V89" s="23">
        <f t="shared" si="10"/>
        <v>9</v>
      </c>
      <c r="W89" s="18">
        <f>'Info Lega'!$B$4-SUMIFS($M$2:$M$492,$D$2:$D$492,'Info Lega'!$B$28)</f>
        <v>1000</v>
      </c>
      <c r="X89" s="18">
        <f>('Info Lega'!$B$5-COUNTIFS($D$2:$D$492,'Info Lega'!$B$28,$B$2:$B$492,"P"))+('Info Lega'!$B$6-COUNTIFS($D$2:$D$492,'Info Lega'!$B$28,$B$2:$B$492,"D"))+('Info Lega'!$B$7-COUNTIFS($D$2:$D$492,'Info Lega'!$B$28,$B$2:$B$492,"C"))+('Info Lega'!$B$8-COUNTIFS($D$2:$D$492,'Info Lega'!$B$28,$B$2:$B$492,"A"))</f>
        <v>25</v>
      </c>
      <c r="Y89" s="18">
        <f>X89*'Parametri Modello'!$B$30</f>
        <v>25</v>
      </c>
      <c r="Z89" s="18">
        <f t="shared" si="11"/>
        <v>975</v>
      </c>
      <c r="AA89" s="18">
        <f t="shared" si="12"/>
        <v>13</v>
      </c>
      <c r="AB89" s="18"/>
      <c r="AC89" s="18" t="str">
        <f>IF($AB89="","",IF($AB89&gt;$AA89,"PASS",IF($AB89&lt;=$AA89*(1-'Parametri Modello'!$B$68),"BID","ATTENZIONE")))</f>
        <v/>
      </c>
      <c r="AD89" s="28">
        <f t="shared" si="13"/>
        <v>45</v>
      </c>
      <c r="AE89" s="5" t="str">
        <f>IFERROR(IF($AF89="Titolare",INDEX('Stato Asta'!$G$9:$G$12,MATCH($B89,'Stato Asta'!$A$9:$A$12,0)),INDEX('Stato Asta'!$P$9:$P$12,MATCH($B89,'Stato Asta'!$A$9:$A$12,0))),"")</f>
        <v>🔴 Riserve scarse</v>
      </c>
      <c r="AF89" t="str">
        <f>IFERROR(IF($V89&lt;=INDEX('Parametri Modello'!$C$57:$C$60,MATCH($B89,'Parametri Modello'!$A$57:$A$60,0)),"Titolare","Riserva"),"")</f>
        <v>Riserva</v>
      </c>
      <c r="AG89" t="str">
        <f>IFERROR(INDEX('Pressione Competitiva'!$F$3:$F$6,MATCH($B89,'Pressione Competitiva'!$B$3:$B$6,0)),"")</f>
        <v>🔴 Molto Alta</v>
      </c>
      <c r="AH89" t="str">
        <f t="shared" si="14"/>
        <v/>
      </c>
      <c r="AI89" t="str">
        <f>IFERROR(IF($AH89="","",IF($AH89&gt;=$AA89*'Parametri Modello'!$B$68,"🟢 Opportunita'",IF($AH89&lt;=$AA89*'Parametri Modello'!$B$69,"🔴 Sovrapprezzo","🟡 Prezzo Corretto"))),"")</f>
        <v/>
      </c>
      <c r="AJ89" t="str">
        <f t="shared" si="15"/>
        <v/>
      </c>
      <c r="AK89">
        <f t="shared" si="16"/>
        <v>2</v>
      </c>
      <c r="AL89" t="str">
        <f t="shared" si="17"/>
        <v>P|Buono|2</v>
      </c>
    </row>
    <row r="90" spans="1:38" ht="14.25" customHeight="1" x14ac:dyDescent="0.25">
      <c r="A90" s="18">
        <v>6844</v>
      </c>
      <c r="B90" s="18" t="s">
        <v>264</v>
      </c>
      <c r="C90" s="18" t="s">
        <v>288</v>
      </c>
      <c r="E90" s="23" t="str">
        <f>IF(COUNTIF('Info Strategia'!$D$2:$D$51,$C90)&gt;0,"SI","NO")</f>
        <v>NO</v>
      </c>
      <c r="F90" s="24">
        <f>IFERROR(ROUND(($G90+($H90-$G90)*'Info Strategia'!$B$6)*(1+IF($E90="SI",'Parametri Modello'!$B$7*'Info Strategia'!$B$6,0)),0),"")</f>
        <v>25</v>
      </c>
      <c r="G90" s="24">
        <f>IFERROR(ROUND(MAX(1,(IF($V90&lt;=INDEX('Parametri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17</v>
      </c>
      <c r="H90" s="24">
        <f>IFERROR(ROUND((IF($V90&lt;=INDEX('Parametri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28</v>
      </c>
      <c r="I90" s="23">
        <f>IFERROR(INDEX('Input Statistiche 2025_26'!$F$3:$F$665,MATCH($A90,'Input Statistiche 2025_26'!$A$3:$A$665,0)),"")</f>
        <v>28</v>
      </c>
      <c r="J90" s="23">
        <f t="shared" si="9"/>
        <v>10</v>
      </c>
      <c r="K90" s="23">
        <f>IFERROR(INDEX('Input Statistiche 2025_26'!$I$3:$I$665,MATCH($A90,'Input Statistiche 2025_26'!$A$3:$A$665,0)),"")</f>
        <v>3</v>
      </c>
      <c r="L90" s="23">
        <f>IFERROR(INDEX('Input Statistiche 2025_26'!$O$3:$O$665,MATCH($A90,'Input Statistiche 2025_26'!$A$3:$A$665,0)),"")</f>
        <v>3</v>
      </c>
      <c r="M90" s="25"/>
      <c r="N90" s="24">
        <f>IFERROR(INDEX('Input Giocatori 2026_27'!$E$3:$E$493,MATCH($A90,'Input Giocatori 2026_27'!$A$3:$A$493,0)),"")</f>
        <v>11</v>
      </c>
      <c r="O90" s="24">
        <f>IFERROR(INDEX('Input Giocatori 2026_27'!$G$3:$G$493,MATCH($A90,'Input Giocatori 2026_27'!$A$3:$A$493,0)),"")</f>
        <v>37</v>
      </c>
      <c r="P90" s="23" t="str">
        <f>IFERROR(IF($O90="","",IF((1-(COUNTIFS($B$2:$B$492,$B90,$O$2:$O$492,"&gt;"&amp;$O90)+1-1)/COUNTIF($B$2:$B$492,$B90))&gt;='Parametri Modello'!$B$63,"Top",IF((1-(COUNTIFS($B$2:$B$492,$B90,$O$2:$O$492,"&gt;"&amp;$O90)+1-1)/COUNTIF($B$2:$B$492,$B90))&gt;='Parametri Modello'!$B$64,"Buono",IF((1-(COUNTIFS($B$2:$B$492,$B90,$O$2:$O$492,"&gt;"&amp;$O90)+1-1)/COUNTIF($B$2:$B$492,$B90))&gt;='Parametri Modello'!$B$65,"Nella Media","Scommessa/Riserva")))),"")</f>
        <v>Buono</v>
      </c>
      <c r="Q90" s="26">
        <f>IF(AND($D90="",$N90&gt;1),SUMPRODUCT(($D$2:$D90="")*($N$2:$N90&gt;1)),"")</f>
        <v>89</v>
      </c>
      <c r="R90" s="26" t="str">
        <f>IF($D90='Info Lega'!$B$28,COUNTIFS($D$2:$D90,'Info Lega'!$B$28),"")</f>
        <v/>
      </c>
      <c r="S90" s="27">
        <f>IFERROR(INDEX('Input Statistiche 2025_26'!$G$3:$G$665,MATCH($A90,'Input Statistiche 2025_26'!$A$3:$A$665,0)),"")</f>
        <v>6.2</v>
      </c>
      <c r="T90" s="27">
        <f>IFERROR(INDEX('Input Statistiche 2025_26'!$H$3:$H$665,MATCH($A90,'Input Statistiche 2025_26'!$A$3:$A$665,0)),"")</f>
        <v>6.59</v>
      </c>
      <c r="U90" s="23" t="str">
        <f>IF(OR('La Mia Rosa'!$O$12="",$D90&lt;&gt;""),"",IF($F90&lt;='La Mia Rosa'!$O$12*'Parametri Modello'!$B$24,"OK",IF($F90&lt;='La Mia Rosa'!$O$12*'Parametri Modello'!$B$25,"Attenzione","Rischio Alto")))</f>
        <v>OK</v>
      </c>
      <c r="V90" s="23">
        <f t="shared" si="10"/>
        <v>32</v>
      </c>
      <c r="W90" s="18">
        <f>'Info Lega'!$B$4-SUMIFS($M$2:$M$492,$D$2:$D$492,'Info Lega'!$B$28)</f>
        <v>1000</v>
      </c>
      <c r="X90" s="18">
        <f>('Info Lega'!$B$5-COUNTIFS($D$2:$D$492,'Info Lega'!$B$28,$B$2:$B$492,"P"))+('Info Lega'!$B$6-COUNTIFS($D$2:$D$492,'Info Lega'!$B$28,$B$2:$B$492,"D"))+('Info Lega'!$B$7-COUNTIFS($D$2:$D$492,'Info Lega'!$B$28,$B$2:$B$492,"C"))+('Info Lega'!$B$8-COUNTIFS($D$2:$D$492,'Info Lega'!$B$28,$B$2:$B$492,"A"))</f>
        <v>25</v>
      </c>
      <c r="Y90" s="18">
        <f>X90*'Parametri Modello'!$B$30</f>
        <v>25</v>
      </c>
      <c r="Z90" s="18">
        <f t="shared" si="11"/>
        <v>975</v>
      </c>
      <c r="AA90" s="18">
        <f t="shared" si="12"/>
        <v>25</v>
      </c>
      <c r="AB90" s="18"/>
      <c r="AC90" s="18" t="str">
        <f>IF($AB90="","",IF($AB90&gt;$AA90,"PASS",IF($AB90&lt;=$AA90*(1-'Parametri Modello'!$B$68),"BID","ATTENZIONE")))</f>
        <v/>
      </c>
      <c r="AD90" s="28">
        <f t="shared" si="13"/>
        <v>61</v>
      </c>
      <c r="AE90" s="5" t="str">
        <f>IFERROR(IF($AF90="Titolare",INDEX('Stato Asta'!$G$9:$G$12,MATCH($B90,'Stato Asta'!$A$9:$A$12,0)),INDEX('Stato Asta'!$P$9:$P$12,MATCH($B90,'Stato Asta'!$A$9:$A$12,0))),"")</f>
        <v>🟡 Attesa rischiosa</v>
      </c>
      <c r="AF90" t="str">
        <f>IFERROR(IF($V90&lt;=INDEX('Parametri Modello'!$C$57:$C$60,MATCH($B90,'Parametri Modello'!$A$57:$A$60,0)),"Titolare","Riserva"),"")</f>
        <v>Titolare</v>
      </c>
      <c r="AG90" t="str">
        <f>IFERROR(INDEX('Pressione Competitiva'!$F$3:$F$6,MATCH($B90,'Pressione Competitiva'!$B$3:$B$6,0)),"")</f>
        <v>🔴 Molto Alta</v>
      </c>
      <c r="AH90" t="str">
        <f t="shared" si="14"/>
        <v/>
      </c>
      <c r="AI90" t="str">
        <f>IFERROR(IF($AH90="","",IF($AH90&gt;=$AA90*'Parametri Modello'!$B$68,"🟢 Opportunita'",IF($AH90&lt;=$AA90*'Parametri Modello'!$B$69,"🔴 Sovrapprezzo","🟡 Prezzo Corretto"))),"")</f>
        <v/>
      </c>
      <c r="AJ90" t="str">
        <f t="shared" si="15"/>
        <v/>
      </c>
      <c r="AK90">
        <f t="shared" si="16"/>
        <v>14</v>
      </c>
      <c r="AL90" t="str">
        <f t="shared" si="17"/>
        <v>C|Buono|14</v>
      </c>
    </row>
    <row r="91" spans="1:38" ht="14.25" customHeight="1" x14ac:dyDescent="0.25">
      <c r="A91" s="18">
        <v>5888</v>
      </c>
      <c r="B91" s="18" t="s">
        <v>264</v>
      </c>
      <c r="C91" s="18" t="s">
        <v>298</v>
      </c>
      <c r="E91" s="23" t="str">
        <f>IF(COUNTIF('Info Strategia'!$D$2:$D$51,$C91)&gt;0,"SI","NO")</f>
        <v>NO</v>
      </c>
      <c r="F91" s="24">
        <f>IFERROR(ROUND(($G91+($H91-$G91)*'Info Strategia'!$B$6)*(1+IF($E91="SI",'Parametri Modello'!$B$7*'Info Strategia'!$B$6,0)),0),"")</f>
        <v>25</v>
      </c>
      <c r="G91" s="24">
        <f>IFERROR(ROUND(MAX(1,(IF($V91&lt;=INDEX('Parametri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17</v>
      </c>
      <c r="H91" s="24">
        <f>IFERROR(ROUND((IF($V91&lt;=INDEX('Parametri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28</v>
      </c>
      <c r="I91" s="23">
        <f>IFERROR(INDEX('Input Statistiche 2025_26'!$F$3:$F$665,MATCH($A91,'Input Statistiche 2025_26'!$A$3:$A$665,0)),"")</f>
        <v>32</v>
      </c>
      <c r="J91" s="23">
        <f t="shared" si="9"/>
        <v>6</v>
      </c>
      <c r="K91" s="23">
        <f>IFERROR(INDEX('Input Statistiche 2025_26'!$I$3:$I$665,MATCH($A91,'Input Statistiche 2025_26'!$A$3:$A$665,0)),"")</f>
        <v>6</v>
      </c>
      <c r="L91" s="23">
        <f>IFERROR(INDEX('Input Statistiche 2025_26'!$O$3:$O$665,MATCH($A91,'Input Statistiche 2025_26'!$A$3:$A$665,0)),"")</f>
        <v>0</v>
      </c>
      <c r="M91" s="25"/>
      <c r="N91" s="24">
        <f>IFERROR(INDEX('Input Giocatori 2026_27'!$E$3:$E$493,MATCH($A91,'Input Giocatori 2026_27'!$A$3:$A$493,0)),"")</f>
        <v>10</v>
      </c>
      <c r="O91" s="24">
        <f>IFERROR(INDEX('Input Giocatori 2026_27'!$G$3:$G$493,MATCH($A91,'Input Giocatori 2026_27'!$A$3:$A$493,0)),"")</f>
        <v>37</v>
      </c>
      <c r="P91" s="23" t="str">
        <f>IFERROR(IF($O91="","",IF((1-(COUNTIFS($B$2:$B$492,$B91,$O$2:$O$492,"&gt;"&amp;$O91)+1-1)/COUNTIF($B$2:$B$492,$B91))&gt;='Parametri Modello'!$B$63,"Top",IF((1-(COUNTIFS($B$2:$B$492,$B91,$O$2:$O$492,"&gt;"&amp;$O91)+1-1)/COUNTIF($B$2:$B$492,$B91))&gt;='Parametri Modello'!$B$64,"Buono",IF((1-(COUNTIFS($B$2:$B$492,$B91,$O$2:$O$492,"&gt;"&amp;$O91)+1-1)/COUNTIF($B$2:$B$492,$B91))&gt;='Parametri Modello'!$B$65,"Nella Media","Scommessa/Riserva")))),"")</f>
        <v>Buono</v>
      </c>
      <c r="Q91" s="26">
        <f>IF(AND($D91="",$N91&gt;1),SUMPRODUCT(($D$2:$D91="")*($N$2:$N91&gt;1)),"")</f>
        <v>90</v>
      </c>
      <c r="R91" s="26" t="str">
        <f>IF($D91='Info Lega'!$B$28,COUNTIFS($D$2:$D91,'Info Lega'!$B$28),"")</f>
        <v/>
      </c>
      <c r="S91" s="27">
        <f>IFERROR(INDEX('Input Statistiche 2025_26'!$G$3:$G$665,MATCH($A91,'Input Statistiche 2025_26'!$A$3:$A$665,0)),"")</f>
        <v>5.97</v>
      </c>
      <c r="T91" s="27">
        <f>IFERROR(INDEX('Input Statistiche 2025_26'!$H$3:$H$665,MATCH($A91,'Input Statistiche 2025_26'!$A$3:$A$665,0)),"")</f>
        <v>6.45</v>
      </c>
      <c r="U91" s="23" t="str">
        <f>IF(OR('La Mia Rosa'!$O$12="",$D91&lt;&gt;""),"",IF($F91&lt;='La Mia Rosa'!$O$12*'Parametri Modello'!$B$24,"OK",IF($F91&lt;='La Mia Rosa'!$O$12*'Parametri Modello'!$B$25,"Attenzione","Rischio Alto")))</f>
        <v>OK</v>
      </c>
      <c r="V91" s="23">
        <f t="shared" si="10"/>
        <v>32</v>
      </c>
      <c r="W91" s="18">
        <f>'Info Lega'!$B$4-SUMIFS($M$2:$M$492,$D$2:$D$492,'Info Lega'!$B$28)</f>
        <v>1000</v>
      </c>
      <c r="X91" s="18">
        <f>('Info Lega'!$B$5-COUNTIFS($D$2:$D$492,'Info Lega'!$B$28,$B$2:$B$492,"P"))+('Info Lega'!$B$6-COUNTIFS($D$2:$D$492,'Info Lega'!$B$28,$B$2:$B$492,"D"))+('Info Lega'!$B$7-COUNTIFS($D$2:$D$492,'Info Lega'!$B$28,$B$2:$B$492,"C"))+('Info Lega'!$B$8-COUNTIFS($D$2:$D$492,'Info Lega'!$B$28,$B$2:$B$492,"A"))</f>
        <v>25</v>
      </c>
      <c r="Y91" s="18">
        <f>X91*'Parametri Modello'!$B$30</f>
        <v>25</v>
      </c>
      <c r="Z91" s="18">
        <f t="shared" si="11"/>
        <v>975</v>
      </c>
      <c r="AA91" s="18">
        <f t="shared" si="12"/>
        <v>25</v>
      </c>
      <c r="AB91" s="18"/>
      <c r="AC91" s="18" t="str">
        <f>IF($AB91="","",IF($AB91&gt;$AA91,"PASS",IF($AB91&lt;=$AA91*(1-'Parametri Modello'!$B$68),"BID","ATTENZIONE")))</f>
        <v/>
      </c>
      <c r="AD91" s="28">
        <f t="shared" si="13"/>
        <v>66</v>
      </c>
      <c r="AE91" s="5" t="str">
        <f>IFERROR(IF($AF91="Titolare",INDEX('Stato Asta'!$G$9:$G$12,MATCH($B91,'Stato Asta'!$A$9:$A$12,0)),INDEX('Stato Asta'!$P$9:$P$12,MATCH($B91,'Stato Asta'!$A$9:$A$12,0))),"")</f>
        <v>🟡 Attesa rischiosa</v>
      </c>
      <c r="AF91" t="str">
        <f>IFERROR(IF($V91&lt;=INDEX('Parametri Modello'!$C$57:$C$60,MATCH($B91,'Parametri Modello'!$A$57:$A$60,0)),"Titolare","Riserva"),"")</f>
        <v>Titolare</v>
      </c>
      <c r="AG91" t="str">
        <f>IFERROR(INDEX('Pressione Competitiva'!$F$3:$F$6,MATCH($B91,'Pressione Competitiva'!$B$3:$B$6,0)),"")</f>
        <v>🔴 Molto Alta</v>
      </c>
      <c r="AH91" t="str">
        <f t="shared" si="14"/>
        <v/>
      </c>
      <c r="AI91" t="str">
        <f>IFERROR(IF($AH91="","",IF($AH91&gt;=$AA91*'Parametri Modello'!$B$68,"🟢 Opportunita'",IF($AH91&lt;=$AA91*'Parametri Modello'!$B$69,"🔴 Sovrapprezzo","🟡 Prezzo Corretto"))),"")</f>
        <v/>
      </c>
      <c r="AJ91" t="str">
        <f t="shared" si="15"/>
        <v/>
      </c>
      <c r="AK91">
        <f t="shared" si="16"/>
        <v>14</v>
      </c>
      <c r="AL91" t="str">
        <f t="shared" si="17"/>
        <v>C|Buono|14</v>
      </c>
    </row>
    <row r="92" spans="1:38" ht="14.25" customHeight="1" x14ac:dyDescent="0.25">
      <c r="A92" s="18">
        <v>6274</v>
      </c>
      <c r="B92" s="18" t="s">
        <v>264</v>
      </c>
      <c r="C92" s="18" t="s">
        <v>310</v>
      </c>
      <c r="E92" s="23" t="str">
        <f>IF(COUNTIF('Info Strategia'!$D$2:$D$51,$C92)&gt;0,"SI","NO")</f>
        <v>NO</v>
      </c>
      <c r="F92" s="24">
        <f>IFERROR(ROUND(($G92+($H92-$G92)*'Info Strategia'!$B$6)*(1+IF($E92="SI",'Parametri Modello'!$B$7*'Info Strategia'!$B$6,0)),0),"")</f>
        <v>25</v>
      </c>
      <c r="G92" s="24">
        <f>IFERROR(ROUND(MAX(1,(IF($V92&lt;=INDEX('Parametri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17</v>
      </c>
      <c r="H92" s="24">
        <f>IFERROR(ROUND((IF($V92&lt;=INDEX('Parametri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28</v>
      </c>
      <c r="I92" s="23">
        <f>IFERROR(INDEX('Input Statistiche 2025_26'!$F$3:$F$665,MATCH($A92,'Input Statistiche 2025_26'!$A$3:$A$665,0)),"")</f>
        <v>10</v>
      </c>
      <c r="J92" s="23">
        <f t="shared" si="9"/>
        <v>28</v>
      </c>
      <c r="K92" s="23">
        <f>IFERROR(INDEX('Input Statistiche 2025_26'!$I$3:$I$665,MATCH($A92,'Input Statistiche 2025_26'!$A$3:$A$665,0)),"")</f>
        <v>1</v>
      </c>
      <c r="L92" s="23">
        <f>IFERROR(INDEX('Input Statistiche 2025_26'!$O$3:$O$665,MATCH($A92,'Input Statistiche 2025_26'!$A$3:$A$665,0)),"")</f>
        <v>0</v>
      </c>
      <c r="M92" s="25"/>
      <c r="N92" s="24">
        <f>IFERROR(INDEX('Input Giocatori 2026_27'!$E$3:$E$493,MATCH($A92,'Input Giocatori 2026_27'!$A$3:$A$493,0)),"")</f>
        <v>8</v>
      </c>
      <c r="O92" s="24">
        <f>IFERROR(INDEX('Input Giocatori 2026_27'!$G$3:$G$493,MATCH($A92,'Input Giocatori 2026_27'!$A$3:$A$493,0)),"")</f>
        <v>37</v>
      </c>
      <c r="P92" s="23" t="str">
        <f>IFERROR(IF($O92="","",IF((1-(COUNTIFS($B$2:$B$492,$B92,$O$2:$O$492,"&gt;"&amp;$O92)+1-1)/COUNTIF($B$2:$B$492,$B92))&gt;='Parametri Modello'!$B$63,"Top",IF((1-(COUNTIFS($B$2:$B$492,$B92,$O$2:$O$492,"&gt;"&amp;$O92)+1-1)/COUNTIF($B$2:$B$492,$B92))&gt;='Parametri Modello'!$B$64,"Buono",IF((1-(COUNTIFS($B$2:$B$492,$B92,$O$2:$O$492,"&gt;"&amp;$O92)+1-1)/COUNTIF($B$2:$B$492,$B92))&gt;='Parametri Modello'!$B$65,"Nella Media","Scommessa/Riserva")))),"")</f>
        <v>Buono</v>
      </c>
      <c r="Q92" s="26">
        <f>IF(AND($D92="",$N92&gt;1),SUMPRODUCT(($D$2:$D92="")*($N$2:$N92&gt;1)),"")</f>
        <v>91</v>
      </c>
      <c r="R92" s="26" t="str">
        <f>IF($D92='Info Lega'!$B$28,COUNTIFS($D$2:$D92,'Info Lega'!$B$28),"")</f>
        <v/>
      </c>
      <c r="S92" s="27">
        <f>IFERROR(INDEX('Input Statistiche 2025_26'!$G$3:$G$665,MATCH($A92,'Input Statistiche 2025_26'!$A$3:$A$665,0)),"")</f>
        <v>6.15</v>
      </c>
      <c r="T92" s="27">
        <f>IFERROR(INDEX('Input Statistiche 2025_26'!$H$3:$H$665,MATCH($A92,'Input Statistiche 2025_26'!$A$3:$A$665,0)),"")</f>
        <v>6.45</v>
      </c>
      <c r="U92" s="23" t="str">
        <f>IF(OR('La Mia Rosa'!$O$12="",$D92&lt;&gt;""),"",IF($F92&lt;='La Mia Rosa'!$O$12*'Parametri Modello'!$B$24,"OK",IF($F92&lt;='La Mia Rosa'!$O$12*'Parametri Modello'!$B$25,"Attenzione","Rischio Alto")))</f>
        <v>OK</v>
      </c>
      <c r="V92" s="23">
        <f t="shared" si="10"/>
        <v>32</v>
      </c>
      <c r="W92" s="18">
        <f>'Info Lega'!$B$4-SUMIFS($M$2:$M$492,$D$2:$D$492,'Info Lega'!$B$28)</f>
        <v>1000</v>
      </c>
      <c r="X92" s="18">
        <f>('Info Lega'!$B$5-COUNTIFS($D$2:$D$492,'Info Lega'!$B$28,$B$2:$B$492,"P"))+('Info Lega'!$B$6-COUNTIFS($D$2:$D$492,'Info Lega'!$B$28,$B$2:$B$492,"D"))+('Info Lega'!$B$7-COUNTIFS($D$2:$D$492,'Info Lega'!$B$28,$B$2:$B$492,"C"))+('Info Lega'!$B$8-COUNTIFS($D$2:$D$492,'Info Lega'!$B$28,$B$2:$B$492,"A"))</f>
        <v>25</v>
      </c>
      <c r="Y92" s="18">
        <f>X92*'Parametri Modello'!$B$30</f>
        <v>25</v>
      </c>
      <c r="Z92" s="18">
        <f t="shared" si="11"/>
        <v>975</v>
      </c>
      <c r="AA92" s="18">
        <f t="shared" si="12"/>
        <v>25</v>
      </c>
      <c r="AB92" s="18"/>
      <c r="AC92" s="18" t="str">
        <f>IF($AB92="","",IF($AB92&gt;$AA92,"PASS",IF($AB92&lt;=$AA92*(1-'Parametri Modello'!$B$68),"BID","ATTENZIONE")))</f>
        <v/>
      </c>
      <c r="AD92" s="28">
        <f t="shared" si="13"/>
        <v>28</v>
      </c>
      <c r="AE92" s="5" t="str">
        <f>IFERROR(IF($AF92="Titolare",INDEX('Stato Asta'!$G$9:$G$12,MATCH($B92,'Stato Asta'!$A$9:$A$12,0)),INDEX('Stato Asta'!$P$9:$P$12,MATCH($B92,'Stato Asta'!$A$9:$A$12,0))),"")</f>
        <v>🟡 Attesa rischiosa</v>
      </c>
      <c r="AF92" t="str">
        <f>IFERROR(IF($V92&lt;=INDEX('Parametri Modello'!$C$57:$C$60,MATCH($B92,'Parametri Modello'!$A$57:$A$60,0)),"Titolare","Riserva"),"")</f>
        <v>Titolare</v>
      </c>
      <c r="AG92" t="str">
        <f>IFERROR(INDEX('Pressione Competitiva'!$F$3:$F$6,MATCH($B92,'Pressione Competitiva'!$B$3:$B$6,0)),"")</f>
        <v>🔴 Molto Alta</v>
      </c>
      <c r="AH92" t="str">
        <f t="shared" si="14"/>
        <v/>
      </c>
      <c r="AI92" t="str">
        <f>IFERROR(IF($AH92="","",IF($AH92&gt;=$AA92*'Parametri Modello'!$B$68,"🟢 Opportunita'",IF($AH92&lt;=$AA92*'Parametri Modello'!$B$69,"🔴 Sovrapprezzo","🟡 Prezzo Corretto"))),"")</f>
        <v/>
      </c>
      <c r="AJ92" t="str">
        <f t="shared" si="15"/>
        <v/>
      </c>
      <c r="AK92">
        <f t="shared" si="16"/>
        <v>14</v>
      </c>
      <c r="AL92" t="str">
        <f t="shared" si="17"/>
        <v>C|Buono|14</v>
      </c>
    </row>
    <row r="93" spans="1:38" ht="14.25" customHeight="1" x14ac:dyDescent="0.25">
      <c r="A93" s="18">
        <v>6666</v>
      </c>
      <c r="B93" s="18" t="s">
        <v>264</v>
      </c>
      <c r="C93" s="18" t="s">
        <v>324</v>
      </c>
      <c r="E93" s="23" t="str">
        <f>IF(COUNTIF('Info Strategia'!$D$2:$D$51,$C93)&gt;0,"SI","NO")</f>
        <v>NO</v>
      </c>
      <c r="F93" s="24">
        <f>IFERROR(ROUND(($G93+($H93-$G93)*'Info Strategia'!$B$6)*(1+IF($E93="SI",'Parametri Modello'!$B$7*'Info Strategia'!$B$6,0)),0),"")</f>
        <v>4</v>
      </c>
      <c r="G93" s="24">
        <f>IFERROR(ROUND(MAX(1,(IF($V93&lt;=INDEX('Parametri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3</v>
      </c>
      <c r="H93" s="24">
        <f>IFERROR(ROUND((IF($V93&lt;=INDEX('Parametri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5</v>
      </c>
      <c r="I93" s="23">
        <f>IFERROR(INDEX('Input Statistiche 2025_26'!$F$3:$F$665,MATCH($A93,'Input Statistiche 2025_26'!$A$3:$A$665,0)),"")</f>
        <v>32</v>
      </c>
      <c r="J93" s="23">
        <f t="shared" si="9"/>
        <v>6</v>
      </c>
      <c r="K93" s="23">
        <f>IFERROR(INDEX('Input Statistiche 2025_26'!$I$3:$I$665,MATCH($A93,'Input Statistiche 2025_26'!$A$3:$A$665,0)),"")</f>
        <v>3</v>
      </c>
      <c r="L93" s="23">
        <f>IFERROR(INDEX('Input Statistiche 2025_26'!$O$3:$O$665,MATCH($A93,'Input Statistiche 2025_26'!$A$3:$A$665,0)),"")</f>
        <v>1</v>
      </c>
      <c r="M93" s="25"/>
      <c r="N93" s="24">
        <f>IFERROR(INDEX('Input Giocatori 2026_27'!$E$3:$E$493,MATCH($A93,'Input Giocatori 2026_27'!$A$3:$A$493,0)),"")</f>
        <v>7</v>
      </c>
      <c r="O93" s="24">
        <f>IFERROR(INDEX('Input Giocatori 2026_27'!$G$3:$G$493,MATCH($A93,'Input Giocatori 2026_27'!$A$3:$A$493,0)),"")</f>
        <v>36</v>
      </c>
      <c r="P93" s="23" t="str">
        <f>IFERROR(IF($O93="","",IF((1-(COUNTIFS($B$2:$B$492,$B93,$O$2:$O$492,"&gt;"&amp;$O93)+1-1)/COUNTIF($B$2:$B$492,$B93))&gt;='Parametri Modello'!$B$63,"Top",IF((1-(COUNTIFS($B$2:$B$492,$B93,$O$2:$O$492,"&gt;"&amp;$O93)+1-1)/COUNTIF($B$2:$B$492,$B93))&gt;='Parametri Modello'!$B$64,"Buono",IF((1-(COUNTIFS($B$2:$B$492,$B93,$O$2:$O$492,"&gt;"&amp;$O93)+1-1)/COUNTIF($B$2:$B$492,$B93))&gt;='Parametri Modello'!$B$65,"Nella Media","Scommessa/Riserva")))),"")</f>
        <v>Buono</v>
      </c>
      <c r="Q93" s="26">
        <f>IF(AND($D93="",$N93&gt;1),SUMPRODUCT(($D$2:$D93="")*($N$2:$N93&gt;1)),"")</f>
        <v>92</v>
      </c>
      <c r="R93" s="26" t="str">
        <f>IF($D93='Info Lega'!$B$28,COUNTIFS($D$2:$D93,'Info Lega'!$B$28),"")</f>
        <v/>
      </c>
      <c r="S93" s="27">
        <f>IFERROR(INDEX('Input Statistiche 2025_26'!$G$3:$G$665,MATCH($A93,'Input Statistiche 2025_26'!$A$3:$A$665,0)),"")</f>
        <v>6.17</v>
      </c>
      <c r="T93" s="27">
        <f>IFERROR(INDEX('Input Statistiche 2025_26'!$H$3:$H$665,MATCH($A93,'Input Statistiche 2025_26'!$A$3:$A$665,0)),"")</f>
        <v>6.48</v>
      </c>
      <c r="U93" s="23" t="str">
        <f>IF(OR('La Mia Rosa'!$O$12="",$D93&lt;&gt;""),"",IF($F93&lt;='La Mia Rosa'!$O$12*'Parametri Modello'!$B$24,"OK",IF($F93&lt;='La Mia Rosa'!$O$12*'Parametri Modello'!$B$25,"Attenzione","Rischio Alto")))</f>
        <v>OK</v>
      </c>
      <c r="V93" s="23">
        <f t="shared" si="10"/>
        <v>35</v>
      </c>
      <c r="W93" s="18">
        <f>'Info Lega'!$B$4-SUMIFS($M$2:$M$492,$D$2:$D$492,'Info Lega'!$B$28)</f>
        <v>1000</v>
      </c>
      <c r="X93" s="18">
        <f>('Info Lega'!$B$5-COUNTIFS($D$2:$D$492,'Info Lega'!$B$28,$B$2:$B$492,"P"))+('Info Lega'!$B$6-COUNTIFS($D$2:$D$492,'Info Lega'!$B$28,$B$2:$B$492,"D"))+('Info Lega'!$B$7-COUNTIFS($D$2:$D$492,'Info Lega'!$B$28,$B$2:$B$492,"C"))+('Info Lega'!$B$8-COUNTIFS($D$2:$D$492,'Info Lega'!$B$28,$B$2:$B$492,"A"))</f>
        <v>25</v>
      </c>
      <c r="Y93" s="18">
        <f>X93*'Parametri Modello'!$B$30</f>
        <v>25</v>
      </c>
      <c r="Z93" s="18">
        <f t="shared" si="11"/>
        <v>975</v>
      </c>
      <c r="AA93" s="18">
        <f t="shared" si="12"/>
        <v>4</v>
      </c>
      <c r="AB93" s="18"/>
      <c r="AC93" s="18" t="str">
        <f>IF($AB93="","",IF($AB93&gt;$AA93,"PASS",IF($AB93&lt;=$AA93*(1-'Parametri Modello'!$B$68),"BID","ATTENZIONE")))</f>
        <v/>
      </c>
      <c r="AD93" s="28">
        <f t="shared" si="13"/>
        <v>66</v>
      </c>
      <c r="AE93" s="5" t="str">
        <f>IFERROR(IF($AF93="Titolare",INDEX('Stato Asta'!$G$9:$G$12,MATCH($B93,'Stato Asta'!$A$9:$A$12,0)),INDEX('Stato Asta'!$P$9:$P$12,MATCH($B93,'Stato Asta'!$A$9:$A$12,0))),"")</f>
        <v>🟢 Riserve abbondanti</v>
      </c>
      <c r="AF93" t="str">
        <f>IFERROR(IF($V93&lt;=INDEX('Parametri Modello'!$C$57:$C$60,MATCH($B93,'Parametri Modello'!$A$57:$A$60,0)),"Titolare","Riserva"),"")</f>
        <v>Riserva</v>
      </c>
      <c r="AG93" t="str">
        <f>IFERROR(INDEX('Pressione Competitiva'!$F$3:$F$6,MATCH($B93,'Pressione Competitiva'!$B$3:$B$6,0)),"")</f>
        <v>🔴 Molto Alta</v>
      </c>
      <c r="AH93" t="str">
        <f t="shared" si="14"/>
        <v/>
      </c>
      <c r="AI93" t="str">
        <f>IFERROR(IF($AH93="","",IF($AH93&gt;=$AA93*'Parametri Modello'!$B$68,"🟢 Opportunita'",IF($AH93&lt;=$AA93*'Parametri Modello'!$B$69,"🔴 Sovrapprezzo","🟡 Prezzo Corretto"))),"")</f>
        <v/>
      </c>
      <c r="AJ93" t="str">
        <f t="shared" si="15"/>
        <v/>
      </c>
      <c r="AK93">
        <f t="shared" si="16"/>
        <v>17</v>
      </c>
      <c r="AL93" t="str">
        <f t="shared" si="17"/>
        <v>C|Buono|17</v>
      </c>
    </row>
    <row r="94" spans="1:38" ht="14.25" customHeight="1" x14ac:dyDescent="0.25">
      <c r="A94" s="18">
        <v>7223</v>
      </c>
      <c r="B94" s="18" t="s">
        <v>264</v>
      </c>
      <c r="C94" s="18" t="s">
        <v>314</v>
      </c>
      <c r="E94" s="23" t="str">
        <f>IF(COUNTIF('Info Strategia'!$D$2:$D$51,$C94)&gt;0,"SI","NO")</f>
        <v>NO</v>
      </c>
      <c r="F94" s="24">
        <f>IFERROR(ROUND(($G94+($H94-$G94)*'Info Strategia'!$B$6)*(1+IF($E94="SI",'Parametri Modello'!$B$7*'Info Strategia'!$B$6,0)),0),"")</f>
        <v>4</v>
      </c>
      <c r="G94" s="24">
        <f>IFERROR(ROUND(MAX(1,(IF($V94&lt;=INDEX('Parametri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3</v>
      </c>
      <c r="H94" s="24">
        <f>IFERROR(ROUND((IF($V94&lt;=INDEX('Parametri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5</v>
      </c>
      <c r="I94" s="23">
        <f>IFERROR(INDEX('Input Statistiche 2025_26'!$F$3:$F$665,MATCH($A94,'Input Statistiche 2025_26'!$A$3:$A$665,0)),"")</f>
        <v>8</v>
      </c>
      <c r="J94" s="23">
        <f t="shared" si="9"/>
        <v>30</v>
      </c>
      <c r="K94" s="23">
        <f>IFERROR(INDEX('Input Statistiche 2025_26'!$I$3:$I$665,MATCH($A94,'Input Statistiche 2025_26'!$A$3:$A$665,0)),"")</f>
        <v>1</v>
      </c>
      <c r="L94" s="23">
        <f>IFERROR(INDEX('Input Statistiche 2025_26'!$O$3:$O$665,MATCH($A94,'Input Statistiche 2025_26'!$A$3:$A$665,0)),"")</f>
        <v>0</v>
      </c>
      <c r="M94" s="25"/>
      <c r="N94" s="24">
        <f>IFERROR(INDEX('Input Giocatori 2026_27'!$E$3:$E$493,MATCH($A94,'Input Giocatori 2026_27'!$A$3:$A$493,0)),"")</f>
        <v>8</v>
      </c>
      <c r="O94" s="24">
        <f>IFERROR(INDEX('Input Giocatori 2026_27'!$G$3:$G$493,MATCH($A94,'Input Giocatori 2026_27'!$A$3:$A$493,0)),"")</f>
        <v>34</v>
      </c>
      <c r="P94" s="23" t="str">
        <f>IFERROR(IF($O94="","",IF((1-(COUNTIFS($B$2:$B$492,$B94,$O$2:$O$492,"&gt;"&amp;$O94)+1-1)/COUNTIF($B$2:$B$492,$B94))&gt;='Parametri Modello'!$B$63,"Top",IF((1-(COUNTIFS($B$2:$B$492,$B94,$O$2:$O$492,"&gt;"&amp;$O94)+1-1)/COUNTIF($B$2:$B$492,$B94))&gt;='Parametri Modello'!$B$64,"Buono",IF((1-(COUNTIFS($B$2:$B$492,$B94,$O$2:$O$492,"&gt;"&amp;$O94)+1-1)/COUNTIF($B$2:$B$492,$B94))&gt;='Parametri Modello'!$B$65,"Nella Media","Scommessa/Riserva")))),"")</f>
        <v>Buono</v>
      </c>
      <c r="Q94" s="26">
        <f>IF(AND($D94="",$N94&gt;1),SUMPRODUCT(($D$2:$D94="")*($N$2:$N94&gt;1)),"")</f>
        <v>93</v>
      </c>
      <c r="R94" s="26" t="str">
        <f>IF($D94='Info Lega'!$B$28,COUNTIFS($D$2:$D94,'Info Lega'!$B$28),"")</f>
        <v/>
      </c>
      <c r="S94" s="27">
        <f>IFERROR(INDEX('Input Statistiche 2025_26'!$G$3:$G$665,MATCH($A94,'Input Statistiche 2025_26'!$A$3:$A$665,0)),"")</f>
        <v>6.25</v>
      </c>
      <c r="T94" s="27">
        <f>IFERROR(INDEX('Input Statistiche 2025_26'!$H$3:$H$665,MATCH($A94,'Input Statistiche 2025_26'!$A$3:$A$665,0)),"")</f>
        <v>6.5</v>
      </c>
      <c r="U94" s="23" t="str">
        <f>IF(OR('La Mia Rosa'!$O$12="",$D94&lt;&gt;""),"",IF($F94&lt;='La Mia Rosa'!$O$12*'Parametri Modello'!$B$24,"OK",IF($F94&lt;='La Mia Rosa'!$O$12*'Parametri Modello'!$B$25,"Attenzione","Rischio Alto")))</f>
        <v>OK</v>
      </c>
      <c r="V94" s="23">
        <f t="shared" si="10"/>
        <v>36</v>
      </c>
      <c r="W94" s="18">
        <f>'Info Lega'!$B$4-SUMIFS($M$2:$M$492,$D$2:$D$492,'Info Lega'!$B$28)</f>
        <v>1000</v>
      </c>
      <c r="X94" s="18">
        <f>('Info Lega'!$B$5-COUNTIFS($D$2:$D$492,'Info Lega'!$B$28,$B$2:$B$492,"P"))+('Info Lega'!$B$6-COUNTIFS($D$2:$D$492,'Info Lega'!$B$28,$B$2:$B$492,"D"))+('Info Lega'!$B$7-COUNTIFS($D$2:$D$492,'Info Lega'!$B$28,$B$2:$B$492,"C"))+('Info Lega'!$B$8-COUNTIFS($D$2:$D$492,'Info Lega'!$B$28,$B$2:$B$492,"A"))</f>
        <v>25</v>
      </c>
      <c r="Y94" s="18">
        <f>X94*'Parametri Modello'!$B$30</f>
        <v>25</v>
      </c>
      <c r="Z94" s="18">
        <f t="shared" si="11"/>
        <v>975</v>
      </c>
      <c r="AA94" s="18">
        <f t="shared" si="12"/>
        <v>4</v>
      </c>
      <c r="AB94" s="18"/>
      <c r="AC94" s="18" t="str">
        <f>IF($AB94="","",IF($AB94&gt;$AA94,"PASS",IF($AB94&lt;=$AA94*(1-'Parametri Modello'!$B$68),"BID","ATTENZIONE")))</f>
        <v/>
      </c>
      <c r="AD94" s="28">
        <f t="shared" si="13"/>
        <v>23</v>
      </c>
      <c r="AE94" s="5" t="str">
        <f>IFERROR(IF($AF94="Titolare",INDEX('Stato Asta'!$G$9:$G$12,MATCH($B94,'Stato Asta'!$A$9:$A$12,0)),INDEX('Stato Asta'!$P$9:$P$12,MATCH($B94,'Stato Asta'!$A$9:$A$12,0))),"")</f>
        <v>🟢 Riserve abbondanti</v>
      </c>
      <c r="AF94" t="str">
        <f>IFERROR(IF($V94&lt;=INDEX('Parametri Modello'!$C$57:$C$60,MATCH($B94,'Parametri Modello'!$A$57:$A$60,0)),"Titolare","Riserva"),"")</f>
        <v>Riserva</v>
      </c>
      <c r="AG94" t="str">
        <f>IFERROR(INDEX('Pressione Competitiva'!$F$3:$F$6,MATCH($B94,'Pressione Competitiva'!$B$3:$B$6,0)),"")</f>
        <v>🔴 Molto Alta</v>
      </c>
      <c r="AH94" t="str">
        <f t="shared" si="14"/>
        <v/>
      </c>
      <c r="AI94" t="str">
        <f>IFERROR(IF($AH94="","",IF($AH94&gt;=$AA94*'Parametri Modello'!$B$68,"🟢 Opportunita'",IF($AH94&lt;=$AA94*'Parametri Modello'!$B$69,"🔴 Sovrapprezzo","🟡 Prezzo Corretto"))),"")</f>
        <v/>
      </c>
      <c r="AJ94" t="str">
        <f t="shared" si="15"/>
        <v/>
      </c>
      <c r="AK94">
        <f t="shared" si="16"/>
        <v>18</v>
      </c>
      <c r="AL94" t="str">
        <f t="shared" si="17"/>
        <v>C|Buono|18</v>
      </c>
    </row>
    <row r="95" spans="1:38" ht="14.25" customHeight="1" x14ac:dyDescent="0.25">
      <c r="A95" s="18">
        <v>6217</v>
      </c>
      <c r="B95" s="18" t="s">
        <v>88</v>
      </c>
      <c r="C95" s="18" t="s">
        <v>104</v>
      </c>
      <c r="E95" s="23" t="str">
        <f>IF(COUNTIF('Info Strategia'!$D$2:$D$51,$C95)&gt;0,"SI","NO")</f>
        <v>NO</v>
      </c>
      <c r="F95" s="24">
        <f>IFERROR(ROUND(($G95+($H95-$G95)*'Info Strategia'!$B$6)*(1+IF($E95="SI",'Parametri Modello'!$B$7*'Info Strategia'!$B$6,0)),0),"")</f>
        <v>23</v>
      </c>
      <c r="G95" s="24">
        <f>IFERROR(ROUND(MAX(1,(IF($V95&lt;=INDEX('Parametri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17</v>
      </c>
      <c r="H95" s="24">
        <f>IFERROR(ROUND((IF($V95&lt;=INDEX('Parametri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25</v>
      </c>
      <c r="I95" s="23">
        <f>IFERROR(INDEX('Input Statistiche 2025_26'!$F$3:$F$665,MATCH($A95,'Input Statistiche 2025_26'!$A$3:$A$665,0)),"")</f>
        <v>23</v>
      </c>
      <c r="J95" s="23">
        <f t="shared" si="9"/>
        <v>15</v>
      </c>
      <c r="K95" s="23">
        <f>IFERROR(INDEX('Input Statistiche 2025_26'!$I$3:$I$665,MATCH($A95,'Input Statistiche 2025_26'!$A$3:$A$665,0)),"")</f>
        <v>3</v>
      </c>
      <c r="L95" s="23">
        <f>IFERROR(INDEX('Input Statistiche 2025_26'!$O$3:$O$665,MATCH($A95,'Input Statistiche 2025_26'!$A$3:$A$665,0)),"")</f>
        <v>2</v>
      </c>
      <c r="M95" s="25"/>
      <c r="N95" s="24">
        <f>IFERROR(INDEX('Input Giocatori 2026_27'!$E$3:$E$493,MATCH($A95,'Input Giocatori 2026_27'!$A$3:$A$493,0)),"")</f>
        <v>11</v>
      </c>
      <c r="O95" s="24">
        <f>IFERROR(INDEX('Input Giocatori 2026_27'!$G$3:$G$493,MATCH($A95,'Input Giocatori 2026_27'!$A$3:$A$493,0)),"")</f>
        <v>33</v>
      </c>
      <c r="P95" s="23" t="str">
        <f>IFERROR(IF($O95="","",IF((1-(COUNTIFS($B$2:$B$492,$B95,$O$2:$O$492,"&gt;"&amp;$O95)+1-1)/COUNTIF($B$2:$B$492,$B95))&gt;='Parametri Modello'!$B$63,"Top",IF((1-(COUNTIFS($B$2:$B$492,$B95,$O$2:$O$492,"&gt;"&amp;$O95)+1-1)/COUNTIF($B$2:$B$492,$B95))&gt;='Parametri Modello'!$B$64,"Buono",IF((1-(COUNTIFS($B$2:$B$492,$B95,$O$2:$O$492,"&gt;"&amp;$O95)+1-1)/COUNTIF($B$2:$B$492,$B95))&gt;='Parametri Modello'!$B$65,"Nella Media","Scommessa/Riserva")))),"")</f>
        <v>Top</v>
      </c>
      <c r="Q95" s="26">
        <f>IF(AND($D95="",$N95&gt;1),SUMPRODUCT(($D$2:$D95="")*($N$2:$N95&gt;1)),"")</f>
        <v>94</v>
      </c>
      <c r="R95" s="26" t="str">
        <f>IF($D95='Info Lega'!$B$28,COUNTIFS($D$2:$D95,'Info Lega'!$B$28),"")</f>
        <v/>
      </c>
      <c r="S95" s="27">
        <f>IFERROR(INDEX('Input Statistiche 2025_26'!$G$3:$G$665,MATCH($A95,'Input Statistiche 2025_26'!$A$3:$A$665,0)),"")</f>
        <v>6.22</v>
      </c>
      <c r="T95" s="27">
        <f>IFERROR(INDEX('Input Statistiche 2025_26'!$H$3:$H$665,MATCH($A95,'Input Statistiche 2025_26'!$A$3:$A$665,0)),"")</f>
        <v>6.65</v>
      </c>
      <c r="U95" s="23" t="str">
        <f>IF(OR('La Mia Rosa'!$O$12="",$D95&lt;&gt;""),"",IF($F95&lt;='La Mia Rosa'!$O$12*'Parametri Modello'!$B$24,"OK",IF($F95&lt;='La Mia Rosa'!$O$12*'Parametri Modello'!$B$25,"Attenzione","Rischio Alto")))</f>
        <v>OK</v>
      </c>
      <c r="V95" s="23">
        <f t="shared" si="10"/>
        <v>15</v>
      </c>
      <c r="W95" s="18">
        <f>'Info Lega'!$B$4-SUMIFS($M$2:$M$492,$D$2:$D$492,'Info Lega'!$B$28)</f>
        <v>1000</v>
      </c>
      <c r="X95" s="18">
        <f>('Info Lega'!$B$5-COUNTIFS($D$2:$D$492,'Info Lega'!$B$28,$B$2:$B$492,"P"))+('Info Lega'!$B$6-COUNTIFS($D$2:$D$492,'Info Lega'!$B$28,$B$2:$B$492,"D"))+('Info Lega'!$B$7-COUNTIFS($D$2:$D$492,'Info Lega'!$B$28,$B$2:$B$492,"C"))+('Info Lega'!$B$8-COUNTIFS($D$2:$D$492,'Info Lega'!$B$28,$B$2:$B$492,"A"))</f>
        <v>25</v>
      </c>
      <c r="Y95" s="18">
        <f>X95*'Parametri Modello'!$B$30</f>
        <v>25</v>
      </c>
      <c r="Z95" s="18">
        <f t="shared" si="11"/>
        <v>975</v>
      </c>
      <c r="AA95" s="18">
        <f t="shared" si="12"/>
        <v>23</v>
      </c>
      <c r="AB95" s="18"/>
      <c r="AC95" s="18" t="str">
        <f>IF($AB95="","",IF($AB95&gt;$AA95,"PASS",IF($AB95&lt;=$AA95*(1-'Parametri Modello'!$B$68),"BID","ATTENZIONE")))</f>
        <v/>
      </c>
      <c r="AD95" s="28">
        <f t="shared" si="13"/>
        <v>54</v>
      </c>
      <c r="AE95" s="5" t="str">
        <f>IFERROR(IF($AF95="Titolare",INDEX('Stato Asta'!$G$9:$G$12,MATCH($B95,'Stato Asta'!$A$9:$A$12,0)),INDEX('Stato Asta'!$P$9:$P$12,MATCH($B95,'Stato Asta'!$A$9:$A$12,0))),"")</f>
        <v>🟢 Puoi aspettare</v>
      </c>
      <c r="AF95" t="str">
        <f>IFERROR(IF($V95&lt;=INDEX('Parametri Modello'!$C$57:$C$60,MATCH($B95,'Parametri Modello'!$A$57:$A$60,0)),"Titolare","Riserva"),"")</f>
        <v>Titolare</v>
      </c>
      <c r="AG95" t="str">
        <f>IFERROR(INDEX('Pressione Competitiva'!$F$3:$F$6,MATCH($B95,'Pressione Competitiva'!$B$3:$B$6,0)),"")</f>
        <v>🔴 Molto Alta</v>
      </c>
      <c r="AH95" t="str">
        <f t="shared" si="14"/>
        <v/>
      </c>
      <c r="AI95" t="str">
        <f>IFERROR(IF($AH95="","",IF($AH95&gt;=$AA95*'Parametri Modello'!$B$68,"🟢 Opportunita'",IF($AH95&lt;=$AA95*'Parametri Modello'!$B$69,"🔴 Sovrapprezzo","🟡 Prezzo Corretto"))),"")</f>
        <v/>
      </c>
      <c r="AJ95" t="str">
        <f t="shared" si="15"/>
        <v/>
      </c>
      <c r="AK95">
        <f t="shared" si="16"/>
        <v>15</v>
      </c>
      <c r="AL95" t="str">
        <f t="shared" si="17"/>
        <v>D|Top|15</v>
      </c>
    </row>
    <row r="96" spans="1:38" ht="14.25" customHeight="1" x14ac:dyDescent="0.25">
      <c r="A96" s="18">
        <v>5514</v>
      </c>
      <c r="B96" s="18" t="s">
        <v>88</v>
      </c>
      <c r="C96" s="18" t="s">
        <v>109</v>
      </c>
      <c r="E96" s="23" t="str">
        <f>IF(COUNTIF('Info Strategia'!$D$2:$D$51,$C96)&gt;0,"SI","NO")</f>
        <v>NO</v>
      </c>
      <c r="F96" s="24">
        <f>IFERROR(ROUND(($G96+($H96-$G96)*'Info Strategia'!$B$6)*(1+IF($E96="SI",'Parametri Modello'!$B$7*'Info Strategia'!$B$6,0)),0),"")</f>
        <v>23</v>
      </c>
      <c r="G96" s="24">
        <f>IFERROR(ROUND(MAX(1,(IF($V96&lt;=INDEX('Parametri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17</v>
      </c>
      <c r="H96" s="24">
        <f>IFERROR(ROUND((IF($V96&lt;=INDEX('Parametri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25</v>
      </c>
      <c r="I96" s="23">
        <f>IFERROR(INDEX('Input Statistiche 2025_26'!$F$3:$F$665,MATCH($A96,'Input Statistiche 2025_26'!$A$3:$A$665,0)),"")</f>
        <v>36</v>
      </c>
      <c r="J96" s="23">
        <f t="shared" si="9"/>
        <v>2</v>
      </c>
      <c r="K96" s="23">
        <f>IFERROR(INDEX('Input Statistiche 2025_26'!$I$3:$I$665,MATCH($A96,'Input Statistiche 2025_26'!$A$3:$A$665,0)),"")</f>
        <v>1</v>
      </c>
      <c r="L96" s="23">
        <f>IFERROR(INDEX('Input Statistiche 2025_26'!$O$3:$O$665,MATCH($A96,'Input Statistiche 2025_26'!$A$3:$A$665,0)),"")</f>
        <v>0</v>
      </c>
      <c r="M96" s="25"/>
      <c r="N96" s="24">
        <f>IFERROR(INDEX('Input Giocatori 2026_27'!$E$3:$E$493,MATCH($A96,'Input Giocatori 2026_27'!$A$3:$A$493,0)),"")</f>
        <v>9</v>
      </c>
      <c r="O96" s="24">
        <f>IFERROR(INDEX('Input Giocatori 2026_27'!$G$3:$G$493,MATCH($A96,'Input Giocatori 2026_27'!$A$3:$A$493,0)),"")</f>
        <v>33</v>
      </c>
      <c r="P96" s="23" t="str">
        <f>IFERROR(IF($O96="","",IF((1-(COUNTIFS($B$2:$B$492,$B96,$O$2:$O$492,"&gt;"&amp;$O96)+1-1)/COUNTIF($B$2:$B$492,$B96))&gt;='Parametri Modello'!$B$63,"Top",IF((1-(COUNTIFS($B$2:$B$492,$B96,$O$2:$O$492,"&gt;"&amp;$O96)+1-1)/COUNTIF($B$2:$B$492,$B96))&gt;='Parametri Modello'!$B$64,"Buono",IF((1-(COUNTIFS($B$2:$B$492,$B96,$O$2:$O$492,"&gt;"&amp;$O96)+1-1)/COUNTIF($B$2:$B$492,$B96))&gt;='Parametri Modello'!$B$65,"Nella Media","Scommessa/Riserva")))),"")</f>
        <v>Top</v>
      </c>
      <c r="Q96" s="26">
        <f>IF(AND($D96="",$N96&gt;1),SUMPRODUCT(($D$2:$D96="")*($N$2:$N96&gt;1)),"")</f>
        <v>95</v>
      </c>
      <c r="R96" s="26" t="str">
        <f>IF($D96='Info Lega'!$B$28,COUNTIFS($D$2:$D96,'Info Lega'!$B$28),"")</f>
        <v/>
      </c>
      <c r="S96" s="27">
        <f>IFERROR(INDEX('Input Statistiche 2025_26'!$G$3:$G$665,MATCH($A96,'Input Statistiche 2025_26'!$A$3:$A$665,0)),"")</f>
        <v>6.08</v>
      </c>
      <c r="T96" s="27">
        <f>IFERROR(INDEX('Input Statistiche 2025_26'!$H$3:$H$665,MATCH($A96,'Input Statistiche 2025_26'!$A$3:$A$665,0)),"")</f>
        <v>6.14</v>
      </c>
      <c r="U96" s="23" t="str">
        <f>IF(OR('La Mia Rosa'!$O$12="",$D96&lt;&gt;""),"",IF($F96&lt;='La Mia Rosa'!$O$12*'Parametri Modello'!$B$24,"OK",IF($F96&lt;='La Mia Rosa'!$O$12*'Parametri Modello'!$B$25,"Attenzione","Rischio Alto")))</f>
        <v>OK</v>
      </c>
      <c r="V96" s="23">
        <f t="shared" si="10"/>
        <v>15</v>
      </c>
      <c r="W96" s="18">
        <f>'Info Lega'!$B$4-SUMIFS($M$2:$M$492,$D$2:$D$492,'Info Lega'!$B$28)</f>
        <v>1000</v>
      </c>
      <c r="X96" s="18">
        <f>('Info Lega'!$B$5-COUNTIFS($D$2:$D$492,'Info Lega'!$B$28,$B$2:$B$492,"P"))+('Info Lega'!$B$6-COUNTIFS($D$2:$D$492,'Info Lega'!$B$28,$B$2:$B$492,"D"))+('Info Lega'!$B$7-COUNTIFS($D$2:$D$492,'Info Lega'!$B$28,$B$2:$B$492,"C"))+('Info Lega'!$B$8-COUNTIFS($D$2:$D$492,'Info Lega'!$B$28,$B$2:$B$492,"A"))</f>
        <v>25</v>
      </c>
      <c r="Y96" s="18">
        <f>X96*'Parametri Modello'!$B$30</f>
        <v>25</v>
      </c>
      <c r="Z96" s="18">
        <f t="shared" si="11"/>
        <v>975</v>
      </c>
      <c r="AA96" s="18">
        <f t="shared" si="12"/>
        <v>23</v>
      </c>
      <c r="AB96" s="18"/>
      <c r="AC96" s="18" t="str">
        <f>IF($AB96="","",IF($AB96&gt;$AA96,"PASS",IF($AB96&lt;=$AA96*(1-'Parametri Modello'!$B$68),"BID","ATTENZIONE")))</f>
        <v/>
      </c>
      <c r="AD96" s="28">
        <f t="shared" si="13"/>
        <v>70</v>
      </c>
      <c r="AE96" s="5" t="str">
        <f>IFERROR(IF($AF96="Titolare",INDEX('Stato Asta'!$G$9:$G$12,MATCH($B96,'Stato Asta'!$A$9:$A$12,0)),INDEX('Stato Asta'!$P$9:$P$12,MATCH($B96,'Stato Asta'!$A$9:$A$12,0))),"")</f>
        <v>🟢 Puoi aspettare</v>
      </c>
      <c r="AF96" t="str">
        <f>IFERROR(IF($V96&lt;=INDEX('Parametri Modello'!$C$57:$C$60,MATCH($B96,'Parametri Modello'!$A$57:$A$60,0)),"Titolare","Riserva"),"")</f>
        <v>Titolare</v>
      </c>
      <c r="AG96" t="str">
        <f>IFERROR(INDEX('Pressione Competitiva'!$F$3:$F$6,MATCH($B96,'Pressione Competitiva'!$B$3:$B$6,0)),"")</f>
        <v>🔴 Molto Alta</v>
      </c>
      <c r="AH96" t="str">
        <f t="shared" si="14"/>
        <v/>
      </c>
      <c r="AI96" t="str">
        <f>IFERROR(IF($AH96="","",IF($AH96&gt;=$AA96*'Parametri Modello'!$B$68,"🟢 Opportunita'",IF($AH96&lt;=$AA96*'Parametri Modello'!$B$69,"🔴 Sovrapprezzo","🟡 Prezzo Corretto"))),"")</f>
        <v/>
      </c>
      <c r="AJ96" t="str">
        <f t="shared" si="15"/>
        <v/>
      </c>
      <c r="AK96">
        <f t="shared" si="16"/>
        <v>15</v>
      </c>
      <c r="AL96" t="str">
        <f t="shared" si="17"/>
        <v>D|Top|15</v>
      </c>
    </row>
    <row r="97" spans="1:38" ht="14.25" customHeight="1" x14ac:dyDescent="0.25">
      <c r="A97" s="18">
        <v>2155</v>
      </c>
      <c r="B97" s="18" t="s">
        <v>437</v>
      </c>
      <c r="C97" s="18" t="s">
        <v>476</v>
      </c>
      <c r="E97" s="23" t="str">
        <f>IF(COUNTIF('Info Strategia'!$D$2:$D$51,$C97)&gt;0,"SI","NO")</f>
        <v>NO</v>
      </c>
      <c r="F97" s="24">
        <f>IFERROR(ROUND(($G97+($H97-$G97)*'Info Strategia'!$B$6)*(1+IF($E97="SI",'Parametri Modello'!$B$7*'Info Strategia'!$B$6,0)),0),"")</f>
        <v>10</v>
      </c>
      <c r="G97" s="24">
        <f>IFERROR(ROUND(MAX(1,(IF($V97&lt;=INDEX('Parametri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6</v>
      </c>
      <c r="H97" s="24">
        <f>IFERROR(ROUND((IF($V97&lt;=INDEX('Parametri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12</v>
      </c>
      <c r="I97" s="23">
        <f>IFERROR(INDEX('Input Statistiche 2025_26'!$F$3:$F$665,MATCH($A97,'Input Statistiche 2025_26'!$A$3:$A$665,0)),"")</f>
        <v>14</v>
      </c>
      <c r="J97" s="23">
        <f t="shared" si="9"/>
        <v>24</v>
      </c>
      <c r="K97" s="23">
        <f>IFERROR(INDEX('Input Statistiche 2025_26'!$I$3:$I$665,MATCH($A97,'Input Statistiche 2025_26'!$A$3:$A$665,0)),"")</f>
        <v>1</v>
      </c>
      <c r="L97" s="23">
        <f>IFERROR(INDEX('Input Statistiche 2025_26'!$O$3:$O$665,MATCH($A97,'Input Statistiche 2025_26'!$A$3:$A$665,0)),"")</f>
        <v>0</v>
      </c>
      <c r="M97" s="25"/>
      <c r="N97" s="24">
        <f>IFERROR(INDEX('Input Giocatori 2026_27'!$E$3:$E$493,MATCH($A97,'Input Giocatori 2026_27'!$A$3:$A$493,0)),"")</f>
        <v>9</v>
      </c>
      <c r="O97" s="24">
        <f>IFERROR(INDEX('Input Giocatori 2026_27'!$G$3:$G$493,MATCH($A97,'Input Giocatori 2026_27'!$A$3:$A$493,0)),"")</f>
        <v>33</v>
      </c>
      <c r="P97" s="23" t="str">
        <f>IFERROR(IF($O97="","",IF((1-(COUNTIFS($B$2:$B$492,$B97,$O$2:$O$492,"&gt;"&amp;$O97)+1-1)/COUNTIF($B$2:$B$492,$B97))&gt;='Parametri Modello'!$B$63,"Top",IF((1-(COUNTIFS($B$2:$B$492,$B97,$O$2:$O$492,"&gt;"&amp;$O97)+1-1)/COUNTIF($B$2:$B$492,$B97))&gt;='Parametri Modello'!$B$64,"Buono",IF((1-(COUNTIFS($B$2:$B$492,$B97,$O$2:$O$492,"&gt;"&amp;$O97)+1-1)/COUNTIF($B$2:$B$492,$B97))&gt;='Parametri Modello'!$B$65,"Nella Media","Scommessa/Riserva")))),"")</f>
        <v>Nella Media</v>
      </c>
      <c r="Q97" s="26">
        <f>IF(AND($D97="",$N97&gt;1),SUMPRODUCT(($D$2:$D97="")*($N$2:$N97&gt;1)),"")</f>
        <v>96</v>
      </c>
      <c r="R97" s="26" t="str">
        <f>IF($D97='Info Lega'!$B$28,COUNTIFS($D$2:$D97,'Info Lega'!$B$28),"")</f>
        <v/>
      </c>
      <c r="S97" s="27">
        <f>IFERROR(INDEX('Input Statistiche 2025_26'!$G$3:$G$665,MATCH($A97,'Input Statistiche 2025_26'!$A$3:$A$665,0)),"")</f>
        <v>5.71</v>
      </c>
      <c r="T97" s="27">
        <f>IFERROR(INDEX('Input Statistiche 2025_26'!$H$3:$H$665,MATCH($A97,'Input Statistiche 2025_26'!$A$3:$A$665,0)),"")</f>
        <v>5.93</v>
      </c>
      <c r="U97" s="23" t="str">
        <f>IF(OR('La Mia Rosa'!$O$12="",$D97&lt;&gt;""),"",IF($F97&lt;='La Mia Rosa'!$O$12*'Parametri Modello'!$B$24,"OK",IF($F97&lt;='La Mia Rosa'!$O$12*'Parametri Modello'!$B$25,"Attenzione","Rischio Alto")))</f>
        <v>OK</v>
      </c>
      <c r="V97" s="23">
        <f t="shared" si="10"/>
        <v>35</v>
      </c>
      <c r="W97" s="18">
        <f>'Info Lega'!$B$4-SUMIFS($M$2:$M$492,$D$2:$D$492,'Info Lega'!$B$28)</f>
        <v>1000</v>
      </c>
      <c r="X97" s="18">
        <f>('Info Lega'!$B$5-COUNTIFS($D$2:$D$492,'Info Lega'!$B$28,$B$2:$B$492,"P"))+('Info Lega'!$B$6-COUNTIFS($D$2:$D$492,'Info Lega'!$B$28,$B$2:$B$492,"D"))+('Info Lega'!$B$7-COUNTIFS($D$2:$D$492,'Info Lega'!$B$28,$B$2:$B$492,"C"))+('Info Lega'!$B$8-COUNTIFS($D$2:$D$492,'Info Lega'!$B$28,$B$2:$B$492,"A"))</f>
        <v>25</v>
      </c>
      <c r="Y97" s="18">
        <f>X97*'Parametri Modello'!$B$30</f>
        <v>25</v>
      </c>
      <c r="Z97" s="18">
        <f t="shared" si="11"/>
        <v>975</v>
      </c>
      <c r="AA97" s="18">
        <f t="shared" si="12"/>
        <v>10</v>
      </c>
      <c r="AB97" s="18"/>
      <c r="AC97" s="18" t="str">
        <f>IF($AB97="","",IF($AB97&gt;$AA97,"PASS",IF($AB97&lt;=$AA97*(1-'Parametri Modello'!$B$68),"BID","ATTENZIONE")))</f>
        <v/>
      </c>
      <c r="AD97" s="28">
        <f t="shared" si="13"/>
        <v>37</v>
      </c>
      <c r="AE97" s="5" t="str">
        <f>IFERROR(IF($AF97="Titolare",INDEX('Stato Asta'!$G$9:$G$12,MATCH($B97,'Stato Asta'!$A$9:$A$12,0)),INDEX('Stato Asta'!$P$9:$P$12,MATCH($B97,'Stato Asta'!$A$9:$A$12,0))),"")</f>
        <v>🟢 Riserve abbondanti</v>
      </c>
      <c r="AF97" t="str">
        <f>IFERROR(IF($V97&lt;=INDEX('Parametri Modello'!$C$57:$C$60,MATCH($B97,'Parametri Modello'!$A$57:$A$60,0)),"Titolare","Riserva"),"")</f>
        <v>Riserva</v>
      </c>
      <c r="AG97" t="str">
        <f>IFERROR(INDEX('Pressione Competitiva'!$F$3:$F$6,MATCH($B97,'Pressione Competitiva'!$B$3:$B$6,0)),"")</f>
        <v>🔴 Molto Alta</v>
      </c>
      <c r="AH97" t="str">
        <f t="shared" si="14"/>
        <v/>
      </c>
      <c r="AI97" t="str">
        <f>IFERROR(IF($AH97="","",IF($AH97&gt;=$AA97*'Parametri Modello'!$B$68,"🟢 Opportunita'",IF($AH97&lt;=$AA97*'Parametri Modello'!$B$69,"🔴 Sovrapprezzo","🟡 Prezzo Corretto"))),"")</f>
        <v/>
      </c>
      <c r="AJ97" t="str">
        <f t="shared" si="15"/>
        <v/>
      </c>
      <c r="AK97">
        <f t="shared" si="16"/>
        <v>9</v>
      </c>
      <c r="AL97" t="str">
        <f t="shared" si="17"/>
        <v>A|Nella Media|9</v>
      </c>
    </row>
    <row r="98" spans="1:38" ht="14.25" customHeight="1" x14ac:dyDescent="0.25">
      <c r="A98" s="18">
        <v>6869</v>
      </c>
      <c r="B98" s="18" t="s">
        <v>88</v>
      </c>
      <c r="C98" s="18" t="s">
        <v>106</v>
      </c>
      <c r="E98" s="23" t="str">
        <f>IF(COUNTIF('Info Strategia'!$D$2:$D$51,$C98)&gt;0,"SI","NO")</f>
        <v>NO</v>
      </c>
      <c r="F98" s="24">
        <f>IFERROR(ROUND(($G98+($H98-$G98)*'Info Strategia'!$B$6)*(1+IF($E98="SI",'Parametri Modello'!$B$7*'Info Strategia'!$B$6,0)),0),"")</f>
        <v>22</v>
      </c>
      <c r="G98" s="24">
        <f>IFERROR(ROUND(MAX(1,(IF($V98&lt;=INDEX('Parametri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16</v>
      </c>
      <c r="H98" s="24">
        <f>IFERROR(ROUND((IF($V98&lt;=INDEX('Parametri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24</v>
      </c>
      <c r="I98" s="23">
        <f>IFERROR(INDEX('Input Statistiche 2025_26'!$F$3:$F$665,MATCH($A98,'Input Statistiche 2025_26'!$A$3:$A$665,0)),"")</f>
        <v>32</v>
      </c>
      <c r="J98" s="23">
        <f t="shared" si="9"/>
        <v>6</v>
      </c>
      <c r="K98" s="23">
        <f>IFERROR(INDEX('Input Statistiche 2025_26'!$I$3:$I$665,MATCH($A98,'Input Statistiche 2025_26'!$A$3:$A$665,0)),"")</f>
        <v>2</v>
      </c>
      <c r="L98" s="23">
        <f>IFERROR(INDEX('Input Statistiche 2025_26'!$O$3:$O$665,MATCH($A98,'Input Statistiche 2025_26'!$A$3:$A$665,0)),"")</f>
        <v>0</v>
      </c>
      <c r="M98" s="25"/>
      <c r="N98" s="24">
        <f>IFERROR(INDEX('Input Giocatori 2026_27'!$E$3:$E$493,MATCH($A98,'Input Giocatori 2026_27'!$A$3:$A$493,0)),"")</f>
        <v>10</v>
      </c>
      <c r="O98" s="24">
        <f>IFERROR(INDEX('Input Giocatori 2026_27'!$G$3:$G$493,MATCH($A98,'Input Giocatori 2026_27'!$A$3:$A$493,0)),"")</f>
        <v>32</v>
      </c>
      <c r="P98" s="23" t="str">
        <f>IFERROR(IF($O98="","",IF((1-(COUNTIFS($B$2:$B$492,$B98,$O$2:$O$492,"&gt;"&amp;$O98)+1-1)/COUNTIF($B$2:$B$492,$B98))&gt;='Parametri Modello'!$B$63,"Top",IF((1-(COUNTIFS($B$2:$B$492,$B98,$O$2:$O$492,"&gt;"&amp;$O98)+1-1)/COUNTIF($B$2:$B$492,$B98))&gt;='Parametri Modello'!$B$64,"Buono",IF((1-(COUNTIFS($B$2:$B$492,$B98,$O$2:$O$492,"&gt;"&amp;$O98)+1-1)/COUNTIF($B$2:$B$492,$B98))&gt;='Parametri Modello'!$B$65,"Nella Media","Scommessa/Riserva")))),"")</f>
        <v>Top</v>
      </c>
      <c r="Q98" s="26">
        <f>IF(AND($D98="",$N98&gt;1),SUMPRODUCT(($D$2:$D98="")*($N$2:$N98&gt;1)),"")</f>
        <v>97</v>
      </c>
      <c r="R98" s="26" t="str">
        <f>IF($D98='Info Lega'!$B$28,COUNTIFS($D$2:$D98,'Info Lega'!$B$28),"")</f>
        <v/>
      </c>
      <c r="S98" s="27">
        <f>IFERROR(INDEX('Input Statistiche 2025_26'!$G$3:$G$665,MATCH($A98,'Input Statistiche 2025_26'!$A$3:$A$665,0)),"")</f>
        <v>6.16</v>
      </c>
      <c r="T98" s="27">
        <f>IFERROR(INDEX('Input Statistiche 2025_26'!$H$3:$H$665,MATCH($A98,'Input Statistiche 2025_26'!$A$3:$A$665,0)),"")</f>
        <v>6.14</v>
      </c>
      <c r="U98" s="23" t="str">
        <f>IF(OR('La Mia Rosa'!$O$12="",$D98&lt;&gt;""),"",IF($F98&lt;='La Mia Rosa'!$O$12*'Parametri Modello'!$B$24,"OK",IF($F98&lt;='La Mia Rosa'!$O$12*'Parametri Modello'!$B$25,"Attenzione","Rischio Alto")))</f>
        <v>OK</v>
      </c>
      <c r="V98" s="23">
        <f t="shared" si="10"/>
        <v>17</v>
      </c>
      <c r="W98" s="18">
        <f>'Info Lega'!$B$4-SUMIFS($M$2:$M$492,$D$2:$D$492,'Info Lega'!$B$28)</f>
        <v>1000</v>
      </c>
      <c r="X98" s="18">
        <f>('Info Lega'!$B$5-COUNTIFS($D$2:$D$492,'Info Lega'!$B$28,$B$2:$B$492,"P"))+('Info Lega'!$B$6-COUNTIFS($D$2:$D$492,'Info Lega'!$B$28,$B$2:$B$492,"D"))+('Info Lega'!$B$7-COUNTIFS($D$2:$D$492,'Info Lega'!$B$28,$B$2:$B$492,"C"))+('Info Lega'!$B$8-COUNTIFS($D$2:$D$492,'Info Lega'!$B$28,$B$2:$B$492,"A"))</f>
        <v>25</v>
      </c>
      <c r="Y98" s="18">
        <f>X98*'Parametri Modello'!$B$30</f>
        <v>25</v>
      </c>
      <c r="Z98" s="18">
        <f t="shared" si="11"/>
        <v>975</v>
      </c>
      <c r="AA98" s="18">
        <f t="shared" si="12"/>
        <v>22</v>
      </c>
      <c r="AB98" s="18"/>
      <c r="AC98" s="18" t="str">
        <f>IF($AB98="","",IF($AB98&gt;$AA98,"PASS",IF($AB98&lt;=$AA98*(1-'Parametri Modello'!$B$68),"BID","ATTENZIONE")))</f>
        <v/>
      </c>
      <c r="AD98" s="28">
        <f t="shared" si="13"/>
        <v>66</v>
      </c>
      <c r="AE98" s="5" t="str">
        <f>IFERROR(IF($AF98="Titolare",INDEX('Stato Asta'!$G$9:$G$12,MATCH($B98,'Stato Asta'!$A$9:$A$12,0)),INDEX('Stato Asta'!$P$9:$P$12,MATCH($B98,'Stato Asta'!$A$9:$A$12,0))),"")</f>
        <v>🟢 Puoi aspettare</v>
      </c>
      <c r="AF98" t="str">
        <f>IFERROR(IF($V98&lt;=INDEX('Parametri Modello'!$C$57:$C$60,MATCH($B98,'Parametri Modello'!$A$57:$A$60,0)),"Titolare","Riserva"),"")</f>
        <v>Titolare</v>
      </c>
      <c r="AG98" t="str">
        <f>IFERROR(INDEX('Pressione Competitiva'!$F$3:$F$6,MATCH($B98,'Pressione Competitiva'!$B$3:$B$6,0)),"")</f>
        <v>🔴 Molto Alta</v>
      </c>
      <c r="AH98" t="str">
        <f t="shared" si="14"/>
        <v/>
      </c>
      <c r="AI98" t="str">
        <f>IFERROR(IF($AH98="","",IF($AH98&gt;=$AA98*'Parametri Modello'!$B$68,"🟢 Opportunita'",IF($AH98&lt;=$AA98*'Parametri Modello'!$B$69,"🔴 Sovrapprezzo","🟡 Prezzo Corretto"))),"")</f>
        <v/>
      </c>
      <c r="AJ98" t="str">
        <f t="shared" si="15"/>
        <v/>
      </c>
      <c r="AK98">
        <f t="shared" si="16"/>
        <v>17</v>
      </c>
      <c r="AL98" t="str">
        <f t="shared" si="17"/>
        <v>D|Top|17</v>
      </c>
    </row>
    <row r="99" spans="1:38" ht="14.25" customHeight="1" x14ac:dyDescent="0.25">
      <c r="A99" s="18">
        <v>7129</v>
      </c>
      <c r="B99" s="18" t="s">
        <v>264</v>
      </c>
      <c r="C99" s="18" t="s">
        <v>284</v>
      </c>
      <c r="E99" s="23" t="str">
        <f>IF(COUNTIF('Info Strategia'!$D$2:$D$51,$C99)&gt;0,"SI","NO")</f>
        <v>NO</v>
      </c>
      <c r="F99" s="24">
        <f>IFERROR(ROUND(($G99+($H99-$G99)*'Info Strategia'!$B$6)*(1+IF($E99="SI",'Parametri Modello'!$B$7*'Info Strategia'!$B$6,0)),0),"")</f>
        <v>4</v>
      </c>
      <c r="G99" s="24">
        <f>IFERROR(ROUND(MAX(1,(IF($V99&lt;=INDEX('Parametri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3</v>
      </c>
      <c r="H99" s="24">
        <f>IFERROR(ROUND((IF($V99&lt;=INDEX('Parametri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5</v>
      </c>
      <c r="I99" s="23">
        <f>IFERROR(INDEX('Input Statistiche 2025_26'!$F$3:$F$665,MATCH($A99,'Input Statistiche 2025_26'!$A$3:$A$665,0)),"")</f>
        <v>28</v>
      </c>
      <c r="J99" s="23">
        <f t="shared" si="9"/>
        <v>10</v>
      </c>
      <c r="K99" s="23">
        <f>IFERROR(INDEX('Input Statistiche 2025_26'!$I$3:$I$665,MATCH($A99,'Input Statistiche 2025_26'!$A$3:$A$665,0)),"")</f>
        <v>2</v>
      </c>
      <c r="L99" s="23">
        <f>IFERROR(INDEX('Input Statistiche 2025_26'!$O$3:$O$665,MATCH($A99,'Input Statistiche 2025_26'!$A$3:$A$665,0)),"")</f>
        <v>8</v>
      </c>
      <c r="M99" s="25"/>
      <c r="N99" s="24">
        <f>IFERROR(INDEX('Input Giocatori 2026_27'!$E$3:$E$493,MATCH($A99,'Input Giocatori 2026_27'!$A$3:$A$493,0)),"")</f>
        <v>12</v>
      </c>
      <c r="O99" s="24">
        <f>IFERROR(INDEX('Input Giocatori 2026_27'!$G$3:$G$493,MATCH($A99,'Input Giocatori 2026_27'!$A$3:$A$493,0)),"")</f>
        <v>32</v>
      </c>
      <c r="P99" s="23" t="str">
        <f>IFERROR(IF($O99="","",IF((1-(COUNTIFS($B$2:$B$492,$B99,$O$2:$O$492,"&gt;"&amp;$O99)+1-1)/COUNTIF($B$2:$B$492,$B99))&gt;='Parametri Modello'!$B$63,"Top",IF((1-(COUNTIFS($B$2:$B$492,$B99,$O$2:$O$492,"&gt;"&amp;$O99)+1-1)/COUNTIF($B$2:$B$492,$B99))&gt;='Parametri Modello'!$B$64,"Buono",IF((1-(COUNTIFS($B$2:$B$492,$B99,$O$2:$O$492,"&gt;"&amp;$O99)+1-1)/COUNTIF($B$2:$B$492,$B99))&gt;='Parametri Modello'!$B$65,"Nella Media","Scommessa/Riserva")))),"")</f>
        <v>Buono</v>
      </c>
      <c r="Q99" s="26">
        <f>IF(AND($D99="",$N99&gt;1),SUMPRODUCT(($D$2:$D99="")*($N$2:$N99&gt;1)),"")</f>
        <v>98</v>
      </c>
      <c r="R99" s="26" t="str">
        <f>IF($D99='Info Lega'!$B$28,COUNTIFS($D$2:$D99,'Info Lega'!$B$28),"")</f>
        <v/>
      </c>
      <c r="S99" s="27">
        <f>IFERROR(INDEX('Input Statistiche 2025_26'!$G$3:$G$665,MATCH($A99,'Input Statistiche 2025_26'!$A$3:$A$665,0)),"")</f>
        <v>6.25</v>
      </c>
      <c r="T99" s="27">
        <f>IFERROR(INDEX('Input Statistiche 2025_26'!$H$3:$H$665,MATCH($A99,'Input Statistiche 2025_26'!$A$3:$A$665,0)),"")</f>
        <v>6.66</v>
      </c>
      <c r="U99" s="23" t="str">
        <f>IF(OR('La Mia Rosa'!$O$12="",$D99&lt;&gt;""),"",IF($F99&lt;='La Mia Rosa'!$O$12*'Parametri Modello'!$B$24,"OK",IF($F99&lt;='La Mia Rosa'!$O$12*'Parametri Modello'!$B$25,"Attenzione","Rischio Alto")))</f>
        <v>OK</v>
      </c>
      <c r="V99" s="23">
        <f t="shared" si="10"/>
        <v>37</v>
      </c>
      <c r="W99" s="18">
        <f>'Info Lega'!$B$4-SUMIFS($M$2:$M$492,$D$2:$D$492,'Info Lega'!$B$28)</f>
        <v>1000</v>
      </c>
      <c r="X99" s="18">
        <f>('Info Lega'!$B$5-COUNTIFS($D$2:$D$492,'Info Lega'!$B$28,$B$2:$B$492,"P"))+('Info Lega'!$B$6-COUNTIFS($D$2:$D$492,'Info Lega'!$B$28,$B$2:$B$492,"D"))+('Info Lega'!$B$7-COUNTIFS($D$2:$D$492,'Info Lega'!$B$28,$B$2:$B$492,"C"))+('Info Lega'!$B$8-COUNTIFS($D$2:$D$492,'Info Lega'!$B$28,$B$2:$B$492,"A"))</f>
        <v>25</v>
      </c>
      <c r="Y99" s="18">
        <f>X99*'Parametri Modello'!$B$30</f>
        <v>25</v>
      </c>
      <c r="Z99" s="18">
        <f t="shared" si="11"/>
        <v>975</v>
      </c>
      <c r="AA99" s="18">
        <f t="shared" si="12"/>
        <v>4</v>
      </c>
      <c r="AB99" s="18"/>
      <c r="AC99" s="18" t="str">
        <f>IF($AB99="","",IF($AB99&gt;$AA99,"PASS",IF($AB99&lt;=$AA99*(1-'Parametri Modello'!$B$68),"BID","ATTENZIONE")))</f>
        <v/>
      </c>
      <c r="AD99" s="28">
        <f t="shared" si="13"/>
        <v>61</v>
      </c>
      <c r="AE99" s="5" t="str">
        <f>IFERROR(IF($AF99="Titolare",INDEX('Stato Asta'!$G$9:$G$12,MATCH($B99,'Stato Asta'!$A$9:$A$12,0)),INDEX('Stato Asta'!$P$9:$P$12,MATCH($B99,'Stato Asta'!$A$9:$A$12,0))),"")</f>
        <v>🟢 Riserve abbondanti</v>
      </c>
      <c r="AF99" t="str">
        <f>IFERROR(IF($V99&lt;=INDEX('Parametri Modello'!$C$57:$C$60,MATCH($B99,'Parametri Modello'!$A$57:$A$60,0)),"Titolare","Riserva"),"")</f>
        <v>Riserva</v>
      </c>
      <c r="AG99" t="str">
        <f>IFERROR(INDEX('Pressione Competitiva'!$F$3:$F$6,MATCH($B99,'Pressione Competitiva'!$B$3:$B$6,0)),"")</f>
        <v>🔴 Molto Alta</v>
      </c>
      <c r="AH99" t="str">
        <f t="shared" si="14"/>
        <v/>
      </c>
      <c r="AI99" t="str">
        <f>IFERROR(IF($AH99="","",IF($AH99&gt;=$AA99*'Parametri Modello'!$B$68,"🟢 Opportunita'",IF($AH99&lt;=$AA99*'Parametri Modello'!$B$69,"🔴 Sovrapprezzo","🟡 Prezzo Corretto"))),"")</f>
        <v/>
      </c>
      <c r="AJ99" t="str">
        <f t="shared" si="15"/>
        <v/>
      </c>
      <c r="AK99">
        <f t="shared" si="16"/>
        <v>19</v>
      </c>
      <c r="AL99" t="str">
        <f t="shared" si="17"/>
        <v>C|Buono|19</v>
      </c>
    </row>
    <row r="100" spans="1:38" ht="14.25" customHeight="1" x14ac:dyDescent="0.25">
      <c r="A100" s="18">
        <v>2077</v>
      </c>
      <c r="B100" s="18" t="s">
        <v>264</v>
      </c>
      <c r="C100" s="18" t="s">
        <v>300</v>
      </c>
      <c r="E100" s="23" t="str">
        <f>IF(COUNTIF('Info Strategia'!$D$2:$D$51,$C100)&gt;0,"SI","NO")</f>
        <v>NO</v>
      </c>
      <c r="F100" s="24">
        <f>IFERROR(ROUND(($G100+($H100-$G100)*'Info Strategia'!$B$6)*(1+IF($E100="SI",'Parametri Modello'!$B$7*'Info Strategia'!$B$6,0)),0),"")</f>
        <v>4</v>
      </c>
      <c r="G100" s="24">
        <f>IFERROR(ROUND(MAX(1,(IF($V100&lt;=INDEX('Parametri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3</v>
      </c>
      <c r="H100" s="24">
        <f>IFERROR(ROUND((IF($V100&lt;=INDEX('Parametri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5</v>
      </c>
      <c r="I100" s="23">
        <f>IFERROR(INDEX('Input Statistiche 2025_26'!$F$3:$F$665,MATCH($A100,'Input Statistiche 2025_26'!$A$3:$A$665,0)),"")</f>
        <v>31</v>
      </c>
      <c r="J100" s="23">
        <f t="shared" si="9"/>
        <v>7</v>
      </c>
      <c r="K100" s="23">
        <f>IFERROR(INDEX('Input Statistiche 2025_26'!$I$3:$I$665,MATCH($A100,'Input Statistiche 2025_26'!$A$3:$A$665,0)),"")</f>
        <v>3</v>
      </c>
      <c r="L100" s="23">
        <f>IFERROR(INDEX('Input Statistiche 2025_26'!$O$3:$O$665,MATCH($A100,'Input Statistiche 2025_26'!$A$3:$A$665,0)),"")</f>
        <v>3</v>
      </c>
      <c r="M100" s="25"/>
      <c r="N100" s="24">
        <f>IFERROR(INDEX('Input Giocatori 2026_27'!$E$3:$E$493,MATCH($A100,'Input Giocatori 2026_27'!$A$3:$A$493,0)),"")</f>
        <v>9</v>
      </c>
      <c r="O100" s="24">
        <f>IFERROR(INDEX('Input Giocatori 2026_27'!$G$3:$G$493,MATCH($A100,'Input Giocatori 2026_27'!$A$3:$A$493,0)),"")</f>
        <v>32</v>
      </c>
      <c r="P100" s="23" t="str">
        <f>IFERROR(IF($O100="","",IF((1-(COUNTIFS($B$2:$B$492,$B100,$O$2:$O$492,"&gt;"&amp;$O100)+1-1)/COUNTIF($B$2:$B$492,$B100))&gt;='Parametri Modello'!$B$63,"Top",IF((1-(COUNTIFS($B$2:$B$492,$B100,$O$2:$O$492,"&gt;"&amp;$O100)+1-1)/COUNTIF($B$2:$B$492,$B100))&gt;='Parametri Modello'!$B$64,"Buono",IF((1-(COUNTIFS($B$2:$B$492,$B100,$O$2:$O$492,"&gt;"&amp;$O100)+1-1)/COUNTIF($B$2:$B$492,$B100))&gt;='Parametri Modello'!$B$65,"Nella Media","Scommessa/Riserva")))),"")</f>
        <v>Buono</v>
      </c>
      <c r="Q100" s="26">
        <f>IF(AND($D100="",$N100&gt;1),SUMPRODUCT(($D$2:$D100="")*($N$2:$N100&gt;1)),"")</f>
        <v>99</v>
      </c>
      <c r="R100" s="26" t="str">
        <f>IF($D100='Info Lega'!$B$28,COUNTIFS($D$2:$D100,'Info Lega'!$B$28),"")</f>
        <v/>
      </c>
      <c r="S100" s="27">
        <f>IFERROR(INDEX('Input Statistiche 2025_26'!$G$3:$G$665,MATCH($A100,'Input Statistiche 2025_26'!$A$3:$A$665,0)),"")</f>
        <v>5.94</v>
      </c>
      <c r="T100" s="27">
        <f>IFERROR(INDEX('Input Statistiche 2025_26'!$H$3:$H$665,MATCH($A100,'Input Statistiche 2025_26'!$A$3:$A$665,0)),"")</f>
        <v>6.27</v>
      </c>
      <c r="U100" s="23" t="str">
        <f>IF(OR('La Mia Rosa'!$O$12="",$D100&lt;&gt;""),"",IF($F100&lt;='La Mia Rosa'!$O$12*'Parametri Modello'!$B$24,"OK",IF($F100&lt;='La Mia Rosa'!$O$12*'Parametri Modello'!$B$25,"Attenzione","Rischio Alto")))</f>
        <v>OK</v>
      </c>
      <c r="V100" s="23">
        <f t="shared" si="10"/>
        <v>37</v>
      </c>
      <c r="W100" s="18">
        <f>'Info Lega'!$B$4-SUMIFS($M$2:$M$492,$D$2:$D$492,'Info Lega'!$B$28)</f>
        <v>1000</v>
      </c>
      <c r="X100" s="18">
        <f>('Info Lega'!$B$5-COUNTIFS($D$2:$D$492,'Info Lega'!$B$28,$B$2:$B$492,"P"))+('Info Lega'!$B$6-COUNTIFS($D$2:$D$492,'Info Lega'!$B$28,$B$2:$B$492,"D"))+('Info Lega'!$B$7-COUNTIFS($D$2:$D$492,'Info Lega'!$B$28,$B$2:$B$492,"C"))+('Info Lega'!$B$8-COUNTIFS($D$2:$D$492,'Info Lega'!$B$28,$B$2:$B$492,"A"))</f>
        <v>25</v>
      </c>
      <c r="Y100" s="18">
        <f>X100*'Parametri Modello'!$B$30</f>
        <v>25</v>
      </c>
      <c r="Z100" s="18">
        <f t="shared" si="11"/>
        <v>975</v>
      </c>
      <c r="AA100" s="18">
        <f t="shared" si="12"/>
        <v>4</v>
      </c>
      <c r="AB100" s="18"/>
      <c r="AC100" s="18" t="str">
        <f>IF($AB100="","",IF($AB100&gt;$AA100,"PASS",IF($AB100&lt;=$AA100*(1-'Parametri Modello'!$B$68),"BID","ATTENZIONE")))</f>
        <v/>
      </c>
      <c r="AD100" s="28">
        <f t="shared" si="13"/>
        <v>64</v>
      </c>
      <c r="AE100" s="5" t="str">
        <f>IFERROR(IF($AF100="Titolare",INDEX('Stato Asta'!$G$9:$G$12,MATCH($B100,'Stato Asta'!$A$9:$A$12,0)),INDEX('Stato Asta'!$P$9:$P$12,MATCH($B100,'Stato Asta'!$A$9:$A$12,0))),"")</f>
        <v>🟢 Riserve abbondanti</v>
      </c>
      <c r="AF100" t="str">
        <f>IFERROR(IF($V100&lt;=INDEX('Parametri Modello'!$C$57:$C$60,MATCH($B100,'Parametri Modello'!$A$57:$A$60,0)),"Titolare","Riserva"),"")</f>
        <v>Riserva</v>
      </c>
      <c r="AG100" t="str">
        <f>IFERROR(INDEX('Pressione Competitiva'!$F$3:$F$6,MATCH($B100,'Pressione Competitiva'!$B$3:$B$6,0)),"")</f>
        <v>🔴 Molto Alta</v>
      </c>
      <c r="AH100" t="str">
        <f t="shared" si="14"/>
        <v/>
      </c>
      <c r="AI100" t="str">
        <f>IFERROR(IF($AH100="","",IF($AH100&gt;=$AA100*'Parametri Modello'!$B$68,"🟢 Opportunita'",IF($AH100&lt;=$AA100*'Parametri Modello'!$B$69,"🔴 Sovrapprezzo","🟡 Prezzo Corretto"))),"")</f>
        <v/>
      </c>
      <c r="AJ100" t="str">
        <f t="shared" si="15"/>
        <v/>
      </c>
      <c r="AK100">
        <f t="shared" si="16"/>
        <v>19</v>
      </c>
      <c r="AL100" t="str">
        <f t="shared" si="17"/>
        <v>C|Buono|19</v>
      </c>
    </row>
    <row r="101" spans="1:38" ht="14.25" customHeight="1" x14ac:dyDescent="0.25">
      <c r="A101" s="18">
        <v>827</v>
      </c>
      <c r="B101" s="18" t="s">
        <v>264</v>
      </c>
      <c r="C101" s="18" t="s">
        <v>312</v>
      </c>
      <c r="E101" s="23" t="str">
        <f>IF(COUNTIF('Info Strategia'!$D$2:$D$51,$C101)&gt;0,"SI","NO")</f>
        <v>NO</v>
      </c>
      <c r="F101" s="24">
        <f>IFERROR(ROUND(($G101+($H101-$G101)*'Info Strategia'!$B$6)*(1+IF($E101="SI",'Parametri Modello'!$B$7*'Info Strategia'!$B$6,0)),0),"")</f>
        <v>4</v>
      </c>
      <c r="G101" s="24">
        <f>IFERROR(ROUND(MAX(1,(IF($V101&lt;=INDEX('Parametri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3</v>
      </c>
      <c r="H101" s="24">
        <f>IFERROR(ROUND((IF($V101&lt;=INDEX('Parametri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5</v>
      </c>
      <c r="I101" s="23">
        <f>IFERROR(INDEX('Input Statistiche 2025_26'!$F$3:$F$665,MATCH($A101,'Input Statistiche 2025_26'!$A$3:$A$665,0)),"")</f>
        <v>36</v>
      </c>
      <c r="J101" s="23">
        <f t="shared" si="9"/>
        <v>2</v>
      </c>
      <c r="K101" s="23">
        <f>IFERROR(INDEX('Input Statistiche 2025_26'!$I$3:$I$665,MATCH($A101,'Input Statistiche 2025_26'!$A$3:$A$665,0)),"")</f>
        <v>1</v>
      </c>
      <c r="L101" s="23">
        <f>IFERROR(INDEX('Input Statistiche 2025_26'!$O$3:$O$665,MATCH($A101,'Input Statistiche 2025_26'!$A$3:$A$665,0)),"")</f>
        <v>2</v>
      </c>
      <c r="M101" s="25"/>
      <c r="N101" s="24">
        <f>IFERROR(INDEX('Input Giocatori 2026_27'!$E$3:$E$493,MATCH($A101,'Input Giocatori 2026_27'!$A$3:$A$493,0)),"")</f>
        <v>8</v>
      </c>
      <c r="O101" s="24">
        <f>IFERROR(INDEX('Input Giocatori 2026_27'!$G$3:$G$493,MATCH($A101,'Input Giocatori 2026_27'!$A$3:$A$493,0)),"")</f>
        <v>32</v>
      </c>
      <c r="P101" s="23" t="str">
        <f>IFERROR(IF($O101="","",IF((1-(COUNTIFS($B$2:$B$492,$B101,$O$2:$O$492,"&gt;"&amp;$O101)+1-1)/COUNTIF($B$2:$B$492,$B101))&gt;='Parametri Modello'!$B$63,"Top",IF((1-(COUNTIFS($B$2:$B$492,$B101,$O$2:$O$492,"&gt;"&amp;$O101)+1-1)/COUNTIF($B$2:$B$492,$B101))&gt;='Parametri Modello'!$B$64,"Buono",IF((1-(COUNTIFS($B$2:$B$492,$B101,$O$2:$O$492,"&gt;"&amp;$O101)+1-1)/COUNTIF($B$2:$B$492,$B101))&gt;='Parametri Modello'!$B$65,"Nella Media","Scommessa/Riserva")))),"")</f>
        <v>Buono</v>
      </c>
      <c r="Q101" s="26">
        <f>IF(AND($D101="",$N101&gt;1),SUMPRODUCT(($D$2:$D101="")*($N$2:$N101&gt;1)),"")</f>
        <v>100</v>
      </c>
      <c r="R101" s="26" t="str">
        <f>IF($D101='Info Lega'!$B$28,COUNTIFS($D$2:$D101,'Info Lega'!$B$28),"")</f>
        <v/>
      </c>
      <c r="S101" s="27">
        <f>IFERROR(INDEX('Input Statistiche 2025_26'!$G$3:$G$665,MATCH($A101,'Input Statistiche 2025_26'!$A$3:$A$665,0)),"")</f>
        <v>6.26</v>
      </c>
      <c r="T101" s="27">
        <f>IFERROR(INDEX('Input Statistiche 2025_26'!$H$3:$H$665,MATCH($A101,'Input Statistiche 2025_26'!$A$3:$A$665,0)),"")</f>
        <v>6.19</v>
      </c>
      <c r="U101" s="23" t="str">
        <f>IF(OR('La Mia Rosa'!$O$12="",$D101&lt;&gt;""),"",IF($F101&lt;='La Mia Rosa'!$O$12*'Parametri Modello'!$B$24,"OK",IF($F101&lt;='La Mia Rosa'!$O$12*'Parametri Modello'!$B$25,"Attenzione","Rischio Alto")))</f>
        <v>OK</v>
      </c>
      <c r="V101" s="23">
        <f t="shared" si="10"/>
        <v>37</v>
      </c>
      <c r="W101" s="18">
        <f>'Info Lega'!$B$4-SUMIFS($M$2:$M$492,$D$2:$D$492,'Info Lega'!$B$28)</f>
        <v>1000</v>
      </c>
      <c r="X101" s="18">
        <f>('Info Lega'!$B$5-COUNTIFS($D$2:$D$492,'Info Lega'!$B$28,$B$2:$B$492,"P"))+('Info Lega'!$B$6-COUNTIFS($D$2:$D$492,'Info Lega'!$B$28,$B$2:$B$492,"D"))+('Info Lega'!$B$7-COUNTIFS($D$2:$D$492,'Info Lega'!$B$28,$B$2:$B$492,"C"))+('Info Lega'!$B$8-COUNTIFS($D$2:$D$492,'Info Lega'!$B$28,$B$2:$B$492,"A"))</f>
        <v>25</v>
      </c>
      <c r="Y101" s="18">
        <f>X101*'Parametri Modello'!$B$30</f>
        <v>25</v>
      </c>
      <c r="Z101" s="18">
        <f t="shared" si="11"/>
        <v>975</v>
      </c>
      <c r="AA101" s="18">
        <f t="shared" si="12"/>
        <v>4</v>
      </c>
      <c r="AB101" s="18"/>
      <c r="AC101" s="18" t="str">
        <f>IF($AB101="","",IF($AB101&gt;$AA101,"PASS",IF($AB101&lt;=$AA101*(1-'Parametri Modello'!$B$68),"BID","ATTENZIONE")))</f>
        <v/>
      </c>
      <c r="AD101" s="28">
        <f t="shared" si="13"/>
        <v>70</v>
      </c>
      <c r="AE101" s="5" t="str">
        <f>IFERROR(IF($AF101="Titolare",INDEX('Stato Asta'!$G$9:$G$12,MATCH($B101,'Stato Asta'!$A$9:$A$12,0)),INDEX('Stato Asta'!$P$9:$P$12,MATCH($B101,'Stato Asta'!$A$9:$A$12,0))),"")</f>
        <v>🟢 Riserve abbondanti</v>
      </c>
      <c r="AF101" t="str">
        <f>IFERROR(IF($V101&lt;=INDEX('Parametri Modello'!$C$57:$C$60,MATCH($B101,'Parametri Modello'!$A$57:$A$60,0)),"Titolare","Riserva"),"")</f>
        <v>Riserva</v>
      </c>
      <c r="AG101" t="str">
        <f>IFERROR(INDEX('Pressione Competitiva'!$F$3:$F$6,MATCH($B101,'Pressione Competitiva'!$B$3:$B$6,0)),"")</f>
        <v>🔴 Molto Alta</v>
      </c>
      <c r="AH101" t="str">
        <f t="shared" si="14"/>
        <v/>
      </c>
      <c r="AI101" t="str">
        <f>IFERROR(IF($AH101="","",IF($AH101&gt;=$AA101*'Parametri Modello'!$B$68,"🟢 Opportunita'",IF($AH101&lt;=$AA101*'Parametri Modello'!$B$69,"🔴 Sovrapprezzo","🟡 Prezzo Corretto"))),"")</f>
        <v/>
      </c>
      <c r="AJ101" t="str">
        <f t="shared" si="15"/>
        <v/>
      </c>
      <c r="AK101">
        <f t="shared" si="16"/>
        <v>19</v>
      </c>
      <c r="AL101" t="str">
        <f t="shared" si="17"/>
        <v>C|Buono|19</v>
      </c>
    </row>
    <row r="102" spans="1:38" ht="14.25" customHeight="1" x14ac:dyDescent="0.25">
      <c r="A102" s="18">
        <v>7313</v>
      </c>
      <c r="B102" s="18" t="s">
        <v>437</v>
      </c>
      <c r="C102" s="18" t="s">
        <v>470</v>
      </c>
      <c r="E102" s="23" t="str">
        <f>IF(COUNTIF('Info Strategia'!$D$2:$D$51,$C102)&gt;0,"SI","NO")</f>
        <v>NO</v>
      </c>
      <c r="F102" s="24">
        <f>IFERROR(ROUND(($G102+($H102-$G102)*'Info Strategia'!$B$6)*(1+IF($E102="SI",'Parametri Modello'!$B$7*'Info Strategia'!$B$6,0)),0),"")</f>
        <v>10</v>
      </c>
      <c r="G102" s="24">
        <f>IFERROR(ROUND(MAX(1,(IF($V102&lt;=INDEX('Parametri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6</v>
      </c>
      <c r="H102" s="24">
        <f>IFERROR(ROUND((IF($V102&lt;=INDEX('Parametri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12</v>
      </c>
      <c r="I102" s="23">
        <f>IFERROR(INDEX('Input Statistiche 2025_26'!$F$3:$F$665,MATCH($A102,'Input Statistiche 2025_26'!$A$3:$A$665,0)),"")</f>
        <v>7</v>
      </c>
      <c r="J102" s="23">
        <f t="shared" si="9"/>
        <v>31</v>
      </c>
      <c r="K102" s="23">
        <f>IFERROR(INDEX('Input Statistiche 2025_26'!$I$3:$I$665,MATCH($A102,'Input Statistiche 2025_26'!$A$3:$A$665,0)),"")</f>
        <v>0</v>
      </c>
      <c r="L102" s="23">
        <f>IFERROR(INDEX('Input Statistiche 2025_26'!$O$3:$O$665,MATCH($A102,'Input Statistiche 2025_26'!$A$3:$A$665,0)),"")</f>
        <v>0</v>
      </c>
      <c r="M102" s="25"/>
      <c r="N102" s="24">
        <f>IFERROR(INDEX('Input Giocatori 2026_27'!$E$3:$E$493,MATCH($A102,'Input Giocatori 2026_27'!$A$3:$A$493,0)),"")</f>
        <v>10</v>
      </c>
      <c r="O102" s="24">
        <f>IFERROR(INDEX('Input Giocatori 2026_27'!$G$3:$G$493,MATCH($A102,'Input Giocatori 2026_27'!$A$3:$A$493,0)),"")</f>
        <v>32</v>
      </c>
      <c r="P102" s="23" t="str">
        <f>IFERROR(IF($O102="","",IF((1-(COUNTIFS($B$2:$B$492,$B102,$O$2:$O$492,"&gt;"&amp;$O102)+1-1)/COUNTIF($B$2:$B$492,$B102))&gt;='Parametri Modello'!$B$63,"Top",IF((1-(COUNTIFS($B$2:$B$492,$B102,$O$2:$O$492,"&gt;"&amp;$O102)+1-1)/COUNTIF($B$2:$B$492,$B102))&gt;='Parametri Modello'!$B$64,"Buono",IF((1-(COUNTIFS($B$2:$B$492,$B102,$O$2:$O$492,"&gt;"&amp;$O102)+1-1)/COUNTIF($B$2:$B$492,$B102))&gt;='Parametri Modello'!$B$65,"Nella Media","Scommessa/Riserva")))),"")</f>
        <v>Nella Media</v>
      </c>
      <c r="Q102" s="26">
        <f>IF(AND($D102="",$N102&gt;1),SUMPRODUCT(($D$2:$D102="")*($N$2:$N102&gt;1)),"")</f>
        <v>101</v>
      </c>
      <c r="R102" s="26" t="str">
        <f>IF($D102='Info Lega'!$B$28,COUNTIFS($D$2:$D102,'Info Lega'!$B$28),"")</f>
        <v/>
      </c>
      <c r="S102" s="27">
        <f>IFERROR(INDEX('Input Statistiche 2025_26'!$G$3:$G$665,MATCH($A102,'Input Statistiche 2025_26'!$A$3:$A$665,0)),"")</f>
        <v>5.64</v>
      </c>
      <c r="T102" s="27">
        <f>IFERROR(INDEX('Input Statistiche 2025_26'!$H$3:$H$665,MATCH($A102,'Input Statistiche 2025_26'!$A$3:$A$665,0)),"")</f>
        <v>5.64</v>
      </c>
      <c r="U102" s="23" t="str">
        <f>IF(OR('La Mia Rosa'!$O$12="",$D102&lt;&gt;""),"",IF($F102&lt;='La Mia Rosa'!$O$12*'Parametri Modello'!$B$24,"OK",IF($F102&lt;='La Mia Rosa'!$O$12*'Parametri Modello'!$B$25,"Attenzione","Rischio Alto")))</f>
        <v>OK</v>
      </c>
      <c r="V102" s="23">
        <f t="shared" si="10"/>
        <v>36</v>
      </c>
      <c r="W102" s="18">
        <f>'Info Lega'!$B$4-SUMIFS($M$2:$M$492,$D$2:$D$492,'Info Lega'!$B$28)</f>
        <v>1000</v>
      </c>
      <c r="X102" s="18">
        <f>('Info Lega'!$B$5-COUNTIFS($D$2:$D$492,'Info Lega'!$B$28,$B$2:$B$492,"P"))+('Info Lega'!$B$6-COUNTIFS($D$2:$D$492,'Info Lega'!$B$28,$B$2:$B$492,"D"))+('Info Lega'!$B$7-COUNTIFS($D$2:$D$492,'Info Lega'!$B$28,$B$2:$B$492,"C"))+('Info Lega'!$B$8-COUNTIFS($D$2:$D$492,'Info Lega'!$B$28,$B$2:$B$492,"A"))</f>
        <v>25</v>
      </c>
      <c r="Y102" s="18">
        <f>X102*'Parametri Modello'!$B$30</f>
        <v>25</v>
      </c>
      <c r="Z102" s="18">
        <f t="shared" si="11"/>
        <v>975</v>
      </c>
      <c r="AA102" s="18">
        <f t="shared" si="12"/>
        <v>10</v>
      </c>
      <c r="AB102" s="18"/>
      <c r="AC102" s="18" t="str">
        <f>IF($AB102="","",IF($AB102&gt;$AA102,"PASS",IF($AB102&lt;=$AA102*(1-'Parametri Modello'!$B$68),"BID","ATTENZIONE")))</f>
        <v/>
      </c>
      <c r="AD102" s="28">
        <f t="shared" si="13"/>
        <v>21</v>
      </c>
      <c r="AE102" s="5" t="str">
        <f>IFERROR(IF($AF102="Titolare",INDEX('Stato Asta'!$G$9:$G$12,MATCH($B102,'Stato Asta'!$A$9:$A$12,0)),INDEX('Stato Asta'!$P$9:$P$12,MATCH($B102,'Stato Asta'!$A$9:$A$12,0))),"")</f>
        <v>🟢 Riserve abbondanti</v>
      </c>
      <c r="AF102" t="str">
        <f>IFERROR(IF($V102&lt;=INDEX('Parametri Modello'!$C$57:$C$60,MATCH($B102,'Parametri Modello'!$A$57:$A$60,0)),"Titolare","Riserva"),"")</f>
        <v>Riserva</v>
      </c>
      <c r="AG102" t="str">
        <f>IFERROR(INDEX('Pressione Competitiva'!$F$3:$F$6,MATCH($B102,'Pressione Competitiva'!$B$3:$B$6,0)),"")</f>
        <v>🔴 Molto Alta</v>
      </c>
      <c r="AH102" t="str">
        <f t="shared" si="14"/>
        <v/>
      </c>
      <c r="AI102" t="str">
        <f>IFERROR(IF($AH102="","",IF($AH102&gt;=$AA102*'Parametri Modello'!$B$68,"🟢 Opportunita'",IF($AH102&lt;=$AA102*'Parametri Modello'!$B$69,"🔴 Sovrapprezzo","🟡 Prezzo Corretto"))),"")</f>
        <v/>
      </c>
      <c r="AJ102" t="str">
        <f t="shared" si="15"/>
        <v/>
      </c>
      <c r="AK102">
        <f t="shared" si="16"/>
        <v>10</v>
      </c>
      <c r="AL102" t="str">
        <f t="shared" si="17"/>
        <v>A|Nella Media|10</v>
      </c>
    </row>
    <row r="103" spans="1:38" ht="14.25" customHeight="1" x14ac:dyDescent="0.25">
      <c r="A103" s="18">
        <v>6646</v>
      </c>
      <c r="B103" s="18" t="s">
        <v>437</v>
      </c>
      <c r="C103" s="18" t="s">
        <v>477</v>
      </c>
      <c r="E103" s="23" t="str">
        <f>IF(COUNTIF('Info Strategia'!$D$2:$D$51,$C103)&gt;0,"SI","NO")</f>
        <v>NO</v>
      </c>
      <c r="F103" s="24">
        <f>IFERROR(ROUND(($G103+($H103-$G103)*'Info Strategia'!$B$6)*(1+IF($E103="SI",'Parametri Modello'!$B$7*'Info Strategia'!$B$6,0)),0),"")</f>
        <v>10</v>
      </c>
      <c r="G103" s="24">
        <f>IFERROR(ROUND(MAX(1,(IF($V103&lt;=INDEX('Parametri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6</v>
      </c>
      <c r="H103" s="24">
        <f>IFERROR(ROUND((IF($V103&lt;=INDEX('Parametri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12</v>
      </c>
      <c r="I103" s="23">
        <f>IFERROR(INDEX('Input Statistiche 2025_26'!$F$3:$F$665,MATCH($A103,'Input Statistiche 2025_26'!$A$3:$A$665,0)),"")</f>
        <v>32</v>
      </c>
      <c r="J103" s="23">
        <f t="shared" si="9"/>
        <v>6</v>
      </c>
      <c r="K103" s="23">
        <f>IFERROR(INDEX('Input Statistiche 2025_26'!$I$3:$I$665,MATCH($A103,'Input Statistiche 2025_26'!$A$3:$A$665,0)),"")</f>
        <v>6</v>
      </c>
      <c r="L103" s="23">
        <f>IFERROR(INDEX('Input Statistiche 2025_26'!$O$3:$O$665,MATCH($A103,'Input Statistiche 2025_26'!$A$3:$A$665,0)),"")</f>
        <v>3</v>
      </c>
      <c r="M103" s="25"/>
      <c r="N103" s="24">
        <f>IFERROR(INDEX('Input Giocatori 2026_27'!$E$3:$E$493,MATCH($A103,'Input Giocatori 2026_27'!$A$3:$A$493,0)),"")</f>
        <v>9</v>
      </c>
      <c r="O103" s="24">
        <f>IFERROR(INDEX('Input Giocatori 2026_27'!$G$3:$G$493,MATCH($A103,'Input Giocatori 2026_27'!$A$3:$A$493,0)),"")</f>
        <v>32</v>
      </c>
      <c r="P103" s="23" t="str">
        <f>IFERROR(IF($O103="","",IF((1-(COUNTIFS($B$2:$B$492,$B103,$O$2:$O$492,"&gt;"&amp;$O103)+1-1)/COUNTIF($B$2:$B$492,$B103))&gt;='Parametri Modello'!$B$63,"Top",IF((1-(COUNTIFS($B$2:$B$492,$B103,$O$2:$O$492,"&gt;"&amp;$O103)+1-1)/COUNTIF($B$2:$B$492,$B103))&gt;='Parametri Modello'!$B$64,"Buono",IF((1-(COUNTIFS($B$2:$B$492,$B103,$O$2:$O$492,"&gt;"&amp;$O103)+1-1)/COUNTIF($B$2:$B$492,$B103))&gt;='Parametri Modello'!$B$65,"Nella Media","Scommessa/Riserva")))),"")</f>
        <v>Nella Media</v>
      </c>
      <c r="Q103" s="26">
        <f>IF(AND($D103="",$N103&gt;1),SUMPRODUCT(($D$2:$D103="")*($N$2:$N103&gt;1)),"")</f>
        <v>102</v>
      </c>
      <c r="R103" s="26" t="str">
        <f>IF($D103='Info Lega'!$B$28,COUNTIFS($D$2:$D103,'Info Lega'!$B$28),"")</f>
        <v/>
      </c>
      <c r="S103" s="27">
        <f>IFERROR(INDEX('Input Statistiche 2025_26'!$G$3:$G$665,MATCH($A103,'Input Statistiche 2025_26'!$A$3:$A$665,0)),"")</f>
        <v>5.98</v>
      </c>
      <c r="T103" s="27">
        <f>IFERROR(INDEX('Input Statistiche 2025_26'!$H$3:$H$665,MATCH($A103,'Input Statistiche 2025_26'!$A$3:$A$665,0)),"")</f>
        <v>6.64</v>
      </c>
      <c r="U103" s="23" t="str">
        <f>IF(OR('La Mia Rosa'!$O$12="",$D103&lt;&gt;""),"",IF($F103&lt;='La Mia Rosa'!$O$12*'Parametri Modello'!$B$24,"OK",IF($F103&lt;='La Mia Rosa'!$O$12*'Parametri Modello'!$B$25,"Attenzione","Rischio Alto")))</f>
        <v>OK</v>
      </c>
      <c r="V103" s="23">
        <f t="shared" si="10"/>
        <v>36</v>
      </c>
      <c r="W103" s="18">
        <f>'Info Lega'!$B$4-SUMIFS($M$2:$M$492,$D$2:$D$492,'Info Lega'!$B$28)</f>
        <v>1000</v>
      </c>
      <c r="X103" s="18">
        <f>('Info Lega'!$B$5-COUNTIFS($D$2:$D$492,'Info Lega'!$B$28,$B$2:$B$492,"P"))+('Info Lega'!$B$6-COUNTIFS($D$2:$D$492,'Info Lega'!$B$28,$B$2:$B$492,"D"))+('Info Lega'!$B$7-COUNTIFS($D$2:$D$492,'Info Lega'!$B$28,$B$2:$B$492,"C"))+('Info Lega'!$B$8-COUNTIFS($D$2:$D$492,'Info Lega'!$B$28,$B$2:$B$492,"A"))</f>
        <v>25</v>
      </c>
      <c r="Y103" s="18">
        <f>X103*'Parametri Modello'!$B$30</f>
        <v>25</v>
      </c>
      <c r="Z103" s="18">
        <f t="shared" si="11"/>
        <v>975</v>
      </c>
      <c r="AA103" s="18">
        <f t="shared" si="12"/>
        <v>10</v>
      </c>
      <c r="AB103" s="18"/>
      <c r="AC103" s="18" t="str">
        <f>IF($AB103="","",IF($AB103&gt;$AA103,"PASS",IF($AB103&lt;=$AA103*(1-'Parametri Modello'!$B$68),"BID","ATTENZIONE")))</f>
        <v/>
      </c>
      <c r="AD103" s="28">
        <f t="shared" si="13"/>
        <v>66</v>
      </c>
      <c r="AE103" s="5" t="str">
        <f>IFERROR(IF($AF103="Titolare",INDEX('Stato Asta'!$G$9:$G$12,MATCH($B103,'Stato Asta'!$A$9:$A$12,0)),INDEX('Stato Asta'!$P$9:$P$12,MATCH($B103,'Stato Asta'!$A$9:$A$12,0))),"")</f>
        <v>🟢 Riserve abbondanti</v>
      </c>
      <c r="AF103" t="str">
        <f>IFERROR(IF($V103&lt;=INDEX('Parametri Modello'!$C$57:$C$60,MATCH($B103,'Parametri Modello'!$A$57:$A$60,0)),"Titolare","Riserva"),"")</f>
        <v>Riserva</v>
      </c>
      <c r="AG103" t="str">
        <f>IFERROR(INDEX('Pressione Competitiva'!$F$3:$F$6,MATCH($B103,'Pressione Competitiva'!$B$3:$B$6,0)),"")</f>
        <v>🔴 Molto Alta</v>
      </c>
      <c r="AH103" t="str">
        <f t="shared" si="14"/>
        <v/>
      </c>
      <c r="AI103" t="str">
        <f>IFERROR(IF($AH103="","",IF($AH103&gt;=$AA103*'Parametri Modello'!$B$68,"🟢 Opportunita'",IF($AH103&lt;=$AA103*'Parametri Modello'!$B$69,"🔴 Sovrapprezzo","🟡 Prezzo Corretto"))),"")</f>
        <v/>
      </c>
      <c r="AJ103" t="str">
        <f t="shared" si="15"/>
        <v/>
      </c>
      <c r="AK103">
        <f t="shared" si="16"/>
        <v>10</v>
      </c>
      <c r="AL103" t="str">
        <f t="shared" si="17"/>
        <v>A|Nella Media|10</v>
      </c>
    </row>
    <row r="104" spans="1:38" ht="14.25" customHeight="1" x14ac:dyDescent="0.25">
      <c r="A104" s="18">
        <v>5833</v>
      </c>
      <c r="B104" s="18" t="s">
        <v>88</v>
      </c>
      <c r="C104" s="18" t="s">
        <v>101</v>
      </c>
      <c r="E104" s="23" t="str">
        <f>IF(COUNTIF('Info Strategia'!$D$2:$D$51,$C104)&gt;0,"SI","NO")</f>
        <v>NO</v>
      </c>
      <c r="F104" s="24">
        <f>IFERROR(ROUND(($G104+($H104-$G104)*'Info Strategia'!$B$6)*(1+IF($E104="SI",'Parametri Modello'!$B$7*'Info Strategia'!$B$6,0)),0),"")</f>
        <v>21</v>
      </c>
      <c r="G104" s="24">
        <f>IFERROR(ROUND(MAX(1,(IF($V104&lt;=INDEX('Parametri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16</v>
      </c>
      <c r="H104" s="24">
        <f>IFERROR(ROUND((IF($V104&lt;=INDEX('Parametri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23</v>
      </c>
      <c r="I104" s="23">
        <f>IFERROR(INDEX('Input Statistiche 2025_26'!$F$3:$F$665,MATCH($A104,'Input Statistiche 2025_26'!$A$3:$A$665,0)),"")</f>
        <v>31</v>
      </c>
      <c r="J104" s="23">
        <f t="shared" si="9"/>
        <v>7</v>
      </c>
      <c r="K104" s="23">
        <f>IFERROR(INDEX('Input Statistiche 2025_26'!$I$3:$I$665,MATCH($A104,'Input Statistiche 2025_26'!$A$3:$A$665,0)),"")</f>
        <v>0</v>
      </c>
      <c r="L104" s="23">
        <f>IFERROR(INDEX('Input Statistiche 2025_26'!$O$3:$O$665,MATCH($A104,'Input Statistiche 2025_26'!$A$3:$A$665,0)),"")</f>
        <v>0</v>
      </c>
      <c r="M104" s="25"/>
      <c r="N104" s="24">
        <f>IFERROR(INDEX('Input Giocatori 2026_27'!$E$3:$E$493,MATCH($A104,'Input Giocatori 2026_27'!$A$3:$A$493,0)),"")</f>
        <v>12</v>
      </c>
      <c r="O104" s="24">
        <f>IFERROR(INDEX('Input Giocatori 2026_27'!$G$3:$G$493,MATCH($A104,'Input Giocatori 2026_27'!$A$3:$A$493,0)),"")</f>
        <v>31</v>
      </c>
      <c r="P104" s="23" t="str">
        <f>IFERROR(IF($O104="","",IF((1-(COUNTIFS($B$2:$B$492,$B104,$O$2:$O$492,"&gt;"&amp;$O104)+1-1)/COUNTIF($B$2:$B$492,$B104))&gt;='Parametri Modello'!$B$63,"Top",IF((1-(COUNTIFS($B$2:$B$492,$B104,$O$2:$O$492,"&gt;"&amp;$O104)+1-1)/COUNTIF($B$2:$B$492,$B104))&gt;='Parametri Modello'!$B$64,"Buono",IF((1-(COUNTIFS($B$2:$B$492,$B104,$O$2:$O$492,"&gt;"&amp;$O104)+1-1)/COUNTIF($B$2:$B$492,$B104))&gt;='Parametri Modello'!$B$65,"Nella Media","Scommessa/Riserva")))),"")</f>
        <v>Top</v>
      </c>
      <c r="Q104" s="26">
        <f>IF(AND($D104="",$N104&gt;1),SUMPRODUCT(($D$2:$D104="")*($N$2:$N104&gt;1)),"")</f>
        <v>103</v>
      </c>
      <c r="R104" s="26" t="str">
        <f>IF($D104='Info Lega'!$B$28,COUNTIFS($D$2:$D104,'Info Lega'!$B$28),"")</f>
        <v/>
      </c>
      <c r="S104" s="27">
        <f>IFERROR(INDEX('Input Statistiche 2025_26'!$G$3:$G$665,MATCH($A104,'Input Statistiche 2025_26'!$A$3:$A$665,0)),"")</f>
        <v>6.03</v>
      </c>
      <c r="T104" s="27">
        <f>IFERROR(INDEX('Input Statistiche 2025_26'!$H$3:$H$665,MATCH($A104,'Input Statistiche 2025_26'!$A$3:$A$665,0)),"")</f>
        <v>5.95</v>
      </c>
      <c r="U104" s="23" t="str">
        <f>IF(OR('La Mia Rosa'!$O$12="",$D104&lt;&gt;""),"",IF($F104&lt;='La Mia Rosa'!$O$12*'Parametri Modello'!$B$24,"OK",IF($F104&lt;='La Mia Rosa'!$O$12*'Parametri Modello'!$B$25,"Attenzione","Rischio Alto")))</f>
        <v>OK</v>
      </c>
      <c r="V104" s="23">
        <f t="shared" si="10"/>
        <v>18</v>
      </c>
      <c r="W104" s="18">
        <f>'Info Lega'!$B$4-SUMIFS($M$2:$M$492,$D$2:$D$492,'Info Lega'!$B$28)</f>
        <v>1000</v>
      </c>
      <c r="X104" s="18">
        <f>('Info Lega'!$B$5-COUNTIFS($D$2:$D$492,'Info Lega'!$B$28,$B$2:$B$492,"P"))+('Info Lega'!$B$6-COUNTIFS($D$2:$D$492,'Info Lega'!$B$28,$B$2:$B$492,"D"))+('Info Lega'!$B$7-COUNTIFS($D$2:$D$492,'Info Lega'!$B$28,$B$2:$B$492,"C"))+('Info Lega'!$B$8-COUNTIFS($D$2:$D$492,'Info Lega'!$B$28,$B$2:$B$492,"A"))</f>
        <v>25</v>
      </c>
      <c r="Y104" s="18">
        <f>X104*'Parametri Modello'!$B$30</f>
        <v>25</v>
      </c>
      <c r="Z104" s="18">
        <f t="shared" si="11"/>
        <v>975</v>
      </c>
      <c r="AA104" s="18">
        <f t="shared" si="12"/>
        <v>21</v>
      </c>
      <c r="AB104" s="18"/>
      <c r="AC104" s="18" t="str">
        <f>IF($AB104="","",IF($AB104&gt;$AA104,"PASS",IF($AB104&lt;=$AA104*(1-'Parametri Modello'!$B$68),"BID","ATTENZIONE")))</f>
        <v/>
      </c>
      <c r="AD104" s="28">
        <f t="shared" si="13"/>
        <v>64</v>
      </c>
      <c r="AE104" s="5" t="str">
        <f>IFERROR(IF($AF104="Titolare",INDEX('Stato Asta'!$G$9:$G$12,MATCH($B104,'Stato Asta'!$A$9:$A$12,0)),INDEX('Stato Asta'!$P$9:$P$12,MATCH($B104,'Stato Asta'!$A$9:$A$12,0))),"")</f>
        <v>🟢 Puoi aspettare</v>
      </c>
      <c r="AF104" t="str">
        <f>IFERROR(IF($V104&lt;=INDEX('Parametri Modello'!$C$57:$C$60,MATCH($B104,'Parametri Modello'!$A$57:$A$60,0)),"Titolare","Riserva"),"")</f>
        <v>Titolare</v>
      </c>
      <c r="AG104" t="str">
        <f>IFERROR(INDEX('Pressione Competitiva'!$F$3:$F$6,MATCH($B104,'Pressione Competitiva'!$B$3:$B$6,0)),"")</f>
        <v>🔴 Molto Alta</v>
      </c>
      <c r="AH104" t="str">
        <f t="shared" si="14"/>
        <v/>
      </c>
      <c r="AI104" t="str">
        <f>IFERROR(IF($AH104="","",IF($AH104&gt;=$AA104*'Parametri Modello'!$B$68,"🟢 Opportunita'",IF($AH104&lt;=$AA104*'Parametri Modello'!$B$69,"🔴 Sovrapprezzo","🟡 Prezzo Corretto"))),"")</f>
        <v/>
      </c>
      <c r="AJ104" t="str">
        <f t="shared" si="15"/>
        <v/>
      </c>
      <c r="AK104">
        <f t="shared" si="16"/>
        <v>18</v>
      </c>
      <c r="AL104" t="str">
        <f t="shared" si="17"/>
        <v>D|Top|18</v>
      </c>
    </row>
    <row r="105" spans="1:38" ht="14.25" customHeight="1" x14ac:dyDescent="0.25">
      <c r="A105" s="18">
        <v>5672</v>
      </c>
      <c r="B105" s="18" t="s">
        <v>437</v>
      </c>
      <c r="C105" s="18" t="s">
        <v>469</v>
      </c>
      <c r="E105" s="23" t="str">
        <f>IF(COUNTIF('Info Strategia'!$D$2:$D$51,$C105)&gt;0,"SI","NO")</f>
        <v>NO</v>
      </c>
      <c r="F105" s="24">
        <f>IFERROR(ROUND(($G105+($H105-$G105)*'Info Strategia'!$B$6)*(1+IF($E105="SI",'Parametri Modello'!$B$7*'Info Strategia'!$B$6,0)),0),"")</f>
        <v>10</v>
      </c>
      <c r="G105" s="24">
        <f>IFERROR(ROUND(MAX(1,(IF($V105&lt;=INDEX('Parametri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6</v>
      </c>
      <c r="H105" s="24">
        <f>IFERROR(ROUND((IF($V105&lt;=INDEX('Parametri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11</v>
      </c>
      <c r="I105" s="23">
        <f>IFERROR(INDEX('Input Statistiche 2025_26'!$F$3:$F$665,MATCH($A105,'Input Statistiche 2025_26'!$A$3:$A$665,0)),"")</f>
        <v>25</v>
      </c>
      <c r="J105" s="23">
        <f t="shared" si="9"/>
        <v>13</v>
      </c>
      <c r="K105" s="23">
        <f>IFERROR(INDEX('Input Statistiche 2025_26'!$I$3:$I$665,MATCH($A105,'Input Statistiche 2025_26'!$A$3:$A$665,0)),"")</f>
        <v>1</v>
      </c>
      <c r="L105" s="23">
        <f>IFERROR(INDEX('Input Statistiche 2025_26'!$O$3:$O$665,MATCH($A105,'Input Statistiche 2025_26'!$A$3:$A$665,0)),"")</f>
        <v>2</v>
      </c>
      <c r="M105" s="25"/>
      <c r="N105" s="24">
        <f>IFERROR(INDEX('Input Giocatori 2026_27'!$E$3:$E$493,MATCH($A105,'Input Giocatori 2026_27'!$A$3:$A$493,0)),"")</f>
        <v>10</v>
      </c>
      <c r="O105" s="24">
        <f>IFERROR(INDEX('Input Giocatori 2026_27'!$G$3:$G$493,MATCH($A105,'Input Giocatori 2026_27'!$A$3:$A$493,0)),"")</f>
        <v>31</v>
      </c>
      <c r="P105" s="23" t="str">
        <f>IFERROR(IF($O105="","",IF((1-(COUNTIFS($B$2:$B$492,$B105,$O$2:$O$492,"&gt;"&amp;$O105)+1-1)/COUNTIF($B$2:$B$492,$B105))&gt;='Parametri Modello'!$B$63,"Top",IF((1-(COUNTIFS($B$2:$B$492,$B105,$O$2:$O$492,"&gt;"&amp;$O105)+1-1)/COUNTIF($B$2:$B$492,$B105))&gt;='Parametri Modello'!$B$64,"Buono",IF((1-(COUNTIFS($B$2:$B$492,$B105,$O$2:$O$492,"&gt;"&amp;$O105)+1-1)/COUNTIF($B$2:$B$492,$B105))&gt;='Parametri Modello'!$B$65,"Nella Media","Scommessa/Riserva")))),"")</f>
        <v>Nella Media</v>
      </c>
      <c r="Q105" s="26">
        <f>IF(AND($D105="",$N105&gt;1),SUMPRODUCT(($D$2:$D105="")*($N$2:$N105&gt;1)),"")</f>
        <v>104</v>
      </c>
      <c r="R105" s="26" t="str">
        <f>IF($D105='Info Lega'!$B$28,COUNTIFS($D$2:$D105,'Info Lega'!$B$28),"")</f>
        <v/>
      </c>
      <c r="S105" s="27">
        <f>IFERROR(INDEX('Input Statistiche 2025_26'!$G$3:$G$665,MATCH($A105,'Input Statistiche 2025_26'!$A$3:$A$665,0)),"")</f>
        <v>5.68</v>
      </c>
      <c r="T105" s="27">
        <f>IFERROR(INDEX('Input Statistiche 2025_26'!$H$3:$H$665,MATCH($A105,'Input Statistiche 2025_26'!$A$3:$A$665,0)),"")</f>
        <v>5.86</v>
      </c>
      <c r="U105" s="23" t="str">
        <f>IF(OR('La Mia Rosa'!$O$12="",$D105&lt;&gt;""),"",IF($F105&lt;='La Mia Rosa'!$O$12*'Parametri Modello'!$B$24,"OK",IF($F105&lt;='La Mia Rosa'!$O$12*'Parametri Modello'!$B$25,"Attenzione","Rischio Alto")))</f>
        <v>OK</v>
      </c>
      <c r="V105" s="23">
        <f t="shared" si="10"/>
        <v>38</v>
      </c>
      <c r="W105" s="18">
        <f>'Info Lega'!$B$4-SUMIFS($M$2:$M$492,$D$2:$D$492,'Info Lega'!$B$28)</f>
        <v>1000</v>
      </c>
      <c r="X105" s="18">
        <f>('Info Lega'!$B$5-COUNTIFS($D$2:$D$492,'Info Lega'!$B$28,$B$2:$B$492,"P"))+('Info Lega'!$B$6-COUNTIFS($D$2:$D$492,'Info Lega'!$B$28,$B$2:$B$492,"D"))+('Info Lega'!$B$7-COUNTIFS($D$2:$D$492,'Info Lega'!$B$28,$B$2:$B$492,"C"))+('Info Lega'!$B$8-COUNTIFS($D$2:$D$492,'Info Lega'!$B$28,$B$2:$B$492,"A"))</f>
        <v>25</v>
      </c>
      <c r="Y105" s="18">
        <f>X105*'Parametri Modello'!$B$30</f>
        <v>25</v>
      </c>
      <c r="Z105" s="18">
        <f t="shared" si="11"/>
        <v>975</v>
      </c>
      <c r="AA105" s="18">
        <f t="shared" si="12"/>
        <v>10</v>
      </c>
      <c r="AB105" s="18"/>
      <c r="AC105" s="18" t="str">
        <f>IF($AB105="","",IF($AB105&gt;$AA105,"PASS",IF($AB105&lt;=$AA105*(1-'Parametri Modello'!$B$68),"BID","ATTENZIONE")))</f>
        <v/>
      </c>
      <c r="AD105" s="28">
        <f t="shared" si="13"/>
        <v>57</v>
      </c>
      <c r="AE105" s="5" t="str">
        <f>IFERROR(IF($AF105="Titolare",INDEX('Stato Asta'!$G$9:$G$12,MATCH($B105,'Stato Asta'!$A$9:$A$12,0)),INDEX('Stato Asta'!$P$9:$P$12,MATCH($B105,'Stato Asta'!$A$9:$A$12,0))),"")</f>
        <v>🟢 Riserve abbondanti</v>
      </c>
      <c r="AF105" t="str">
        <f>IFERROR(IF($V105&lt;=INDEX('Parametri Modello'!$C$57:$C$60,MATCH($B105,'Parametri Modello'!$A$57:$A$60,0)),"Titolare","Riserva"),"")</f>
        <v>Riserva</v>
      </c>
      <c r="AG105" t="str">
        <f>IFERROR(INDEX('Pressione Competitiva'!$F$3:$F$6,MATCH($B105,'Pressione Competitiva'!$B$3:$B$6,0)),"")</f>
        <v>🔴 Molto Alta</v>
      </c>
      <c r="AH105" t="str">
        <f t="shared" si="14"/>
        <v/>
      </c>
      <c r="AI105" t="str">
        <f>IFERROR(IF($AH105="","",IF($AH105&gt;=$AA105*'Parametri Modello'!$B$68,"🟢 Opportunita'",IF($AH105&lt;=$AA105*'Parametri Modello'!$B$69,"🔴 Sovrapprezzo","🟡 Prezzo Corretto"))),"")</f>
        <v/>
      </c>
      <c r="AJ105" t="str">
        <f t="shared" si="15"/>
        <v/>
      </c>
      <c r="AK105">
        <f t="shared" si="16"/>
        <v>12</v>
      </c>
      <c r="AL105" t="str">
        <f t="shared" si="17"/>
        <v>A|Nella Media|12</v>
      </c>
    </row>
    <row r="106" spans="1:38" ht="14.25" customHeight="1" x14ac:dyDescent="0.25">
      <c r="A106" s="18">
        <v>6482</v>
      </c>
      <c r="B106" s="18" t="s">
        <v>8</v>
      </c>
      <c r="C106" s="18" t="s">
        <v>29</v>
      </c>
      <c r="E106" s="23" t="str">
        <f>IF(COUNTIF('Info Strategia'!$D$2:$D$51,$C106)&gt;0,"SI","NO")</f>
        <v>NO</v>
      </c>
      <c r="F106" s="24">
        <f>IFERROR(ROUND(($G106+($H106-$G106)*'Info Strategia'!$B$6)*(1+IF($E106="SI",'Parametri Modello'!$B$7*'Info Strategia'!$B$6,0)),0),"")</f>
        <v>10</v>
      </c>
      <c r="G106" s="24">
        <f>IFERROR(ROUND(MAX(1,(IF($V106&lt;=INDEX('Parametri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8</v>
      </c>
      <c r="H106" s="24">
        <f>IFERROR(ROUND((IF($V106&lt;=INDEX('Parametri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11</v>
      </c>
      <c r="I106" s="23">
        <f>IFERROR(INDEX('Input Statistiche 2025_26'!$F$3:$F$665,MATCH($A106,'Input Statistiche 2025_26'!$A$3:$A$665,0)),"")</f>
        <v>0</v>
      </c>
      <c r="J106" s="23">
        <f t="shared" si="9"/>
        <v>38</v>
      </c>
      <c r="K106" s="23">
        <f>IFERROR(INDEX('Input Statistiche 2025_26'!$I$3:$I$665,MATCH($A106,'Input Statistiche 2025_26'!$A$3:$A$665,0)),"")</f>
        <v>0</v>
      </c>
      <c r="L106" s="23">
        <f>IFERROR(INDEX('Input Statistiche 2025_26'!$O$3:$O$665,MATCH($A106,'Input Statistiche 2025_26'!$A$3:$A$665,0)),"")</f>
        <v>0</v>
      </c>
      <c r="M106" s="25"/>
      <c r="N106" s="24">
        <f>IFERROR(INDEX('Input Giocatori 2026_27'!$E$3:$E$493,MATCH($A106,'Input Giocatori 2026_27'!$A$3:$A$493,0)),"")</f>
        <v>9</v>
      </c>
      <c r="O106" s="24">
        <f>IFERROR(INDEX('Input Giocatori 2026_27'!$G$3:$G$493,MATCH($A106,'Input Giocatori 2026_27'!$A$3:$A$493,0)),"")</f>
        <v>30</v>
      </c>
      <c r="P106" s="23" t="str">
        <f>IFERROR(IF($O106="","",IF((1-(COUNTIFS($B$2:$B$492,$B106,$O$2:$O$492,"&gt;"&amp;$O106)+1-1)/COUNTIF($B$2:$B$492,$B106))&gt;='Parametri Modello'!$B$63,"Top",IF((1-(COUNTIFS($B$2:$B$492,$B106,$O$2:$O$492,"&gt;"&amp;$O106)+1-1)/COUNTIF($B$2:$B$492,$B106))&gt;='Parametri Modello'!$B$64,"Buono",IF((1-(COUNTIFS($B$2:$B$492,$B106,$O$2:$O$492,"&gt;"&amp;$O106)+1-1)/COUNTIF($B$2:$B$492,$B106))&gt;='Parametri Modello'!$B$65,"Nella Media","Scommessa/Riserva")))),"")</f>
        <v>Buono</v>
      </c>
      <c r="Q106" s="26">
        <f>IF(AND($D106="",$N106&gt;1),SUMPRODUCT(($D$2:$D106="")*($N$2:$N106&gt;1)),"")</f>
        <v>105</v>
      </c>
      <c r="R106" s="26" t="str">
        <f>IF($D106='Info Lega'!$B$28,COUNTIFS($D$2:$D106,'Info Lega'!$B$28),"")</f>
        <v/>
      </c>
      <c r="S106" s="27">
        <f>IFERROR(INDEX('Input Statistiche 2025_26'!$G$3:$G$665,MATCH($A106,'Input Statistiche 2025_26'!$A$3:$A$665,0)),"")</f>
        <v>0</v>
      </c>
      <c r="T106" s="27">
        <f>IFERROR(INDEX('Input Statistiche 2025_26'!$H$3:$H$665,MATCH($A106,'Input Statistiche 2025_26'!$A$3:$A$665,0)),"")</f>
        <v>0</v>
      </c>
      <c r="U106" s="23" t="str">
        <f>IF(OR('La Mia Rosa'!$O$12="",$D106&lt;&gt;""),"",IF($F106&lt;='La Mia Rosa'!$O$12*'Parametri Modello'!$B$24,"OK",IF($F106&lt;='La Mia Rosa'!$O$12*'Parametri Modello'!$B$25,"Attenzione","Rischio Alto")))</f>
        <v>OK</v>
      </c>
      <c r="V106" s="23">
        <f t="shared" si="10"/>
        <v>10</v>
      </c>
      <c r="W106" s="18">
        <f>'Info Lega'!$B$4-SUMIFS($M$2:$M$492,$D$2:$D$492,'Info Lega'!$B$28)</f>
        <v>1000</v>
      </c>
      <c r="X106" s="18">
        <f>('Info Lega'!$B$5-COUNTIFS($D$2:$D$492,'Info Lega'!$B$28,$B$2:$B$492,"P"))+('Info Lega'!$B$6-COUNTIFS($D$2:$D$492,'Info Lega'!$B$28,$B$2:$B$492,"D"))+('Info Lega'!$B$7-COUNTIFS($D$2:$D$492,'Info Lega'!$B$28,$B$2:$B$492,"C"))+('Info Lega'!$B$8-COUNTIFS($D$2:$D$492,'Info Lega'!$B$28,$B$2:$B$492,"A"))</f>
        <v>25</v>
      </c>
      <c r="Y106" s="18">
        <f>X106*'Parametri Modello'!$B$30</f>
        <v>25</v>
      </c>
      <c r="Z106" s="18">
        <f t="shared" si="11"/>
        <v>975</v>
      </c>
      <c r="AA106" s="18">
        <f t="shared" si="12"/>
        <v>10</v>
      </c>
      <c r="AB106" s="18"/>
      <c r="AC106" s="18" t="str">
        <f>IF($AB106="","",IF($AB106&gt;$AA106,"PASS",IF($AB106&lt;=$AA106*(1-'Parametri Modello'!$B$68),"BID","ATTENZIONE")))</f>
        <v/>
      </c>
      <c r="AD106" s="28">
        <f t="shared" si="13"/>
        <v>0</v>
      </c>
      <c r="AE106" s="5" t="str">
        <f>IFERROR(IF($AF106="Titolare",INDEX('Stato Asta'!$G$9:$G$12,MATCH($B106,'Stato Asta'!$A$9:$A$12,0)),INDEX('Stato Asta'!$P$9:$P$12,MATCH($B106,'Stato Asta'!$A$9:$A$12,0))),"")</f>
        <v>🔴 Riserve scarse</v>
      </c>
      <c r="AF106" t="str">
        <f>IFERROR(IF($V106&lt;=INDEX('Parametri Modello'!$C$57:$C$60,MATCH($B106,'Parametri Modello'!$A$57:$A$60,0)),"Titolare","Riserva"),"")</f>
        <v>Riserva</v>
      </c>
      <c r="AG106" t="str">
        <f>IFERROR(INDEX('Pressione Competitiva'!$F$3:$F$6,MATCH($B106,'Pressione Competitiva'!$B$3:$B$6,0)),"")</f>
        <v>🔴 Molto Alta</v>
      </c>
      <c r="AH106" t="str">
        <f t="shared" si="14"/>
        <v/>
      </c>
      <c r="AI106" t="str">
        <f>IFERROR(IF($AH106="","",IF($AH106&gt;=$AA106*'Parametri Modello'!$B$68,"🟢 Opportunita'",IF($AH106&lt;=$AA106*'Parametri Modello'!$B$69,"🔴 Sovrapprezzo","🟡 Prezzo Corretto"))),"")</f>
        <v/>
      </c>
      <c r="AJ106" t="str">
        <f t="shared" si="15"/>
        <v/>
      </c>
      <c r="AK106">
        <f t="shared" si="16"/>
        <v>3</v>
      </c>
      <c r="AL106" t="str">
        <f t="shared" si="17"/>
        <v>P|Buono|3</v>
      </c>
    </row>
    <row r="107" spans="1:38" ht="14.25" customHeight="1" x14ac:dyDescent="0.25">
      <c r="A107" s="18">
        <v>5885</v>
      </c>
      <c r="B107" s="18" t="s">
        <v>88</v>
      </c>
      <c r="C107" s="18" t="s">
        <v>107</v>
      </c>
      <c r="E107" s="23" t="str">
        <f>IF(COUNTIF('Info Strategia'!$D$2:$D$51,$C107)&gt;0,"SI","NO")</f>
        <v>NO</v>
      </c>
      <c r="F107" s="24">
        <f>IFERROR(ROUND(($G107+($H107-$G107)*'Info Strategia'!$B$6)*(1+IF($E107="SI",'Parametri Modello'!$B$7*'Info Strategia'!$B$6,0)),0),"")</f>
        <v>21</v>
      </c>
      <c r="G107" s="24">
        <f>IFERROR(ROUND(MAX(1,(IF($V107&lt;=INDEX('Parametri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15</v>
      </c>
      <c r="H107" s="24">
        <f>IFERROR(ROUND((IF($V107&lt;=INDEX('Parametri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23</v>
      </c>
      <c r="I107" s="23">
        <f>IFERROR(INDEX('Input Statistiche 2025_26'!$F$3:$F$665,MATCH($A107,'Input Statistiche 2025_26'!$A$3:$A$665,0)),"")</f>
        <v>36</v>
      </c>
      <c r="J107" s="23">
        <f t="shared" si="9"/>
        <v>2</v>
      </c>
      <c r="K107" s="23">
        <f>IFERROR(INDEX('Input Statistiche 2025_26'!$I$3:$I$665,MATCH($A107,'Input Statistiche 2025_26'!$A$3:$A$665,0)),"")</f>
        <v>1</v>
      </c>
      <c r="L107" s="23">
        <f>IFERROR(INDEX('Input Statistiche 2025_26'!$O$3:$O$665,MATCH($A107,'Input Statistiche 2025_26'!$A$3:$A$665,0)),"")</f>
        <v>2</v>
      </c>
      <c r="M107" s="25"/>
      <c r="N107" s="24">
        <f>IFERROR(INDEX('Input Giocatori 2026_27'!$E$3:$E$493,MATCH($A107,'Input Giocatori 2026_27'!$A$3:$A$493,0)),"")</f>
        <v>10</v>
      </c>
      <c r="O107" s="24">
        <f>IFERROR(INDEX('Input Giocatori 2026_27'!$G$3:$G$493,MATCH($A107,'Input Giocatori 2026_27'!$A$3:$A$493,0)),"")</f>
        <v>30</v>
      </c>
      <c r="P107" s="23" t="str">
        <f>IFERROR(IF($O107="","",IF((1-(COUNTIFS($B$2:$B$492,$B107,$O$2:$O$492,"&gt;"&amp;$O107)+1-1)/COUNTIF($B$2:$B$492,$B107))&gt;='Parametri Modello'!$B$63,"Top",IF((1-(COUNTIFS($B$2:$B$492,$B107,$O$2:$O$492,"&gt;"&amp;$O107)+1-1)/COUNTIF($B$2:$B$492,$B107))&gt;='Parametri Modello'!$B$64,"Buono",IF((1-(COUNTIFS($B$2:$B$492,$B107,$O$2:$O$492,"&gt;"&amp;$O107)+1-1)/COUNTIF($B$2:$B$492,$B107))&gt;='Parametri Modello'!$B$65,"Nella Media","Scommessa/Riserva")))),"")</f>
        <v>Buono</v>
      </c>
      <c r="Q107" s="26">
        <f>IF(AND($D107="",$N107&gt;1),SUMPRODUCT(($D$2:$D107="")*($N$2:$N107&gt;1)),"")</f>
        <v>106</v>
      </c>
      <c r="R107" s="26" t="str">
        <f>IF($D107='Info Lega'!$B$28,COUNTIFS($D$2:$D107,'Info Lega'!$B$28),"")</f>
        <v/>
      </c>
      <c r="S107" s="27">
        <f>IFERROR(INDEX('Input Statistiche 2025_26'!$G$3:$G$665,MATCH($A107,'Input Statistiche 2025_26'!$A$3:$A$665,0)),"")</f>
        <v>5.99</v>
      </c>
      <c r="T107" s="27">
        <f>IFERROR(INDEX('Input Statistiche 2025_26'!$H$3:$H$665,MATCH($A107,'Input Statistiche 2025_26'!$A$3:$A$665,0)),"")</f>
        <v>6.03</v>
      </c>
      <c r="U107" s="23" t="str">
        <f>IF(OR('La Mia Rosa'!$O$12="",$D107&lt;&gt;""),"",IF($F107&lt;='La Mia Rosa'!$O$12*'Parametri Modello'!$B$24,"OK",IF($F107&lt;='La Mia Rosa'!$O$12*'Parametri Modello'!$B$25,"Attenzione","Rischio Alto")))</f>
        <v>OK</v>
      </c>
      <c r="V107" s="23">
        <f t="shared" si="10"/>
        <v>19</v>
      </c>
      <c r="W107" s="18">
        <f>'Info Lega'!$B$4-SUMIFS($M$2:$M$492,$D$2:$D$492,'Info Lega'!$B$28)</f>
        <v>1000</v>
      </c>
      <c r="X107" s="18">
        <f>('Info Lega'!$B$5-COUNTIFS($D$2:$D$492,'Info Lega'!$B$28,$B$2:$B$492,"P"))+('Info Lega'!$B$6-COUNTIFS($D$2:$D$492,'Info Lega'!$B$28,$B$2:$B$492,"D"))+('Info Lega'!$B$7-COUNTIFS($D$2:$D$492,'Info Lega'!$B$28,$B$2:$B$492,"C"))+('Info Lega'!$B$8-COUNTIFS($D$2:$D$492,'Info Lega'!$B$28,$B$2:$B$492,"A"))</f>
        <v>25</v>
      </c>
      <c r="Y107" s="18">
        <f>X107*'Parametri Modello'!$B$30</f>
        <v>25</v>
      </c>
      <c r="Z107" s="18">
        <f t="shared" si="11"/>
        <v>975</v>
      </c>
      <c r="AA107" s="18">
        <f t="shared" si="12"/>
        <v>21</v>
      </c>
      <c r="AB107" s="18"/>
      <c r="AC107" s="18" t="str">
        <f>IF($AB107="","",IF($AB107&gt;$AA107,"PASS",IF($AB107&lt;=$AA107*(1-'Parametri Modello'!$B$68),"BID","ATTENZIONE")))</f>
        <v/>
      </c>
      <c r="AD107" s="28">
        <f t="shared" si="13"/>
        <v>70</v>
      </c>
      <c r="AE107" s="5" t="str">
        <f>IFERROR(IF($AF107="Titolare",INDEX('Stato Asta'!$G$9:$G$12,MATCH($B107,'Stato Asta'!$A$9:$A$12,0)),INDEX('Stato Asta'!$P$9:$P$12,MATCH($B107,'Stato Asta'!$A$9:$A$12,0))),"")</f>
        <v>🟢 Puoi aspettare</v>
      </c>
      <c r="AF107" t="str">
        <f>IFERROR(IF($V107&lt;=INDEX('Parametri Modello'!$C$57:$C$60,MATCH($B107,'Parametri Modello'!$A$57:$A$60,0)),"Titolare","Riserva"),"")</f>
        <v>Titolare</v>
      </c>
      <c r="AG107" t="str">
        <f>IFERROR(INDEX('Pressione Competitiva'!$F$3:$F$6,MATCH($B107,'Pressione Competitiva'!$B$3:$B$6,0)),"")</f>
        <v>🔴 Molto Alta</v>
      </c>
      <c r="AH107" t="str">
        <f t="shared" si="14"/>
        <v/>
      </c>
      <c r="AI107" t="str">
        <f>IFERROR(IF($AH107="","",IF($AH107&gt;=$AA107*'Parametri Modello'!$B$68,"🟢 Opportunita'",IF($AH107&lt;=$AA107*'Parametri Modello'!$B$69,"🔴 Sovrapprezzo","🟡 Prezzo Corretto"))),"")</f>
        <v/>
      </c>
      <c r="AJ107" t="str">
        <f t="shared" si="15"/>
        <v/>
      </c>
      <c r="AK107">
        <f t="shared" si="16"/>
        <v>1</v>
      </c>
      <c r="AL107" t="str">
        <f t="shared" si="17"/>
        <v>D|Buono|1</v>
      </c>
    </row>
    <row r="108" spans="1:38" ht="14.25" customHeight="1" x14ac:dyDescent="0.25">
      <c r="A108" s="18">
        <v>5823</v>
      </c>
      <c r="B108" s="18" t="s">
        <v>264</v>
      </c>
      <c r="C108" s="18" t="s">
        <v>289</v>
      </c>
      <c r="E108" s="23" t="str">
        <f>IF(COUNTIF('Info Strategia'!$D$2:$D$51,$C108)&gt;0,"SI","NO")</f>
        <v>NO</v>
      </c>
      <c r="F108" s="24">
        <f>IFERROR(ROUND(($G108+($H108-$G108)*'Info Strategia'!$B$6)*(1+IF($E108="SI",'Parametri Modello'!$B$7*'Info Strategia'!$B$6,0)),0),"")</f>
        <v>4</v>
      </c>
      <c r="G108" s="24">
        <f>IFERROR(ROUND(MAX(1,(IF($V108&lt;=INDEX('Parametri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3</v>
      </c>
      <c r="H108" s="24">
        <f>IFERROR(ROUND((IF($V108&lt;=INDEX('Parametri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4</v>
      </c>
      <c r="I108" s="23">
        <f>IFERROR(INDEX('Input Statistiche 2025_26'!$F$3:$F$665,MATCH($A108,'Input Statistiche 2025_26'!$A$3:$A$665,0)),"")</f>
        <v>17</v>
      </c>
      <c r="J108" s="23">
        <f t="shared" si="9"/>
        <v>21</v>
      </c>
      <c r="K108" s="23">
        <f>IFERROR(INDEX('Input Statistiche 2025_26'!$I$3:$I$665,MATCH($A108,'Input Statistiche 2025_26'!$A$3:$A$665,0)),"")</f>
        <v>1</v>
      </c>
      <c r="L108" s="23">
        <f>IFERROR(INDEX('Input Statistiche 2025_26'!$O$3:$O$665,MATCH($A108,'Input Statistiche 2025_26'!$A$3:$A$665,0)),"")</f>
        <v>2</v>
      </c>
      <c r="M108" s="25"/>
      <c r="N108" s="24">
        <f>IFERROR(INDEX('Input Giocatori 2026_27'!$E$3:$E$493,MATCH($A108,'Input Giocatori 2026_27'!$A$3:$A$493,0)),"")</f>
        <v>11</v>
      </c>
      <c r="O108" s="24">
        <f>IFERROR(INDEX('Input Giocatori 2026_27'!$G$3:$G$493,MATCH($A108,'Input Giocatori 2026_27'!$A$3:$A$493,0)),"")</f>
        <v>30</v>
      </c>
      <c r="P108" s="23" t="str">
        <f>IFERROR(IF($O108="","",IF((1-(COUNTIFS($B$2:$B$492,$B108,$O$2:$O$492,"&gt;"&amp;$O108)+1-1)/COUNTIF($B$2:$B$492,$B108))&gt;='Parametri Modello'!$B$63,"Top",IF((1-(COUNTIFS($B$2:$B$492,$B108,$O$2:$O$492,"&gt;"&amp;$O108)+1-1)/COUNTIF($B$2:$B$492,$B108))&gt;='Parametri Modello'!$B$64,"Buono",IF((1-(COUNTIFS($B$2:$B$492,$B108,$O$2:$O$492,"&gt;"&amp;$O108)+1-1)/COUNTIF($B$2:$B$492,$B108))&gt;='Parametri Modello'!$B$65,"Nella Media","Scommessa/Riserva")))),"")</f>
        <v>Buono</v>
      </c>
      <c r="Q108" s="26">
        <f>IF(AND($D108="",$N108&gt;1),SUMPRODUCT(($D$2:$D108="")*($N$2:$N108&gt;1)),"")</f>
        <v>107</v>
      </c>
      <c r="R108" s="26" t="str">
        <f>IF($D108='Info Lega'!$B$28,COUNTIFS($D$2:$D108,'Info Lega'!$B$28),"")</f>
        <v/>
      </c>
      <c r="S108" s="27">
        <f>IFERROR(INDEX('Input Statistiche 2025_26'!$G$3:$G$665,MATCH($A108,'Input Statistiche 2025_26'!$A$3:$A$665,0)),"")</f>
        <v>6.15</v>
      </c>
      <c r="T108" s="27">
        <f>IFERROR(INDEX('Input Statistiche 2025_26'!$H$3:$H$665,MATCH($A108,'Input Statistiche 2025_26'!$A$3:$A$665,0)),"")</f>
        <v>6.38</v>
      </c>
      <c r="U108" s="23" t="str">
        <f>IF(OR('La Mia Rosa'!$O$12="",$D108&lt;&gt;""),"",IF($F108&lt;='La Mia Rosa'!$O$12*'Parametri Modello'!$B$24,"OK",IF($F108&lt;='La Mia Rosa'!$O$12*'Parametri Modello'!$B$25,"Attenzione","Rischio Alto")))</f>
        <v>OK</v>
      </c>
      <c r="V108" s="23">
        <f t="shared" si="10"/>
        <v>40</v>
      </c>
      <c r="W108" s="18">
        <f>'Info Lega'!$B$4-SUMIFS($M$2:$M$492,$D$2:$D$492,'Info Lega'!$B$28)</f>
        <v>1000</v>
      </c>
      <c r="X108" s="18">
        <f>('Info Lega'!$B$5-COUNTIFS($D$2:$D$492,'Info Lega'!$B$28,$B$2:$B$492,"P"))+('Info Lega'!$B$6-COUNTIFS($D$2:$D$492,'Info Lega'!$B$28,$B$2:$B$492,"D"))+('Info Lega'!$B$7-COUNTIFS($D$2:$D$492,'Info Lega'!$B$28,$B$2:$B$492,"C"))+('Info Lega'!$B$8-COUNTIFS($D$2:$D$492,'Info Lega'!$B$28,$B$2:$B$492,"A"))</f>
        <v>25</v>
      </c>
      <c r="Y108" s="18">
        <f>X108*'Parametri Modello'!$B$30</f>
        <v>25</v>
      </c>
      <c r="Z108" s="18">
        <f t="shared" si="11"/>
        <v>975</v>
      </c>
      <c r="AA108" s="18">
        <f t="shared" si="12"/>
        <v>4</v>
      </c>
      <c r="AB108" s="18"/>
      <c r="AC108" s="18" t="str">
        <f>IF($AB108="","",IF($AB108&gt;$AA108,"PASS",IF($AB108&lt;=$AA108*(1-'Parametri Modello'!$B$68),"BID","ATTENZIONE")))</f>
        <v/>
      </c>
      <c r="AD108" s="28">
        <f t="shared" si="13"/>
        <v>43</v>
      </c>
      <c r="AE108" s="5" t="str">
        <f>IFERROR(IF($AF108="Titolare",INDEX('Stato Asta'!$G$9:$G$12,MATCH($B108,'Stato Asta'!$A$9:$A$12,0)),INDEX('Stato Asta'!$P$9:$P$12,MATCH($B108,'Stato Asta'!$A$9:$A$12,0))),"")</f>
        <v>🟢 Riserve abbondanti</v>
      </c>
      <c r="AF108" t="str">
        <f>IFERROR(IF($V108&lt;=INDEX('Parametri Modello'!$C$57:$C$60,MATCH($B108,'Parametri Modello'!$A$57:$A$60,0)),"Titolare","Riserva"),"")</f>
        <v>Riserva</v>
      </c>
      <c r="AG108" t="str">
        <f>IFERROR(INDEX('Pressione Competitiva'!$F$3:$F$6,MATCH($B108,'Pressione Competitiva'!$B$3:$B$6,0)),"")</f>
        <v>🔴 Molto Alta</v>
      </c>
      <c r="AH108" t="str">
        <f t="shared" si="14"/>
        <v/>
      </c>
      <c r="AI108" t="str">
        <f>IFERROR(IF($AH108="","",IF($AH108&gt;=$AA108*'Parametri Modello'!$B$68,"🟢 Opportunita'",IF($AH108&lt;=$AA108*'Parametri Modello'!$B$69,"🔴 Sovrapprezzo","🟡 Prezzo Corretto"))),"")</f>
        <v/>
      </c>
      <c r="AJ108" t="str">
        <f t="shared" si="15"/>
        <v/>
      </c>
      <c r="AK108">
        <f t="shared" si="16"/>
        <v>22</v>
      </c>
      <c r="AL108" t="str">
        <f t="shared" si="17"/>
        <v>C|Buono|22</v>
      </c>
    </row>
    <row r="109" spans="1:38" ht="14.25" customHeight="1" x14ac:dyDescent="0.25">
      <c r="A109" s="18">
        <v>6530</v>
      </c>
      <c r="B109" s="18" t="s">
        <v>437</v>
      </c>
      <c r="C109" s="18" t="s">
        <v>473</v>
      </c>
      <c r="E109" s="23" t="str">
        <f>IF(COUNTIF('Info Strategia'!$D$2:$D$51,$C109)&gt;0,"SI","NO")</f>
        <v>NO</v>
      </c>
      <c r="F109" s="24">
        <f>IFERROR(ROUND(($G109+($H109-$G109)*'Info Strategia'!$B$6)*(1+IF($E109="SI",'Parametri Modello'!$B$7*'Info Strategia'!$B$6,0)),0),"")</f>
        <v>10</v>
      </c>
      <c r="G109" s="24">
        <f>IFERROR(ROUND(MAX(1,(IF($V109&lt;=INDEX('Parametri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6</v>
      </c>
      <c r="H109" s="24">
        <f>IFERROR(ROUND((IF($V109&lt;=INDEX('Parametri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11</v>
      </c>
      <c r="I109" s="23" t="str">
        <f>IFERROR(INDEX('Input Statistiche 2025_26'!$F$3:$F$665,MATCH($A109,'Input Statistiche 2025_26'!$A$3:$A$665,0)),"")</f>
        <v/>
      </c>
      <c r="J109" s="23" t="str">
        <f t="shared" si="9"/>
        <v/>
      </c>
      <c r="K109" s="23" t="str">
        <f>IFERROR(INDEX('Input Statistiche 2025_26'!$I$3:$I$665,MATCH($A109,'Input Statistiche 2025_26'!$A$3:$A$665,0)),"")</f>
        <v/>
      </c>
      <c r="L109" s="23" t="str">
        <f>IFERROR(INDEX('Input Statistiche 2025_26'!$O$3:$O$665,MATCH($A109,'Input Statistiche 2025_26'!$A$3:$A$665,0)),"")</f>
        <v/>
      </c>
      <c r="M109" s="25"/>
      <c r="N109" s="24">
        <f>IFERROR(INDEX('Input Giocatori 2026_27'!$E$3:$E$493,MATCH($A109,'Input Giocatori 2026_27'!$A$3:$A$493,0)),"")</f>
        <v>9</v>
      </c>
      <c r="O109" s="24">
        <f>IFERROR(INDEX('Input Giocatori 2026_27'!$G$3:$G$493,MATCH($A109,'Input Giocatori 2026_27'!$A$3:$A$493,0)),"")</f>
        <v>30</v>
      </c>
      <c r="P109" s="23" t="str">
        <f>IFERROR(IF($O109="","",IF((1-(COUNTIFS($B$2:$B$492,$B109,$O$2:$O$492,"&gt;"&amp;$O109)+1-1)/COUNTIF($B$2:$B$492,$B109))&gt;='Parametri Modello'!$B$63,"Top",IF((1-(COUNTIFS($B$2:$B$492,$B109,$O$2:$O$492,"&gt;"&amp;$O109)+1-1)/COUNTIF($B$2:$B$492,$B109))&gt;='Parametri Modello'!$B$64,"Buono",IF((1-(COUNTIFS($B$2:$B$492,$B109,$O$2:$O$492,"&gt;"&amp;$O109)+1-1)/COUNTIF($B$2:$B$492,$B109))&gt;='Parametri Modello'!$B$65,"Nella Media","Scommessa/Riserva")))),"")</f>
        <v>Nella Media</v>
      </c>
      <c r="Q109" s="26">
        <f>IF(AND($D109="",$N109&gt;1),SUMPRODUCT(($D$2:$D109="")*($N$2:$N109&gt;1)),"")</f>
        <v>108</v>
      </c>
      <c r="R109" s="26" t="str">
        <f>IF($D109='Info Lega'!$B$28,COUNTIFS($D$2:$D109,'Info Lega'!$B$28),"")</f>
        <v/>
      </c>
      <c r="S109" s="27" t="str">
        <f>IFERROR(INDEX('Input Statistiche 2025_26'!$G$3:$G$665,MATCH($A109,'Input Statistiche 2025_26'!$A$3:$A$665,0)),"")</f>
        <v/>
      </c>
      <c r="T109" s="27" t="str">
        <f>IFERROR(INDEX('Input Statistiche 2025_26'!$H$3:$H$665,MATCH($A109,'Input Statistiche 2025_26'!$A$3:$A$665,0)),"")</f>
        <v/>
      </c>
      <c r="U109" s="23" t="str">
        <f>IF(OR('La Mia Rosa'!$O$12="",$D109&lt;&gt;""),"",IF($F109&lt;='La Mia Rosa'!$O$12*'Parametri Modello'!$B$24,"OK",IF($F109&lt;='La Mia Rosa'!$O$12*'Parametri Modello'!$B$25,"Attenzione","Rischio Alto")))</f>
        <v>OK</v>
      </c>
      <c r="V109" s="23">
        <f t="shared" si="10"/>
        <v>39</v>
      </c>
      <c r="W109" s="18">
        <f>'Info Lega'!$B$4-SUMIFS($M$2:$M$492,$D$2:$D$492,'Info Lega'!$B$28)</f>
        <v>1000</v>
      </c>
      <c r="X109" s="18">
        <f>('Info Lega'!$B$5-COUNTIFS($D$2:$D$492,'Info Lega'!$B$28,$B$2:$B$492,"P"))+('Info Lega'!$B$6-COUNTIFS($D$2:$D$492,'Info Lega'!$B$28,$B$2:$B$492,"D"))+('Info Lega'!$B$7-COUNTIFS($D$2:$D$492,'Info Lega'!$B$28,$B$2:$B$492,"C"))+('Info Lega'!$B$8-COUNTIFS($D$2:$D$492,'Info Lega'!$B$28,$B$2:$B$492,"A"))</f>
        <v>25</v>
      </c>
      <c r="Y109" s="18">
        <f>X109*'Parametri Modello'!$B$30</f>
        <v>25</v>
      </c>
      <c r="Z109" s="18">
        <f t="shared" si="11"/>
        <v>975</v>
      </c>
      <c r="AA109" s="18">
        <f t="shared" si="12"/>
        <v>10</v>
      </c>
      <c r="AB109" s="18"/>
      <c r="AC109" s="18" t="str">
        <f>IF($AB109="","",IF($AB109&gt;$AA109,"PASS",IF($AB109&lt;=$AA109*(1-'Parametri Modello'!$B$68),"BID","ATTENZIONE")))</f>
        <v/>
      </c>
      <c r="AD109" s="28" t="str">
        <f t="shared" si="13"/>
        <v/>
      </c>
      <c r="AE109" s="5" t="str">
        <f>IFERROR(IF($AF109="Titolare",INDEX('Stato Asta'!$G$9:$G$12,MATCH($B109,'Stato Asta'!$A$9:$A$12,0)),INDEX('Stato Asta'!$P$9:$P$12,MATCH($B109,'Stato Asta'!$A$9:$A$12,0))),"")</f>
        <v>🟢 Riserve abbondanti</v>
      </c>
      <c r="AF109" t="str">
        <f>IFERROR(IF($V109&lt;=INDEX('Parametri Modello'!$C$57:$C$60,MATCH($B109,'Parametri Modello'!$A$57:$A$60,0)),"Titolare","Riserva"),"")</f>
        <v>Riserva</v>
      </c>
      <c r="AG109" t="str">
        <f>IFERROR(INDEX('Pressione Competitiva'!$F$3:$F$6,MATCH($B109,'Pressione Competitiva'!$B$3:$B$6,0)),"")</f>
        <v>🔴 Molto Alta</v>
      </c>
      <c r="AH109" t="str">
        <f t="shared" si="14"/>
        <v/>
      </c>
      <c r="AI109" t="str">
        <f>IFERROR(IF($AH109="","",IF($AH109&gt;=$AA109*'Parametri Modello'!$B$68,"🟢 Opportunita'",IF($AH109&lt;=$AA109*'Parametri Modello'!$B$69,"🔴 Sovrapprezzo","🟡 Prezzo Corretto"))),"")</f>
        <v/>
      </c>
      <c r="AJ109" t="str">
        <f t="shared" si="15"/>
        <v/>
      </c>
      <c r="AK109">
        <f t="shared" si="16"/>
        <v>13</v>
      </c>
      <c r="AL109" t="str">
        <f t="shared" si="17"/>
        <v>A|Nella Media|13</v>
      </c>
    </row>
    <row r="110" spans="1:38" ht="14.25" customHeight="1" x14ac:dyDescent="0.25">
      <c r="A110" s="18">
        <v>6462</v>
      </c>
      <c r="B110" s="18" t="s">
        <v>8</v>
      </c>
      <c r="C110" s="18" t="s">
        <v>31</v>
      </c>
      <c r="E110" s="23" t="str">
        <f>IF(COUNTIF('Info Strategia'!$D$2:$D$51,$C110)&gt;0,"SI","NO")</f>
        <v>NO</v>
      </c>
      <c r="F110" s="24">
        <f>IFERROR(ROUND(($G110+($H110-$G110)*'Info Strategia'!$B$6)*(1+IF($E110="SI",'Parametri Modello'!$B$7*'Info Strategia'!$B$6,0)),0),"")</f>
        <v>10</v>
      </c>
      <c r="G110" s="24">
        <f>IFERROR(ROUND(MAX(1,(IF($V110&lt;=INDEX('Parametri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8</v>
      </c>
      <c r="H110" s="24">
        <f>IFERROR(ROUND((IF($V110&lt;=INDEX('Parametri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11</v>
      </c>
      <c r="I110" s="23">
        <f>IFERROR(INDEX('Input Statistiche 2025_26'!$F$3:$F$665,MATCH($A110,'Input Statistiche 2025_26'!$A$3:$A$665,0)),"")</f>
        <v>30</v>
      </c>
      <c r="J110" s="23">
        <f t="shared" si="9"/>
        <v>8</v>
      </c>
      <c r="K110" s="23">
        <f>IFERROR(INDEX('Input Statistiche 2025_26'!$I$3:$I$665,MATCH($A110,'Input Statistiche 2025_26'!$A$3:$A$665,0)),"")</f>
        <v>0</v>
      </c>
      <c r="L110" s="23">
        <f>IFERROR(INDEX('Input Statistiche 2025_26'!$O$3:$O$665,MATCH($A110,'Input Statistiche 2025_26'!$A$3:$A$665,0)),"")</f>
        <v>1</v>
      </c>
      <c r="M110" s="25"/>
      <c r="N110" s="24">
        <f>IFERROR(INDEX('Input Giocatori 2026_27'!$E$3:$E$493,MATCH($A110,'Input Giocatori 2026_27'!$A$3:$A$493,0)),"")</f>
        <v>9</v>
      </c>
      <c r="O110" s="24">
        <f>IFERROR(INDEX('Input Giocatori 2026_27'!$G$3:$G$493,MATCH($A110,'Input Giocatori 2026_27'!$A$3:$A$493,0)),"")</f>
        <v>29</v>
      </c>
      <c r="P110" s="23" t="str">
        <f>IFERROR(IF($O110="","",IF((1-(COUNTIFS($B$2:$B$492,$B110,$O$2:$O$492,"&gt;"&amp;$O110)+1-1)/COUNTIF($B$2:$B$492,$B110))&gt;='Parametri Modello'!$B$63,"Top",IF((1-(COUNTIFS($B$2:$B$492,$B110,$O$2:$O$492,"&gt;"&amp;$O110)+1-1)/COUNTIF($B$2:$B$492,$B110))&gt;='Parametri Modello'!$B$64,"Buono",IF((1-(COUNTIFS($B$2:$B$492,$B110,$O$2:$O$492,"&gt;"&amp;$O110)+1-1)/COUNTIF($B$2:$B$492,$B110))&gt;='Parametri Modello'!$B$65,"Nella Media","Scommessa/Riserva")))),"")</f>
        <v>Buono</v>
      </c>
      <c r="Q110" s="26">
        <f>IF(AND($D110="",$N110&gt;1),SUMPRODUCT(($D$2:$D110="")*($N$2:$N110&gt;1)),"")</f>
        <v>109</v>
      </c>
      <c r="R110" s="26" t="str">
        <f>IF($D110='Info Lega'!$B$28,COUNTIFS($D$2:$D110,'Info Lega'!$B$28),"")</f>
        <v/>
      </c>
      <c r="S110" s="27">
        <f>IFERROR(INDEX('Input Statistiche 2025_26'!$G$3:$G$665,MATCH($A110,'Input Statistiche 2025_26'!$A$3:$A$665,0)),"")</f>
        <v>6.07</v>
      </c>
      <c r="T110" s="27">
        <f>IFERROR(INDEX('Input Statistiche 2025_26'!$H$3:$H$665,MATCH($A110,'Input Statistiche 2025_26'!$A$3:$A$665,0)),"")</f>
        <v>5.08</v>
      </c>
      <c r="U110" s="23" t="str">
        <f>IF(OR('La Mia Rosa'!$O$12="",$D110&lt;&gt;""),"",IF($F110&lt;='La Mia Rosa'!$O$12*'Parametri Modello'!$B$24,"OK",IF($F110&lt;='La Mia Rosa'!$O$12*'Parametri Modello'!$B$25,"Attenzione","Rischio Alto")))</f>
        <v>OK</v>
      </c>
      <c r="V110" s="23">
        <f t="shared" si="10"/>
        <v>11</v>
      </c>
      <c r="W110" s="18">
        <f>'Info Lega'!$B$4-SUMIFS($M$2:$M$492,$D$2:$D$492,'Info Lega'!$B$28)</f>
        <v>1000</v>
      </c>
      <c r="X110" s="18">
        <f>('Info Lega'!$B$5-COUNTIFS($D$2:$D$492,'Info Lega'!$B$28,$B$2:$B$492,"P"))+('Info Lega'!$B$6-COUNTIFS($D$2:$D$492,'Info Lega'!$B$28,$B$2:$B$492,"D"))+('Info Lega'!$B$7-COUNTIFS($D$2:$D$492,'Info Lega'!$B$28,$B$2:$B$492,"C"))+('Info Lega'!$B$8-COUNTIFS($D$2:$D$492,'Info Lega'!$B$28,$B$2:$B$492,"A"))</f>
        <v>25</v>
      </c>
      <c r="Y110" s="18">
        <f>X110*'Parametri Modello'!$B$30</f>
        <v>25</v>
      </c>
      <c r="Z110" s="18">
        <f t="shared" si="11"/>
        <v>975</v>
      </c>
      <c r="AA110" s="18">
        <f t="shared" si="12"/>
        <v>10</v>
      </c>
      <c r="AB110" s="18"/>
      <c r="AC110" s="18" t="str">
        <f>IF($AB110="","",IF($AB110&gt;$AA110,"PASS",IF($AB110&lt;=$AA110*(1-'Parametri Modello'!$B$68),"BID","ATTENZIONE")))</f>
        <v/>
      </c>
      <c r="AD110" s="28">
        <f t="shared" si="13"/>
        <v>63</v>
      </c>
      <c r="AE110" s="5" t="str">
        <f>IFERROR(IF($AF110="Titolare",INDEX('Stato Asta'!$G$9:$G$12,MATCH($B110,'Stato Asta'!$A$9:$A$12,0)),INDEX('Stato Asta'!$P$9:$P$12,MATCH($B110,'Stato Asta'!$A$9:$A$12,0))),"")</f>
        <v>🔴 Riserve scarse</v>
      </c>
      <c r="AF110" t="str">
        <f>IFERROR(IF($V110&lt;=INDEX('Parametri Modello'!$C$57:$C$60,MATCH($B110,'Parametri Modello'!$A$57:$A$60,0)),"Titolare","Riserva"),"")</f>
        <v>Riserva</v>
      </c>
      <c r="AG110" t="str">
        <f>IFERROR(INDEX('Pressione Competitiva'!$F$3:$F$6,MATCH($B110,'Pressione Competitiva'!$B$3:$B$6,0)),"")</f>
        <v>🔴 Molto Alta</v>
      </c>
      <c r="AH110" t="str">
        <f t="shared" si="14"/>
        <v/>
      </c>
      <c r="AI110" t="str">
        <f>IFERROR(IF($AH110="","",IF($AH110&gt;=$AA110*'Parametri Modello'!$B$68,"🟢 Opportunita'",IF($AH110&lt;=$AA110*'Parametri Modello'!$B$69,"🔴 Sovrapprezzo","🟡 Prezzo Corretto"))),"")</f>
        <v/>
      </c>
      <c r="AJ110" t="str">
        <f t="shared" si="15"/>
        <v/>
      </c>
      <c r="AK110">
        <f t="shared" si="16"/>
        <v>4</v>
      </c>
      <c r="AL110" t="str">
        <f t="shared" si="17"/>
        <v>P|Buono|4</v>
      </c>
    </row>
    <row r="111" spans="1:38" ht="14.25" customHeight="1" x14ac:dyDescent="0.25">
      <c r="A111" s="18">
        <v>779</v>
      </c>
      <c r="B111" s="18" t="s">
        <v>264</v>
      </c>
      <c r="C111" s="18" t="s">
        <v>315</v>
      </c>
      <c r="E111" s="23" t="str">
        <f>IF(COUNTIF('Info Strategia'!$D$2:$D$51,$C111)&gt;0,"SI","NO")</f>
        <v>NO</v>
      </c>
      <c r="F111" s="24">
        <f>IFERROR(ROUND(($G111+($H111-$G111)*'Info Strategia'!$B$6)*(1+IF($E111="SI",'Parametri Modello'!$B$7*'Info Strategia'!$B$6,0)),0),"")</f>
        <v>4</v>
      </c>
      <c r="G111" s="24">
        <f>IFERROR(ROUND(MAX(1,(IF($V111&lt;=INDEX('Parametri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3</v>
      </c>
      <c r="H111" s="24">
        <f>IFERROR(ROUND((IF($V111&lt;=INDEX('Parametri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4</v>
      </c>
      <c r="I111" s="23">
        <f>IFERROR(INDEX('Input Statistiche 2025_26'!$F$3:$F$665,MATCH($A111,'Input Statistiche 2025_26'!$A$3:$A$665,0)),"")</f>
        <v>37</v>
      </c>
      <c r="J111" s="23">
        <f t="shared" si="9"/>
        <v>1</v>
      </c>
      <c r="K111" s="23">
        <f>IFERROR(INDEX('Input Statistiche 2025_26'!$I$3:$I$665,MATCH($A111,'Input Statistiche 2025_26'!$A$3:$A$665,0)),"")</f>
        <v>2</v>
      </c>
      <c r="L111" s="23">
        <f>IFERROR(INDEX('Input Statistiche 2025_26'!$O$3:$O$665,MATCH($A111,'Input Statistiche 2025_26'!$A$3:$A$665,0)),"")</f>
        <v>1</v>
      </c>
      <c r="M111" s="25"/>
      <c r="N111" s="24">
        <f>IFERROR(INDEX('Input Giocatori 2026_27'!$E$3:$E$493,MATCH($A111,'Input Giocatori 2026_27'!$A$3:$A$493,0)),"")</f>
        <v>8</v>
      </c>
      <c r="O111" s="24">
        <f>IFERROR(INDEX('Input Giocatori 2026_27'!$G$3:$G$493,MATCH($A111,'Input Giocatori 2026_27'!$A$3:$A$493,0)),"")</f>
        <v>29</v>
      </c>
      <c r="P111" s="23" t="str">
        <f>IFERROR(IF($O111="","",IF((1-(COUNTIFS($B$2:$B$492,$B111,$O$2:$O$492,"&gt;"&amp;$O111)+1-1)/COUNTIF($B$2:$B$492,$B111))&gt;='Parametri Modello'!$B$63,"Top",IF((1-(COUNTIFS($B$2:$B$492,$B111,$O$2:$O$492,"&gt;"&amp;$O111)+1-1)/COUNTIF($B$2:$B$492,$B111))&gt;='Parametri Modello'!$B$64,"Buono",IF((1-(COUNTIFS($B$2:$B$492,$B111,$O$2:$O$492,"&gt;"&amp;$O111)+1-1)/COUNTIF($B$2:$B$492,$B111))&gt;='Parametri Modello'!$B$65,"Nella Media","Scommessa/Riserva")))),"")</f>
        <v>Buono</v>
      </c>
      <c r="Q111" s="26">
        <f>IF(AND($D111="",$N111&gt;1),SUMPRODUCT(($D$2:$D111="")*($N$2:$N111&gt;1)),"")</f>
        <v>110</v>
      </c>
      <c r="R111" s="26" t="str">
        <f>IF($D111='Info Lega'!$B$28,COUNTIFS($D$2:$D111,'Info Lega'!$B$28),"")</f>
        <v/>
      </c>
      <c r="S111" s="27">
        <f>IFERROR(INDEX('Input Statistiche 2025_26'!$G$3:$G$665,MATCH($A111,'Input Statistiche 2025_26'!$A$3:$A$665,0)),"")</f>
        <v>6.11</v>
      </c>
      <c r="T111" s="27">
        <f>IFERROR(INDEX('Input Statistiche 2025_26'!$H$3:$H$665,MATCH($A111,'Input Statistiche 2025_26'!$A$3:$A$665,0)),"")</f>
        <v>6.22</v>
      </c>
      <c r="U111" s="23" t="str">
        <f>IF(OR('La Mia Rosa'!$O$12="",$D111&lt;&gt;""),"",IF($F111&lt;='La Mia Rosa'!$O$12*'Parametri Modello'!$B$24,"OK",IF($F111&lt;='La Mia Rosa'!$O$12*'Parametri Modello'!$B$25,"Attenzione","Rischio Alto")))</f>
        <v>OK</v>
      </c>
      <c r="V111" s="23">
        <f t="shared" si="10"/>
        <v>41</v>
      </c>
      <c r="W111" s="18">
        <f>'Info Lega'!$B$4-SUMIFS($M$2:$M$492,$D$2:$D$492,'Info Lega'!$B$28)</f>
        <v>1000</v>
      </c>
      <c r="X111" s="18">
        <f>('Info Lega'!$B$5-COUNTIFS($D$2:$D$492,'Info Lega'!$B$28,$B$2:$B$492,"P"))+('Info Lega'!$B$6-COUNTIFS($D$2:$D$492,'Info Lega'!$B$28,$B$2:$B$492,"D"))+('Info Lega'!$B$7-COUNTIFS($D$2:$D$492,'Info Lega'!$B$28,$B$2:$B$492,"C"))+('Info Lega'!$B$8-COUNTIFS($D$2:$D$492,'Info Lega'!$B$28,$B$2:$B$492,"A"))</f>
        <v>25</v>
      </c>
      <c r="Y111" s="18">
        <f>X111*'Parametri Modello'!$B$30</f>
        <v>25</v>
      </c>
      <c r="Z111" s="18">
        <f t="shared" si="11"/>
        <v>975</v>
      </c>
      <c r="AA111" s="18">
        <f t="shared" si="12"/>
        <v>4</v>
      </c>
      <c r="AB111" s="18"/>
      <c r="AC111" s="18" t="str">
        <f>IF($AB111="","",IF($AB111&gt;$AA111,"PASS",IF($AB111&lt;=$AA111*(1-'Parametri Modello'!$B$68),"BID","ATTENZIONE")))</f>
        <v/>
      </c>
      <c r="AD111" s="28">
        <f t="shared" si="13"/>
        <v>71</v>
      </c>
      <c r="AE111" s="5" t="str">
        <f>IFERROR(IF($AF111="Titolare",INDEX('Stato Asta'!$G$9:$G$12,MATCH($B111,'Stato Asta'!$A$9:$A$12,0)),INDEX('Stato Asta'!$P$9:$P$12,MATCH($B111,'Stato Asta'!$A$9:$A$12,0))),"")</f>
        <v>🟢 Riserve abbondanti</v>
      </c>
      <c r="AF111" t="str">
        <f>IFERROR(IF($V111&lt;=INDEX('Parametri Modello'!$C$57:$C$60,MATCH($B111,'Parametri Modello'!$A$57:$A$60,0)),"Titolare","Riserva"),"")</f>
        <v>Riserva</v>
      </c>
      <c r="AG111" t="str">
        <f>IFERROR(INDEX('Pressione Competitiva'!$F$3:$F$6,MATCH($B111,'Pressione Competitiva'!$B$3:$B$6,0)),"")</f>
        <v>🔴 Molto Alta</v>
      </c>
      <c r="AH111" t="str">
        <f t="shared" si="14"/>
        <v/>
      </c>
      <c r="AI111" t="str">
        <f>IFERROR(IF($AH111="","",IF($AH111&gt;=$AA111*'Parametri Modello'!$B$68,"🟢 Opportunita'",IF($AH111&lt;=$AA111*'Parametri Modello'!$B$69,"🔴 Sovrapprezzo","🟡 Prezzo Corretto"))),"")</f>
        <v/>
      </c>
      <c r="AJ111" t="str">
        <f t="shared" si="15"/>
        <v/>
      </c>
      <c r="AK111">
        <f t="shared" si="16"/>
        <v>23</v>
      </c>
      <c r="AL111" t="str">
        <f t="shared" si="17"/>
        <v>C|Buono|23</v>
      </c>
    </row>
    <row r="112" spans="1:38" ht="14.25" customHeight="1" x14ac:dyDescent="0.25">
      <c r="A112" s="18">
        <v>5526</v>
      </c>
      <c r="B112" s="18" t="s">
        <v>88</v>
      </c>
      <c r="C112" s="18" t="s">
        <v>105</v>
      </c>
      <c r="E112" s="23" t="str">
        <f>IF(COUNTIF('Info Strategia'!$D$2:$D$51,$C112)&gt;0,"SI","NO")</f>
        <v>NO</v>
      </c>
      <c r="F112" s="24">
        <f>IFERROR(ROUND(($G112+($H112-$G112)*'Info Strategia'!$B$6)*(1+IF($E112="SI",'Parametri Modello'!$B$7*'Info Strategia'!$B$6,0)),0),"")</f>
        <v>19</v>
      </c>
      <c r="G112" s="24">
        <f>IFERROR(ROUND(MAX(1,(IF($V112&lt;=INDEX('Parametri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14</v>
      </c>
      <c r="H112" s="24">
        <f>IFERROR(ROUND((IF($V112&lt;=INDEX('Parametri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21</v>
      </c>
      <c r="I112" s="23">
        <f>IFERROR(INDEX('Input Statistiche 2025_26'!$F$3:$F$665,MATCH($A112,'Input Statistiche 2025_26'!$A$3:$A$665,0)),"")</f>
        <v>24</v>
      </c>
      <c r="J112" s="23">
        <f t="shared" si="9"/>
        <v>14</v>
      </c>
      <c r="K112" s="23">
        <f>IFERROR(INDEX('Input Statistiche 2025_26'!$I$3:$I$665,MATCH($A112,'Input Statistiche 2025_26'!$A$3:$A$665,0)),"")</f>
        <v>3</v>
      </c>
      <c r="L112" s="23">
        <f>IFERROR(INDEX('Input Statistiche 2025_26'!$O$3:$O$665,MATCH($A112,'Input Statistiche 2025_26'!$A$3:$A$665,0)),"")</f>
        <v>1</v>
      </c>
      <c r="M112" s="25"/>
      <c r="N112" s="24">
        <f>IFERROR(INDEX('Input Giocatori 2026_27'!$E$3:$E$493,MATCH($A112,'Input Giocatori 2026_27'!$A$3:$A$493,0)),"")</f>
        <v>10</v>
      </c>
      <c r="O112" s="24">
        <f>IFERROR(INDEX('Input Giocatori 2026_27'!$G$3:$G$493,MATCH($A112,'Input Giocatori 2026_27'!$A$3:$A$493,0)),"")</f>
        <v>28</v>
      </c>
      <c r="P112" s="23" t="str">
        <f>IFERROR(IF($O112="","",IF((1-(COUNTIFS($B$2:$B$492,$B112,$O$2:$O$492,"&gt;"&amp;$O112)+1-1)/COUNTIF($B$2:$B$492,$B112))&gt;='Parametri Modello'!$B$63,"Top",IF((1-(COUNTIFS($B$2:$B$492,$B112,$O$2:$O$492,"&gt;"&amp;$O112)+1-1)/COUNTIF($B$2:$B$492,$B112))&gt;='Parametri Modello'!$B$64,"Buono",IF((1-(COUNTIFS($B$2:$B$492,$B112,$O$2:$O$492,"&gt;"&amp;$O112)+1-1)/COUNTIF($B$2:$B$492,$B112))&gt;='Parametri Modello'!$B$65,"Nella Media","Scommessa/Riserva")))),"")</f>
        <v>Buono</v>
      </c>
      <c r="Q112" s="26">
        <f>IF(AND($D112="",$N112&gt;1),SUMPRODUCT(($D$2:$D112="")*($N$2:$N112&gt;1)),"")</f>
        <v>111</v>
      </c>
      <c r="R112" s="26" t="str">
        <f>IF($D112='Info Lega'!$B$28,COUNTIFS($D$2:$D112,'Info Lega'!$B$28),"")</f>
        <v/>
      </c>
      <c r="S112" s="27">
        <f>IFERROR(INDEX('Input Statistiche 2025_26'!$G$3:$G$665,MATCH($A112,'Input Statistiche 2025_26'!$A$3:$A$665,0)),"")</f>
        <v>6.06</v>
      </c>
      <c r="T112" s="27">
        <f>IFERROR(INDEX('Input Statistiche 2025_26'!$H$3:$H$665,MATCH($A112,'Input Statistiche 2025_26'!$A$3:$A$665,0)),"")</f>
        <v>6.44</v>
      </c>
      <c r="U112" s="23" t="str">
        <f>IF(OR('La Mia Rosa'!$O$12="",$D112&lt;&gt;""),"",IF($F112&lt;='La Mia Rosa'!$O$12*'Parametri Modello'!$B$24,"OK",IF($F112&lt;='La Mia Rosa'!$O$12*'Parametri Modello'!$B$25,"Attenzione","Rischio Alto")))</f>
        <v>OK</v>
      </c>
      <c r="V112" s="23">
        <f t="shared" si="10"/>
        <v>20</v>
      </c>
      <c r="W112" s="18">
        <f>'Info Lega'!$B$4-SUMIFS($M$2:$M$492,$D$2:$D$492,'Info Lega'!$B$28)</f>
        <v>1000</v>
      </c>
      <c r="X112" s="18">
        <f>('Info Lega'!$B$5-COUNTIFS($D$2:$D$492,'Info Lega'!$B$28,$B$2:$B$492,"P"))+('Info Lega'!$B$6-COUNTIFS($D$2:$D$492,'Info Lega'!$B$28,$B$2:$B$492,"D"))+('Info Lega'!$B$7-COUNTIFS($D$2:$D$492,'Info Lega'!$B$28,$B$2:$B$492,"C"))+('Info Lega'!$B$8-COUNTIFS($D$2:$D$492,'Info Lega'!$B$28,$B$2:$B$492,"A"))</f>
        <v>25</v>
      </c>
      <c r="Y112" s="18">
        <f>X112*'Parametri Modello'!$B$30</f>
        <v>25</v>
      </c>
      <c r="Z112" s="18">
        <f t="shared" si="11"/>
        <v>975</v>
      </c>
      <c r="AA112" s="18">
        <f t="shared" si="12"/>
        <v>19</v>
      </c>
      <c r="AB112" s="18"/>
      <c r="AC112" s="18" t="str">
        <f>IF($AB112="","",IF($AB112&gt;$AA112,"PASS",IF($AB112&lt;=$AA112*(1-'Parametri Modello'!$B$68),"BID","ATTENZIONE")))</f>
        <v/>
      </c>
      <c r="AD112" s="28">
        <f t="shared" si="13"/>
        <v>55</v>
      </c>
      <c r="AE112" s="5" t="str">
        <f>IFERROR(IF($AF112="Titolare",INDEX('Stato Asta'!$G$9:$G$12,MATCH($B112,'Stato Asta'!$A$9:$A$12,0)),INDEX('Stato Asta'!$P$9:$P$12,MATCH($B112,'Stato Asta'!$A$9:$A$12,0))),"")</f>
        <v>🟢 Puoi aspettare</v>
      </c>
      <c r="AF112" t="str">
        <f>IFERROR(IF($V112&lt;=INDEX('Parametri Modello'!$C$57:$C$60,MATCH($B112,'Parametri Modello'!$A$57:$A$60,0)),"Titolare","Riserva"),"")</f>
        <v>Titolare</v>
      </c>
      <c r="AG112" t="str">
        <f>IFERROR(INDEX('Pressione Competitiva'!$F$3:$F$6,MATCH($B112,'Pressione Competitiva'!$B$3:$B$6,0)),"")</f>
        <v>🔴 Molto Alta</v>
      </c>
      <c r="AH112" t="str">
        <f t="shared" si="14"/>
        <v/>
      </c>
      <c r="AI112" t="str">
        <f>IFERROR(IF($AH112="","",IF($AH112&gt;=$AA112*'Parametri Modello'!$B$68,"🟢 Opportunita'",IF($AH112&lt;=$AA112*'Parametri Modello'!$B$69,"🔴 Sovrapprezzo","🟡 Prezzo Corretto"))),"")</f>
        <v/>
      </c>
      <c r="AJ112" t="str">
        <f t="shared" si="15"/>
        <v/>
      </c>
      <c r="AK112">
        <f t="shared" si="16"/>
        <v>2</v>
      </c>
      <c r="AL112" t="str">
        <f t="shared" si="17"/>
        <v>D|Buono|2</v>
      </c>
    </row>
    <row r="113" spans="1:38" ht="14.25" customHeight="1" x14ac:dyDescent="0.25">
      <c r="A113" s="18">
        <v>1933</v>
      </c>
      <c r="B113" s="18" t="s">
        <v>264</v>
      </c>
      <c r="C113" s="18" t="s">
        <v>302</v>
      </c>
      <c r="E113" s="23" t="str">
        <f>IF(COUNTIF('Info Strategia'!$D$2:$D$51,$C113)&gt;0,"SI","NO")</f>
        <v>NO</v>
      </c>
      <c r="F113" s="24">
        <f>IFERROR(ROUND(($G113+($H113-$G113)*'Info Strategia'!$B$6)*(1+IF($E113="SI",'Parametri Modello'!$B$7*'Info Strategia'!$B$6,0)),0),"")</f>
        <v>3</v>
      </c>
      <c r="G113" s="24">
        <f>IFERROR(ROUND(MAX(1,(IF($V113&lt;=INDEX('Parametri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2</v>
      </c>
      <c r="H113" s="24">
        <f>IFERROR(ROUND((IF($V113&lt;=INDEX('Parametri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4</v>
      </c>
      <c r="I113" s="23">
        <f>IFERROR(INDEX('Input Statistiche 2025_26'!$F$3:$F$665,MATCH($A113,'Input Statistiche 2025_26'!$A$3:$A$665,0)),"")</f>
        <v>34</v>
      </c>
      <c r="J113" s="23">
        <f t="shared" si="9"/>
        <v>4</v>
      </c>
      <c r="K113" s="23">
        <f>IFERROR(INDEX('Input Statistiche 2025_26'!$I$3:$I$665,MATCH($A113,'Input Statistiche 2025_26'!$A$3:$A$665,0)),"")</f>
        <v>7</v>
      </c>
      <c r="L113" s="23">
        <f>IFERROR(INDEX('Input Statistiche 2025_26'!$O$3:$O$665,MATCH($A113,'Input Statistiche 2025_26'!$A$3:$A$665,0)),"")</f>
        <v>2</v>
      </c>
      <c r="M113" s="25"/>
      <c r="N113" s="24">
        <f>IFERROR(INDEX('Input Giocatori 2026_27'!$E$3:$E$493,MATCH($A113,'Input Giocatori 2026_27'!$A$3:$A$493,0)),"")</f>
        <v>9</v>
      </c>
      <c r="O113" s="24">
        <f>IFERROR(INDEX('Input Giocatori 2026_27'!$G$3:$G$493,MATCH($A113,'Input Giocatori 2026_27'!$A$3:$A$493,0)),"")</f>
        <v>28</v>
      </c>
      <c r="P113" s="23" t="str">
        <f>IFERROR(IF($O113="","",IF((1-(COUNTIFS($B$2:$B$492,$B113,$O$2:$O$492,"&gt;"&amp;$O113)+1-1)/COUNTIF($B$2:$B$492,$B113))&gt;='Parametri Modello'!$B$63,"Top",IF((1-(COUNTIFS($B$2:$B$492,$B113,$O$2:$O$492,"&gt;"&amp;$O113)+1-1)/COUNTIF($B$2:$B$492,$B113))&gt;='Parametri Modello'!$B$64,"Buono",IF((1-(COUNTIFS($B$2:$B$492,$B113,$O$2:$O$492,"&gt;"&amp;$O113)+1-1)/COUNTIF($B$2:$B$492,$B113))&gt;='Parametri Modello'!$B$65,"Nella Media","Scommessa/Riserva")))),"")</f>
        <v>Buono</v>
      </c>
      <c r="Q113" s="26">
        <f>IF(AND($D113="",$N113&gt;1),SUMPRODUCT(($D$2:$D113="")*($N$2:$N113&gt;1)),"")</f>
        <v>112</v>
      </c>
      <c r="R113" s="26" t="str">
        <f>IF($D113='Info Lega'!$B$28,COUNTIFS($D$2:$D113,'Info Lega'!$B$28),"")</f>
        <v/>
      </c>
      <c r="S113" s="27">
        <f>IFERROR(INDEX('Input Statistiche 2025_26'!$G$3:$G$665,MATCH($A113,'Input Statistiche 2025_26'!$A$3:$A$665,0)),"")</f>
        <v>6.04</v>
      </c>
      <c r="T113" s="27">
        <f>IFERROR(INDEX('Input Statistiche 2025_26'!$H$3:$H$665,MATCH($A113,'Input Statistiche 2025_26'!$A$3:$A$665,0)),"")</f>
        <v>6.62</v>
      </c>
      <c r="U113" s="23" t="str">
        <f>IF(OR('La Mia Rosa'!$O$12="",$D113&lt;&gt;""),"",IF($F113&lt;='La Mia Rosa'!$O$12*'Parametri Modello'!$B$24,"OK",IF($F113&lt;='La Mia Rosa'!$O$12*'Parametri Modello'!$B$25,"Attenzione","Rischio Alto")))</f>
        <v>OK</v>
      </c>
      <c r="V113" s="23">
        <f t="shared" si="10"/>
        <v>42</v>
      </c>
      <c r="W113" s="18">
        <f>'Info Lega'!$B$4-SUMIFS($M$2:$M$492,$D$2:$D$492,'Info Lega'!$B$28)</f>
        <v>1000</v>
      </c>
      <c r="X113" s="18">
        <f>('Info Lega'!$B$5-COUNTIFS($D$2:$D$492,'Info Lega'!$B$28,$B$2:$B$492,"P"))+('Info Lega'!$B$6-COUNTIFS($D$2:$D$492,'Info Lega'!$B$28,$B$2:$B$492,"D"))+('Info Lega'!$B$7-COUNTIFS($D$2:$D$492,'Info Lega'!$B$28,$B$2:$B$492,"C"))+('Info Lega'!$B$8-COUNTIFS($D$2:$D$492,'Info Lega'!$B$28,$B$2:$B$492,"A"))</f>
        <v>25</v>
      </c>
      <c r="Y113" s="18">
        <f>X113*'Parametri Modello'!$B$30</f>
        <v>25</v>
      </c>
      <c r="Z113" s="18">
        <f t="shared" si="11"/>
        <v>975</v>
      </c>
      <c r="AA113" s="18">
        <f t="shared" si="12"/>
        <v>3</v>
      </c>
      <c r="AB113" s="18"/>
      <c r="AC113" s="18" t="str">
        <f>IF($AB113="","",IF($AB113&gt;$AA113,"PASS",IF($AB113&lt;=$AA113*(1-'Parametri Modello'!$B$68),"BID","ATTENZIONE")))</f>
        <v/>
      </c>
      <c r="AD113" s="28">
        <f t="shared" si="13"/>
        <v>68</v>
      </c>
      <c r="AE113" s="5" t="str">
        <f>IFERROR(IF($AF113="Titolare",INDEX('Stato Asta'!$G$9:$G$12,MATCH($B113,'Stato Asta'!$A$9:$A$12,0)),INDEX('Stato Asta'!$P$9:$P$12,MATCH($B113,'Stato Asta'!$A$9:$A$12,0))),"")</f>
        <v>🟢 Riserve abbondanti</v>
      </c>
      <c r="AF113" t="str">
        <f>IFERROR(IF($V113&lt;=INDEX('Parametri Modello'!$C$57:$C$60,MATCH($B113,'Parametri Modello'!$A$57:$A$60,0)),"Titolare","Riserva"),"")</f>
        <v>Riserva</v>
      </c>
      <c r="AG113" t="str">
        <f>IFERROR(INDEX('Pressione Competitiva'!$F$3:$F$6,MATCH($B113,'Pressione Competitiva'!$B$3:$B$6,0)),"")</f>
        <v>🔴 Molto Alta</v>
      </c>
      <c r="AH113" t="str">
        <f t="shared" si="14"/>
        <v/>
      </c>
      <c r="AI113" t="str">
        <f>IFERROR(IF($AH113="","",IF($AH113&gt;=$AA113*'Parametri Modello'!$B$68,"🟢 Opportunita'",IF($AH113&lt;=$AA113*'Parametri Modello'!$B$69,"🔴 Sovrapprezzo","🟡 Prezzo Corretto"))),"")</f>
        <v/>
      </c>
      <c r="AJ113" t="str">
        <f t="shared" si="15"/>
        <v/>
      </c>
      <c r="AK113">
        <f t="shared" si="16"/>
        <v>24</v>
      </c>
      <c r="AL113" t="str">
        <f t="shared" si="17"/>
        <v>C|Buono|24</v>
      </c>
    </row>
    <row r="114" spans="1:38" ht="14.25" customHeight="1" x14ac:dyDescent="0.25">
      <c r="A114" s="18">
        <v>5500</v>
      </c>
      <c r="B114" s="18" t="s">
        <v>264</v>
      </c>
      <c r="C114" s="18" t="s">
        <v>303</v>
      </c>
      <c r="E114" s="23" t="str">
        <f>IF(COUNTIF('Info Strategia'!$D$2:$D$51,$C114)&gt;0,"SI","NO")</f>
        <v>NO</v>
      </c>
      <c r="F114" s="24">
        <f>IFERROR(ROUND(($G114+($H114-$G114)*'Info Strategia'!$B$6)*(1+IF($E114="SI",'Parametri Modello'!$B$7*'Info Strategia'!$B$6,0)),0),"")</f>
        <v>3</v>
      </c>
      <c r="G114" s="24">
        <f>IFERROR(ROUND(MAX(1,(IF($V114&lt;=INDEX('Parametri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2</v>
      </c>
      <c r="H114" s="24">
        <f>IFERROR(ROUND((IF($V114&lt;=INDEX('Parametri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4</v>
      </c>
      <c r="I114" s="23">
        <f>IFERROR(INDEX('Input Statistiche 2025_26'!$F$3:$F$665,MATCH($A114,'Input Statistiche 2025_26'!$A$3:$A$665,0)),"")</f>
        <v>28</v>
      </c>
      <c r="J114" s="23">
        <f t="shared" si="9"/>
        <v>10</v>
      </c>
      <c r="K114" s="23">
        <f>IFERROR(INDEX('Input Statistiche 2025_26'!$I$3:$I$665,MATCH($A114,'Input Statistiche 2025_26'!$A$3:$A$665,0)),"")</f>
        <v>4</v>
      </c>
      <c r="L114" s="23">
        <f>IFERROR(INDEX('Input Statistiche 2025_26'!$O$3:$O$665,MATCH($A114,'Input Statistiche 2025_26'!$A$3:$A$665,0)),"")</f>
        <v>1</v>
      </c>
      <c r="M114" s="25"/>
      <c r="N114" s="24">
        <f>IFERROR(INDEX('Input Giocatori 2026_27'!$E$3:$E$493,MATCH($A114,'Input Giocatori 2026_27'!$A$3:$A$493,0)),"")</f>
        <v>9</v>
      </c>
      <c r="O114" s="24">
        <f>IFERROR(INDEX('Input Giocatori 2026_27'!$G$3:$G$493,MATCH($A114,'Input Giocatori 2026_27'!$A$3:$A$493,0)),"")</f>
        <v>28</v>
      </c>
      <c r="P114" s="23" t="str">
        <f>IFERROR(IF($O114="","",IF((1-(COUNTIFS($B$2:$B$492,$B114,$O$2:$O$492,"&gt;"&amp;$O114)+1-1)/COUNTIF($B$2:$B$492,$B114))&gt;='Parametri Modello'!$B$63,"Top",IF((1-(COUNTIFS($B$2:$B$492,$B114,$O$2:$O$492,"&gt;"&amp;$O114)+1-1)/COUNTIF($B$2:$B$492,$B114))&gt;='Parametri Modello'!$B$64,"Buono",IF((1-(COUNTIFS($B$2:$B$492,$B114,$O$2:$O$492,"&gt;"&amp;$O114)+1-1)/COUNTIF($B$2:$B$492,$B114))&gt;='Parametri Modello'!$B$65,"Nella Media","Scommessa/Riserva")))),"")</f>
        <v>Buono</v>
      </c>
      <c r="Q114" s="26">
        <f>IF(AND($D114="",$N114&gt;1),SUMPRODUCT(($D$2:$D114="")*($N$2:$N114&gt;1)),"")</f>
        <v>113</v>
      </c>
      <c r="R114" s="26" t="str">
        <f>IF($D114='Info Lega'!$B$28,COUNTIFS($D$2:$D114,'Info Lega'!$B$28),"")</f>
        <v/>
      </c>
      <c r="S114" s="27">
        <f>IFERROR(INDEX('Input Statistiche 2025_26'!$G$3:$G$665,MATCH($A114,'Input Statistiche 2025_26'!$A$3:$A$665,0)),"")</f>
        <v>5.93</v>
      </c>
      <c r="T114" s="27">
        <f>IFERROR(INDEX('Input Statistiche 2025_26'!$H$3:$H$665,MATCH($A114,'Input Statistiche 2025_26'!$A$3:$A$665,0)),"")</f>
        <v>6.29</v>
      </c>
      <c r="U114" s="23" t="str">
        <f>IF(OR('La Mia Rosa'!$O$12="",$D114&lt;&gt;""),"",IF($F114&lt;='La Mia Rosa'!$O$12*'Parametri Modello'!$B$24,"OK",IF($F114&lt;='La Mia Rosa'!$O$12*'Parametri Modello'!$B$25,"Attenzione","Rischio Alto")))</f>
        <v>OK</v>
      </c>
      <c r="V114" s="23">
        <f t="shared" si="10"/>
        <v>42</v>
      </c>
      <c r="W114" s="18">
        <f>'Info Lega'!$B$4-SUMIFS($M$2:$M$492,$D$2:$D$492,'Info Lega'!$B$28)</f>
        <v>1000</v>
      </c>
      <c r="X114" s="18">
        <f>('Info Lega'!$B$5-COUNTIFS($D$2:$D$492,'Info Lega'!$B$28,$B$2:$B$492,"P"))+('Info Lega'!$B$6-COUNTIFS($D$2:$D$492,'Info Lega'!$B$28,$B$2:$B$492,"D"))+('Info Lega'!$B$7-COUNTIFS($D$2:$D$492,'Info Lega'!$B$28,$B$2:$B$492,"C"))+('Info Lega'!$B$8-COUNTIFS($D$2:$D$492,'Info Lega'!$B$28,$B$2:$B$492,"A"))</f>
        <v>25</v>
      </c>
      <c r="Y114" s="18">
        <f>X114*'Parametri Modello'!$B$30</f>
        <v>25</v>
      </c>
      <c r="Z114" s="18">
        <f t="shared" si="11"/>
        <v>975</v>
      </c>
      <c r="AA114" s="18">
        <f t="shared" si="12"/>
        <v>3</v>
      </c>
      <c r="AB114" s="18"/>
      <c r="AC114" s="18" t="str">
        <f>IF($AB114="","",IF($AB114&gt;$AA114,"PASS",IF($AB114&lt;=$AA114*(1-'Parametri Modello'!$B$68),"BID","ATTENZIONE")))</f>
        <v/>
      </c>
      <c r="AD114" s="28">
        <f t="shared" si="13"/>
        <v>61</v>
      </c>
      <c r="AE114" s="5" t="str">
        <f>IFERROR(IF($AF114="Titolare",INDEX('Stato Asta'!$G$9:$G$12,MATCH($B114,'Stato Asta'!$A$9:$A$12,0)),INDEX('Stato Asta'!$P$9:$P$12,MATCH($B114,'Stato Asta'!$A$9:$A$12,0))),"")</f>
        <v>🟢 Riserve abbondanti</v>
      </c>
      <c r="AF114" t="str">
        <f>IFERROR(IF($V114&lt;=INDEX('Parametri Modello'!$C$57:$C$60,MATCH($B114,'Parametri Modello'!$A$57:$A$60,0)),"Titolare","Riserva"),"")</f>
        <v>Riserva</v>
      </c>
      <c r="AG114" t="str">
        <f>IFERROR(INDEX('Pressione Competitiva'!$F$3:$F$6,MATCH($B114,'Pressione Competitiva'!$B$3:$B$6,0)),"")</f>
        <v>🔴 Molto Alta</v>
      </c>
      <c r="AH114" t="str">
        <f t="shared" si="14"/>
        <v/>
      </c>
      <c r="AI114" t="str">
        <f>IFERROR(IF($AH114="","",IF($AH114&gt;=$AA114*'Parametri Modello'!$B$68,"🟢 Opportunita'",IF($AH114&lt;=$AA114*'Parametri Modello'!$B$69,"🔴 Sovrapprezzo","🟡 Prezzo Corretto"))),"")</f>
        <v/>
      </c>
      <c r="AJ114" t="str">
        <f t="shared" si="15"/>
        <v/>
      </c>
      <c r="AK114">
        <f t="shared" si="16"/>
        <v>24</v>
      </c>
      <c r="AL114" t="str">
        <f t="shared" si="17"/>
        <v>C|Buono|24</v>
      </c>
    </row>
    <row r="115" spans="1:38" ht="14.25" customHeight="1" x14ac:dyDescent="0.25">
      <c r="A115" s="18">
        <v>6904</v>
      </c>
      <c r="B115" s="18" t="s">
        <v>437</v>
      </c>
      <c r="C115" s="18" t="s">
        <v>481</v>
      </c>
      <c r="E115" s="23" t="str">
        <f>IF(COUNTIF('Info Strategia'!$D$2:$D$51,$C115)&gt;0,"SI","NO")</f>
        <v>NO</v>
      </c>
      <c r="F115" s="24">
        <f>IFERROR(ROUND(($G115+($H115-$G115)*'Info Strategia'!$B$6)*(1+IF($E115="SI",'Parametri Modello'!$B$7*'Info Strategia'!$B$6,0)),0),"")</f>
        <v>9</v>
      </c>
      <c r="G115" s="24">
        <f>IFERROR(ROUND(MAX(1,(IF($V115&lt;=INDEX('Parametri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6</v>
      </c>
      <c r="H115" s="24">
        <f>IFERROR(ROUND((IF($V115&lt;=INDEX('Parametri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10</v>
      </c>
      <c r="I115" s="23" t="str">
        <f>IFERROR(INDEX('Input Statistiche 2025_26'!$F$3:$F$665,MATCH($A115,'Input Statistiche 2025_26'!$A$3:$A$665,0)),"")</f>
        <v/>
      </c>
      <c r="J115" s="23" t="str">
        <f t="shared" si="9"/>
        <v/>
      </c>
      <c r="K115" s="23" t="str">
        <f>IFERROR(INDEX('Input Statistiche 2025_26'!$I$3:$I$665,MATCH($A115,'Input Statistiche 2025_26'!$A$3:$A$665,0)),"")</f>
        <v/>
      </c>
      <c r="L115" s="23" t="str">
        <f>IFERROR(INDEX('Input Statistiche 2025_26'!$O$3:$O$665,MATCH($A115,'Input Statistiche 2025_26'!$A$3:$A$665,0)),"")</f>
        <v/>
      </c>
      <c r="M115" s="25"/>
      <c r="N115" s="24">
        <f>IFERROR(INDEX('Input Giocatori 2026_27'!$E$3:$E$493,MATCH($A115,'Input Giocatori 2026_27'!$A$3:$A$493,0)),"")</f>
        <v>8</v>
      </c>
      <c r="O115" s="24">
        <f>IFERROR(INDEX('Input Giocatori 2026_27'!$G$3:$G$493,MATCH($A115,'Input Giocatori 2026_27'!$A$3:$A$493,0)),"")</f>
        <v>28</v>
      </c>
      <c r="P115" s="23" t="str">
        <f>IFERROR(IF($O115="","",IF((1-(COUNTIFS($B$2:$B$492,$B115,$O$2:$O$492,"&gt;"&amp;$O115)+1-1)/COUNTIF($B$2:$B$492,$B115))&gt;='Parametri Modello'!$B$63,"Top",IF((1-(COUNTIFS($B$2:$B$492,$B115,$O$2:$O$492,"&gt;"&amp;$O115)+1-1)/COUNTIF($B$2:$B$492,$B115))&gt;='Parametri Modello'!$B$64,"Buono",IF((1-(COUNTIFS($B$2:$B$492,$B115,$O$2:$O$492,"&gt;"&amp;$O115)+1-1)/COUNTIF($B$2:$B$492,$B115))&gt;='Parametri Modello'!$B$65,"Nella Media","Scommessa/Riserva")))),"")</f>
        <v>Nella Media</v>
      </c>
      <c r="Q115" s="26">
        <f>IF(AND($D115="",$N115&gt;1),SUMPRODUCT(($D$2:$D115="")*($N$2:$N115&gt;1)),"")</f>
        <v>114</v>
      </c>
      <c r="R115" s="26" t="str">
        <f>IF($D115='Info Lega'!$B$28,COUNTIFS($D$2:$D115,'Info Lega'!$B$28),"")</f>
        <v/>
      </c>
      <c r="S115" s="27" t="str">
        <f>IFERROR(INDEX('Input Statistiche 2025_26'!$G$3:$G$665,MATCH($A115,'Input Statistiche 2025_26'!$A$3:$A$665,0)),"")</f>
        <v/>
      </c>
      <c r="T115" s="27" t="str">
        <f>IFERROR(INDEX('Input Statistiche 2025_26'!$H$3:$H$665,MATCH($A115,'Input Statistiche 2025_26'!$A$3:$A$665,0)),"")</f>
        <v/>
      </c>
      <c r="U115" s="23" t="str">
        <f>IF(OR('La Mia Rosa'!$O$12="",$D115&lt;&gt;""),"",IF($F115&lt;='La Mia Rosa'!$O$12*'Parametri Modello'!$B$24,"OK",IF($F115&lt;='La Mia Rosa'!$O$12*'Parametri Modello'!$B$25,"Attenzione","Rischio Alto")))</f>
        <v>OK</v>
      </c>
      <c r="V115" s="23">
        <f t="shared" si="10"/>
        <v>40</v>
      </c>
      <c r="W115" s="18">
        <f>'Info Lega'!$B$4-SUMIFS($M$2:$M$492,$D$2:$D$492,'Info Lega'!$B$28)</f>
        <v>1000</v>
      </c>
      <c r="X115" s="18">
        <f>('Info Lega'!$B$5-COUNTIFS($D$2:$D$492,'Info Lega'!$B$28,$B$2:$B$492,"P"))+('Info Lega'!$B$6-COUNTIFS($D$2:$D$492,'Info Lega'!$B$28,$B$2:$B$492,"D"))+('Info Lega'!$B$7-COUNTIFS($D$2:$D$492,'Info Lega'!$B$28,$B$2:$B$492,"C"))+('Info Lega'!$B$8-COUNTIFS($D$2:$D$492,'Info Lega'!$B$28,$B$2:$B$492,"A"))</f>
        <v>25</v>
      </c>
      <c r="Y115" s="18">
        <f>X115*'Parametri Modello'!$B$30</f>
        <v>25</v>
      </c>
      <c r="Z115" s="18">
        <f t="shared" si="11"/>
        <v>975</v>
      </c>
      <c r="AA115" s="18">
        <f t="shared" si="12"/>
        <v>9</v>
      </c>
      <c r="AB115" s="18"/>
      <c r="AC115" s="18" t="str">
        <f>IF($AB115="","",IF($AB115&gt;$AA115,"PASS",IF($AB115&lt;=$AA115*(1-'Parametri Modello'!$B$68),"BID","ATTENZIONE")))</f>
        <v/>
      </c>
      <c r="AD115" s="28" t="str">
        <f t="shared" si="13"/>
        <v/>
      </c>
      <c r="AE115" s="5" t="str">
        <f>IFERROR(IF($AF115="Titolare",INDEX('Stato Asta'!$G$9:$G$12,MATCH($B115,'Stato Asta'!$A$9:$A$12,0)),INDEX('Stato Asta'!$P$9:$P$12,MATCH($B115,'Stato Asta'!$A$9:$A$12,0))),"")</f>
        <v>🟢 Riserve abbondanti</v>
      </c>
      <c r="AF115" t="str">
        <f>IFERROR(IF($V115&lt;=INDEX('Parametri Modello'!$C$57:$C$60,MATCH($B115,'Parametri Modello'!$A$57:$A$60,0)),"Titolare","Riserva"),"")</f>
        <v>Riserva</v>
      </c>
      <c r="AG115" t="str">
        <f>IFERROR(INDEX('Pressione Competitiva'!$F$3:$F$6,MATCH($B115,'Pressione Competitiva'!$B$3:$B$6,0)),"")</f>
        <v>🔴 Molto Alta</v>
      </c>
      <c r="AH115" t="str">
        <f t="shared" si="14"/>
        <v/>
      </c>
      <c r="AI115" t="str">
        <f>IFERROR(IF($AH115="","",IF($AH115&gt;=$AA115*'Parametri Modello'!$B$68,"🟢 Opportunita'",IF($AH115&lt;=$AA115*'Parametri Modello'!$B$69,"🔴 Sovrapprezzo","🟡 Prezzo Corretto"))),"")</f>
        <v/>
      </c>
      <c r="AJ115" t="str">
        <f t="shared" si="15"/>
        <v/>
      </c>
      <c r="AK115">
        <f t="shared" si="16"/>
        <v>14</v>
      </c>
      <c r="AL115" t="str">
        <f t="shared" si="17"/>
        <v>A|Nella Media|14</v>
      </c>
    </row>
    <row r="116" spans="1:38" ht="14.25" customHeight="1" x14ac:dyDescent="0.25">
      <c r="A116" s="18">
        <v>4360</v>
      </c>
      <c r="B116" s="18" t="s">
        <v>8</v>
      </c>
      <c r="C116" s="18" t="s">
        <v>25</v>
      </c>
      <c r="E116" s="23" t="str">
        <f>IF(COUNTIF('Info Strategia'!$D$2:$D$51,$C116)&gt;0,"SI","NO")</f>
        <v>NO</v>
      </c>
      <c r="F116" s="24">
        <f>IFERROR(ROUND(($G116+($H116-$G116)*'Info Strategia'!$B$6)*(1+IF($E116="SI",'Parametri Modello'!$B$7*'Info Strategia'!$B$6,0)),0),"")</f>
        <v>9</v>
      </c>
      <c r="G116" s="24">
        <f>IFERROR(ROUND(MAX(1,(IF($V116&lt;=INDEX('Parametri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7</v>
      </c>
      <c r="H116" s="24">
        <f>IFERROR(ROUND((IF($V116&lt;=INDEX('Parametri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10</v>
      </c>
      <c r="I116" s="23">
        <f>IFERROR(INDEX('Input Statistiche 2025_26'!$F$3:$F$665,MATCH($A116,'Input Statistiche 2025_26'!$A$3:$A$665,0)),"")</f>
        <v>38</v>
      </c>
      <c r="J116" s="23">
        <f t="shared" si="9"/>
        <v>0</v>
      </c>
      <c r="K116" s="23">
        <f>IFERROR(INDEX('Input Statistiche 2025_26'!$I$3:$I$665,MATCH($A116,'Input Statistiche 2025_26'!$A$3:$A$665,0)),"")</f>
        <v>0</v>
      </c>
      <c r="L116" s="23">
        <f>IFERROR(INDEX('Input Statistiche 2025_26'!$O$3:$O$665,MATCH($A116,'Input Statistiche 2025_26'!$A$3:$A$665,0)),"")</f>
        <v>0</v>
      </c>
      <c r="M116" s="25"/>
      <c r="N116" s="24">
        <f>IFERROR(INDEX('Input Giocatori 2026_27'!$E$3:$E$493,MATCH($A116,'Input Giocatori 2026_27'!$A$3:$A$493,0)),"")</f>
        <v>9</v>
      </c>
      <c r="O116" s="24">
        <f>IFERROR(INDEX('Input Giocatori 2026_27'!$G$3:$G$493,MATCH($A116,'Input Giocatori 2026_27'!$A$3:$A$493,0)),"")</f>
        <v>27</v>
      </c>
      <c r="P116" s="23" t="str">
        <f>IFERROR(IF($O116="","",IF((1-(COUNTIFS($B$2:$B$492,$B116,$O$2:$O$492,"&gt;"&amp;$O116)+1-1)/COUNTIF($B$2:$B$492,$B116))&gt;='Parametri Modello'!$B$63,"Top",IF((1-(COUNTIFS($B$2:$B$492,$B116,$O$2:$O$492,"&gt;"&amp;$O116)+1-1)/COUNTIF($B$2:$B$492,$B116))&gt;='Parametri Modello'!$B$64,"Buono",IF((1-(COUNTIFS($B$2:$B$492,$B116,$O$2:$O$492,"&gt;"&amp;$O116)+1-1)/COUNTIF($B$2:$B$492,$B116))&gt;='Parametri Modello'!$B$65,"Nella Media","Scommessa/Riserva")))),"")</f>
        <v>Buono</v>
      </c>
      <c r="Q116" s="26">
        <f>IF(AND($D116="",$N116&gt;1),SUMPRODUCT(($D$2:$D116="")*($N$2:$N116&gt;1)),"")</f>
        <v>115</v>
      </c>
      <c r="R116" s="26" t="str">
        <f>IF($D116='Info Lega'!$B$28,COUNTIFS($D$2:$D116,'Info Lega'!$B$28),"")</f>
        <v/>
      </c>
      <c r="S116" s="27">
        <f>IFERROR(INDEX('Input Statistiche 2025_26'!$G$3:$G$665,MATCH($A116,'Input Statistiche 2025_26'!$A$3:$A$665,0)),"")</f>
        <v>6.29</v>
      </c>
      <c r="T116" s="27">
        <f>IFERROR(INDEX('Input Statistiche 2025_26'!$H$3:$H$665,MATCH($A116,'Input Statistiche 2025_26'!$A$3:$A$665,0)),"")</f>
        <v>4.87</v>
      </c>
      <c r="U116" s="23" t="str">
        <f>IF(OR('La Mia Rosa'!$O$12="",$D116&lt;&gt;""),"",IF($F116&lt;='La Mia Rosa'!$O$12*'Parametri Modello'!$B$24,"OK",IF($F116&lt;='La Mia Rosa'!$O$12*'Parametri Modello'!$B$25,"Attenzione","Rischio Alto")))</f>
        <v>OK</v>
      </c>
      <c r="V116" s="23">
        <f t="shared" si="10"/>
        <v>12</v>
      </c>
      <c r="W116" s="18">
        <f>'Info Lega'!$B$4-SUMIFS($M$2:$M$492,$D$2:$D$492,'Info Lega'!$B$28)</f>
        <v>1000</v>
      </c>
      <c r="X116" s="18">
        <f>('Info Lega'!$B$5-COUNTIFS($D$2:$D$492,'Info Lega'!$B$28,$B$2:$B$492,"P"))+('Info Lega'!$B$6-COUNTIFS($D$2:$D$492,'Info Lega'!$B$28,$B$2:$B$492,"D"))+('Info Lega'!$B$7-COUNTIFS($D$2:$D$492,'Info Lega'!$B$28,$B$2:$B$492,"C"))+('Info Lega'!$B$8-COUNTIFS($D$2:$D$492,'Info Lega'!$B$28,$B$2:$B$492,"A"))</f>
        <v>25</v>
      </c>
      <c r="Y116" s="18">
        <f>X116*'Parametri Modello'!$B$30</f>
        <v>25</v>
      </c>
      <c r="Z116" s="18">
        <f t="shared" si="11"/>
        <v>975</v>
      </c>
      <c r="AA116" s="18">
        <f t="shared" si="12"/>
        <v>9</v>
      </c>
      <c r="AB116" s="18"/>
      <c r="AC116" s="18" t="str">
        <f>IF($AB116="","",IF($AB116&gt;$AA116,"PASS",IF($AB116&lt;=$AA116*(1-'Parametri Modello'!$B$68),"BID","ATTENZIONE")))</f>
        <v/>
      </c>
      <c r="AD116" s="28">
        <f t="shared" si="13"/>
        <v>72</v>
      </c>
      <c r="AE116" s="5" t="str">
        <f>IFERROR(IF($AF116="Titolare",INDEX('Stato Asta'!$G$9:$G$12,MATCH($B116,'Stato Asta'!$A$9:$A$12,0)),INDEX('Stato Asta'!$P$9:$P$12,MATCH($B116,'Stato Asta'!$A$9:$A$12,0))),"")</f>
        <v>🔴 Riserve scarse</v>
      </c>
      <c r="AF116" t="str">
        <f>IFERROR(IF($V116&lt;=INDEX('Parametri Modello'!$C$57:$C$60,MATCH($B116,'Parametri Modello'!$A$57:$A$60,0)),"Titolare","Riserva"),"")</f>
        <v>Riserva</v>
      </c>
      <c r="AG116" t="str">
        <f>IFERROR(INDEX('Pressione Competitiva'!$F$3:$F$6,MATCH($B116,'Pressione Competitiva'!$B$3:$B$6,0)),"")</f>
        <v>🔴 Molto Alta</v>
      </c>
      <c r="AH116" t="str">
        <f t="shared" si="14"/>
        <v/>
      </c>
      <c r="AI116" t="str">
        <f>IFERROR(IF($AH116="","",IF($AH116&gt;=$AA116*'Parametri Modello'!$B$68,"🟢 Opportunita'",IF($AH116&lt;=$AA116*'Parametri Modello'!$B$69,"🔴 Sovrapprezzo","🟡 Prezzo Corretto"))),"")</f>
        <v/>
      </c>
      <c r="AJ116" t="str">
        <f t="shared" si="15"/>
        <v/>
      </c>
      <c r="AK116">
        <f t="shared" si="16"/>
        <v>5</v>
      </c>
      <c r="AL116" t="str">
        <f t="shared" si="17"/>
        <v>P|Buono|5</v>
      </c>
    </row>
    <row r="117" spans="1:38" ht="14.25" customHeight="1" x14ac:dyDescent="0.25">
      <c r="A117" s="18">
        <v>5520</v>
      </c>
      <c r="B117" s="18" t="s">
        <v>88</v>
      </c>
      <c r="C117" s="18" t="s">
        <v>110</v>
      </c>
      <c r="E117" s="23" t="str">
        <f>IF(COUNTIF('Info Strategia'!$D$2:$D$51,$C117)&gt;0,"SI","NO")</f>
        <v>NO</v>
      </c>
      <c r="F117" s="24">
        <f>IFERROR(ROUND(($G117+($H117-$G117)*'Info Strategia'!$B$6)*(1+IF($E117="SI",'Parametri Modello'!$B$7*'Info Strategia'!$B$6,0)),0),"")</f>
        <v>18</v>
      </c>
      <c r="G117" s="24">
        <f>IFERROR(ROUND(MAX(1,(IF($V117&lt;=INDEX('Parametri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14</v>
      </c>
      <c r="H117" s="24">
        <f>IFERROR(ROUND((IF($V117&lt;=INDEX('Parametri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20</v>
      </c>
      <c r="I117" s="23">
        <f>IFERROR(INDEX('Input Statistiche 2025_26'!$F$3:$F$665,MATCH($A117,'Input Statistiche 2025_26'!$A$3:$A$665,0)),"")</f>
        <v>36</v>
      </c>
      <c r="J117" s="23">
        <f t="shared" si="9"/>
        <v>2</v>
      </c>
      <c r="K117" s="23">
        <f>IFERROR(INDEX('Input Statistiche 2025_26'!$I$3:$I$665,MATCH($A117,'Input Statistiche 2025_26'!$A$3:$A$665,0)),"")</f>
        <v>3</v>
      </c>
      <c r="L117" s="23">
        <f>IFERROR(INDEX('Input Statistiche 2025_26'!$O$3:$O$665,MATCH($A117,'Input Statistiche 2025_26'!$A$3:$A$665,0)),"")</f>
        <v>4</v>
      </c>
      <c r="M117" s="25"/>
      <c r="N117" s="24">
        <f>IFERROR(INDEX('Input Giocatori 2026_27'!$E$3:$E$493,MATCH($A117,'Input Giocatori 2026_27'!$A$3:$A$493,0)),"")</f>
        <v>9</v>
      </c>
      <c r="O117" s="24">
        <f>IFERROR(INDEX('Input Giocatori 2026_27'!$G$3:$G$493,MATCH($A117,'Input Giocatori 2026_27'!$A$3:$A$493,0)),"")</f>
        <v>27</v>
      </c>
      <c r="P117" s="23" t="str">
        <f>IFERROR(IF($O117="","",IF((1-(COUNTIFS($B$2:$B$492,$B117,$O$2:$O$492,"&gt;"&amp;$O117)+1-1)/COUNTIF($B$2:$B$492,$B117))&gt;='Parametri Modello'!$B$63,"Top",IF((1-(COUNTIFS($B$2:$B$492,$B117,$O$2:$O$492,"&gt;"&amp;$O117)+1-1)/COUNTIF($B$2:$B$492,$B117))&gt;='Parametri Modello'!$B$64,"Buono",IF((1-(COUNTIFS($B$2:$B$492,$B117,$O$2:$O$492,"&gt;"&amp;$O117)+1-1)/COUNTIF($B$2:$B$492,$B117))&gt;='Parametri Modello'!$B$65,"Nella Media","Scommessa/Riserva")))),"")</f>
        <v>Buono</v>
      </c>
      <c r="Q117" s="26">
        <f>IF(AND($D117="",$N117&gt;1),SUMPRODUCT(($D$2:$D117="")*($N$2:$N117&gt;1)),"")</f>
        <v>116</v>
      </c>
      <c r="R117" s="26" t="str">
        <f>IF($D117='Info Lega'!$B$28,COUNTIFS($D$2:$D117,'Info Lega'!$B$28),"")</f>
        <v/>
      </c>
      <c r="S117" s="27">
        <f>IFERROR(INDEX('Input Statistiche 2025_26'!$G$3:$G$665,MATCH($A117,'Input Statistiche 2025_26'!$A$3:$A$665,0)),"")</f>
        <v>5.81</v>
      </c>
      <c r="T117" s="27">
        <f>IFERROR(INDEX('Input Statistiche 2025_26'!$H$3:$H$665,MATCH($A117,'Input Statistiche 2025_26'!$A$3:$A$665,0)),"")</f>
        <v>5.99</v>
      </c>
      <c r="U117" s="23" t="str">
        <f>IF(OR('La Mia Rosa'!$O$12="",$D117&lt;&gt;""),"",IF($F117&lt;='La Mia Rosa'!$O$12*'Parametri Modello'!$B$24,"OK",IF($F117&lt;='La Mia Rosa'!$O$12*'Parametri Modello'!$B$25,"Attenzione","Rischio Alto")))</f>
        <v>OK</v>
      </c>
      <c r="V117" s="23">
        <f t="shared" si="10"/>
        <v>21</v>
      </c>
      <c r="W117" s="18">
        <f>'Info Lega'!$B$4-SUMIFS($M$2:$M$492,$D$2:$D$492,'Info Lega'!$B$28)</f>
        <v>1000</v>
      </c>
      <c r="X117" s="18">
        <f>('Info Lega'!$B$5-COUNTIFS($D$2:$D$492,'Info Lega'!$B$28,$B$2:$B$492,"P"))+('Info Lega'!$B$6-COUNTIFS($D$2:$D$492,'Info Lega'!$B$28,$B$2:$B$492,"D"))+('Info Lega'!$B$7-COUNTIFS($D$2:$D$492,'Info Lega'!$B$28,$B$2:$B$492,"C"))+('Info Lega'!$B$8-COUNTIFS($D$2:$D$492,'Info Lega'!$B$28,$B$2:$B$492,"A"))</f>
        <v>25</v>
      </c>
      <c r="Y117" s="18">
        <f>X117*'Parametri Modello'!$B$30</f>
        <v>25</v>
      </c>
      <c r="Z117" s="18">
        <f t="shared" si="11"/>
        <v>975</v>
      </c>
      <c r="AA117" s="18">
        <f t="shared" si="12"/>
        <v>18</v>
      </c>
      <c r="AB117" s="18"/>
      <c r="AC117" s="18" t="str">
        <f>IF($AB117="","",IF($AB117&gt;$AA117,"PASS",IF($AB117&lt;=$AA117*(1-'Parametri Modello'!$B$68),"BID","ATTENZIONE")))</f>
        <v/>
      </c>
      <c r="AD117" s="28">
        <f t="shared" si="13"/>
        <v>70</v>
      </c>
      <c r="AE117" s="5" t="str">
        <f>IFERROR(IF($AF117="Titolare",INDEX('Stato Asta'!$G$9:$G$12,MATCH($B117,'Stato Asta'!$A$9:$A$12,0)),INDEX('Stato Asta'!$P$9:$P$12,MATCH($B117,'Stato Asta'!$A$9:$A$12,0))),"")</f>
        <v>🟢 Puoi aspettare</v>
      </c>
      <c r="AF117" t="str">
        <f>IFERROR(IF($V117&lt;=INDEX('Parametri Modello'!$C$57:$C$60,MATCH($B117,'Parametri Modello'!$A$57:$A$60,0)),"Titolare","Riserva"),"")</f>
        <v>Titolare</v>
      </c>
      <c r="AG117" t="str">
        <f>IFERROR(INDEX('Pressione Competitiva'!$F$3:$F$6,MATCH($B117,'Pressione Competitiva'!$B$3:$B$6,0)),"")</f>
        <v>🔴 Molto Alta</v>
      </c>
      <c r="AH117" t="str">
        <f t="shared" si="14"/>
        <v/>
      </c>
      <c r="AI117" t="str">
        <f>IFERROR(IF($AH117="","",IF($AH117&gt;=$AA117*'Parametri Modello'!$B$68,"🟢 Opportunita'",IF($AH117&lt;=$AA117*'Parametri Modello'!$B$69,"🔴 Sovrapprezzo","🟡 Prezzo Corretto"))),"")</f>
        <v/>
      </c>
      <c r="AJ117" t="str">
        <f t="shared" si="15"/>
        <v/>
      </c>
      <c r="AK117">
        <f t="shared" si="16"/>
        <v>3</v>
      </c>
      <c r="AL117" t="str">
        <f t="shared" si="17"/>
        <v>D|Buono|3</v>
      </c>
    </row>
    <row r="118" spans="1:38" ht="14.25" customHeight="1" x14ac:dyDescent="0.25">
      <c r="A118" s="18">
        <v>5365</v>
      </c>
      <c r="B118" s="18" t="s">
        <v>88</v>
      </c>
      <c r="C118" s="18" t="s">
        <v>116</v>
      </c>
      <c r="E118" s="23" t="str">
        <f>IF(COUNTIF('Info Strategia'!$D$2:$D$51,$C118)&gt;0,"SI","NO")</f>
        <v>NO</v>
      </c>
      <c r="F118" s="24">
        <f>IFERROR(ROUND(($G118+($H118-$G118)*'Info Strategia'!$B$6)*(1+IF($E118="SI",'Parametri Modello'!$B$7*'Info Strategia'!$B$6,0)),0),"")</f>
        <v>18</v>
      </c>
      <c r="G118" s="24">
        <f>IFERROR(ROUND(MAX(1,(IF($V118&lt;=INDEX('Parametri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14</v>
      </c>
      <c r="H118" s="24">
        <f>IFERROR(ROUND((IF($V118&lt;=INDEX('Parametri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20</v>
      </c>
      <c r="I118" s="23" t="str">
        <f>IFERROR(INDEX('Input Statistiche 2025_26'!$F$3:$F$665,MATCH($A118,'Input Statistiche 2025_26'!$A$3:$A$665,0)),"")</f>
        <v/>
      </c>
      <c r="J118" s="23" t="str">
        <f t="shared" si="9"/>
        <v/>
      </c>
      <c r="K118" s="23" t="str">
        <f>IFERROR(INDEX('Input Statistiche 2025_26'!$I$3:$I$665,MATCH($A118,'Input Statistiche 2025_26'!$A$3:$A$665,0)),"")</f>
        <v/>
      </c>
      <c r="L118" s="23" t="str">
        <f>IFERROR(INDEX('Input Statistiche 2025_26'!$O$3:$O$665,MATCH($A118,'Input Statistiche 2025_26'!$A$3:$A$665,0)),"")</f>
        <v/>
      </c>
      <c r="M118" s="25"/>
      <c r="N118" s="24">
        <f>IFERROR(INDEX('Input Giocatori 2026_27'!$E$3:$E$493,MATCH($A118,'Input Giocatori 2026_27'!$A$3:$A$493,0)),"")</f>
        <v>8</v>
      </c>
      <c r="O118" s="24">
        <f>IFERROR(INDEX('Input Giocatori 2026_27'!$G$3:$G$493,MATCH($A118,'Input Giocatori 2026_27'!$A$3:$A$493,0)),"")</f>
        <v>27</v>
      </c>
      <c r="P118" s="23" t="str">
        <f>IFERROR(IF($O118="","",IF((1-(COUNTIFS($B$2:$B$492,$B118,$O$2:$O$492,"&gt;"&amp;$O118)+1-1)/COUNTIF($B$2:$B$492,$B118))&gt;='Parametri Modello'!$B$63,"Top",IF((1-(COUNTIFS($B$2:$B$492,$B118,$O$2:$O$492,"&gt;"&amp;$O118)+1-1)/COUNTIF($B$2:$B$492,$B118))&gt;='Parametri Modello'!$B$64,"Buono",IF((1-(COUNTIFS($B$2:$B$492,$B118,$O$2:$O$492,"&gt;"&amp;$O118)+1-1)/COUNTIF($B$2:$B$492,$B118))&gt;='Parametri Modello'!$B$65,"Nella Media","Scommessa/Riserva")))),"")</f>
        <v>Buono</v>
      </c>
      <c r="Q118" s="26">
        <f>IF(AND($D118="",$N118&gt;1),SUMPRODUCT(($D$2:$D118="")*($N$2:$N118&gt;1)),"")</f>
        <v>117</v>
      </c>
      <c r="R118" s="26" t="str">
        <f>IF($D118='Info Lega'!$B$28,COUNTIFS($D$2:$D118,'Info Lega'!$B$28),"")</f>
        <v/>
      </c>
      <c r="S118" s="27" t="str">
        <f>IFERROR(INDEX('Input Statistiche 2025_26'!$G$3:$G$665,MATCH($A118,'Input Statistiche 2025_26'!$A$3:$A$665,0)),"")</f>
        <v/>
      </c>
      <c r="T118" s="27" t="str">
        <f>IFERROR(INDEX('Input Statistiche 2025_26'!$H$3:$H$665,MATCH($A118,'Input Statistiche 2025_26'!$A$3:$A$665,0)),"")</f>
        <v/>
      </c>
      <c r="U118" s="23" t="str">
        <f>IF(OR('La Mia Rosa'!$O$12="",$D118&lt;&gt;""),"",IF($F118&lt;='La Mia Rosa'!$O$12*'Parametri Modello'!$B$24,"OK",IF($F118&lt;='La Mia Rosa'!$O$12*'Parametri Modello'!$B$25,"Attenzione","Rischio Alto")))</f>
        <v>OK</v>
      </c>
      <c r="V118" s="23">
        <f t="shared" si="10"/>
        <v>21</v>
      </c>
      <c r="W118" s="18">
        <f>'Info Lega'!$B$4-SUMIFS($M$2:$M$492,$D$2:$D$492,'Info Lega'!$B$28)</f>
        <v>1000</v>
      </c>
      <c r="X118" s="18">
        <f>('Info Lega'!$B$5-COUNTIFS($D$2:$D$492,'Info Lega'!$B$28,$B$2:$B$492,"P"))+('Info Lega'!$B$6-COUNTIFS($D$2:$D$492,'Info Lega'!$B$28,$B$2:$B$492,"D"))+('Info Lega'!$B$7-COUNTIFS($D$2:$D$492,'Info Lega'!$B$28,$B$2:$B$492,"C"))+('Info Lega'!$B$8-COUNTIFS($D$2:$D$492,'Info Lega'!$B$28,$B$2:$B$492,"A"))</f>
        <v>25</v>
      </c>
      <c r="Y118" s="18">
        <f>X118*'Parametri Modello'!$B$30</f>
        <v>25</v>
      </c>
      <c r="Z118" s="18">
        <f t="shared" si="11"/>
        <v>975</v>
      </c>
      <c r="AA118" s="18">
        <f t="shared" si="12"/>
        <v>18</v>
      </c>
      <c r="AB118" s="18"/>
      <c r="AC118" s="18" t="str">
        <f>IF($AB118="","",IF($AB118&gt;$AA118,"PASS",IF($AB118&lt;=$AA118*(1-'Parametri Modello'!$B$68),"BID","ATTENZIONE")))</f>
        <v/>
      </c>
      <c r="AD118" s="28" t="str">
        <f t="shared" si="13"/>
        <v/>
      </c>
      <c r="AE118" s="5" t="str">
        <f>IFERROR(IF($AF118="Titolare",INDEX('Stato Asta'!$G$9:$G$12,MATCH($B118,'Stato Asta'!$A$9:$A$12,0)),INDEX('Stato Asta'!$P$9:$P$12,MATCH($B118,'Stato Asta'!$A$9:$A$12,0))),"")</f>
        <v>🟢 Puoi aspettare</v>
      </c>
      <c r="AF118" t="str">
        <f>IFERROR(IF($V118&lt;=INDEX('Parametri Modello'!$C$57:$C$60,MATCH($B118,'Parametri Modello'!$A$57:$A$60,0)),"Titolare","Riserva"),"")</f>
        <v>Titolare</v>
      </c>
      <c r="AG118" t="str">
        <f>IFERROR(INDEX('Pressione Competitiva'!$F$3:$F$6,MATCH($B118,'Pressione Competitiva'!$B$3:$B$6,0)),"")</f>
        <v>🔴 Molto Alta</v>
      </c>
      <c r="AH118" t="str">
        <f t="shared" si="14"/>
        <v/>
      </c>
      <c r="AI118" t="str">
        <f>IFERROR(IF($AH118="","",IF($AH118&gt;=$AA118*'Parametri Modello'!$B$68,"🟢 Opportunita'",IF($AH118&lt;=$AA118*'Parametri Modello'!$B$69,"🔴 Sovrapprezzo","🟡 Prezzo Corretto"))),"")</f>
        <v/>
      </c>
      <c r="AJ118" t="str">
        <f t="shared" si="15"/>
        <v/>
      </c>
      <c r="AK118">
        <f t="shared" si="16"/>
        <v>3</v>
      </c>
      <c r="AL118" t="str">
        <f t="shared" si="17"/>
        <v>D|Buono|3</v>
      </c>
    </row>
    <row r="119" spans="1:38" ht="14.25" customHeight="1" x14ac:dyDescent="0.25">
      <c r="A119" s="18">
        <v>5877</v>
      </c>
      <c r="B119" s="18" t="s">
        <v>88</v>
      </c>
      <c r="C119" s="18" t="s">
        <v>129</v>
      </c>
      <c r="E119" s="23" t="str">
        <f>IF(COUNTIF('Info Strategia'!$D$2:$D$51,$C119)&gt;0,"SI","NO")</f>
        <v>NO</v>
      </c>
      <c r="F119" s="24">
        <f>IFERROR(ROUND(($G119+($H119-$G119)*'Info Strategia'!$B$6)*(1+IF($E119="SI",'Parametri Modello'!$B$7*'Info Strategia'!$B$6,0)),0),"")</f>
        <v>18</v>
      </c>
      <c r="G119" s="24">
        <f>IFERROR(ROUND(MAX(1,(IF($V119&lt;=INDEX('Parametri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14</v>
      </c>
      <c r="H119" s="24">
        <f>IFERROR(ROUND((IF($V119&lt;=INDEX('Parametri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20</v>
      </c>
      <c r="I119" s="23">
        <f>IFERROR(INDEX('Input Statistiche 2025_26'!$F$3:$F$665,MATCH($A119,'Input Statistiche 2025_26'!$A$3:$A$665,0)),"")</f>
        <v>28</v>
      </c>
      <c r="J119" s="23">
        <f t="shared" si="9"/>
        <v>10</v>
      </c>
      <c r="K119" s="23">
        <f>IFERROR(INDEX('Input Statistiche 2025_26'!$I$3:$I$665,MATCH($A119,'Input Statistiche 2025_26'!$A$3:$A$665,0)),"")</f>
        <v>1</v>
      </c>
      <c r="L119" s="23">
        <f>IFERROR(INDEX('Input Statistiche 2025_26'!$O$3:$O$665,MATCH($A119,'Input Statistiche 2025_26'!$A$3:$A$665,0)),"")</f>
        <v>1</v>
      </c>
      <c r="M119" s="25"/>
      <c r="N119" s="24">
        <f>IFERROR(INDEX('Input Giocatori 2026_27'!$E$3:$E$493,MATCH($A119,'Input Giocatori 2026_27'!$A$3:$A$493,0)),"")</f>
        <v>7</v>
      </c>
      <c r="O119" s="24">
        <f>IFERROR(INDEX('Input Giocatori 2026_27'!$G$3:$G$493,MATCH($A119,'Input Giocatori 2026_27'!$A$3:$A$493,0)),"")</f>
        <v>27</v>
      </c>
      <c r="P119" s="23" t="str">
        <f>IFERROR(IF($O119="","",IF((1-(COUNTIFS($B$2:$B$492,$B119,$O$2:$O$492,"&gt;"&amp;$O119)+1-1)/COUNTIF($B$2:$B$492,$B119))&gt;='Parametri Modello'!$B$63,"Top",IF((1-(COUNTIFS($B$2:$B$492,$B119,$O$2:$O$492,"&gt;"&amp;$O119)+1-1)/COUNTIF($B$2:$B$492,$B119))&gt;='Parametri Modello'!$B$64,"Buono",IF((1-(COUNTIFS($B$2:$B$492,$B119,$O$2:$O$492,"&gt;"&amp;$O119)+1-1)/COUNTIF($B$2:$B$492,$B119))&gt;='Parametri Modello'!$B$65,"Nella Media","Scommessa/Riserva")))),"")</f>
        <v>Buono</v>
      </c>
      <c r="Q119" s="26">
        <f>IF(AND($D119="",$N119&gt;1),SUMPRODUCT(($D$2:$D119="")*($N$2:$N119&gt;1)),"")</f>
        <v>118</v>
      </c>
      <c r="R119" s="26" t="str">
        <f>IF($D119='Info Lega'!$B$28,COUNTIFS($D$2:$D119,'Info Lega'!$B$28),"")</f>
        <v/>
      </c>
      <c r="S119" s="27">
        <f>IFERROR(INDEX('Input Statistiche 2025_26'!$G$3:$G$665,MATCH($A119,'Input Statistiche 2025_26'!$A$3:$A$665,0)),"")</f>
        <v>6.12</v>
      </c>
      <c r="T119" s="27">
        <f>IFERROR(INDEX('Input Statistiche 2025_26'!$H$3:$H$665,MATCH($A119,'Input Statistiche 2025_26'!$A$3:$A$665,0)),"")</f>
        <v>6.16</v>
      </c>
      <c r="U119" s="23" t="str">
        <f>IF(OR('La Mia Rosa'!$O$12="",$D119&lt;&gt;""),"",IF($F119&lt;='La Mia Rosa'!$O$12*'Parametri Modello'!$B$24,"OK",IF($F119&lt;='La Mia Rosa'!$O$12*'Parametri Modello'!$B$25,"Attenzione","Rischio Alto")))</f>
        <v>OK</v>
      </c>
      <c r="V119" s="23">
        <f t="shared" si="10"/>
        <v>21</v>
      </c>
      <c r="W119" s="18">
        <f>'Info Lega'!$B$4-SUMIFS($M$2:$M$492,$D$2:$D$492,'Info Lega'!$B$28)</f>
        <v>1000</v>
      </c>
      <c r="X119" s="18">
        <f>('Info Lega'!$B$5-COUNTIFS($D$2:$D$492,'Info Lega'!$B$28,$B$2:$B$492,"P"))+('Info Lega'!$B$6-COUNTIFS($D$2:$D$492,'Info Lega'!$B$28,$B$2:$B$492,"D"))+('Info Lega'!$B$7-COUNTIFS($D$2:$D$492,'Info Lega'!$B$28,$B$2:$B$492,"C"))+('Info Lega'!$B$8-COUNTIFS($D$2:$D$492,'Info Lega'!$B$28,$B$2:$B$492,"A"))</f>
        <v>25</v>
      </c>
      <c r="Y119" s="18">
        <f>X119*'Parametri Modello'!$B$30</f>
        <v>25</v>
      </c>
      <c r="Z119" s="18">
        <f t="shared" si="11"/>
        <v>975</v>
      </c>
      <c r="AA119" s="18">
        <f t="shared" si="12"/>
        <v>18</v>
      </c>
      <c r="AB119" s="18"/>
      <c r="AC119" s="18" t="str">
        <f>IF($AB119="","",IF($AB119&gt;$AA119,"PASS",IF($AB119&lt;=$AA119*(1-'Parametri Modello'!$B$68),"BID","ATTENZIONE")))</f>
        <v/>
      </c>
      <c r="AD119" s="28">
        <f t="shared" si="13"/>
        <v>61</v>
      </c>
      <c r="AE119" s="5" t="str">
        <f>IFERROR(IF($AF119="Titolare",INDEX('Stato Asta'!$G$9:$G$12,MATCH($B119,'Stato Asta'!$A$9:$A$12,0)),INDEX('Stato Asta'!$P$9:$P$12,MATCH($B119,'Stato Asta'!$A$9:$A$12,0))),"")</f>
        <v>🟢 Puoi aspettare</v>
      </c>
      <c r="AF119" t="str">
        <f>IFERROR(IF($V119&lt;=INDEX('Parametri Modello'!$C$57:$C$60,MATCH($B119,'Parametri Modello'!$A$57:$A$60,0)),"Titolare","Riserva"),"")</f>
        <v>Titolare</v>
      </c>
      <c r="AG119" t="str">
        <f>IFERROR(INDEX('Pressione Competitiva'!$F$3:$F$6,MATCH($B119,'Pressione Competitiva'!$B$3:$B$6,0)),"")</f>
        <v>🔴 Molto Alta</v>
      </c>
      <c r="AH119" t="str">
        <f t="shared" si="14"/>
        <v/>
      </c>
      <c r="AI119" t="str">
        <f>IFERROR(IF($AH119="","",IF($AH119&gt;=$AA119*'Parametri Modello'!$B$68,"🟢 Opportunita'",IF($AH119&lt;=$AA119*'Parametri Modello'!$B$69,"🔴 Sovrapprezzo","🟡 Prezzo Corretto"))),"")</f>
        <v/>
      </c>
      <c r="AJ119" t="str">
        <f t="shared" si="15"/>
        <v/>
      </c>
      <c r="AK119">
        <f t="shared" si="16"/>
        <v>3</v>
      </c>
      <c r="AL119" t="str">
        <f t="shared" si="17"/>
        <v>D|Buono|3</v>
      </c>
    </row>
    <row r="120" spans="1:38" ht="14.25" customHeight="1" x14ac:dyDescent="0.25">
      <c r="A120" s="18">
        <v>6218</v>
      </c>
      <c r="B120" s="18" t="s">
        <v>264</v>
      </c>
      <c r="C120" s="18" t="s">
        <v>326</v>
      </c>
      <c r="E120" s="23" t="str">
        <f>IF(COUNTIF('Info Strategia'!$D$2:$D$51,$C120)&gt;0,"SI","NO")</f>
        <v>NO</v>
      </c>
      <c r="F120" s="24">
        <f>IFERROR(ROUND(($G120+($H120-$G120)*'Info Strategia'!$B$6)*(1+IF($E120="SI",'Parametri Modello'!$B$7*'Info Strategia'!$B$6,0)),0),"")</f>
        <v>3</v>
      </c>
      <c r="G120" s="24">
        <f>IFERROR(ROUND(MAX(1,(IF($V120&lt;=INDEX('Parametri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2</v>
      </c>
      <c r="H120" s="24">
        <f>IFERROR(ROUND((IF($V120&lt;=INDEX('Parametri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4</v>
      </c>
      <c r="I120" s="23">
        <f>IFERROR(INDEX('Input Statistiche 2025_26'!$F$3:$F$665,MATCH($A120,'Input Statistiche 2025_26'!$A$3:$A$665,0)),"")</f>
        <v>18</v>
      </c>
      <c r="J120" s="23">
        <f t="shared" si="9"/>
        <v>20</v>
      </c>
      <c r="K120" s="23">
        <f>IFERROR(INDEX('Input Statistiche 2025_26'!$I$3:$I$665,MATCH($A120,'Input Statistiche 2025_26'!$A$3:$A$665,0)),"")</f>
        <v>1</v>
      </c>
      <c r="L120" s="23">
        <f>IFERROR(INDEX('Input Statistiche 2025_26'!$O$3:$O$665,MATCH($A120,'Input Statistiche 2025_26'!$A$3:$A$665,0)),"")</f>
        <v>0</v>
      </c>
      <c r="M120" s="25"/>
      <c r="N120" s="24">
        <f>IFERROR(INDEX('Input Giocatori 2026_27'!$E$3:$E$493,MATCH($A120,'Input Giocatori 2026_27'!$A$3:$A$493,0)),"")</f>
        <v>7</v>
      </c>
      <c r="O120" s="24">
        <f>IFERROR(INDEX('Input Giocatori 2026_27'!$G$3:$G$493,MATCH($A120,'Input Giocatori 2026_27'!$A$3:$A$493,0)),"")</f>
        <v>27</v>
      </c>
      <c r="P120" s="23" t="str">
        <f>IFERROR(IF($O120="","",IF((1-(COUNTIFS($B$2:$B$492,$B120,$O$2:$O$492,"&gt;"&amp;$O120)+1-1)/COUNTIF($B$2:$B$492,$B120))&gt;='Parametri Modello'!$B$63,"Top",IF((1-(COUNTIFS($B$2:$B$492,$B120,$O$2:$O$492,"&gt;"&amp;$O120)+1-1)/COUNTIF($B$2:$B$492,$B120))&gt;='Parametri Modello'!$B$64,"Buono",IF((1-(COUNTIFS($B$2:$B$492,$B120,$O$2:$O$492,"&gt;"&amp;$O120)+1-1)/COUNTIF($B$2:$B$492,$B120))&gt;='Parametri Modello'!$B$65,"Nella Media","Scommessa/Riserva")))),"")</f>
        <v>Buono</v>
      </c>
      <c r="Q120" s="26">
        <f>IF(AND($D120="",$N120&gt;1),SUMPRODUCT(($D$2:$D120="")*($N$2:$N120&gt;1)),"")</f>
        <v>119</v>
      </c>
      <c r="R120" s="26" t="str">
        <f>IF($D120='Info Lega'!$B$28,COUNTIFS($D$2:$D120,'Info Lega'!$B$28),"")</f>
        <v/>
      </c>
      <c r="S120" s="27">
        <f>IFERROR(INDEX('Input Statistiche 2025_26'!$G$3:$G$665,MATCH($A120,'Input Statistiche 2025_26'!$A$3:$A$665,0)),"")</f>
        <v>5.78</v>
      </c>
      <c r="T120" s="27">
        <f>IFERROR(INDEX('Input Statistiche 2025_26'!$H$3:$H$665,MATCH($A120,'Input Statistiche 2025_26'!$A$3:$A$665,0)),"")</f>
        <v>5.92</v>
      </c>
      <c r="U120" s="23" t="str">
        <f>IF(OR('La Mia Rosa'!$O$12="",$D120&lt;&gt;""),"",IF($F120&lt;='La Mia Rosa'!$O$12*'Parametri Modello'!$B$24,"OK",IF($F120&lt;='La Mia Rosa'!$O$12*'Parametri Modello'!$B$25,"Attenzione","Rischio Alto")))</f>
        <v>OK</v>
      </c>
      <c r="V120" s="23">
        <f t="shared" si="10"/>
        <v>44</v>
      </c>
      <c r="W120" s="18">
        <f>'Info Lega'!$B$4-SUMIFS($M$2:$M$492,$D$2:$D$492,'Info Lega'!$B$28)</f>
        <v>1000</v>
      </c>
      <c r="X120" s="18">
        <f>('Info Lega'!$B$5-COUNTIFS($D$2:$D$492,'Info Lega'!$B$28,$B$2:$B$492,"P"))+('Info Lega'!$B$6-COUNTIFS($D$2:$D$492,'Info Lega'!$B$28,$B$2:$B$492,"D"))+('Info Lega'!$B$7-COUNTIFS($D$2:$D$492,'Info Lega'!$B$28,$B$2:$B$492,"C"))+('Info Lega'!$B$8-COUNTIFS($D$2:$D$492,'Info Lega'!$B$28,$B$2:$B$492,"A"))</f>
        <v>25</v>
      </c>
      <c r="Y120" s="18">
        <f>X120*'Parametri Modello'!$B$30</f>
        <v>25</v>
      </c>
      <c r="Z120" s="18">
        <f t="shared" si="11"/>
        <v>975</v>
      </c>
      <c r="AA120" s="18">
        <f t="shared" si="12"/>
        <v>3</v>
      </c>
      <c r="AB120" s="18"/>
      <c r="AC120" s="18" t="str">
        <f>IF($AB120="","",IF($AB120&gt;$AA120,"PASS",IF($AB120&lt;=$AA120*(1-'Parametri Modello'!$B$68),"BID","ATTENZIONE")))</f>
        <v/>
      </c>
      <c r="AD120" s="28">
        <f t="shared" si="13"/>
        <v>45</v>
      </c>
      <c r="AE120" s="5" t="str">
        <f>IFERROR(IF($AF120="Titolare",INDEX('Stato Asta'!$G$9:$G$12,MATCH($B120,'Stato Asta'!$A$9:$A$12,0)),INDEX('Stato Asta'!$P$9:$P$12,MATCH($B120,'Stato Asta'!$A$9:$A$12,0))),"")</f>
        <v>🟢 Riserve abbondanti</v>
      </c>
      <c r="AF120" t="str">
        <f>IFERROR(IF($V120&lt;=INDEX('Parametri Modello'!$C$57:$C$60,MATCH($B120,'Parametri Modello'!$A$57:$A$60,0)),"Titolare","Riserva"),"")</f>
        <v>Riserva</v>
      </c>
      <c r="AG120" t="str">
        <f>IFERROR(INDEX('Pressione Competitiva'!$F$3:$F$6,MATCH($B120,'Pressione Competitiva'!$B$3:$B$6,0)),"")</f>
        <v>🔴 Molto Alta</v>
      </c>
      <c r="AH120" t="str">
        <f t="shared" si="14"/>
        <v/>
      </c>
      <c r="AI120" t="str">
        <f>IFERROR(IF($AH120="","",IF($AH120&gt;=$AA120*'Parametri Modello'!$B$68,"🟢 Opportunita'",IF($AH120&lt;=$AA120*'Parametri Modello'!$B$69,"🔴 Sovrapprezzo","🟡 Prezzo Corretto"))),"")</f>
        <v/>
      </c>
      <c r="AJ120" t="str">
        <f t="shared" si="15"/>
        <v/>
      </c>
      <c r="AK120">
        <f t="shared" si="16"/>
        <v>26</v>
      </c>
      <c r="AL120" t="str">
        <f t="shared" si="17"/>
        <v>C|Buono|26</v>
      </c>
    </row>
    <row r="121" spans="1:38" ht="14.25" customHeight="1" x14ac:dyDescent="0.25">
      <c r="A121" s="18">
        <v>4807</v>
      </c>
      <c r="B121" s="18" t="s">
        <v>88</v>
      </c>
      <c r="C121" s="18" t="s">
        <v>108</v>
      </c>
      <c r="E121" s="23" t="str">
        <f>IF(COUNTIF('Info Strategia'!$D$2:$D$51,$C121)&gt;0,"SI","NO")</f>
        <v>NO</v>
      </c>
      <c r="F121" s="24">
        <f>IFERROR(ROUND(($G121+($H121-$G121)*'Info Strategia'!$B$6)*(1+IF($E121="SI",'Parametri Modello'!$B$7*'Info Strategia'!$B$6,0)),0),"")</f>
        <v>18</v>
      </c>
      <c r="G121" s="24">
        <f>IFERROR(ROUND(MAX(1,(IF($V121&lt;=INDEX('Parametri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13</v>
      </c>
      <c r="H121" s="24">
        <f>IFERROR(ROUND((IF($V121&lt;=INDEX('Parametri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20</v>
      </c>
      <c r="I121" s="23">
        <f>IFERROR(INDEX('Input Statistiche 2025_26'!$F$3:$F$665,MATCH($A121,'Input Statistiche 2025_26'!$A$3:$A$665,0)),"")</f>
        <v>27</v>
      </c>
      <c r="J121" s="23">
        <f t="shared" si="9"/>
        <v>11</v>
      </c>
      <c r="K121" s="23">
        <f>IFERROR(INDEX('Input Statistiche 2025_26'!$I$3:$I$665,MATCH($A121,'Input Statistiche 2025_26'!$A$3:$A$665,0)),"")</f>
        <v>3</v>
      </c>
      <c r="L121" s="23">
        <f>IFERROR(INDEX('Input Statistiche 2025_26'!$O$3:$O$665,MATCH($A121,'Input Statistiche 2025_26'!$A$3:$A$665,0)),"")</f>
        <v>2</v>
      </c>
      <c r="M121" s="25"/>
      <c r="N121" s="24">
        <f>IFERROR(INDEX('Input Giocatori 2026_27'!$E$3:$E$493,MATCH($A121,'Input Giocatori 2026_27'!$A$3:$A$493,0)),"")</f>
        <v>10</v>
      </c>
      <c r="O121" s="24">
        <f>IFERROR(INDEX('Input Giocatori 2026_27'!$G$3:$G$493,MATCH($A121,'Input Giocatori 2026_27'!$A$3:$A$493,0)),"")</f>
        <v>26</v>
      </c>
      <c r="P121" s="23" t="str">
        <f>IFERROR(IF($O121="","",IF((1-(COUNTIFS($B$2:$B$492,$B121,$O$2:$O$492,"&gt;"&amp;$O121)+1-1)/COUNTIF($B$2:$B$492,$B121))&gt;='Parametri Modello'!$B$63,"Top",IF((1-(COUNTIFS($B$2:$B$492,$B121,$O$2:$O$492,"&gt;"&amp;$O121)+1-1)/COUNTIF($B$2:$B$492,$B121))&gt;='Parametri Modello'!$B$64,"Buono",IF((1-(COUNTIFS($B$2:$B$492,$B121,$O$2:$O$492,"&gt;"&amp;$O121)+1-1)/COUNTIF($B$2:$B$492,$B121))&gt;='Parametri Modello'!$B$65,"Nella Media","Scommessa/Riserva")))),"")</f>
        <v>Buono</v>
      </c>
      <c r="Q121" s="26">
        <f>IF(AND($D121="",$N121&gt;1),SUMPRODUCT(($D$2:$D121="")*($N$2:$N121&gt;1)),"")</f>
        <v>120</v>
      </c>
      <c r="R121" s="26" t="str">
        <f>IF($D121='Info Lega'!$B$28,COUNTIFS($D$2:$D121,'Info Lega'!$B$28),"")</f>
        <v/>
      </c>
      <c r="S121" s="27">
        <f>IFERROR(INDEX('Input Statistiche 2025_26'!$G$3:$G$665,MATCH($A121,'Input Statistiche 2025_26'!$A$3:$A$665,0)),"")</f>
        <v>6.17</v>
      </c>
      <c r="T121" s="27">
        <f>IFERROR(INDEX('Input Statistiche 2025_26'!$H$3:$H$665,MATCH($A121,'Input Statistiche 2025_26'!$A$3:$A$665,0)),"")</f>
        <v>6.41</v>
      </c>
      <c r="U121" s="23" t="str">
        <f>IF(OR('La Mia Rosa'!$O$12="",$D121&lt;&gt;""),"",IF($F121&lt;='La Mia Rosa'!$O$12*'Parametri Modello'!$B$24,"OK",IF($F121&lt;='La Mia Rosa'!$O$12*'Parametri Modello'!$B$25,"Attenzione","Rischio Alto")))</f>
        <v>OK</v>
      </c>
      <c r="V121" s="23">
        <f t="shared" si="10"/>
        <v>24</v>
      </c>
      <c r="W121" s="18">
        <f>'Info Lega'!$B$4-SUMIFS($M$2:$M$492,$D$2:$D$492,'Info Lega'!$B$28)</f>
        <v>1000</v>
      </c>
      <c r="X121" s="18">
        <f>('Info Lega'!$B$5-COUNTIFS($D$2:$D$492,'Info Lega'!$B$28,$B$2:$B$492,"P"))+('Info Lega'!$B$6-COUNTIFS($D$2:$D$492,'Info Lega'!$B$28,$B$2:$B$492,"D"))+('Info Lega'!$B$7-COUNTIFS($D$2:$D$492,'Info Lega'!$B$28,$B$2:$B$492,"C"))+('Info Lega'!$B$8-COUNTIFS($D$2:$D$492,'Info Lega'!$B$28,$B$2:$B$492,"A"))</f>
        <v>25</v>
      </c>
      <c r="Y121" s="18">
        <f>X121*'Parametri Modello'!$B$30</f>
        <v>25</v>
      </c>
      <c r="Z121" s="18">
        <f t="shared" si="11"/>
        <v>975</v>
      </c>
      <c r="AA121" s="18">
        <f t="shared" si="12"/>
        <v>18</v>
      </c>
      <c r="AB121" s="18"/>
      <c r="AC121" s="18" t="str">
        <f>IF($AB121="","",IF($AB121&gt;$AA121,"PASS",IF($AB121&lt;=$AA121*(1-'Parametri Modello'!$B$68),"BID","ATTENZIONE")))</f>
        <v/>
      </c>
      <c r="AD121" s="28">
        <f t="shared" si="13"/>
        <v>59</v>
      </c>
      <c r="AE121" s="5" t="str">
        <f>IFERROR(IF($AF121="Titolare",INDEX('Stato Asta'!$G$9:$G$12,MATCH($B121,'Stato Asta'!$A$9:$A$12,0)),INDEX('Stato Asta'!$P$9:$P$12,MATCH($B121,'Stato Asta'!$A$9:$A$12,0))),"")</f>
        <v>🟢 Puoi aspettare</v>
      </c>
      <c r="AF121" t="str">
        <f>IFERROR(IF($V121&lt;=INDEX('Parametri Modello'!$C$57:$C$60,MATCH($B121,'Parametri Modello'!$A$57:$A$60,0)),"Titolare","Riserva"),"")</f>
        <v>Titolare</v>
      </c>
      <c r="AG121" t="str">
        <f>IFERROR(INDEX('Pressione Competitiva'!$F$3:$F$6,MATCH($B121,'Pressione Competitiva'!$B$3:$B$6,0)),"")</f>
        <v>🔴 Molto Alta</v>
      </c>
      <c r="AH121" t="str">
        <f t="shared" si="14"/>
        <v/>
      </c>
      <c r="AI121" t="str">
        <f>IFERROR(IF($AH121="","",IF($AH121&gt;=$AA121*'Parametri Modello'!$B$68,"🟢 Opportunita'",IF($AH121&lt;=$AA121*'Parametri Modello'!$B$69,"🔴 Sovrapprezzo","🟡 Prezzo Corretto"))),"")</f>
        <v/>
      </c>
      <c r="AJ121" t="str">
        <f t="shared" si="15"/>
        <v/>
      </c>
      <c r="AK121">
        <f t="shared" si="16"/>
        <v>6</v>
      </c>
      <c r="AL121" t="str">
        <f t="shared" si="17"/>
        <v>D|Buono|6</v>
      </c>
    </row>
    <row r="122" spans="1:38" ht="14.25" customHeight="1" x14ac:dyDescent="0.25">
      <c r="A122" s="18">
        <v>7070</v>
      </c>
      <c r="B122" s="18" t="s">
        <v>264</v>
      </c>
      <c r="C122" s="18" t="s">
        <v>311</v>
      </c>
      <c r="E122" s="23" t="str">
        <f>IF(COUNTIF('Info Strategia'!$D$2:$D$51,$C122)&gt;0,"SI","NO")</f>
        <v>NO</v>
      </c>
      <c r="F122" s="24">
        <f>IFERROR(ROUND(($G122+($H122-$G122)*'Info Strategia'!$B$6)*(1+IF($E122="SI",'Parametri Modello'!$B$7*'Info Strategia'!$B$6,0)),0),"")</f>
        <v>3</v>
      </c>
      <c r="G122" s="24">
        <f>IFERROR(ROUND(MAX(1,(IF($V122&lt;=INDEX('Parametri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2</v>
      </c>
      <c r="H122" s="24">
        <f>IFERROR(ROUND((IF($V122&lt;=INDEX('Parametri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4</v>
      </c>
      <c r="I122" s="23">
        <f>IFERROR(INDEX('Input Statistiche 2025_26'!$F$3:$F$665,MATCH($A122,'Input Statistiche 2025_26'!$A$3:$A$665,0)),"")</f>
        <v>28</v>
      </c>
      <c r="J122" s="23">
        <f t="shared" si="9"/>
        <v>10</v>
      </c>
      <c r="K122" s="23">
        <f>IFERROR(INDEX('Input Statistiche 2025_26'!$I$3:$I$665,MATCH($A122,'Input Statistiche 2025_26'!$A$3:$A$665,0)),"")</f>
        <v>2</v>
      </c>
      <c r="L122" s="23">
        <f>IFERROR(INDEX('Input Statistiche 2025_26'!$O$3:$O$665,MATCH($A122,'Input Statistiche 2025_26'!$A$3:$A$665,0)),"")</f>
        <v>2</v>
      </c>
      <c r="M122" s="25"/>
      <c r="N122" s="24">
        <f>IFERROR(INDEX('Input Giocatori 2026_27'!$E$3:$E$493,MATCH($A122,'Input Giocatori 2026_27'!$A$3:$A$493,0)),"")</f>
        <v>8</v>
      </c>
      <c r="O122" s="24">
        <f>IFERROR(INDEX('Input Giocatori 2026_27'!$G$3:$G$493,MATCH($A122,'Input Giocatori 2026_27'!$A$3:$A$493,0)),"")</f>
        <v>26</v>
      </c>
      <c r="P122" s="23" t="str">
        <f>IFERROR(IF($O122="","",IF((1-(COUNTIFS($B$2:$B$492,$B122,$O$2:$O$492,"&gt;"&amp;$O122)+1-1)/COUNTIF($B$2:$B$492,$B122))&gt;='Parametri Modello'!$B$63,"Top",IF((1-(COUNTIFS($B$2:$B$492,$B122,$O$2:$O$492,"&gt;"&amp;$O122)+1-1)/COUNTIF($B$2:$B$492,$B122))&gt;='Parametri Modello'!$B$64,"Buono",IF((1-(COUNTIFS($B$2:$B$492,$B122,$O$2:$O$492,"&gt;"&amp;$O122)+1-1)/COUNTIF($B$2:$B$492,$B122))&gt;='Parametri Modello'!$B$65,"Nella Media","Scommessa/Riserva")))),"")</f>
        <v>Buono</v>
      </c>
      <c r="Q122" s="26">
        <f>IF(AND($D122="",$N122&gt;1),SUMPRODUCT(($D$2:$D122="")*($N$2:$N122&gt;1)),"")</f>
        <v>121</v>
      </c>
      <c r="R122" s="26" t="str">
        <f>IF($D122='Info Lega'!$B$28,COUNTIFS($D$2:$D122,'Info Lega'!$B$28),"")</f>
        <v/>
      </c>
      <c r="S122" s="27">
        <f>IFERROR(INDEX('Input Statistiche 2025_26'!$G$3:$G$665,MATCH($A122,'Input Statistiche 2025_26'!$A$3:$A$665,0)),"")</f>
        <v>6.07</v>
      </c>
      <c r="T122" s="27">
        <f>IFERROR(INDEX('Input Statistiche 2025_26'!$H$3:$H$665,MATCH($A122,'Input Statistiche 2025_26'!$A$3:$A$665,0)),"")</f>
        <v>6.27</v>
      </c>
      <c r="U122" s="23" t="str">
        <f>IF(OR('La Mia Rosa'!$O$12="",$D122&lt;&gt;""),"",IF($F122&lt;='La Mia Rosa'!$O$12*'Parametri Modello'!$B$24,"OK",IF($F122&lt;='La Mia Rosa'!$O$12*'Parametri Modello'!$B$25,"Attenzione","Rischio Alto")))</f>
        <v>OK</v>
      </c>
      <c r="V122" s="23">
        <f t="shared" si="10"/>
        <v>45</v>
      </c>
      <c r="W122" s="18">
        <f>'Info Lega'!$B$4-SUMIFS($M$2:$M$492,$D$2:$D$492,'Info Lega'!$B$28)</f>
        <v>1000</v>
      </c>
      <c r="X122" s="18">
        <f>('Info Lega'!$B$5-COUNTIFS($D$2:$D$492,'Info Lega'!$B$28,$B$2:$B$492,"P"))+('Info Lega'!$B$6-COUNTIFS($D$2:$D$492,'Info Lega'!$B$28,$B$2:$B$492,"D"))+('Info Lega'!$B$7-COUNTIFS($D$2:$D$492,'Info Lega'!$B$28,$B$2:$B$492,"C"))+('Info Lega'!$B$8-COUNTIFS($D$2:$D$492,'Info Lega'!$B$28,$B$2:$B$492,"A"))</f>
        <v>25</v>
      </c>
      <c r="Y122" s="18">
        <f>X122*'Parametri Modello'!$B$30</f>
        <v>25</v>
      </c>
      <c r="Z122" s="18">
        <f t="shared" si="11"/>
        <v>975</v>
      </c>
      <c r="AA122" s="18">
        <f t="shared" si="12"/>
        <v>3</v>
      </c>
      <c r="AB122" s="18"/>
      <c r="AC122" s="18" t="str">
        <f>IF($AB122="","",IF($AB122&gt;$AA122,"PASS",IF($AB122&lt;=$AA122*(1-'Parametri Modello'!$B$68),"BID","ATTENZIONE")))</f>
        <v/>
      </c>
      <c r="AD122" s="28">
        <f t="shared" si="13"/>
        <v>61</v>
      </c>
      <c r="AE122" s="5" t="str">
        <f>IFERROR(IF($AF122="Titolare",INDEX('Stato Asta'!$G$9:$G$12,MATCH($B122,'Stato Asta'!$A$9:$A$12,0)),INDEX('Stato Asta'!$P$9:$P$12,MATCH($B122,'Stato Asta'!$A$9:$A$12,0))),"")</f>
        <v>🟢 Riserve abbondanti</v>
      </c>
      <c r="AF122" t="str">
        <f>IFERROR(IF($V122&lt;=INDEX('Parametri Modello'!$C$57:$C$60,MATCH($B122,'Parametri Modello'!$A$57:$A$60,0)),"Titolare","Riserva"),"")</f>
        <v>Riserva</v>
      </c>
      <c r="AG122" t="str">
        <f>IFERROR(INDEX('Pressione Competitiva'!$F$3:$F$6,MATCH($B122,'Pressione Competitiva'!$B$3:$B$6,0)),"")</f>
        <v>🔴 Molto Alta</v>
      </c>
      <c r="AH122" t="str">
        <f t="shared" si="14"/>
        <v/>
      </c>
      <c r="AI122" t="str">
        <f>IFERROR(IF($AH122="","",IF($AH122&gt;=$AA122*'Parametri Modello'!$B$68,"🟢 Opportunita'",IF($AH122&lt;=$AA122*'Parametri Modello'!$B$69,"🔴 Sovrapprezzo","🟡 Prezzo Corretto"))),"")</f>
        <v/>
      </c>
      <c r="AJ122" t="str">
        <f t="shared" si="15"/>
        <v/>
      </c>
      <c r="AK122">
        <f t="shared" si="16"/>
        <v>27</v>
      </c>
      <c r="AL122" t="str">
        <f t="shared" si="17"/>
        <v>C|Buono|27</v>
      </c>
    </row>
    <row r="123" spans="1:38" ht="14.25" customHeight="1" x14ac:dyDescent="0.25">
      <c r="A123" s="18">
        <v>2134</v>
      </c>
      <c r="B123" s="18" t="s">
        <v>8</v>
      </c>
      <c r="C123" s="18" t="s">
        <v>35</v>
      </c>
      <c r="E123" s="23" t="str">
        <f>IF(COUNTIF('Info Strategia'!$D$2:$D$51,$C123)&gt;0,"SI","NO")</f>
        <v>NO</v>
      </c>
      <c r="F123" s="24">
        <f>IFERROR(ROUND(($G123+($H123-$G123)*'Info Strategia'!$B$6)*(1+IF($E123="SI",'Parametri Modello'!$B$7*'Info Strategia'!$B$6,0)),0),"")</f>
        <v>8</v>
      </c>
      <c r="G123" s="24">
        <f>IFERROR(ROUND(MAX(1,(IF($V123&lt;=INDEX('Parametri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7</v>
      </c>
      <c r="H123" s="24">
        <f>IFERROR(ROUND((IF($V123&lt;=INDEX('Parametri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9</v>
      </c>
      <c r="I123" s="23">
        <f>IFERROR(INDEX('Input Statistiche 2025_26'!$F$3:$F$665,MATCH($A123,'Input Statistiche 2025_26'!$A$3:$A$665,0)),"")</f>
        <v>38</v>
      </c>
      <c r="J123" s="23">
        <f t="shared" si="9"/>
        <v>0</v>
      </c>
      <c r="K123" s="23">
        <f>IFERROR(INDEX('Input Statistiche 2025_26'!$I$3:$I$665,MATCH($A123,'Input Statistiche 2025_26'!$A$3:$A$665,0)),"")</f>
        <v>0</v>
      </c>
      <c r="L123" s="23">
        <f>IFERROR(INDEX('Input Statistiche 2025_26'!$O$3:$O$665,MATCH($A123,'Input Statistiche 2025_26'!$A$3:$A$665,0)),"")</f>
        <v>0</v>
      </c>
      <c r="M123" s="25"/>
      <c r="N123" s="24">
        <f>IFERROR(INDEX('Input Giocatori 2026_27'!$E$3:$E$493,MATCH($A123,'Input Giocatori 2026_27'!$A$3:$A$493,0)),"")</f>
        <v>8</v>
      </c>
      <c r="O123" s="24">
        <f>IFERROR(INDEX('Input Giocatori 2026_27'!$G$3:$G$493,MATCH($A123,'Input Giocatori 2026_27'!$A$3:$A$493,0)),"")</f>
        <v>25</v>
      </c>
      <c r="P123" s="23" t="str">
        <f>IFERROR(IF($O123="","",IF((1-(COUNTIFS($B$2:$B$492,$B123,$O$2:$O$492,"&gt;"&amp;$O123)+1-1)/COUNTIF($B$2:$B$492,$B123))&gt;='Parametri Modello'!$B$63,"Top",IF((1-(COUNTIFS($B$2:$B$492,$B123,$O$2:$O$492,"&gt;"&amp;$O123)+1-1)/COUNTIF($B$2:$B$492,$B123))&gt;='Parametri Modello'!$B$64,"Buono",IF((1-(COUNTIFS($B$2:$B$492,$B123,$O$2:$O$492,"&gt;"&amp;$O123)+1-1)/COUNTIF($B$2:$B$492,$B123))&gt;='Parametri Modello'!$B$65,"Nella Media","Scommessa/Riserva")))),"")</f>
        <v>Buono</v>
      </c>
      <c r="Q123" s="26">
        <f>IF(AND($D123="",$N123&gt;1),SUMPRODUCT(($D$2:$D123="")*($N$2:$N123&gt;1)),"")</f>
        <v>122</v>
      </c>
      <c r="R123" s="26" t="str">
        <f>IF($D123='Info Lega'!$B$28,COUNTIFS($D$2:$D123,'Info Lega'!$B$28),"")</f>
        <v/>
      </c>
      <c r="S123" s="27">
        <f>IFERROR(INDEX('Input Statistiche 2025_26'!$G$3:$G$665,MATCH($A123,'Input Statistiche 2025_26'!$A$3:$A$665,0)),"")</f>
        <v>6.41</v>
      </c>
      <c r="T123" s="27">
        <f>IFERROR(INDEX('Input Statistiche 2025_26'!$H$3:$H$665,MATCH($A123,'Input Statistiche 2025_26'!$A$3:$A$665,0)),"")</f>
        <v>5.22</v>
      </c>
      <c r="U123" s="23" t="str">
        <f>IF(OR('La Mia Rosa'!$O$12="",$D123&lt;&gt;""),"",IF($F123&lt;='La Mia Rosa'!$O$12*'Parametri Modello'!$B$24,"OK",IF($F123&lt;='La Mia Rosa'!$O$12*'Parametri Modello'!$B$25,"Attenzione","Rischio Alto")))</f>
        <v>OK</v>
      </c>
      <c r="V123" s="23">
        <f t="shared" si="10"/>
        <v>13</v>
      </c>
      <c r="W123" s="18">
        <f>'Info Lega'!$B$4-SUMIFS($M$2:$M$492,$D$2:$D$492,'Info Lega'!$B$28)</f>
        <v>1000</v>
      </c>
      <c r="X123" s="18">
        <f>('Info Lega'!$B$5-COUNTIFS($D$2:$D$492,'Info Lega'!$B$28,$B$2:$B$492,"P"))+('Info Lega'!$B$6-COUNTIFS($D$2:$D$492,'Info Lega'!$B$28,$B$2:$B$492,"D"))+('Info Lega'!$B$7-COUNTIFS($D$2:$D$492,'Info Lega'!$B$28,$B$2:$B$492,"C"))+('Info Lega'!$B$8-COUNTIFS($D$2:$D$492,'Info Lega'!$B$28,$B$2:$B$492,"A"))</f>
        <v>25</v>
      </c>
      <c r="Y123" s="18">
        <f>X123*'Parametri Modello'!$B$30</f>
        <v>25</v>
      </c>
      <c r="Z123" s="18">
        <f t="shared" si="11"/>
        <v>975</v>
      </c>
      <c r="AA123" s="18">
        <f t="shared" si="12"/>
        <v>8</v>
      </c>
      <c r="AB123" s="18"/>
      <c r="AC123" s="18" t="str">
        <f>IF($AB123="","",IF($AB123&gt;$AA123,"PASS",IF($AB123&lt;=$AA123*(1-'Parametri Modello'!$B$68),"BID","ATTENZIONE")))</f>
        <v/>
      </c>
      <c r="AD123" s="28">
        <f t="shared" si="13"/>
        <v>72</v>
      </c>
      <c r="AE123" s="5" t="str">
        <f>IFERROR(IF($AF123="Titolare",INDEX('Stato Asta'!$G$9:$G$12,MATCH($B123,'Stato Asta'!$A$9:$A$12,0)),INDEX('Stato Asta'!$P$9:$P$12,MATCH($B123,'Stato Asta'!$A$9:$A$12,0))),"")</f>
        <v>🔴 Riserve scarse</v>
      </c>
      <c r="AF123" t="str">
        <f>IFERROR(IF($V123&lt;=INDEX('Parametri Modello'!$C$57:$C$60,MATCH($B123,'Parametri Modello'!$A$57:$A$60,0)),"Titolare","Riserva"),"")</f>
        <v>Riserva</v>
      </c>
      <c r="AG123" t="str">
        <f>IFERROR(INDEX('Pressione Competitiva'!$F$3:$F$6,MATCH($B123,'Pressione Competitiva'!$B$3:$B$6,0)),"")</f>
        <v>🔴 Molto Alta</v>
      </c>
      <c r="AH123" t="str">
        <f t="shared" si="14"/>
        <v/>
      </c>
      <c r="AI123" t="str">
        <f>IFERROR(IF($AH123="","",IF($AH123&gt;=$AA123*'Parametri Modello'!$B$68,"🟢 Opportunita'",IF($AH123&lt;=$AA123*'Parametri Modello'!$B$69,"🔴 Sovrapprezzo","🟡 Prezzo Corretto"))),"")</f>
        <v/>
      </c>
      <c r="AJ123" t="str">
        <f t="shared" si="15"/>
        <v/>
      </c>
      <c r="AK123">
        <f t="shared" si="16"/>
        <v>6</v>
      </c>
      <c r="AL123" t="str">
        <f t="shared" si="17"/>
        <v>P|Buono|6</v>
      </c>
    </row>
    <row r="124" spans="1:38" ht="14.25" customHeight="1" x14ac:dyDescent="0.25">
      <c r="A124" s="18">
        <v>6496</v>
      </c>
      <c r="B124" s="18" t="s">
        <v>88</v>
      </c>
      <c r="C124" s="18" t="s">
        <v>120</v>
      </c>
      <c r="E124" s="23" t="str">
        <f>IF(COUNTIF('Info Strategia'!$D$2:$D$51,$C124)&gt;0,"SI","NO")</f>
        <v>NO</v>
      </c>
      <c r="F124" s="24">
        <f>IFERROR(ROUND(($G124+($H124-$G124)*'Info Strategia'!$B$6)*(1+IF($E124="SI",'Parametri Modello'!$B$7*'Info Strategia'!$B$6,0)),0),"")</f>
        <v>4</v>
      </c>
      <c r="G124" s="24">
        <f>IFERROR(ROUND(MAX(1,(IF($V124&lt;=INDEX('Parametri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3</v>
      </c>
      <c r="H124" s="24">
        <f>IFERROR(ROUND((IF($V124&lt;=INDEX('Parametri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5</v>
      </c>
      <c r="I124" s="23">
        <f>IFERROR(INDEX('Input Statistiche 2025_26'!$F$3:$F$665,MATCH($A124,'Input Statistiche 2025_26'!$A$3:$A$665,0)),"")</f>
        <v>31</v>
      </c>
      <c r="J124" s="23">
        <f t="shared" si="9"/>
        <v>7</v>
      </c>
      <c r="K124" s="23">
        <f>IFERROR(INDEX('Input Statistiche 2025_26'!$I$3:$I$665,MATCH($A124,'Input Statistiche 2025_26'!$A$3:$A$665,0)),"")</f>
        <v>2</v>
      </c>
      <c r="L124" s="23">
        <f>IFERROR(INDEX('Input Statistiche 2025_26'!$O$3:$O$665,MATCH($A124,'Input Statistiche 2025_26'!$A$3:$A$665,0)),"")</f>
        <v>0</v>
      </c>
      <c r="M124" s="25"/>
      <c r="N124" s="24">
        <f>IFERROR(INDEX('Input Giocatori 2026_27'!$E$3:$E$493,MATCH($A124,'Input Giocatori 2026_27'!$A$3:$A$493,0)),"")</f>
        <v>8</v>
      </c>
      <c r="O124" s="24">
        <f>IFERROR(INDEX('Input Giocatori 2026_27'!$G$3:$G$493,MATCH($A124,'Input Giocatori 2026_27'!$A$3:$A$493,0)),"")</f>
        <v>25</v>
      </c>
      <c r="P124" s="23" t="str">
        <f>IFERROR(IF($O124="","",IF((1-(COUNTIFS($B$2:$B$492,$B124,$O$2:$O$492,"&gt;"&amp;$O124)+1-1)/COUNTIF($B$2:$B$492,$B124))&gt;='Parametri Modello'!$B$63,"Top",IF((1-(COUNTIFS($B$2:$B$492,$B124,$O$2:$O$492,"&gt;"&amp;$O124)+1-1)/COUNTIF($B$2:$B$492,$B124))&gt;='Parametri Modello'!$B$64,"Buono",IF((1-(COUNTIFS($B$2:$B$492,$B124,$O$2:$O$492,"&gt;"&amp;$O124)+1-1)/COUNTIF($B$2:$B$492,$B124))&gt;='Parametri Modello'!$B$65,"Nella Media","Scommessa/Riserva")))),"")</f>
        <v>Buono</v>
      </c>
      <c r="Q124" s="26">
        <f>IF(AND($D124="",$N124&gt;1),SUMPRODUCT(($D$2:$D124="")*($N$2:$N124&gt;1)),"")</f>
        <v>123</v>
      </c>
      <c r="R124" s="26" t="str">
        <f>IF($D124='Info Lega'!$B$28,COUNTIFS($D$2:$D124,'Info Lega'!$B$28),"")</f>
        <v/>
      </c>
      <c r="S124" s="27">
        <f>IFERROR(INDEX('Input Statistiche 2025_26'!$G$3:$G$665,MATCH($A124,'Input Statistiche 2025_26'!$A$3:$A$665,0)),"")</f>
        <v>5.97</v>
      </c>
      <c r="T124" s="27">
        <f>IFERROR(INDEX('Input Statistiche 2025_26'!$H$3:$H$665,MATCH($A124,'Input Statistiche 2025_26'!$A$3:$A$665,0)),"")</f>
        <v>6.05</v>
      </c>
      <c r="U124" s="23" t="str">
        <f>IF(OR('La Mia Rosa'!$O$12="",$D124&lt;&gt;""),"",IF($F124&lt;='La Mia Rosa'!$O$12*'Parametri Modello'!$B$24,"OK",IF($F124&lt;='La Mia Rosa'!$O$12*'Parametri Modello'!$B$25,"Attenzione","Rischio Alto")))</f>
        <v>OK</v>
      </c>
      <c r="V124" s="23">
        <f t="shared" si="10"/>
        <v>25</v>
      </c>
      <c r="W124" s="18">
        <f>'Info Lega'!$B$4-SUMIFS($M$2:$M$492,$D$2:$D$492,'Info Lega'!$B$28)</f>
        <v>1000</v>
      </c>
      <c r="X124" s="18">
        <f>('Info Lega'!$B$5-COUNTIFS($D$2:$D$492,'Info Lega'!$B$28,$B$2:$B$492,"P"))+('Info Lega'!$B$6-COUNTIFS($D$2:$D$492,'Info Lega'!$B$28,$B$2:$B$492,"D"))+('Info Lega'!$B$7-COUNTIFS($D$2:$D$492,'Info Lega'!$B$28,$B$2:$B$492,"C"))+('Info Lega'!$B$8-COUNTIFS($D$2:$D$492,'Info Lega'!$B$28,$B$2:$B$492,"A"))</f>
        <v>25</v>
      </c>
      <c r="Y124" s="18">
        <f>X124*'Parametri Modello'!$B$30</f>
        <v>25</v>
      </c>
      <c r="Z124" s="18">
        <f t="shared" si="11"/>
        <v>975</v>
      </c>
      <c r="AA124" s="18">
        <f t="shared" si="12"/>
        <v>4</v>
      </c>
      <c r="AB124" s="18"/>
      <c r="AC124" s="18" t="str">
        <f>IF($AB124="","",IF($AB124&gt;$AA124,"PASS",IF($AB124&lt;=$AA124*(1-'Parametri Modello'!$B$68),"BID","ATTENZIONE")))</f>
        <v/>
      </c>
      <c r="AD124" s="28">
        <f t="shared" si="13"/>
        <v>64</v>
      </c>
      <c r="AE124" s="5" t="str">
        <f>IFERROR(IF($AF124="Titolare",INDEX('Stato Asta'!$G$9:$G$12,MATCH($B124,'Stato Asta'!$A$9:$A$12,0)),INDEX('Stato Asta'!$P$9:$P$12,MATCH($B124,'Stato Asta'!$A$9:$A$12,0))),"")</f>
        <v>🟢 Riserve abbondanti</v>
      </c>
      <c r="AF124" t="str">
        <f>IFERROR(IF($V124&lt;=INDEX('Parametri Modello'!$C$57:$C$60,MATCH($B124,'Parametri Modello'!$A$57:$A$60,0)),"Titolare","Riserva"),"")</f>
        <v>Riserva</v>
      </c>
      <c r="AG124" t="str">
        <f>IFERROR(INDEX('Pressione Competitiva'!$F$3:$F$6,MATCH($B124,'Pressione Competitiva'!$B$3:$B$6,0)),"")</f>
        <v>🔴 Molto Alta</v>
      </c>
      <c r="AH124" t="str">
        <f t="shared" si="14"/>
        <v/>
      </c>
      <c r="AI124" t="str">
        <f>IFERROR(IF($AH124="","",IF($AH124&gt;=$AA124*'Parametri Modello'!$B$68,"🟢 Opportunita'",IF($AH124&lt;=$AA124*'Parametri Modello'!$B$69,"🔴 Sovrapprezzo","🟡 Prezzo Corretto"))),"")</f>
        <v/>
      </c>
      <c r="AJ124" t="str">
        <f t="shared" si="15"/>
        <v/>
      </c>
      <c r="AK124">
        <f t="shared" si="16"/>
        <v>7</v>
      </c>
      <c r="AL124" t="str">
        <f t="shared" si="17"/>
        <v>D|Buono|7</v>
      </c>
    </row>
    <row r="125" spans="1:38" ht="14.25" customHeight="1" x14ac:dyDescent="0.25">
      <c r="A125" s="18">
        <v>6398</v>
      </c>
      <c r="B125" s="18" t="s">
        <v>264</v>
      </c>
      <c r="C125" s="18" t="s">
        <v>304</v>
      </c>
      <c r="E125" s="23" t="str">
        <f>IF(COUNTIF('Info Strategia'!$D$2:$D$51,$C125)&gt;0,"SI","NO")</f>
        <v>NO</v>
      </c>
      <c r="F125" s="24">
        <f>IFERROR(ROUND(($G125+($H125-$G125)*'Info Strategia'!$B$6)*(1+IF($E125="SI",'Parametri Modello'!$B$7*'Info Strategia'!$B$6,0)),0),"")</f>
        <v>3</v>
      </c>
      <c r="G125" s="24">
        <f>IFERROR(ROUND(MAX(1,(IF($V125&lt;=INDEX('Parametri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2</v>
      </c>
      <c r="H125" s="24">
        <f>IFERROR(ROUND((IF($V125&lt;=INDEX('Parametri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4</v>
      </c>
      <c r="I125" s="23">
        <f>IFERROR(INDEX('Input Statistiche 2025_26'!$F$3:$F$665,MATCH($A125,'Input Statistiche 2025_26'!$A$3:$A$665,0)),"")</f>
        <v>27</v>
      </c>
      <c r="J125" s="23">
        <f t="shared" si="9"/>
        <v>11</v>
      </c>
      <c r="K125" s="23">
        <f>IFERROR(INDEX('Input Statistiche 2025_26'!$I$3:$I$665,MATCH($A125,'Input Statistiche 2025_26'!$A$3:$A$665,0)),"")</f>
        <v>5</v>
      </c>
      <c r="L125" s="23">
        <f>IFERROR(INDEX('Input Statistiche 2025_26'!$O$3:$O$665,MATCH($A125,'Input Statistiche 2025_26'!$A$3:$A$665,0)),"")</f>
        <v>1</v>
      </c>
      <c r="M125" s="25"/>
      <c r="N125" s="24">
        <f>IFERROR(INDEX('Input Giocatori 2026_27'!$E$3:$E$493,MATCH($A125,'Input Giocatori 2026_27'!$A$3:$A$493,0)),"")</f>
        <v>9</v>
      </c>
      <c r="O125" s="24">
        <f>IFERROR(INDEX('Input Giocatori 2026_27'!$G$3:$G$493,MATCH($A125,'Input Giocatori 2026_27'!$A$3:$A$493,0)),"")</f>
        <v>25</v>
      </c>
      <c r="P125" s="23" t="str">
        <f>IFERROR(IF($O125="","",IF((1-(COUNTIFS($B$2:$B$492,$B125,$O$2:$O$492,"&gt;"&amp;$O125)+1-1)/COUNTIF($B$2:$B$492,$B125))&gt;='Parametri Modello'!$B$63,"Top",IF((1-(COUNTIFS($B$2:$B$492,$B125,$O$2:$O$492,"&gt;"&amp;$O125)+1-1)/COUNTIF($B$2:$B$492,$B125))&gt;='Parametri Modello'!$B$64,"Buono",IF((1-(COUNTIFS($B$2:$B$492,$B125,$O$2:$O$492,"&gt;"&amp;$O125)+1-1)/COUNTIF($B$2:$B$492,$B125))&gt;='Parametri Modello'!$B$65,"Nella Media","Scommessa/Riserva")))),"")</f>
        <v>Buono</v>
      </c>
      <c r="Q125" s="26">
        <f>IF(AND($D125="",$N125&gt;1),SUMPRODUCT(($D$2:$D125="")*($N$2:$N125&gt;1)),"")</f>
        <v>124</v>
      </c>
      <c r="R125" s="26" t="str">
        <f>IF($D125='Info Lega'!$B$28,COUNTIFS($D$2:$D125,'Info Lega'!$B$28),"")</f>
        <v/>
      </c>
      <c r="S125" s="27">
        <f>IFERROR(INDEX('Input Statistiche 2025_26'!$G$3:$G$665,MATCH($A125,'Input Statistiche 2025_26'!$A$3:$A$665,0)),"")</f>
        <v>6.04</v>
      </c>
      <c r="T125" s="27">
        <f>IFERROR(INDEX('Input Statistiche 2025_26'!$H$3:$H$665,MATCH($A125,'Input Statistiche 2025_26'!$A$3:$A$665,0)),"")</f>
        <v>6.63</v>
      </c>
      <c r="U125" s="23" t="str">
        <f>IF(OR('La Mia Rosa'!$O$12="",$D125&lt;&gt;""),"",IF($F125&lt;='La Mia Rosa'!$O$12*'Parametri Modello'!$B$24,"OK",IF($F125&lt;='La Mia Rosa'!$O$12*'Parametri Modello'!$B$25,"Attenzione","Rischio Alto")))</f>
        <v>OK</v>
      </c>
      <c r="V125" s="23">
        <f t="shared" si="10"/>
        <v>46</v>
      </c>
      <c r="W125" s="18">
        <f>'Info Lega'!$B$4-SUMIFS($M$2:$M$492,$D$2:$D$492,'Info Lega'!$B$28)</f>
        <v>1000</v>
      </c>
      <c r="X125" s="18">
        <f>('Info Lega'!$B$5-COUNTIFS($D$2:$D$492,'Info Lega'!$B$28,$B$2:$B$492,"P"))+('Info Lega'!$B$6-COUNTIFS($D$2:$D$492,'Info Lega'!$B$28,$B$2:$B$492,"D"))+('Info Lega'!$B$7-COUNTIFS($D$2:$D$492,'Info Lega'!$B$28,$B$2:$B$492,"C"))+('Info Lega'!$B$8-COUNTIFS($D$2:$D$492,'Info Lega'!$B$28,$B$2:$B$492,"A"))</f>
        <v>25</v>
      </c>
      <c r="Y125" s="18">
        <f>X125*'Parametri Modello'!$B$30</f>
        <v>25</v>
      </c>
      <c r="Z125" s="18">
        <f t="shared" si="11"/>
        <v>975</v>
      </c>
      <c r="AA125" s="18">
        <f t="shared" si="12"/>
        <v>3</v>
      </c>
      <c r="AB125" s="18"/>
      <c r="AC125" s="18" t="str">
        <f>IF($AB125="","",IF($AB125&gt;$AA125,"PASS",IF($AB125&lt;=$AA125*(1-'Parametri Modello'!$B$68),"BID","ATTENZIONE")))</f>
        <v/>
      </c>
      <c r="AD125" s="28">
        <f t="shared" si="13"/>
        <v>59</v>
      </c>
      <c r="AE125" s="5" t="str">
        <f>IFERROR(IF($AF125="Titolare",INDEX('Stato Asta'!$G$9:$G$12,MATCH($B125,'Stato Asta'!$A$9:$A$12,0)),INDEX('Stato Asta'!$P$9:$P$12,MATCH($B125,'Stato Asta'!$A$9:$A$12,0))),"")</f>
        <v>🟢 Riserve abbondanti</v>
      </c>
      <c r="AF125" t="str">
        <f>IFERROR(IF($V125&lt;=INDEX('Parametri Modello'!$C$57:$C$60,MATCH($B125,'Parametri Modello'!$A$57:$A$60,0)),"Titolare","Riserva"),"")</f>
        <v>Riserva</v>
      </c>
      <c r="AG125" t="str">
        <f>IFERROR(INDEX('Pressione Competitiva'!$F$3:$F$6,MATCH($B125,'Pressione Competitiva'!$B$3:$B$6,0)),"")</f>
        <v>🔴 Molto Alta</v>
      </c>
      <c r="AH125" t="str">
        <f t="shared" si="14"/>
        <v/>
      </c>
      <c r="AI125" t="str">
        <f>IFERROR(IF($AH125="","",IF($AH125&gt;=$AA125*'Parametri Modello'!$B$68,"🟢 Opportunita'",IF($AH125&lt;=$AA125*'Parametri Modello'!$B$69,"🔴 Sovrapprezzo","🟡 Prezzo Corretto"))),"")</f>
        <v/>
      </c>
      <c r="AJ125" t="str">
        <f t="shared" si="15"/>
        <v/>
      </c>
      <c r="AK125">
        <f t="shared" si="16"/>
        <v>28</v>
      </c>
      <c r="AL125" t="str">
        <f t="shared" si="17"/>
        <v>C|Buono|28</v>
      </c>
    </row>
    <row r="126" spans="1:38" ht="14.25" customHeight="1" x14ac:dyDescent="0.25">
      <c r="A126" s="18">
        <v>4436</v>
      </c>
      <c r="B126" s="18" t="s">
        <v>264</v>
      </c>
      <c r="C126" s="18" t="s">
        <v>307</v>
      </c>
      <c r="E126" s="23" t="str">
        <f>IF(COUNTIF('Info Strategia'!$D$2:$D$51,$C126)&gt;0,"SI","NO")</f>
        <v>NO</v>
      </c>
      <c r="F126" s="24">
        <f>IFERROR(ROUND(($G126+($H126-$G126)*'Info Strategia'!$B$6)*(1+IF($E126="SI",'Parametri Modello'!$B$7*'Info Strategia'!$B$6,0)),0),"")</f>
        <v>3</v>
      </c>
      <c r="G126" s="24">
        <f>IFERROR(ROUND(MAX(1,(IF($V126&lt;=INDEX('Parametri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2</v>
      </c>
      <c r="H126" s="24">
        <f>IFERROR(ROUND((IF($V126&lt;=INDEX('Parametri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4</v>
      </c>
      <c r="I126" s="23">
        <f>IFERROR(INDEX('Input Statistiche 2025_26'!$F$3:$F$665,MATCH($A126,'Input Statistiche 2025_26'!$A$3:$A$665,0)),"")</f>
        <v>24</v>
      </c>
      <c r="J126" s="23">
        <f t="shared" si="9"/>
        <v>14</v>
      </c>
      <c r="K126" s="23">
        <f>IFERROR(INDEX('Input Statistiche 2025_26'!$I$3:$I$665,MATCH($A126,'Input Statistiche 2025_26'!$A$3:$A$665,0)),"")</f>
        <v>3</v>
      </c>
      <c r="L126" s="23">
        <f>IFERROR(INDEX('Input Statistiche 2025_26'!$O$3:$O$665,MATCH($A126,'Input Statistiche 2025_26'!$A$3:$A$665,0)),"")</f>
        <v>4</v>
      </c>
      <c r="M126" s="25"/>
      <c r="N126" s="24">
        <f>IFERROR(INDEX('Input Giocatori 2026_27'!$E$3:$E$493,MATCH($A126,'Input Giocatori 2026_27'!$A$3:$A$493,0)),"")</f>
        <v>8</v>
      </c>
      <c r="O126" s="24">
        <f>IFERROR(INDEX('Input Giocatori 2026_27'!$G$3:$G$493,MATCH($A126,'Input Giocatori 2026_27'!$A$3:$A$493,0)),"")</f>
        <v>25</v>
      </c>
      <c r="P126" s="23" t="str">
        <f>IFERROR(IF($O126="","",IF((1-(COUNTIFS($B$2:$B$492,$B126,$O$2:$O$492,"&gt;"&amp;$O126)+1-1)/COUNTIF($B$2:$B$492,$B126))&gt;='Parametri Modello'!$B$63,"Top",IF((1-(COUNTIFS($B$2:$B$492,$B126,$O$2:$O$492,"&gt;"&amp;$O126)+1-1)/COUNTIF($B$2:$B$492,$B126))&gt;='Parametri Modello'!$B$64,"Buono",IF((1-(COUNTIFS($B$2:$B$492,$B126,$O$2:$O$492,"&gt;"&amp;$O126)+1-1)/COUNTIF($B$2:$B$492,$B126))&gt;='Parametri Modello'!$B$65,"Nella Media","Scommessa/Riserva")))),"")</f>
        <v>Buono</v>
      </c>
      <c r="Q126" s="26">
        <f>IF(AND($D126="",$N126&gt;1),SUMPRODUCT(($D$2:$D126="")*($N$2:$N126&gt;1)),"")</f>
        <v>125</v>
      </c>
      <c r="R126" s="26" t="str">
        <f>IF($D126='Info Lega'!$B$28,COUNTIFS($D$2:$D126,'Info Lega'!$B$28),"")</f>
        <v/>
      </c>
      <c r="S126" s="27">
        <f>IFERROR(INDEX('Input Statistiche 2025_26'!$G$3:$G$665,MATCH($A126,'Input Statistiche 2025_26'!$A$3:$A$665,0)),"")</f>
        <v>5.98</v>
      </c>
      <c r="T126" s="27">
        <f>IFERROR(INDEX('Input Statistiche 2025_26'!$H$3:$H$665,MATCH($A126,'Input Statistiche 2025_26'!$A$3:$A$665,0)),"")</f>
        <v>6.42</v>
      </c>
      <c r="U126" s="23" t="str">
        <f>IF(OR('La Mia Rosa'!$O$12="",$D126&lt;&gt;""),"",IF($F126&lt;='La Mia Rosa'!$O$12*'Parametri Modello'!$B$24,"OK",IF($F126&lt;='La Mia Rosa'!$O$12*'Parametri Modello'!$B$25,"Attenzione","Rischio Alto")))</f>
        <v>OK</v>
      </c>
      <c r="V126" s="23">
        <f t="shared" si="10"/>
        <v>46</v>
      </c>
      <c r="W126" s="18">
        <f>'Info Lega'!$B$4-SUMIFS($M$2:$M$492,$D$2:$D$492,'Info Lega'!$B$28)</f>
        <v>1000</v>
      </c>
      <c r="X126" s="18">
        <f>('Info Lega'!$B$5-COUNTIFS($D$2:$D$492,'Info Lega'!$B$28,$B$2:$B$492,"P"))+('Info Lega'!$B$6-COUNTIFS($D$2:$D$492,'Info Lega'!$B$28,$B$2:$B$492,"D"))+('Info Lega'!$B$7-COUNTIFS($D$2:$D$492,'Info Lega'!$B$28,$B$2:$B$492,"C"))+('Info Lega'!$B$8-COUNTIFS($D$2:$D$492,'Info Lega'!$B$28,$B$2:$B$492,"A"))</f>
        <v>25</v>
      </c>
      <c r="Y126" s="18">
        <f>X126*'Parametri Modello'!$B$30</f>
        <v>25</v>
      </c>
      <c r="Z126" s="18">
        <f t="shared" si="11"/>
        <v>975</v>
      </c>
      <c r="AA126" s="18">
        <f t="shared" si="12"/>
        <v>3</v>
      </c>
      <c r="AB126" s="18"/>
      <c r="AC126" s="18" t="str">
        <f>IF($AB126="","",IF($AB126&gt;$AA126,"PASS",IF($AB126&lt;=$AA126*(1-'Parametri Modello'!$B$68),"BID","ATTENZIONE")))</f>
        <v/>
      </c>
      <c r="AD126" s="28">
        <f t="shared" si="13"/>
        <v>55</v>
      </c>
      <c r="AE126" s="5" t="str">
        <f>IFERROR(IF($AF126="Titolare",INDEX('Stato Asta'!$G$9:$G$12,MATCH($B126,'Stato Asta'!$A$9:$A$12,0)),INDEX('Stato Asta'!$P$9:$P$12,MATCH($B126,'Stato Asta'!$A$9:$A$12,0))),"")</f>
        <v>🟢 Riserve abbondanti</v>
      </c>
      <c r="AF126" t="str">
        <f>IFERROR(IF($V126&lt;=INDEX('Parametri Modello'!$C$57:$C$60,MATCH($B126,'Parametri Modello'!$A$57:$A$60,0)),"Titolare","Riserva"),"")</f>
        <v>Riserva</v>
      </c>
      <c r="AG126" t="str">
        <f>IFERROR(INDEX('Pressione Competitiva'!$F$3:$F$6,MATCH($B126,'Pressione Competitiva'!$B$3:$B$6,0)),"")</f>
        <v>🔴 Molto Alta</v>
      </c>
      <c r="AH126" t="str">
        <f t="shared" si="14"/>
        <v/>
      </c>
      <c r="AI126" t="str">
        <f>IFERROR(IF($AH126="","",IF($AH126&gt;=$AA126*'Parametri Modello'!$B$68,"🟢 Opportunita'",IF($AH126&lt;=$AA126*'Parametri Modello'!$B$69,"🔴 Sovrapprezzo","🟡 Prezzo Corretto"))),"")</f>
        <v/>
      </c>
      <c r="AJ126" t="str">
        <f t="shared" si="15"/>
        <v/>
      </c>
      <c r="AK126">
        <f t="shared" si="16"/>
        <v>28</v>
      </c>
      <c r="AL126" t="str">
        <f t="shared" si="17"/>
        <v>C|Buono|28</v>
      </c>
    </row>
    <row r="127" spans="1:38" ht="14.25" customHeight="1" x14ac:dyDescent="0.25">
      <c r="A127" s="18">
        <v>6294</v>
      </c>
      <c r="B127" s="18" t="s">
        <v>264</v>
      </c>
      <c r="C127" s="18" t="s">
        <v>309</v>
      </c>
      <c r="E127" s="23" t="str">
        <f>IF(COUNTIF('Info Strategia'!$D$2:$D$51,$C127)&gt;0,"SI","NO")</f>
        <v>NO</v>
      </c>
      <c r="F127" s="24">
        <f>IFERROR(ROUND(($G127+($H127-$G127)*'Info Strategia'!$B$6)*(1+IF($E127="SI",'Parametri Modello'!$B$7*'Info Strategia'!$B$6,0)),0),"")</f>
        <v>3</v>
      </c>
      <c r="G127" s="24">
        <f>IFERROR(ROUND(MAX(1,(IF($V127&lt;=INDEX('Parametri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2</v>
      </c>
      <c r="H127" s="24">
        <f>IFERROR(ROUND((IF($V127&lt;=INDEX('Parametri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4</v>
      </c>
      <c r="I127" s="23">
        <f>IFERROR(INDEX('Input Statistiche 2025_26'!$F$3:$F$665,MATCH($A127,'Input Statistiche 2025_26'!$A$3:$A$665,0)),"")</f>
        <v>30</v>
      </c>
      <c r="J127" s="23">
        <f t="shared" si="9"/>
        <v>8</v>
      </c>
      <c r="K127" s="23">
        <f>IFERROR(INDEX('Input Statistiche 2025_26'!$I$3:$I$665,MATCH($A127,'Input Statistiche 2025_26'!$A$3:$A$665,0)),"")</f>
        <v>3</v>
      </c>
      <c r="L127" s="23">
        <f>IFERROR(INDEX('Input Statistiche 2025_26'!$O$3:$O$665,MATCH($A127,'Input Statistiche 2025_26'!$A$3:$A$665,0)),"")</f>
        <v>0</v>
      </c>
      <c r="M127" s="25"/>
      <c r="N127" s="24">
        <f>IFERROR(INDEX('Input Giocatori 2026_27'!$E$3:$E$493,MATCH($A127,'Input Giocatori 2026_27'!$A$3:$A$493,0)),"")</f>
        <v>8</v>
      </c>
      <c r="O127" s="24">
        <f>IFERROR(INDEX('Input Giocatori 2026_27'!$G$3:$G$493,MATCH($A127,'Input Giocatori 2026_27'!$A$3:$A$493,0)),"")</f>
        <v>25</v>
      </c>
      <c r="P127" s="23" t="str">
        <f>IFERROR(IF($O127="","",IF((1-(COUNTIFS($B$2:$B$492,$B127,$O$2:$O$492,"&gt;"&amp;$O127)+1-1)/COUNTIF($B$2:$B$492,$B127))&gt;='Parametri Modello'!$B$63,"Top",IF((1-(COUNTIFS($B$2:$B$492,$B127,$O$2:$O$492,"&gt;"&amp;$O127)+1-1)/COUNTIF($B$2:$B$492,$B127))&gt;='Parametri Modello'!$B$64,"Buono",IF((1-(COUNTIFS($B$2:$B$492,$B127,$O$2:$O$492,"&gt;"&amp;$O127)+1-1)/COUNTIF($B$2:$B$492,$B127))&gt;='Parametri Modello'!$B$65,"Nella Media","Scommessa/Riserva")))),"")</f>
        <v>Buono</v>
      </c>
      <c r="Q127" s="26">
        <f>IF(AND($D127="",$N127&gt;1),SUMPRODUCT(($D$2:$D127="")*($N$2:$N127&gt;1)),"")</f>
        <v>126</v>
      </c>
      <c r="R127" s="26" t="str">
        <f>IF($D127='Info Lega'!$B$28,COUNTIFS($D$2:$D127,'Info Lega'!$B$28),"")</f>
        <v/>
      </c>
      <c r="S127" s="27">
        <f>IFERROR(INDEX('Input Statistiche 2025_26'!$G$3:$G$665,MATCH($A127,'Input Statistiche 2025_26'!$A$3:$A$665,0)),"")</f>
        <v>5.8</v>
      </c>
      <c r="T127" s="27">
        <f>IFERROR(INDEX('Input Statistiche 2025_26'!$H$3:$H$665,MATCH($A127,'Input Statistiche 2025_26'!$A$3:$A$665,0)),"")</f>
        <v>6.07</v>
      </c>
      <c r="U127" s="23" t="str">
        <f>IF(OR('La Mia Rosa'!$O$12="",$D127&lt;&gt;""),"",IF($F127&lt;='La Mia Rosa'!$O$12*'Parametri Modello'!$B$24,"OK",IF($F127&lt;='La Mia Rosa'!$O$12*'Parametri Modello'!$B$25,"Attenzione","Rischio Alto")))</f>
        <v>OK</v>
      </c>
      <c r="V127" s="23">
        <f t="shared" si="10"/>
        <v>46</v>
      </c>
      <c r="W127" s="18">
        <f>'Info Lega'!$B$4-SUMIFS($M$2:$M$492,$D$2:$D$492,'Info Lega'!$B$28)</f>
        <v>1000</v>
      </c>
      <c r="X127" s="18">
        <f>('Info Lega'!$B$5-COUNTIFS($D$2:$D$492,'Info Lega'!$B$28,$B$2:$B$492,"P"))+('Info Lega'!$B$6-COUNTIFS($D$2:$D$492,'Info Lega'!$B$28,$B$2:$B$492,"D"))+('Info Lega'!$B$7-COUNTIFS($D$2:$D$492,'Info Lega'!$B$28,$B$2:$B$492,"C"))+('Info Lega'!$B$8-COUNTIFS($D$2:$D$492,'Info Lega'!$B$28,$B$2:$B$492,"A"))</f>
        <v>25</v>
      </c>
      <c r="Y127" s="18">
        <f>X127*'Parametri Modello'!$B$30</f>
        <v>25</v>
      </c>
      <c r="Z127" s="18">
        <f t="shared" si="11"/>
        <v>975</v>
      </c>
      <c r="AA127" s="18">
        <f t="shared" si="12"/>
        <v>3</v>
      </c>
      <c r="AB127" s="18"/>
      <c r="AC127" s="18" t="str">
        <f>IF($AB127="","",IF($AB127&gt;$AA127,"PASS",IF($AB127&lt;=$AA127*(1-'Parametri Modello'!$B$68),"BID","ATTENZIONE")))</f>
        <v/>
      </c>
      <c r="AD127" s="28">
        <f t="shared" si="13"/>
        <v>63</v>
      </c>
      <c r="AE127" s="5" t="str">
        <f>IFERROR(IF($AF127="Titolare",INDEX('Stato Asta'!$G$9:$G$12,MATCH($B127,'Stato Asta'!$A$9:$A$12,0)),INDEX('Stato Asta'!$P$9:$P$12,MATCH($B127,'Stato Asta'!$A$9:$A$12,0))),"")</f>
        <v>🟢 Riserve abbondanti</v>
      </c>
      <c r="AF127" t="str">
        <f>IFERROR(IF($V127&lt;=INDEX('Parametri Modello'!$C$57:$C$60,MATCH($B127,'Parametri Modello'!$A$57:$A$60,0)),"Titolare","Riserva"),"")</f>
        <v>Riserva</v>
      </c>
      <c r="AG127" t="str">
        <f>IFERROR(INDEX('Pressione Competitiva'!$F$3:$F$6,MATCH($B127,'Pressione Competitiva'!$B$3:$B$6,0)),"")</f>
        <v>🔴 Molto Alta</v>
      </c>
      <c r="AH127" t="str">
        <f t="shared" si="14"/>
        <v/>
      </c>
      <c r="AI127" t="str">
        <f>IFERROR(IF($AH127="","",IF($AH127&gt;=$AA127*'Parametri Modello'!$B$68,"🟢 Opportunita'",IF($AH127&lt;=$AA127*'Parametri Modello'!$B$69,"🔴 Sovrapprezzo","🟡 Prezzo Corretto"))),"")</f>
        <v/>
      </c>
      <c r="AJ127" t="str">
        <f t="shared" si="15"/>
        <v/>
      </c>
      <c r="AK127">
        <f t="shared" si="16"/>
        <v>28</v>
      </c>
      <c r="AL127" t="str">
        <f t="shared" si="17"/>
        <v>C|Buono|28</v>
      </c>
    </row>
    <row r="128" spans="1:38" ht="14.25" customHeight="1" x14ac:dyDescent="0.25">
      <c r="A128" s="18">
        <v>5878</v>
      </c>
      <c r="B128" s="18" t="s">
        <v>264</v>
      </c>
      <c r="C128" s="18" t="s">
        <v>313</v>
      </c>
      <c r="E128" s="23" t="str">
        <f>IF(COUNTIF('Info Strategia'!$D$2:$D$51,$C128)&gt;0,"SI","NO")</f>
        <v>NO</v>
      </c>
      <c r="F128" s="24">
        <f>IFERROR(ROUND(($G128+($H128-$G128)*'Info Strategia'!$B$6)*(1+IF($E128="SI",'Parametri Modello'!$B$7*'Info Strategia'!$B$6,0)),0),"")</f>
        <v>3</v>
      </c>
      <c r="G128" s="24">
        <f>IFERROR(ROUND(MAX(1,(IF($V128&lt;=INDEX('Parametri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2</v>
      </c>
      <c r="H128" s="24">
        <f>IFERROR(ROUND((IF($V128&lt;=INDEX('Parametri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4</v>
      </c>
      <c r="I128" s="23" t="str">
        <f>IFERROR(INDEX('Input Statistiche 2025_26'!$F$3:$F$665,MATCH($A128,'Input Statistiche 2025_26'!$A$3:$A$665,0)),"")</f>
        <v/>
      </c>
      <c r="J128" s="23" t="str">
        <f t="shared" si="9"/>
        <v/>
      </c>
      <c r="K128" s="23" t="str">
        <f>IFERROR(INDEX('Input Statistiche 2025_26'!$I$3:$I$665,MATCH($A128,'Input Statistiche 2025_26'!$A$3:$A$665,0)),"")</f>
        <v/>
      </c>
      <c r="L128" s="23" t="str">
        <f>IFERROR(INDEX('Input Statistiche 2025_26'!$O$3:$O$665,MATCH($A128,'Input Statistiche 2025_26'!$A$3:$A$665,0)),"")</f>
        <v/>
      </c>
      <c r="M128" s="25"/>
      <c r="N128" s="24">
        <f>IFERROR(INDEX('Input Giocatori 2026_27'!$E$3:$E$493,MATCH($A128,'Input Giocatori 2026_27'!$A$3:$A$493,0)),"")</f>
        <v>8</v>
      </c>
      <c r="O128" s="24">
        <f>IFERROR(INDEX('Input Giocatori 2026_27'!$G$3:$G$493,MATCH($A128,'Input Giocatori 2026_27'!$A$3:$A$493,0)),"")</f>
        <v>25</v>
      </c>
      <c r="P128" s="23" t="str">
        <f>IFERROR(IF($O128="","",IF((1-(COUNTIFS($B$2:$B$492,$B128,$O$2:$O$492,"&gt;"&amp;$O128)+1-1)/COUNTIF($B$2:$B$492,$B128))&gt;='Parametri Modello'!$B$63,"Top",IF((1-(COUNTIFS($B$2:$B$492,$B128,$O$2:$O$492,"&gt;"&amp;$O128)+1-1)/COUNTIF($B$2:$B$492,$B128))&gt;='Parametri Modello'!$B$64,"Buono",IF((1-(COUNTIFS($B$2:$B$492,$B128,$O$2:$O$492,"&gt;"&amp;$O128)+1-1)/COUNTIF($B$2:$B$492,$B128))&gt;='Parametri Modello'!$B$65,"Nella Media","Scommessa/Riserva")))),"")</f>
        <v>Buono</v>
      </c>
      <c r="Q128" s="26">
        <f>IF(AND($D128="",$N128&gt;1),SUMPRODUCT(($D$2:$D128="")*($N$2:$N128&gt;1)),"")</f>
        <v>127</v>
      </c>
      <c r="R128" s="26" t="str">
        <f>IF($D128='Info Lega'!$B$28,COUNTIFS($D$2:$D128,'Info Lega'!$B$28),"")</f>
        <v/>
      </c>
      <c r="S128" s="27" t="str">
        <f>IFERROR(INDEX('Input Statistiche 2025_26'!$G$3:$G$665,MATCH($A128,'Input Statistiche 2025_26'!$A$3:$A$665,0)),"")</f>
        <v/>
      </c>
      <c r="T128" s="27" t="str">
        <f>IFERROR(INDEX('Input Statistiche 2025_26'!$H$3:$H$665,MATCH($A128,'Input Statistiche 2025_26'!$A$3:$A$665,0)),"")</f>
        <v/>
      </c>
      <c r="U128" s="23" t="str">
        <f>IF(OR('La Mia Rosa'!$O$12="",$D128&lt;&gt;""),"",IF($F128&lt;='La Mia Rosa'!$O$12*'Parametri Modello'!$B$24,"OK",IF($F128&lt;='La Mia Rosa'!$O$12*'Parametri Modello'!$B$25,"Attenzione","Rischio Alto")))</f>
        <v>OK</v>
      </c>
      <c r="V128" s="23">
        <f t="shared" si="10"/>
        <v>46</v>
      </c>
      <c r="W128" s="18">
        <f>'Info Lega'!$B$4-SUMIFS($M$2:$M$492,$D$2:$D$492,'Info Lega'!$B$28)</f>
        <v>1000</v>
      </c>
      <c r="X128" s="18">
        <f>('Info Lega'!$B$5-COUNTIFS($D$2:$D$492,'Info Lega'!$B$28,$B$2:$B$492,"P"))+('Info Lega'!$B$6-COUNTIFS($D$2:$D$492,'Info Lega'!$B$28,$B$2:$B$492,"D"))+('Info Lega'!$B$7-COUNTIFS($D$2:$D$492,'Info Lega'!$B$28,$B$2:$B$492,"C"))+('Info Lega'!$B$8-COUNTIFS($D$2:$D$492,'Info Lega'!$B$28,$B$2:$B$492,"A"))</f>
        <v>25</v>
      </c>
      <c r="Y128" s="18">
        <f>X128*'Parametri Modello'!$B$30</f>
        <v>25</v>
      </c>
      <c r="Z128" s="18">
        <f t="shared" si="11"/>
        <v>975</v>
      </c>
      <c r="AA128" s="18">
        <f t="shared" si="12"/>
        <v>3</v>
      </c>
      <c r="AB128" s="18"/>
      <c r="AC128" s="18" t="str">
        <f>IF($AB128="","",IF($AB128&gt;$AA128,"PASS",IF($AB128&lt;=$AA128*(1-'Parametri Modello'!$B$68),"BID","ATTENZIONE")))</f>
        <v/>
      </c>
      <c r="AD128" s="28" t="str">
        <f t="shared" si="13"/>
        <v/>
      </c>
      <c r="AE128" s="5" t="str">
        <f>IFERROR(IF($AF128="Titolare",INDEX('Stato Asta'!$G$9:$G$12,MATCH($B128,'Stato Asta'!$A$9:$A$12,0)),INDEX('Stato Asta'!$P$9:$P$12,MATCH($B128,'Stato Asta'!$A$9:$A$12,0))),"")</f>
        <v>🟢 Riserve abbondanti</v>
      </c>
      <c r="AF128" t="str">
        <f>IFERROR(IF($V128&lt;=INDEX('Parametri Modello'!$C$57:$C$60,MATCH($B128,'Parametri Modello'!$A$57:$A$60,0)),"Titolare","Riserva"),"")</f>
        <v>Riserva</v>
      </c>
      <c r="AG128" t="str">
        <f>IFERROR(INDEX('Pressione Competitiva'!$F$3:$F$6,MATCH($B128,'Pressione Competitiva'!$B$3:$B$6,0)),"")</f>
        <v>🔴 Molto Alta</v>
      </c>
      <c r="AH128" t="str">
        <f t="shared" si="14"/>
        <v/>
      </c>
      <c r="AI128" t="str">
        <f>IFERROR(IF($AH128="","",IF($AH128&gt;=$AA128*'Parametri Modello'!$B$68,"🟢 Opportunita'",IF($AH128&lt;=$AA128*'Parametri Modello'!$B$69,"🔴 Sovrapprezzo","🟡 Prezzo Corretto"))),"")</f>
        <v/>
      </c>
      <c r="AJ128" t="str">
        <f t="shared" si="15"/>
        <v/>
      </c>
      <c r="AK128">
        <f t="shared" si="16"/>
        <v>28</v>
      </c>
      <c r="AL128" t="str">
        <f t="shared" si="17"/>
        <v>C|Buono|28</v>
      </c>
    </row>
    <row r="129" spans="1:38" ht="14.25" customHeight="1" x14ac:dyDescent="0.25">
      <c r="A129" s="18">
        <v>7472</v>
      </c>
      <c r="B129" s="18" t="s">
        <v>264</v>
      </c>
      <c r="C129" s="18" t="s">
        <v>319</v>
      </c>
      <c r="E129" s="23" t="str">
        <f>IF(COUNTIF('Info Strategia'!$D$2:$D$51,$C129)&gt;0,"SI","NO")</f>
        <v>NO</v>
      </c>
      <c r="F129" s="24">
        <f>IFERROR(ROUND(($G129+($H129-$G129)*'Info Strategia'!$B$6)*(1+IF($E129="SI",'Parametri Modello'!$B$7*'Info Strategia'!$B$6,0)),0),"")</f>
        <v>3</v>
      </c>
      <c r="G129" s="24">
        <f>IFERROR(ROUND(MAX(1,(IF($V129&lt;=INDEX('Parametri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2</v>
      </c>
      <c r="H129" s="24">
        <f>IFERROR(ROUND((IF($V129&lt;=INDEX('Parametri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4</v>
      </c>
      <c r="I129" s="23" t="str">
        <f>IFERROR(INDEX('Input Statistiche 2025_26'!$F$3:$F$665,MATCH($A129,'Input Statistiche 2025_26'!$A$3:$A$665,0)),"")</f>
        <v/>
      </c>
      <c r="J129" s="23" t="str">
        <f t="shared" si="9"/>
        <v/>
      </c>
      <c r="K129" s="23" t="str">
        <f>IFERROR(INDEX('Input Statistiche 2025_26'!$I$3:$I$665,MATCH($A129,'Input Statistiche 2025_26'!$A$3:$A$665,0)),"")</f>
        <v/>
      </c>
      <c r="L129" s="23" t="str">
        <f>IFERROR(INDEX('Input Statistiche 2025_26'!$O$3:$O$665,MATCH($A129,'Input Statistiche 2025_26'!$A$3:$A$665,0)),"")</f>
        <v/>
      </c>
      <c r="M129" s="25"/>
      <c r="N129" s="24">
        <f>IFERROR(INDEX('Input Giocatori 2026_27'!$E$3:$E$493,MATCH($A129,'Input Giocatori 2026_27'!$A$3:$A$493,0)),"")</f>
        <v>7</v>
      </c>
      <c r="O129" s="24">
        <f>IFERROR(INDEX('Input Giocatori 2026_27'!$G$3:$G$493,MATCH($A129,'Input Giocatori 2026_27'!$A$3:$A$493,0)),"")</f>
        <v>25</v>
      </c>
      <c r="P129" s="23" t="str">
        <f>IFERROR(IF($O129="","",IF((1-(COUNTIFS($B$2:$B$492,$B129,$O$2:$O$492,"&gt;"&amp;$O129)+1-1)/COUNTIF($B$2:$B$492,$B129))&gt;='Parametri Modello'!$B$63,"Top",IF((1-(COUNTIFS($B$2:$B$492,$B129,$O$2:$O$492,"&gt;"&amp;$O129)+1-1)/COUNTIF($B$2:$B$492,$B129))&gt;='Parametri Modello'!$B$64,"Buono",IF((1-(COUNTIFS($B$2:$B$492,$B129,$O$2:$O$492,"&gt;"&amp;$O129)+1-1)/COUNTIF($B$2:$B$492,$B129))&gt;='Parametri Modello'!$B$65,"Nella Media","Scommessa/Riserva")))),"")</f>
        <v>Buono</v>
      </c>
      <c r="Q129" s="26">
        <f>IF(AND($D129="",$N129&gt;1),SUMPRODUCT(($D$2:$D129="")*($N$2:$N129&gt;1)),"")</f>
        <v>128</v>
      </c>
      <c r="R129" s="26" t="str">
        <f>IF($D129='Info Lega'!$B$28,COUNTIFS($D$2:$D129,'Info Lega'!$B$28),"")</f>
        <v/>
      </c>
      <c r="S129" s="27" t="str">
        <f>IFERROR(INDEX('Input Statistiche 2025_26'!$G$3:$G$665,MATCH($A129,'Input Statistiche 2025_26'!$A$3:$A$665,0)),"")</f>
        <v/>
      </c>
      <c r="T129" s="27" t="str">
        <f>IFERROR(INDEX('Input Statistiche 2025_26'!$H$3:$H$665,MATCH($A129,'Input Statistiche 2025_26'!$A$3:$A$665,0)),"")</f>
        <v/>
      </c>
      <c r="U129" s="23" t="str">
        <f>IF(OR('La Mia Rosa'!$O$12="",$D129&lt;&gt;""),"",IF($F129&lt;='La Mia Rosa'!$O$12*'Parametri Modello'!$B$24,"OK",IF($F129&lt;='La Mia Rosa'!$O$12*'Parametri Modello'!$B$25,"Attenzione","Rischio Alto")))</f>
        <v>OK</v>
      </c>
      <c r="V129" s="23">
        <f t="shared" si="10"/>
        <v>46</v>
      </c>
      <c r="W129" s="18">
        <f>'Info Lega'!$B$4-SUMIFS($M$2:$M$492,$D$2:$D$492,'Info Lega'!$B$28)</f>
        <v>1000</v>
      </c>
      <c r="X129" s="18">
        <f>('Info Lega'!$B$5-COUNTIFS($D$2:$D$492,'Info Lega'!$B$28,$B$2:$B$492,"P"))+('Info Lega'!$B$6-COUNTIFS($D$2:$D$492,'Info Lega'!$B$28,$B$2:$B$492,"D"))+('Info Lega'!$B$7-COUNTIFS($D$2:$D$492,'Info Lega'!$B$28,$B$2:$B$492,"C"))+('Info Lega'!$B$8-COUNTIFS($D$2:$D$492,'Info Lega'!$B$28,$B$2:$B$492,"A"))</f>
        <v>25</v>
      </c>
      <c r="Y129" s="18">
        <f>X129*'Parametri Modello'!$B$30</f>
        <v>25</v>
      </c>
      <c r="Z129" s="18">
        <f t="shared" si="11"/>
        <v>975</v>
      </c>
      <c r="AA129" s="18">
        <f t="shared" si="12"/>
        <v>3</v>
      </c>
      <c r="AB129" s="18"/>
      <c r="AC129" s="18" t="str">
        <f>IF($AB129="","",IF($AB129&gt;$AA129,"PASS",IF($AB129&lt;=$AA129*(1-'Parametri Modello'!$B$68),"BID","ATTENZIONE")))</f>
        <v/>
      </c>
      <c r="AD129" s="28" t="str">
        <f t="shared" si="13"/>
        <v/>
      </c>
      <c r="AE129" s="5" t="str">
        <f>IFERROR(IF($AF129="Titolare",INDEX('Stato Asta'!$G$9:$G$12,MATCH($B129,'Stato Asta'!$A$9:$A$12,0)),INDEX('Stato Asta'!$P$9:$P$12,MATCH($B129,'Stato Asta'!$A$9:$A$12,0))),"")</f>
        <v>🟢 Riserve abbondanti</v>
      </c>
      <c r="AF129" t="str">
        <f>IFERROR(IF($V129&lt;=INDEX('Parametri Modello'!$C$57:$C$60,MATCH($B129,'Parametri Modello'!$A$57:$A$60,0)),"Titolare","Riserva"),"")</f>
        <v>Riserva</v>
      </c>
      <c r="AG129" t="str">
        <f>IFERROR(INDEX('Pressione Competitiva'!$F$3:$F$6,MATCH($B129,'Pressione Competitiva'!$B$3:$B$6,0)),"")</f>
        <v>🔴 Molto Alta</v>
      </c>
      <c r="AH129" t="str">
        <f t="shared" si="14"/>
        <v/>
      </c>
      <c r="AI129" t="str">
        <f>IFERROR(IF($AH129="","",IF($AH129&gt;=$AA129*'Parametri Modello'!$B$68,"🟢 Opportunita'",IF($AH129&lt;=$AA129*'Parametri Modello'!$B$69,"🔴 Sovrapprezzo","🟡 Prezzo Corretto"))),"")</f>
        <v/>
      </c>
      <c r="AJ129" t="str">
        <f t="shared" si="15"/>
        <v/>
      </c>
      <c r="AK129">
        <f t="shared" si="16"/>
        <v>28</v>
      </c>
      <c r="AL129" t="str">
        <f t="shared" si="17"/>
        <v>C|Buono|28</v>
      </c>
    </row>
    <row r="130" spans="1:38" ht="14.25" customHeight="1" x14ac:dyDescent="0.25">
      <c r="A130" s="18">
        <v>5029</v>
      </c>
      <c r="B130" s="18" t="s">
        <v>437</v>
      </c>
      <c r="C130" s="18" t="s">
        <v>475</v>
      </c>
      <c r="E130" s="23" t="str">
        <f>IF(COUNTIF('Info Strategia'!$D$2:$D$51,$C130)&gt;0,"SI","NO")</f>
        <v>NO</v>
      </c>
      <c r="F130" s="24">
        <f>IFERROR(ROUND(($G130+($H130-$G130)*'Info Strategia'!$B$6)*(1+IF($E130="SI",'Parametri Modello'!$B$7*'Info Strategia'!$B$6,0)),0),"")</f>
        <v>8</v>
      </c>
      <c r="G130" s="24">
        <f>IFERROR(ROUND(MAX(1,(IF($V130&lt;=INDEX('Parametri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5</v>
      </c>
      <c r="H130" s="24">
        <f>IFERROR(ROUND((IF($V130&lt;=INDEX('Parametri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9</v>
      </c>
      <c r="I130" s="23" t="str">
        <f>IFERROR(INDEX('Input Statistiche 2025_26'!$F$3:$F$665,MATCH($A130,'Input Statistiche 2025_26'!$A$3:$A$665,0)),"")</f>
        <v/>
      </c>
      <c r="J130" s="23" t="str">
        <f t="shared" ref="J130:J193" si="18">IFERROR(IF($I130="","",MAX(0,38-$I130)),"")</f>
        <v/>
      </c>
      <c r="K130" s="23" t="str">
        <f>IFERROR(INDEX('Input Statistiche 2025_26'!$I$3:$I$665,MATCH($A130,'Input Statistiche 2025_26'!$A$3:$A$665,0)),"")</f>
        <v/>
      </c>
      <c r="L130" s="23" t="str">
        <f>IFERROR(INDEX('Input Statistiche 2025_26'!$O$3:$O$665,MATCH($A130,'Input Statistiche 2025_26'!$A$3:$A$665,0)),"")</f>
        <v/>
      </c>
      <c r="M130" s="25"/>
      <c r="N130" s="24">
        <f>IFERROR(INDEX('Input Giocatori 2026_27'!$E$3:$E$493,MATCH($A130,'Input Giocatori 2026_27'!$A$3:$A$493,0)),"")</f>
        <v>9</v>
      </c>
      <c r="O130" s="24">
        <f>IFERROR(INDEX('Input Giocatori 2026_27'!$G$3:$G$493,MATCH($A130,'Input Giocatori 2026_27'!$A$3:$A$493,0)),"")</f>
        <v>25</v>
      </c>
      <c r="P130" s="23" t="str">
        <f>IFERROR(IF($O130="","",IF((1-(COUNTIFS($B$2:$B$492,$B130,$O$2:$O$492,"&gt;"&amp;$O130)+1-1)/COUNTIF($B$2:$B$492,$B130))&gt;='Parametri Modello'!$B$63,"Top",IF((1-(COUNTIFS($B$2:$B$492,$B130,$O$2:$O$492,"&gt;"&amp;$O130)+1-1)/COUNTIF($B$2:$B$492,$B130))&gt;='Parametri Modello'!$B$64,"Buono",IF((1-(COUNTIFS($B$2:$B$492,$B130,$O$2:$O$492,"&gt;"&amp;$O130)+1-1)/COUNTIF($B$2:$B$492,$B130))&gt;='Parametri Modello'!$B$65,"Nella Media","Scommessa/Riserva")))),"")</f>
        <v>Nella Media</v>
      </c>
      <c r="Q130" s="26">
        <f>IF(AND($D130="",$N130&gt;1),SUMPRODUCT(($D$2:$D130="")*($N$2:$N130&gt;1)),"")</f>
        <v>129</v>
      </c>
      <c r="R130" s="26" t="str">
        <f>IF($D130='Info Lega'!$B$28,COUNTIFS($D$2:$D130,'Info Lega'!$B$28),"")</f>
        <v/>
      </c>
      <c r="S130" s="27" t="str">
        <f>IFERROR(INDEX('Input Statistiche 2025_26'!$G$3:$G$665,MATCH($A130,'Input Statistiche 2025_26'!$A$3:$A$665,0)),"")</f>
        <v/>
      </c>
      <c r="T130" s="27" t="str">
        <f>IFERROR(INDEX('Input Statistiche 2025_26'!$H$3:$H$665,MATCH($A130,'Input Statistiche 2025_26'!$A$3:$A$665,0)),"")</f>
        <v/>
      </c>
      <c r="U130" s="23" t="str">
        <f>IF(OR('La Mia Rosa'!$O$12="",$D130&lt;&gt;""),"",IF($F130&lt;='La Mia Rosa'!$O$12*'Parametri Modello'!$B$24,"OK",IF($F130&lt;='La Mia Rosa'!$O$12*'Parametri Modello'!$B$25,"Attenzione","Rischio Alto")))</f>
        <v>OK</v>
      </c>
      <c r="V130" s="23">
        <f t="shared" ref="V130:V193" si="19">IFERROR(COUNTIFS($B$2:$B$492,$B130,$O$2:$O$492,"&gt;"&amp;$O130)+1,"")</f>
        <v>41</v>
      </c>
      <c r="W130" s="18">
        <f>'Info Lega'!$B$4-SUMIFS($M$2:$M$492,$D$2:$D$492,'Info Lega'!$B$28)</f>
        <v>1000</v>
      </c>
      <c r="X130" s="18">
        <f>('Info Lega'!$B$5-COUNTIFS($D$2:$D$492,'Info Lega'!$B$28,$B$2:$B$492,"P"))+('Info Lega'!$B$6-COUNTIFS($D$2:$D$492,'Info Lega'!$B$28,$B$2:$B$492,"D"))+('Info Lega'!$B$7-COUNTIFS($D$2:$D$492,'Info Lega'!$B$28,$B$2:$B$492,"C"))+('Info Lega'!$B$8-COUNTIFS($D$2:$D$492,'Info Lega'!$B$28,$B$2:$B$492,"A"))</f>
        <v>25</v>
      </c>
      <c r="Y130" s="18">
        <f>X130*'Parametri Modello'!$B$30</f>
        <v>25</v>
      </c>
      <c r="Z130" s="18">
        <f t="shared" ref="Z130:Z193" si="20">MAX(0,W130-Y130)</f>
        <v>975</v>
      </c>
      <c r="AA130" s="18">
        <f t="shared" ref="AA130:AA193" si="21">MIN(F130,Z130)</f>
        <v>8</v>
      </c>
      <c r="AB130" s="18"/>
      <c r="AC130" s="18" t="str">
        <f>IF($AB130="","",IF($AB130&gt;$AA130,"PASS",IF($AB130&lt;=$AA130*(1-'Parametri Modello'!$B$68),"BID","ATTENZIONE")))</f>
        <v/>
      </c>
      <c r="AD130" s="28" t="str">
        <f t="shared" ref="AD130:AD193" si="22">IF(I130="","",ROUND(100*(1-EXP(-I130/30)),0))</f>
        <v/>
      </c>
      <c r="AE130" s="5" t="str">
        <f>IFERROR(IF($AF130="Titolare",INDEX('Stato Asta'!$G$9:$G$12,MATCH($B130,'Stato Asta'!$A$9:$A$12,0)),INDEX('Stato Asta'!$P$9:$P$12,MATCH($B130,'Stato Asta'!$A$9:$A$12,0))),"")</f>
        <v>🟢 Riserve abbondanti</v>
      </c>
      <c r="AF130" t="str">
        <f>IFERROR(IF($V130&lt;=INDEX('Parametri Modello'!$C$57:$C$60,MATCH($B130,'Parametri Modello'!$A$57:$A$60,0)),"Titolare","Riserva"),"")</f>
        <v>Riserva</v>
      </c>
      <c r="AG130" t="str">
        <f>IFERROR(INDEX('Pressione Competitiva'!$F$3:$F$6,MATCH($B130,'Pressione Competitiva'!$B$3:$B$6,0)),"")</f>
        <v>🔴 Molto Alta</v>
      </c>
      <c r="AH130" t="str">
        <f t="shared" ref="AH130:AH193" si="23">IF($AB130="","",$AA130-$AB130)</f>
        <v/>
      </c>
      <c r="AI130" t="str">
        <f>IFERROR(IF($AH130="","",IF($AH130&gt;=$AA130*'Parametri Modello'!$B$68,"🟢 Opportunita'",IF($AH130&lt;=$AA130*'Parametri Modello'!$B$69,"🔴 Sovrapprezzo","🟡 Prezzo Corretto"))),"")</f>
        <v/>
      </c>
      <c r="AJ130" t="str">
        <f t="shared" ref="AJ130:AJ193" si="24">IF($AB130="","",IF($AC130="PASS","Prezzo sopra la tua Offerta Max Dinamica ("&amp;$AA130&amp;" cr).",IF($AC130="BID","Margine ampio sul tuo tetto (+"&amp;($AA130-$AB130)&amp;" cr).","Margine ridotto: sei vicino al tuo tetto ("&amp;($AA130-$AB130)&amp;" cr residui).")))</f>
        <v/>
      </c>
      <c r="AK130">
        <f t="shared" ref="AK130:AK193" si="25">IF(AND($D130="",$N130&gt;1),COUNTIFS($B$2:$B$492,$B130,$P$2:$P$492,$P130,$D$2:$D$492,"",$N$2:$N$492,"&gt;1",$O$2:$O$492,"&gt;"&amp;$O130)+1,"")</f>
        <v>15</v>
      </c>
      <c r="AL130" t="str">
        <f t="shared" ref="AL130:AL193" si="26">IF($AK130="","",$B130&amp;"|"&amp;$P130&amp;"|"&amp;$AK130)</f>
        <v>A|Nella Media|15</v>
      </c>
    </row>
    <row r="131" spans="1:38" ht="14.25" customHeight="1" x14ac:dyDescent="0.25">
      <c r="A131" s="18">
        <v>2832</v>
      </c>
      <c r="B131" s="18" t="s">
        <v>437</v>
      </c>
      <c r="C131" s="18" t="s">
        <v>489</v>
      </c>
      <c r="E131" s="23" t="str">
        <f>IF(COUNTIF('Info Strategia'!$D$2:$D$51,$C131)&gt;0,"SI","NO")</f>
        <v>NO</v>
      </c>
      <c r="F131" s="24">
        <f>IFERROR(ROUND(($G131+($H131-$G131)*'Info Strategia'!$B$6)*(1+IF($E131="SI",'Parametri Modello'!$B$7*'Info Strategia'!$B$6,0)),0),"")</f>
        <v>8</v>
      </c>
      <c r="G131" s="24">
        <f>IFERROR(ROUND(MAX(1,(IF($V131&lt;=INDEX('Parametri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5</v>
      </c>
      <c r="H131" s="24">
        <f>IFERROR(ROUND((IF($V131&lt;=INDEX('Parametri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9</v>
      </c>
      <c r="I131" s="23">
        <f>IFERROR(INDEX('Input Statistiche 2025_26'!$F$3:$F$665,MATCH($A131,'Input Statistiche 2025_26'!$A$3:$A$665,0)),"")</f>
        <v>13</v>
      </c>
      <c r="J131" s="23">
        <f t="shared" si="18"/>
        <v>25</v>
      </c>
      <c r="K131" s="23">
        <f>IFERROR(INDEX('Input Statistiche 2025_26'!$I$3:$I$665,MATCH($A131,'Input Statistiche 2025_26'!$A$3:$A$665,0)),"")</f>
        <v>4</v>
      </c>
      <c r="L131" s="23">
        <f>IFERROR(INDEX('Input Statistiche 2025_26'!$O$3:$O$665,MATCH($A131,'Input Statistiche 2025_26'!$A$3:$A$665,0)),"")</f>
        <v>1</v>
      </c>
      <c r="M131" s="25"/>
      <c r="N131" s="24">
        <f>IFERROR(INDEX('Input Giocatori 2026_27'!$E$3:$E$493,MATCH($A131,'Input Giocatori 2026_27'!$A$3:$A$493,0)),"")</f>
        <v>6</v>
      </c>
      <c r="O131" s="24">
        <f>IFERROR(INDEX('Input Giocatori 2026_27'!$G$3:$G$493,MATCH($A131,'Input Giocatori 2026_27'!$A$3:$A$493,0)),"")</f>
        <v>25</v>
      </c>
      <c r="P131" s="23" t="str">
        <f>IFERROR(IF($O131="","",IF((1-(COUNTIFS($B$2:$B$492,$B131,$O$2:$O$492,"&gt;"&amp;$O131)+1-1)/COUNTIF($B$2:$B$492,$B131))&gt;='Parametri Modello'!$B$63,"Top",IF((1-(COUNTIFS($B$2:$B$492,$B131,$O$2:$O$492,"&gt;"&amp;$O131)+1-1)/COUNTIF($B$2:$B$492,$B131))&gt;='Parametri Modello'!$B$64,"Buono",IF((1-(COUNTIFS($B$2:$B$492,$B131,$O$2:$O$492,"&gt;"&amp;$O131)+1-1)/COUNTIF($B$2:$B$492,$B131))&gt;='Parametri Modello'!$B$65,"Nella Media","Scommessa/Riserva")))),"")</f>
        <v>Nella Media</v>
      </c>
      <c r="Q131" s="26">
        <f>IF(AND($D131="",$N131&gt;1),SUMPRODUCT(($D$2:$D131="")*($N$2:$N131&gt;1)),"")</f>
        <v>130</v>
      </c>
      <c r="R131" s="26" t="str">
        <f>IF($D131='Info Lega'!$B$28,COUNTIFS($D$2:$D131,'Info Lega'!$B$28),"")</f>
        <v/>
      </c>
      <c r="S131" s="27">
        <f>IFERROR(INDEX('Input Statistiche 2025_26'!$G$3:$G$665,MATCH($A131,'Input Statistiche 2025_26'!$A$3:$A$665,0)),"")</f>
        <v>6.19</v>
      </c>
      <c r="T131" s="27">
        <f>IFERROR(INDEX('Input Statistiche 2025_26'!$H$3:$H$665,MATCH($A131,'Input Statistiche 2025_26'!$A$3:$A$665,0)),"")</f>
        <v>7.15</v>
      </c>
      <c r="U131" s="23" t="str">
        <f>IF(OR('La Mia Rosa'!$O$12="",$D131&lt;&gt;""),"",IF($F131&lt;='La Mia Rosa'!$O$12*'Parametri Modello'!$B$24,"OK",IF($F131&lt;='La Mia Rosa'!$O$12*'Parametri Modello'!$B$25,"Attenzione","Rischio Alto")))</f>
        <v>OK</v>
      </c>
      <c r="V131" s="23">
        <f t="shared" si="19"/>
        <v>41</v>
      </c>
      <c r="W131" s="18">
        <f>'Info Lega'!$B$4-SUMIFS($M$2:$M$492,$D$2:$D$492,'Info Lega'!$B$28)</f>
        <v>1000</v>
      </c>
      <c r="X131" s="18">
        <f>('Info Lega'!$B$5-COUNTIFS($D$2:$D$492,'Info Lega'!$B$28,$B$2:$B$492,"P"))+('Info Lega'!$B$6-COUNTIFS($D$2:$D$492,'Info Lega'!$B$28,$B$2:$B$492,"D"))+('Info Lega'!$B$7-COUNTIFS($D$2:$D$492,'Info Lega'!$B$28,$B$2:$B$492,"C"))+('Info Lega'!$B$8-COUNTIFS($D$2:$D$492,'Info Lega'!$B$28,$B$2:$B$492,"A"))</f>
        <v>25</v>
      </c>
      <c r="Y131" s="18">
        <f>X131*'Parametri Modello'!$B$30</f>
        <v>25</v>
      </c>
      <c r="Z131" s="18">
        <f t="shared" si="20"/>
        <v>975</v>
      </c>
      <c r="AA131" s="18">
        <f t="shared" si="21"/>
        <v>8</v>
      </c>
      <c r="AB131" s="18"/>
      <c r="AC131" s="18" t="str">
        <f>IF($AB131="","",IF($AB131&gt;$AA131,"PASS",IF($AB131&lt;=$AA131*(1-'Parametri Modello'!$B$68),"BID","ATTENZIONE")))</f>
        <v/>
      </c>
      <c r="AD131" s="28">
        <f t="shared" si="22"/>
        <v>35</v>
      </c>
      <c r="AE131" s="5" t="str">
        <f>IFERROR(IF($AF131="Titolare",INDEX('Stato Asta'!$G$9:$G$12,MATCH($B131,'Stato Asta'!$A$9:$A$12,0)),INDEX('Stato Asta'!$P$9:$P$12,MATCH($B131,'Stato Asta'!$A$9:$A$12,0))),"")</f>
        <v>🟢 Riserve abbondanti</v>
      </c>
      <c r="AF131" t="str">
        <f>IFERROR(IF($V131&lt;=INDEX('Parametri Modello'!$C$57:$C$60,MATCH($B131,'Parametri Modello'!$A$57:$A$60,0)),"Titolare","Riserva"),"")</f>
        <v>Riserva</v>
      </c>
      <c r="AG131" t="str">
        <f>IFERROR(INDEX('Pressione Competitiva'!$F$3:$F$6,MATCH($B131,'Pressione Competitiva'!$B$3:$B$6,0)),"")</f>
        <v>🔴 Molto Alta</v>
      </c>
      <c r="AH131" t="str">
        <f t="shared" si="23"/>
        <v/>
      </c>
      <c r="AI131" t="str">
        <f>IFERROR(IF($AH131="","",IF($AH131&gt;=$AA131*'Parametri Modello'!$B$68,"🟢 Opportunita'",IF($AH131&lt;=$AA131*'Parametri Modello'!$B$69,"🔴 Sovrapprezzo","🟡 Prezzo Corretto"))),"")</f>
        <v/>
      </c>
      <c r="AJ131" t="str">
        <f t="shared" si="24"/>
        <v/>
      </c>
      <c r="AK131">
        <f t="shared" si="25"/>
        <v>15</v>
      </c>
      <c r="AL131" t="str">
        <f t="shared" si="26"/>
        <v>A|Nella Media|15</v>
      </c>
    </row>
    <row r="132" spans="1:38" ht="14.25" customHeight="1" x14ac:dyDescent="0.25">
      <c r="A132" s="18">
        <v>554</v>
      </c>
      <c r="B132" s="18" t="s">
        <v>88</v>
      </c>
      <c r="C132" s="18" t="s">
        <v>112</v>
      </c>
      <c r="E132" s="23" t="str">
        <f>IF(COUNTIF('Info Strategia'!$D$2:$D$51,$C132)&gt;0,"SI","NO")</f>
        <v>NO</v>
      </c>
      <c r="F132" s="24">
        <f>IFERROR(ROUND(($G132+($H132-$G132)*'Info Strategia'!$B$6)*(1+IF($E132="SI",'Parametri Modello'!$B$7*'Info Strategia'!$B$6,0)),0),"")</f>
        <v>4</v>
      </c>
      <c r="G132" s="24">
        <f>IFERROR(ROUND(MAX(1,(IF($V132&lt;=INDEX('Parametri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3</v>
      </c>
      <c r="H132" s="24">
        <f>IFERROR(ROUND((IF($V132&lt;=INDEX('Parametri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5</v>
      </c>
      <c r="I132" s="23">
        <f>IFERROR(INDEX('Input Statistiche 2025_26'!$F$3:$F$665,MATCH($A132,'Input Statistiche 2025_26'!$A$3:$A$665,0)),"")</f>
        <v>35</v>
      </c>
      <c r="J132" s="23">
        <f t="shared" si="18"/>
        <v>3</v>
      </c>
      <c r="K132" s="23">
        <f>IFERROR(INDEX('Input Statistiche 2025_26'!$I$3:$I$665,MATCH($A132,'Input Statistiche 2025_26'!$A$3:$A$665,0)),"")</f>
        <v>3</v>
      </c>
      <c r="L132" s="23">
        <f>IFERROR(INDEX('Input Statistiche 2025_26'!$O$3:$O$665,MATCH($A132,'Input Statistiche 2025_26'!$A$3:$A$665,0)),"")</f>
        <v>1</v>
      </c>
      <c r="M132" s="25"/>
      <c r="N132" s="24">
        <f>IFERROR(INDEX('Input Giocatori 2026_27'!$E$3:$E$493,MATCH($A132,'Input Giocatori 2026_27'!$A$3:$A$493,0)),"")</f>
        <v>8</v>
      </c>
      <c r="O132" s="24">
        <f>IFERROR(INDEX('Input Giocatori 2026_27'!$G$3:$G$493,MATCH($A132,'Input Giocatori 2026_27'!$A$3:$A$493,0)),"")</f>
        <v>24</v>
      </c>
      <c r="P132" s="23" t="str">
        <f>IFERROR(IF($O132="","",IF((1-(COUNTIFS($B$2:$B$492,$B132,$O$2:$O$492,"&gt;"&amp;$O132)+1-1)/COUNTIF($B$2:$B$492,$B132))&gt;='Parametri Modello'!$B$63,"Top",IF((1-(COUNTIFS($B$2:$B$492,$B132,$O$2:$O$492,"&gt;"&amp;$O132)+1-1)/COUNTIF($B$2:$B$492,$B132))&gt;='Parametri Modello'!$B$64,"Buono",IF((1-(COUNTIFS($B$2:$B$492,$B132,$O$2:$O$492,"&gt;"&amp;$O132)+1-1)/COUNTIF($B$2:$B$492,$B132))&gt;='Parametri Modello'!$B$65,"Nella Media","Scommessa/Riserva")))),"")</f>
        <v>Buono</v>
      </c>
      <c r="Q132" s="26">
        <f>IF(AND($D132="",$N132&gt;1),SUMPRODUCT(($D$2:$D132="")*($N$2:$N132&gt;1)),"")</f>
        <v>131</v>
      </c>
      <c r="R132" s="26" t="str">
        <f>IF($D132='Info Lega'!$B$28,COUNTIFS($D$2:$D132,'Info Lega'!$B$28),"")</f>
        <v/>
      </c>
      <c r="S132" s="27">
        <f>IFERROR(INDEX('Input Statistiche 2025_26'!$G$3:$G$665,MATCH($A132,'Input Statistiche 2025_26'!$A$3:$A$665,0)),"")</f>
        <v>6.06</v>
      </c>
      <c r="T132" s="27">
        <f>IFERROR(INDEX('Input Statistiche 2025_26'!$H$3:$H$665,MATCH($A132,'Input Statistiche 2025_26'!$A$3:$A$665,0)),"")</f>
        <v>6.3</v>
      </c>
      <c r="U132" s="23" t="str">
        <f>IF(OR('La Mia Rosa'!$O$12="",$D132&lt;&gt;""),"",IF($F132&lt;='La Mia Rosa'!$O$12*'Parametri Modello'!$B$24,"OK",IF($F132&lt;='La Mia Rosa'!$O$12*'Parametri Modello'!$B$25,"Attenzione","Rischio Alto")))</f>
        <v>OK</v>
      </c>
      <c r="V132" s="23">
        <f t="shared" si="19"/>
        <v>26</v>
      </c>
      <c r="W132" s="18">
        <f>'Info Lega'!$B$4-SUMIFS($M$2:$M$492,$D$2:$D$492,'Info Lega'!$B$28)</f>
        <v>1000</v>
      </c>
      <c r="X132" s="18">
        <f>('Info Lega'!$B$5-COUNTIFS($D$2:$D$492,'Info Lega'!$B$28,$B$2:$B$492,"P"))+('Info Lega'!$B$6-COUNTIFS($D$2:$D$492,'Info Lega'!$B$28,$B$2:$B$492,"D"))+('Info Lega'!$B$7-COUNTIFS($D$2:$D$492,'Info Lega'!$B$28,$B$2:$B$492,"C"))+('Info Lega'!$B$8-COUNTIFS($D$2:$D$492,'Info Lega'!$B$28,$B$2:$B$492,"A"))</f>
        <v>25</v>
      </c>
      <c r="Y132" s="18">
        <f>X132*'Parametri Modello'!$B$30</f>
        <v>25</v>
      </c>
      <c r="Z132" s="18">
        <f t="shared" si="20"/>
        <v>975</v>
      </c>
      <c r="AA132" s="18">
        <f t="shared" si="21"/>
        <v>4</v>
      </c>
      <c r="AB132" s="18"/>
      <c r="AC132" s="18" t="str">
        <f>IF($AB132="","",IF($AB132&gt;$AA132,"PASS",IF($AB132&lt;=$AA132*(1-'Parametri Modello'!$B$68),"BID","ATTENZIONE")))</f>
        <v/>
      </c>
      <c r="AD132" s="28">
        <f t="shared" si="22"/>
        <v>69</v>
      </c>
      <c r="AE132" s="5" t="str">
        <f>IFERROR(IF($AF132="Titolare",INDEX('Stato Asta'!$G$9:$G$12,MATCH($B132,'Stato Asta'!$A$9:$A$12,0)),INDEX('Stato Asta'!$P$9:$P$12,MATCH($B132,'Stato Asta'!$A$9:$A$12,0))),"")</f>
        <v>🟢 Riserve abbondanti</v>
      </c>
      <c r="AF132" t="str">
        <f>IFERROR(IF($V132&lt;=INDEX('Parametri Modello'!$C$57:$C$60,MATCH($B132,'Parametri Modello'!$A$57:$A$60,0)),"Titolare","Riserva"),"")</f>
        <v>Riserva</v>
      </c>
      <c r="AG132" t="str">
        <f>IFERROR(INDEX('Pressione Competitiva'!$F$3:$F$6,MATCH($B132,'Pressione Competitiva'!$B$3:$B$6,0)),"")</f>
        <v>🔴 Molto Alta</v>
      </c>
      <c r="AH132" t="str">
        <f t="shared" si="23"/>
        <v/>
      </c>
      <c r="AI132" t="str">
        <f>IFERROR(IF($AH132="","",IF($AH132&gt;=$AA132*'Parametri Modello'!$B$68,"🟢 Opportunita'",IF($AH132&lt;=$AA132*'Parametri Modello'!$B$69,"🔴 Sovrapprezzo","🟡 Prezzo Corretto"))),"")</f>
        <v/>
      </c>
      <c r="AJ132" t="str">
        <f t="shared" si="24"/>
        <v/>
      </c>
      <c r="AK132">
        <f t="shared" si="25"/>
        <v>8</v>
      </c>
      <c r="AL132" t="str">
        <f t="shared" si="26"/>
        <v>D|Buono|8</v>
      </c>
    </row>
    <row r="133" spans="1:38" ht="14.25" customHeight="1" x14ac:dyDescent="0.25">
      <c r="A133" s="18">
        <v>4734</v>
      </c>
      <c r="B133" s="18" t="s">
        <v>88</v>
      </c>
      <c r="C133" s="18" t="s">
        <v>114</v>
      </c>
      <c r="E133" s="23" t="str">
        <f>IF(COUNTIF('Info Strategia'!$D$2:$D$51,$C133)&gt;0,"SI","NO")</f>
        <v>NO</v>
      </c>
      <c r="F133" s="24">
        <f>IFERROR(ROUND(($G133+($H133-$G133)*'Info Strategia'!$B$6)*(1+IF($E133="SI",'Parametri Modello'!$B$7*'Info Strategia'!$B$6,0)),0),"")</f>
        <v>4</v>
      </c>
      <c r="G133" s="24">
        <f>IFERROR(ROUND(MAX(1,(IF($V133&lt;=INDEX('Parametri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3</v>
      </c>
      <c r="H133" s="24">
        <f>IFERROR(ROUND((IF($V133&lt;=INDEX('Parametri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5</v>
      </c>
      <c r="I133" s="23">
        <f>IFERROR(INDEX('Input Statistiche 2025_26'!$F$3:$F$665,MATCH($A133,'Input Statistiche 2025_26'!$A$3:$A$665,0)),"")</f>
        <v>31</v>
      </c>
      <c r="J133" s="23">
        <f t="shared" si="18"/>
        <v>7</v>
      </c>
      <c r="K133" s="23">
        <f>IFERROR(INDEX('Input Statistiche 2025_26'!$I$3:$I$665,MATCH($A133,'Input Statistiche 2025_26'!$A$3:$A$665,0)),"")</f>
        <v>1</v>
      </c>
      <c r="L133" s="23">
        <f>IFERROR(INDEX('Input Statistiche 2025_26'!$O$3:$O$665,MATCH($A133,'Input Statistiche 2025_26'!$A$3:$A$665,0)),"")</f>
        <v>3</v>
      </c>
      <c r="M133" s="25"/>
      <c r="N133" s="24">
        <f>IFERROR(INDEX('Input Giocatori 2026_27'!$E$3:$E$493,MATCH($A133,'Input Giocatori 2026_27'!$A$3:$A$493,0)),"")</f>
        <v>8</v>
      </c>
      <c r="O133" s="24">
        <f>IFERROR(INDEX('Input Giocatori 2026_27'!$G$3:$G$493,MATCH($A133,'Input Giocatori 2026_27'!$A$3:$A$493,0)),"")</f>
        <v>24</v>
      </c>
      <c r="P133" s="23" t="str">
        <f>IFERROR(IF($O133="","",IF((1-(COUNTIFS($B$2:$B$492,$B133,$O$2:$O$492,"&gt;"&amp;$O133)+1-1)/COUNTIF($B$2:$B$492,$B133))&gt;='Parametri Modello'!$B$63,"Top",IF((1-(COUNTIFS($B$2:$B$492,$B133,$O$2:$O$492,"&gt;"&amp;$O133)+1-1)/COUNTIF($B$2:$B$492,$B133))&gt;='Parametri Modello'!$B$64,"Buono",IF((1-(COUNTIFS($B$2:$B$492,$B133,$O$2:$O$492,"&gt;"&amp;$O133)+1-1)/COUNTIF($B$2:$B$492,$B133))&gt;='Parametri Modello'!$B$65,"Nella Media","Scommessa/Riserva")))),"")</f>
        <v>Buono</v>
      </c>
      <c r="Q133" s="26">
        <f>IF(AND($D133="",$N133&gt;1),SUMPRODUCT(($D$2:$D133="")*($N$2:$N133&gt;1)),"")</f>
        <v>132</v>
      </c>
      <c r="R133" s="26" t="str">
        <f>IF($D133='Info Lega'!$B$28,COUNTIFS($D$2:$D133,'Info Lega'!$B$28),"")</f>
        <v/>
      </c>
      <c r="S133" s="27">
        <f>IFERROR(INDEX('Input Statistiche 2025_26'!$G$3:$G$665,MATCH($A133,'Input Statistiche 2025_26'!$A$3:$A$665,0)),"")</f>
        <v>6</v>
      </c>
      <c r="T133" s="27">
        <f>IFERROR(INDEX('Input Statistiche 2025_26'!$H$3:$H$665,MATCH($A133,'Input Statistiche 2025_26'!$A$3:$A$665,0)),"")</f>
        <v>6.1</v>
      </c>
      <c r="U133" s="23" t="str">
        <f>IF(OR('La Mia Rosa'!$O$12="",$D133&lt;&gt;""),"",IF($F133&lt;='La Mia Rosa'!$O$12*'Parametri Modello'!$B$24,"OK",IF($F133&lt;='La Mia Rosa'!$O$12*'Parametri Modello'!$B$25,"Attenzione","Rischio Alto")))</f>
        <v>OK</v>
      </c>
      <c r="V133" s="23">
        <f t="shared" si="19"/>
        <v>26</v>
      </c>
      <c r="W133" s="18">
        <f>'Info Lega'!$B$4-SUMIFS($M$2:$M$492,$D$2:$D$492,'Info Lega'!$B$28)</f>
        <v>1000</v>
      </c>
      <c r="X133" s="18">
        <f>('Info Lega'!$B$5-COUNTIFS($D$2:$D$492,'Info Lega'!$B$28,$B$2:$B$492,"P"))+('Info Lega'!$B$6-COUNTIFS($D$2:$D$492,'Info Lega'!$B$28,$B$2:$B$492,"D"))+('Info Lega'!$B$7-COUNTIFS($D$2:$D$492,'Info Lega'!$B$28,$B$2:$B$492,"C"))+('Info Lega'!$B$8-COUNTIFS($D$2:$D$492,'Info Lega'!$B$28,$B$2:$B$492,"A"))</f>
        <v>25</v>
      </c>
      <c r="Y133" s="18">
        <f>X133*'Parametri Modello'!$B$30</f>
        <v>25</v>
      </c>
      <c r="Z133" s="18">
        <f t="shared" si="20"/>
        <v>975</v>
      </c>
      <c r="AA133" s="18">
        <f t="shared" si="21"/>
        <v>4</v>
      </c>
      <c r="AB133" s="18"/>
      <c r="AC133" s="18" t="str">
        <f>IF($AB133="","",IF($AB133&gt;$AA133,"PASS",IF($AB133&lt;=$AA133*(1-'Parametri Modello'!$B$68),"BID","ATTENZIONE")))</f>
        <v/>
      </c>
      <c r="AD133" s="28">
        <f t="shared" si="22"/>
        <v>64</v>
      </c>
      <c r="AE133" s="5" t="str">
        <f>IFERROR(IF($AF133="Titolare",INDEX('Stato Asta'!$G$9:$G$12,MATCH($B133,'Stato Asta'!$A$9:$A$12,0)),INDEX('Stato Asta'!$P$9:$P$12,MATCH($B133,'Stato Asta'!$A$9:$A$12,0))),"")</f>
        <v>🟢 Riserve abbondanti</v>
      </c>
      <c r="AF133" t="str">
        <f>IFERROR(IF($V133&lt;=INDEX('Parametri Modello'!$C$57:$C$60,MATCH($B133,'Parametri Modello'!$A$57:$A$60,0)),"Titolare","Riserva"),"")</f>
        <v>Riserva</v>
      </c>
      <c r="AG133" t="str">
        <f>IFERROR(INDEX('Pressione Competitiva'!$F$3:$F$6,MATCH($B133,'Pressione Competitiva'!$B$3:$B$6,0)),"")</f>
        <v>🔴 Molto Alta</v>
      </c>
      <c r="AH133" t="str">
        <f t="shared" si="23"/>
        <v/>
      </c>
      <c r="AI133" t="str">
        <f>IFERROR(IF($AH133="","",IF($AH133&gt;=$AA133*'Parametri Modello'!$B$68,"🟢 Opportunita'",IF($AH133&lt;=$AA133*'Parametri Modello'!$B$69,"🔴 Sovrapprezzo","🟡 Prezzo Corretto"))),"")</f>
        <v/>
      </c>
      <c r="AJ133" t="str">
        <f t="shared" si="24"/>
        <v/>
      </c>
      <c r="AK133">
        <f t="shared" si="25"/>
        <v>8</v>
      </c>
      <c r="AL133" t="str">
        <f t="shared" si="26"/>
        <v>D|Buono|8</v>
      </c>
    </row>
    <row r="134" spans="1:38" ht="14.25" customHeight="1" x14ac:dyDescent="0.25">
      <c r="A134" s="18">
        <v>1852</v>
      </c>
      <c r="B134" s="18" t="s">
        <v>88</v>
      </c>
      <c r="C134" s="18" t="s">
        <v>121</v>
      </c>
      <c r="E134" s="23" t="str">
        <f>IF(COUNTIF('Info Strategia'!$D$2:$D$51,$C134)&gt;0,"SI","NO")</f>
        <v>NO</v>
      </c>
      <c r="F134" s="24">
        <f>IFERROR(ROUND(($G134+($H134-$G134)*'Info Strategia'!$B$6)*(1+IF($E134="SI",'Parametri Modello'!$B$7*'Info Strategia'!$B$6,0)),0),"")</f>
        <v>4</v>
      </c>
      <c r="G134" s="24">
        <f>IFERROR(ROUND(MAX(1,(IF($V134&lt;=INDEX('Parametri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3</v>
      </c>
      <c r="H134" s="24">
        <f>IFERROR(ROUND((IF($V134&lt;=INDEX('Parametri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5</v>
      </c>
      <c r="I134" s="23">
        <f>IFERROR(INDEX('Input Statistiche 2025_26'!$F$3:$F$665,MATCH($A134,'Input Statistiche 2025_26'!$A$3:$A$665,0)),"")</f>
        <v>30</v>
      </c>
      <c r="J134" s="23">
        <f t="shared" si="18"/>
        <v>8</v>
      </c>
      <c r="K134" s="23">
        <f>IFERROR(INDEX('Input Statistiche 2025_26'!$I$3:$I$665,MATCH($A134,'Input Statistiche 2025_26'!$A$3:$A$665,0)),"")</f>
        <v>3</v>
      </c>
      <c r="L134" s="23">
        <f>IFERROR(INDEX('Input Statistiche 2025_26'!$O$3:$O$665,MATCH($A134,'Input Statistiche 2025_26'!$A$3:$A$665,0)),"")</f>
        <v>3</v>
      </c>
      <c r="M134" s="25"/>
      <c r="N134" s="24">
        <f>IFERROR(INDEX('Input Giocatori 2026_27'!$E$3:$E$493,MATCH($A134,'Input Giocatori 2026_27'!$A$3:$A$493,0)),"")</f>
        <v>8</v>
      </c>
      <c r="O134" s="24">
        <f>IFERROR(INDEX('Input Giocatori 2026_27'!$G$3:$G$493,MATCH($A134,'Input Giocatori 2026_27'!$A$3:$A$493,0)),"")</f>
        <v>24</v>
      </c>
      <c r="P134" s="23" t="str">
        <f>IFERROR(IF($O134="","",IF((1-(COUNTIFS($B$2:$B$492,$B134,$O$2:$O$492,"&gt;"&amp;$O134)+1-1)/COUNTIF($B$2:$B$492,$B134))&gt;='Parametri Modello'!$B$63,"Top",IF((1-(COUNTIFS($B$2:$B$492,$B134,$O$2:$O$492,"&gt;"&amp;$O134)+1-1)/COUNTIF($B$2:$B$492,$B134))&gt;='Parametri Modello'!$B$64,"Buono",IF((1-(COUNTIFS($B$2:$B$492,$B134,$O$2:$O$492,"&gt;"&amp;$O134)+1-1)/COUNTIF($B$2:$B$492,$B134))&gt;='Parametri Modello'!$B$65,"Nella Media","Scommessa/Riserva")))),"")</f>
        <v>Buono</v>
      </c>
      <c r="Q134" s="26">
        <f>IF(AND($D134="",$N134&gt;1),SUMPRODUCT(($D$2:$D134="")*($N$2:$N134&gt;1)),"")</f>
        <v>133</v>
      </c>
      <c r="R134" s="26" t="str">
        <f>IF($D134='Info Lega'!$B$28,COUNTIFS($D$2:$D134,'Info Lega'!$B$28),"")</f>
        <v/>
      </c>
      <c r="S134" s="27">
        <f>IFERROR(INDEX('Input Statistiche 2025_26'!$G$3:$G$665,MATCH($A134,'Input Statistiche 2025_26'!$A$3:$A$665,0)),"")</f>
        <v>6.17</v>
      </c>
      <c r="T134" s="27">
        <f>IFERROR(INDEX('Input Statistiche 2025_26'!$H$3:$H$665,MATCH($A134,'Input Statistiche 2025_26'!$A$3:$A$665,0)),"")</f>
        <v>6.55</v>
      </c>
      <c r="U134" s="23" t="str">
        <f>IF(OR('La Mia Rosa'!$O$12="",$D134&lt;&gt;""),"",IF($F134&lt;='La Mia Rosa'!$O$12*'Parametri Modello'!$B$24,"OK",IF($F134&lt;='La Mia Rosa'!$O$12*'Parametri Modello'!$B$25,"Attenzione","Rischio Alto")))</f>
        <v>OK</v>
      </c>
      <c r="V134" s="23">
        <f t="shared" si="19"/>
        <v>26</v>
      </c>
      <c r="W134" s="18">
        <f>'Info Lega'!$B$4-SUMIFS($M$2:$M$492,$D$2:$D$492,'Info Lega'!$B$28)</f>
        <v>1000</v>
      </c>
      <c r="X134" s="18">
        <f>('Info Lega'!$B$5-COUNTIFS($D$2:$D$492,'Info Lega'!$B$28,$B$2:$B$492,"P"))+('Info Lega'!$B$6-COUNTIFS($D$2:$D$492,'Info Lega'!$B$28,$B$2:$B$492,"D"))+('Info Lega'!$B$7-COUNTIFS($D$2:$D$492,'Info Lega'!$B$28,$B$2:$B$492,"C"))+('Info Lega'!$B$8-COUNTIFS($D$2:$D$492,'Info Lega'!$B$28,$B$2:$B$492,"A"))</f>
        <v>25</v>
      </c>
      <c r="Y134" s="18">
        <f>X134*'Parametri Modello'!$B$30</f>
        <v>25</v>
      </c>
      <c r="Z134" s="18">
        <f t="shared" si="20"/>
        <v>975</v>
      </c>
      <c r="AA134" s="18">
        <f t="shared" si="21"/>
        <v>4</v>
      </c>
      <c r="AB134" s="18"/>
      <c r="AC134" s="18" t="str">
        <f>IF($AB134="","",IF($AB134&gt;$AA134,"PASS",IF($AB134&lt;=$AA134*(1-'Parametri Modello'!$B$68),"BID","ATTENZIONE")))</f>
        <v/>
      </c>
      <c r="AD134" s="28">
        <f t="shared" si="22"/>
        <v>63</v>
      </c>
      <c r="AE134" s="5" t="str">
        <f>IFERROR(IF($AF134="Titolare",INDEX('Stato Asta'!$G$9:$G$12,MATCH($B134,'Stato Asta'!$A$9:$A$12,0)),INDEX('Stato Asta'!$P$9:$P$12,MATCH($B134,'Stato Asta'!$A$9:$A$12,0))),"")</f>
        <v>🟢 Riserve abbondanti</v>
      </c>
      <c r="AF134" t="str">
        <f>IFERROR(IF($V134&lt;=INDEX('Parametri Modello'!$C$57:$C$60,MATCH($B134,'Parametri Modello'!$A$57:$A$60,0)),"Titolare","Riserva"),"")</f>
        <v>Riserva</v>
      </c>
      <c r="AG134" t="str">
        <f>IFERROR(INDEX('Pressione Competitiva'!$F$3:$F$6,MATCH($B134,'Pressione Competitiva'!$B$3:$B$6,0)),"")</f>
        <v>🔴 Molto Alta</v>
      </c>
      <c r="AH134" t="str">
        <f t="shared" si="23"/>
        <v/>
      </c>
      <c r="AI134" t="str">
        <f>IFERROR(IF($AH134="","",IF($AH134&gt;=$AA134*'Parametri Modello'!$B$68,"🟢 Opportunita'",IF($AH134&lt;=$AA134*'Parametri Modello'!$B$69,"🔴 Sovrapprezzo","🟡 Prezzo Corretto"))),"")</f>
        <v/>
      </c>
      <c r="AJ134" t="str">
        <f t="shared" si="24"/>
        <v/>
      </c>
      <c r="AK134">
        <f t="shared" si="25"/>
        <v>8</v>
      </c>
      <c r="AL134" t="str">
        <f t="shared" si="26"/>
        <v>D|Buono|8</v>
      </c>
    </row>
    <row r="135" spans="1:38" ht="14.25" customHeight="1" x14ac:dyDescent="0.25">
      <c r="A135" s="18">
        <v>5862</v>
      </c>
      <c r="B135" s="18" t="s">
        <v>88</v>
      </c>
      <c r="C135" s="18" t="s">
        <v>123</v>
      </c>
      <c r="E135" s="23" t="str">
        <f>IF(COUNTIF('Info Strategia'!$D$2:$D$51,$C135)&gt;0,"SI","NO")</f>
        <v>NO</v>
      </c>
      <c r="F135" s="24">
        <f>IFERROR(ROUND(($G135+($H135-$G135)*'Info Strategia'!$B$6)*(1+IF($E135="SI",'Parametri Modello'!$B$7*'Info Strategia'!$B$6,0)),0),"")</f>
        <v>4</v>
      </c>
      <c r="G135" s="24">
        <f>IFERROR(ROUND(MAX(1,(IF($V135&lt;=INDEX('Parametri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3</v>
      </c>
      <c r="H135" s="24">
        <f>IFERROR(ROUND((IF($V135&lt;=INDEX('Parametri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5</v>
      </c>
      <c r="I135" s="23">
        <f>IFERROR(INDEX('Input Statistiche 2025_26'!$F$3:$F$665,MATCH($A135,'Input Statistiche 2025_26'!$A$3:$A$665,0)),"")</f>
        <v>34</v>
      </c>
      <c r="J135" s="23">
        <f t="shared" si="18"/>
        <v>4</v>
      </c>
      <c r="K135" s="23">
        <f>IFERROR(INDEX('Input Statistiche 2025_26'!$I$3:$I$665,MATCH($A135,'Input Statistiche 2025_26'!$A$3:$A$665,0)),"")</f>
        <v>0</v>
      </c>
      <c r="L135" s="23">
        <f>IFERROR(INDEX('Input Statistiche 2025_26'!$O$3:$O$665,MATCH($A135,'Input Statistiche 2025_26'!$A$3:$A$665,0)),"")</f>
        <v>2</v>
      </c>
      <c r="M135" s="25"/>
      <c r="N135" s="24">
        <f>IFERROR(INDEX('Input Giocatori 2026_27'!$E$3:$E$493,MATCH($A135,'Input Giocatori 2026_27'!$A$3:$A$493,0)),"")</f>
        <v>8</v>
      </c>
      <c r="O135" s="24">
        <f>IFERROR(INDEX('Input Giocatori 2026_27'!$G$3:$G$493,MATCH($A135,'Input Giocatori 2026_27'!$A$3:$A$493,0)),"")</f>
        <v>24</v>
      </c>
      <c r="P135" s="23" t="str">
        <f>IFERROR(IF($O135="","",IF((1-(COUNTIFS($B$2:$B$492,$B135,$O$2:$O$492,"&gt;"&amp;$O135)+1-1)/COUNTIF($B$2:$B$492,$B135))&gt;='Parametri Modello'!$B$63,"Top",IF((1-(COUNTIFS($B$2:$B$492,$B135,$O$2:$O$492,"&gt;"&amp;$O135)+1-1)/COUNTIF($B$2:$B$492,$B135))&gt;='Parametri Modello'!$B$64,"Buono",IF((1-(COUNTIFS($B$2:$B$492,$B135,$O$2:$O$492,"&gt;"&amp;$O135)+1-1)/COUNTIF($B$2:$B$492,$B135))&gt;='Parametri Modello'!$B$65,"Nella Media","Scommessa/Riserva")))),"")</f>
        <v>Buono</v>
      </c>
      <c r="Q135" s="26">
        <f>IF(AND($D135="",$N135&gt;1),SUMPRODUCT(($D$2:$D135="")*($N$2:$N135&gt;1)),"")</f>
        <v>134</v>
      </c>
      <c r="R135" s="26" t="str">
        <f>IF($D135='Info Lega'!$B$28,COUNTIFS($D$2:$D135,'Info Lega'!$B$28),"")</f>
        <v/>
      </c>
      <c r="S135" s="27">
        <f>IFERROR(INDEX('Input Statistiche 2025_26'!$G$3:$G$665,MATCH($A135,'Input Statistiche 2025_26'!$A$3:$A$665,0)),"")</f>
        <v>6.06</v>
      </c>
      <c r="T135" s="27">
        <f>IFERROR(INDEX('Input Statistiche 2025_26'!$H$3:$H$665,MATCH($A135,'Input Statistiche 2025_26'!$A$3:$A$665,0)),"")</f>
        <v>6.09</v>
      </c>
      <c r="U135" s="23" t="str">
        <f>IF(OR('La Mia Rosa'!$O$12="",$D135&lt;&gt;""),"",IF($F135&lt;='La Mia Rosa'!$O$12*'Parametri Modello'!$B$24,"OK",IF($F135&lt;='La Mia Rosa'!$O$12*'Parametri Modello'!$B$25,"Attenzione","Rischio Alto")))</f>
        <v>OK</v>
      </c>
      <c r="V135" s="23">
        <f t="shared" si="19"/>
        <v>26</v>
      </c>
      <c r="W135" s="18">
        <f>'Info Lega'!$B$4-SUMIFS($M$2:$M$492,$D$2:$D$492,'Info Lega'!$B$28)</f>
        <v>1000</v>
      </c>
      <c r="X135" s="18">
        <f>('Info Lega'!$B$5-COUNTIFS($D$2:$D$492,'Info Lega'!$B$28,$B$2:$B$492,"P"))+('Info Lega'!$B$6-COUNTIFS($D$2:$D$492,'Info Lega'!$B$28,$B$2:$B$492,"D"))+('Info Lega'!$B$7-COUNTIFS($D$2:$D$492,'Info Lega'!$B$28,$B$2:$B$492,"C"))+('Info Lega'!$B$8-COUNTIFS($D$2:$D$492,'Info Lega'!$B$28,$B$2:$B$492,"A"))</f>
        <v>25</v>
      </c>
      <c r="Y135" s="18">
        <f>X135*'Parametri Modello'!$B$30</f>
        <v>25</v>
      </c>
      <c r="Z135" s="18">
        <f t="shared" si="20"/>
        <v>975</v>
      </c>
      <c r="AA135" s="18">
        <f t="shared" si="21"/>
        <v>4</v>
      </c>
      <c r="AB135" s="18"/>
      <c r="AC135" s="18" t="str">
        <f>IF($AB135="","",IF($AB135&gt;$AA135,"PASS",IF($AB135&lt;=$AA135*(1-'Parametri Modello'!$B$68),"BID","ATTENZIONE")))</f>
        <v/>
      </c>
      <c r="AD135" s="28">
        <f t="shared" si="22"/>
        <v>68</v>
      </c>
      <c r="AE135" s="5" t="str">
        <f>IFERROR(IF($AF135="Titolare",INDEX('Stato Asta'!$G$9:$G$12,MATCH($B135,'Stato Asta'!$A$9:$A$12,0)),INDEX('Stato Asta'!$P$9:$P$12,MATCH($B135,'Stato Asta'!$A$9:$A$12,0))),"")</f>
        <v>🟢 Riserve abbondanti</v>
      </c>
      <c r="AF135" t="str">
        <f>IFERROR(IF($V135&lt;=INDEX('Parametri Modello'!$C$57:$C$60,MATCH($B135,'Parametri Modello'!$A$57:$A$60,0)),"Titolare","Riserva"),"")</f>
        <v>Riserva</v>
      </c>
      <c r="AG135" t="str">
        <f>IFERROR(INDEX('Pressione Competitiva'!$F$3:$F$6,MATCH($B135,'Pressione Competitiva'!$B$3:$B$6,0)),"")</f>
        <v>🔴 Molto Alta</v>
      </c>
      <c r="AH135" t="str">
        <f t="shared" si="23"/>
        <v/>
      </c>
      <c r="AI135" t="str">
        <f>IFERROR(IF($AH135="","",IF($AH135&gt;=$AA135*'Parametri Modello'!$B$68,"🟢 Opportunita'",IF($AH135&lt;=$AA135*'Parametri Modello'!$B$69,"🔴 Sovrapprezzo","🟡 Prezzo Corretto"))),"")</f>
        <v/>
      </c>
      <c r="AJ135" t="str">
        <f t="shared" si="24"/>
        <v/>
      </c>
      <c r="AK135">
        <f t="shared" si="25"/>
        <v>8</v>
      </c>
      <c r="AL135" t="str">
        <f t="shared" si="26"/>
        <v>D|Buono|8</v>
      </c>
    </row>
    <row r="136" spans="1:38" ht="14.25" customHeight="1" x14ac:dyDescent="0.25">
      <c r="A136" s="18">
        <v>460</v>
      </c>
      <c r="B136" s="18" t="s">
        <v>88</v>
      </c>
      <c r="C136" s="18" t="s">
        <v>131</v>
      </c>
      <c r="E136" s="23" t="str">
        <f>IF(COUNTIF('Info Strategia'!$D$2:$D$51,$C136)&gt;0,"SI","NO")</f>
        <v>NO</v>
      </c>
      <c r="F136" s="24">
        <f>IFERROR(ROUND(($G136+($H136-$G136)*'Info Strategia'!$B$6)*(1+IF($E136="SI",'Parametri Modello'!$B$7*'Info Strategia'!$B$6,0)),0),"")</f>
        <v>4</v>
      </c>
      <c r="G136" s="24">
        <f>IFERROR(ROUND(MAX(1,(IF($V136&lt;=INDEX('Parametri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3</v>
      </c>
      <c r="H136" s="24">
        <f>IFERROR(ROUND((IF($V136&lt;=INDEX('Parametri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5</v>
      </c>
      <c r="I136" s="23">
        <f>IFERROR(INDEX('Input Statistiche 2025_26'!$F$3:$F$665,MATCH($A136,'Input Statistiche 2025_26'!$A$3:$A$665,0)),"")</f>
        <v>32</v>
      </c>
      <c r="J136" s="23">
        <f t="shared" si="18"/>
        <v>6</v>
      </c>
      <c r="K136" s="23">
        <f>IFERROR(INDEX('Input Statistiche 2025_26'!$I$3:$I$665,MATCH($A136,'Input Statistiche 2025_26'!$A$3:$A$665,0)),"")</f>
        <v>0</v>
      </c>
      <c r="L136" s="23">
        <f>IFERROR(INDEX('Input Statistiche 2025_26'!$O$3:$O$665,MATCH($A136,'Input Statistiche 2025_26'!$A$3:$A$665,0)),"")</f>
        <v>0</v>
      </c>
      <c r="M136" s="25"/>
      <c r="N136" s="24">
        <f>IFERROR(INDEX('Input Giocatori 2026_27'!$E$3:$E$493,MATCH($A136,'Input Giocatori 2026_27'!$A$3:$A$493,0)),"")</f>
        <v>7</v>
      </c>
      <c r="O136" s="24">
        <f>IFERROR(INDEX('Input Giocatori 2026_27'!$G$3:$G$493,MATCH($A136,'Input Giocatori 2026_27'!$A$3:$A$493,0)),"")</f>
        <v>24</v>
      </c>
      <c r="P136" s="23" t="str">
        <f>IFERROR(IF($O136="","",IF((1-(COUNTIFS($B$2:$B$492,$B136,$O$2:$O$492,"&gt;"&amp;$O136)+1-1)/COUNTIF($B$2:$B$492,$B136))&gt;='Parametri Modello'!$B$63,"Top",IF((1-(COUNTIFS($B$2:$B$492,$B136,$O$2:$O$492,"&gt;"&amp;$O136)+1-1)/COUNTIF($B$2:$B$492,$B136))&gt;='Parametri Modello'!$B$64,"Buono",IF((1-(COUNTIFS($B$2:$B$492,$B136,$O$2:$O$492,"&gt;"&amp;$O136)+1-1)/COUNTIF($B$2:$B$492,$B136))&gt;='Parametri Modello'!$B$65,"Nella Media","Scommessa/Riserva")))),"")</f>
        <v>Buono</v>
      </c>
      <c r="Q136" s="26">
        <f>IF(AND($D136="",$N136&gt;1),SUMPRODUCT(($D$2:$D136="")*($N$2:$N136&gt;1)),"")</f>
        <v>135</v>
      </c>
      <c r="R136" s="26" t="str">
        <f>IF($D136='Info Lega'!$B$28,COUNTIFS($D$2:$D136,'Info Lega'!$B$28),"")</f>
        <v/>
      </c>
      <c r="S136" s="27">
        <f>IFERROR(INDEX('Input Statistiche 2025_26'!$G$3:$G$665,MATCH($A136,'Input Statistiche 2025_26'!$A$3:$A$665,0)),"")</f>
        <v>6.03</v>
      </c>
      <c r="T136" s="27">
        <f>IFERROR(INDEX('Input Statistiche 2025_26'!$H$3:$H$665,MATCH($A136,'Input Statistiche 2025_26'!$A$3:$A$665,0)),"")</f>
        <v>5.92</v>
      </c>
      <c r="U136" s="23" t="str">
        <f>IF(OR('La Mia Rosa'!$O$12="",$D136&lt;&gt;""),"",IF($F136&lt;='La Mia Rosa'!$O$12*'Parametri Modello'!$B$24,"OK",IF($F136&lt;='La Mia Rosa'!$O$12*'Parametri Modello'!$B$25,"Attenzione","Rischio Alto")))</f>
        <v>OK</v>
      </c>
      <c r="V136" s="23">
        <f t="shared" si="19"/>
        <v>26</v>
      </c>
      <c r="W136" s="18">
        <f>'Info Lega'!$B$4-SUMIFS($M$2:$M$492,$D$2:$D$492,'Info Lega'!$B$28)</f>
        <v>1000</v>
      </c>
      <c r="X136" s="18">
        <f>('Info Lega'!$B$5-COUNTIFS($D$2:$D$492,'Info Lega'!$B$28,$B$2:$B$492,"P"))+('Info Lega'!$B$6-COUNTIFS($D$2:$D$492,'Info Lega'!$B$28,$B$2:$B$492,"D"))+('Info Lega'!$B$7-COUNTIFS($D$2:$D$492,'Info Lega'!$B$28,$B$2:$B$492,"C"))+('Info Lega'!$B$8-COUNTIFS($D$2:$D$492,'Info Lega'!$B$28,$B$2:$B$492,"A"))</f>
        <v>25</v>
      </c>
      <c r="Y136" s="18">
        <f>X136*'Parametri Modello'!$B$30</f>
        <v>25</v>
      </c>
      <c r="Z136" s="18">
        <f t="shared" si="20"/>
        <v>975</v>
      </c>
      <c r="AA136" s="18">
        <f t="shared" si="21"/>
        <v>4</v>
      </c>
      <c r="AB136" s="18"/>
      <c r="AC136" s="18" t="str">
        <f>IF($AB136="","",IF($AB136&gt;$AA136,"PASS",IF($AB136&lt;=$AA136*(1-'Parametri Modello'!$B$68),"BID","ATTENZIONE")))</f>
        <v/>
      </c>
      <c r="AD136" s="28">
        <f t="shared" si="22"/>
        <v>66</v>
      </c>
      <c r="AE136" s="5" t="str">
        <f>IFERROR(IF($AF136="Titolare",INDEX('Stato Asta'!$G$9:$G$12,MATCH($B136,'Stato Asta'!$A$9:$A$12,0)),INDEX('Stato Asta'!$P$9:$P$12,MATCH($B136,'Stato Asta'!$A$9:$A$12,0))),"")</f>
        <v>🟢 Riserve abbondanti</v>
      </c>
      <c r="AF136" t="str">
        <f>IFERROR(IF($V136&lt;=INDEX('Parametri Modello'!$C$57:$C$60,MATCH($B136,'Parametri Modello'!$A$57:$A$60,0)),"Titolare","Riserva"),"")</f>
        <v>Riserva</v>
      </c>
      <c r="AG136" t="str">
        <f>IFERROR(INDEX('Pressione Competitiva'!$F$3:$F$6,MATCH($B136,'Pressione Competitiva'!$B$3:$B$6,0)),"")</f>
        <v>🔴 Molto Alta</v>
      </c>
      <c r="AH136" t="str">
        <f t="shared" si="23"/>
        <v/>
      </c>
      <c r="AI136" t="str">
        <f>IFERROR(IF($AH136="","",IF($AH136&gt;=$AA136*'Parametri Modello'!$B$68,"🟢 Opportunita'",IF($AH136&lt;=$AA136*'Parametri Modello'!$B$69,"🔴 Sovrapprezzo","🟡 Prezzo Corretto"))),"")</f>
        <v/>
      </c>
      <c r="AJ136" t="str">
        <f t="shared" si="24"/>
        <v/>
      </c>
      <c r="AK136">
        <f t="shared" si="25"/>
        <v>8</v>
      </c>
      <c r="AL136" t="str">
        <f t="shared" si="26"/>
        <v>D|Buono|8</v>
      </c>
    </row>
    <row r="137" spans="1:38" ht="14.25" customHeight="1" x14ac:dyDescent="0.25">
      <c r="A137" s="18">
        <v>4364</v>
      </c>
      <c r="B137" s="18" t="s">
        <v>264</v>
      </c>
      <c r="C137" s="18" t="s">
        <v>316</v>
      </c>
      <c r="E137" s="23" t="str">
        <f>IF(COUNTIF('Info Strategia'!$D$2:$D$51,$C137)&gt;0,"SI","NO")</f>
        <v>NO</v>
      </c>
      <c r="F137" s="24">
        <f>IFERROR(ROUND(($G137+($H137-$G137)*'Info Strategia'!$B$6)*(1+IF($E137="SI",'Parametri Modello'!$B$7*'Info Strategia'!$B$6,0)),0),"")</f>
        <v>3</v>
      </c>
      <c r="G137" s="24">
        <f>IFERROR(ROUND(MAX(1,(IF($V137&lt;=INDEX('Parametri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2</v>
      </c>
      <c r="H137" s="24">
        <f>IFERROR(ROUND((IF($V137&lt;=INDEX('Parametri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4</v>
      </c>
      <c r="I137" s="23">
        <f>IFERROR(INDEX('Input Statistiche 2025_26'!$F$3:$F$665,MATCH($A137,'Input Statistiche 2025_26'!$A$3:$A$665,0)),"")</f>
        <v>32</v>
      </c>
      <c r="J137" s="23">
        <f t="shared" si="18"/>
        <v>6</v>
      </c>
      <c r="K137" s="23">
        <f>IFERROR(INDEX('Input Statistiche 2025_26'!$I$3:$I$665,MATCH($A137,'Input Statistiche 2025_26'!$A$3:$A$665,0)),"")</f>
        <v>2</v>
      </c>
      <c r="L137" s="23">
        <f>IFERROR(INDEX('Input Statistiche 2025_26'!$O$3:$O$665,MATCH($A137,'Input Statistiche 2025_26'!$A$3:$A$665,0)),"")</f>
        <v>4</v>
      </c>
      <c r="M137" s="25"/>
      <c r="N137" s="24">
        <f>IFERROR(INDEX('Input Giocatori 2026_27'!$E$3:$E$493,MATCH($A137,'Input Giocatori 2026_27'!$A$3:$A$493,0)),"")</f>
        <v>7</v>
      </c>
      <c r="O137" s="24">
        <f>IFERROR(INDEX('Input Giocatori 2026_27'!$G$3:$G$493,MATCH($A137,'Input Giocatori 2026_27'!$A$3:$A$493,0)),"")</f>
        <v>24</v>
      </c>
      <c r="P137" s="23" t="str">
        <f>IFERROR(IF($O137="","",IF((1-(COUNTIFS($B$2:$B$492,$B137,$O$2:$O$492,"&gt;"&amp;$O137)+1-1)/COUNTIF($B$2:$B$492,$B137))&gt;='Parametri Modello'!$B$63,"Top",IF((1-(COUNTIFS($B$2:$B$492,$B137,$O$2:$O$492,"&gt;"&amp;$O137)+1-1)/COUNTIF($B$2:$B$492,$B137))&gt;='Parametri Modello'!$B$64,"Buono",IF((1-(COUNTIFS($B$2:$B$492,$B137,$O$2:$O$492,"&gt;"&amp;$O137)+1-1)/COUNTIF($B$2:$B$492,$B137))&gt;='Parametri Modello'!$B$65,"Nella Media","Scommessa/Riserva")))),"")</f>
        <v>Buono</v>
      </c>
      <c r="Q137" s="26">
        <f>IF(AND($D137="",$N137&gt;1),SUMPRODUCT(($D$2:$D137="")*($N$2:$N137&gt;1)),"")</f>
        <v>136</v>
      </c>
      <c r="R137" s="26" t="str">
        <f>IF($D137='Info Lega'!$B$28,COUNTIFS($D$2:$D137,'Info Lega'!$B$28),"")</f>
        <v/>
      </c>
      <c r="S137" s="27">
        <f>IFERROR(INDEX('Input Statistiche 2025_26'!$G$3:$G$665,MATCH($A137,'Input Statistiche 2025_26'!$A$3:$A$665,0)),"")</f>
        <v>6.06</v>
      </c>
      <c r="T137" s="27">
        <f>IFERROR(INDEX('Input Statistiche 2025_26'!$H$3:$H$665,MATCH($A137,'Input Statistiche 2025_26'!$A$3:$A$665,0)),"")</f>
        <v>6.31</v>
      </c>
      <c r="U137" s="23" t="str">
        <f>IF(OR('La Mia Rosa'!$O$12="",$D137&lt;&gt;""),"",IF($F137&lt;='La Mia Rosa'!$O$12*'Parametri Modello'!$B$24,"OK",IF($F137&lt;='La Mia Rosa'!$O$12*'Parametri Modello'!$B$25,"Attenzione","Rischio Alto")))</f>
        <v>OK</v>
      </c>
      <c r="V137" s="23">
        <f t="shared" si="19"/>
        <v>51</v>
      </c>
      <c r="W137" s="18">
        <f>'Info Lega'!$B$4-SUMIFS($M$2:$M$492,$D$2:$D$492,'Info Lega'!$B$28)</f>
        <v>1000</v>
      </c>
      <c r="X137" s="18">
        <f>('Info Lega'!$B$5-COUNTIFS($D$2:$D$492,'Info Lega'!$B$28,$B$2:$B$492,"P"))+('Info Lega'!$B$6-COUNTIFS($D$2:$D$492,'Info Lega'!$B$28,$B$2:$B$492,"D"))+('Info Lega'!$B$7-COUNTIFS($D$2:$D$492,'Info Lega'!$B$28,$B$2:$B$492,"C"))+('Info Lega'!$B$8-COUNTIFS($D$2:$D$492,'Info Lega'!$B$28,$B$2:$B$492,"A"))</f>
        <v>25</v>
      </c>
      <c r="Y137" s="18">
        <f>X137*'Parametri Modello'!$B$30</f>
        <v>25</v>
      </c>
      <c r="Z137" s="18">
        <f t="shared" si="20"/>
        <v>975</v>
      </c>
      <c r="AA137" s="18">
        <f t="shared" si="21"/>
        <v>3</v>
      </c>
      <c r="AB137" s="18"/>
      <c r="AC137" s="18" t="str">
        <f>IF($AB137="","",IF($AB137&gt;$AA137,"PASS",IF($AB137&lt;=$AA137*(1-'Parametri Modello'!$B$68),"BID","ATTENZIONE")))</f>
        <v/>
      </c>
      <c r="AD137" s="28">
        <f t="shared" si="22"/>
        <v>66</v>
      </c>
      <c r="AE137" s="5" t="str">
        <f>IFERROR(IF($AF137="Titolare",INDEX('Stato Asta'!$G$9:$G$12,MATCH($B137,'Stato Asta'!$A$9:$A$12,0)),INDEX('Stato Asta'!$P$9:$P$12,MATCH($B137,'Stato Asta'!$A$9:$A$12,0))),"")</f>
        <v>🟢 Riserve abbondanti</v>
      </c>
      <c r="AF137" t="str">
        <f>IFERROR(IF($V137&lt;=INDEX('Parametri Modello'!$C$57:$C$60,MATCH($B137,'Parametri Modello'!$A$57:$A$60,0)),"Titolare","Riserva"),"")</f>
        <v>Riserva</v>
      </c>
      <c r="AG137" t="str">
        <f>IFERROR(INDEX('Pressione Competitiva'!$F$3:$F$6,MATCH($B137,'Pressione Competitiva'!$B$3:$B$6,0)),"")</f>
        <v>🔴 Molto Alta</v>
      </c>
      <c r="AH137" t="str">
        <f t="shared" si="23"/>
        <v/>
      </c>
      <c r="AI137" t="str">
        <f>IFERROR(IF($AH137="","",IF($AH137&gt;=$AA137*'Parametri Modello'!$B$68,"🟢 Opportunita'",IF($AH137&lt;=$AA137*'Parametri Modello'!$B$69,"🔴 Sovrapprezzo","🟡 Prezzo Corretto"))),"")</f>
        <v/>
      </c>
      <c r="AJ137" t="str">
        <f t="shared" si="24"/>
        <v/>
      </c>
      <c r="AK137">
        <f t="shared" si="25"/>
        <v>33</v>
      </c>
      <c r="AL137" t="str">
        <f t="shared" si="26"/>
        <v>C|Buono|33</v>
      </c>
    </row>
    <row r="138" spans="1:38" ht="14.25" customHeight="1" x14ac:dyDescent="0.25">
      <c r="A138" s="18">
        <v>4359</v>
      </c>
      <c r="B138" s="18" t="s">
        <v>437</v>
      </c>
      <c r="C138" s="18" t="s">
        <v>479</v>
      </c>
      <c r="E138" s="23" t="str">
        <f>IF(COUNTIF('Info Strategia'!$D$2:$D$51,$C138)&gt;0,"SI","NO")</f>
        <v>NO</v>
      </c>
      <c r="F138" s="24">
        <f>IFERROR(ROUND(($G138+($H138-$G138)*'Info Strategia'!$B$6)*(1+IF($E138="SI",'Parametri Modello'!$B$7*'Info Strategia'!$B$6,0)),0),"")</f>
        <v>8</v>
      </c>
      <c r="G138" s="24">
        <f>IFERROR(ROUND(MAX(1,(IF($V138&lt;=INDEX('Parametri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5</v>
      </c>
      <c r="H138" s="24">
        <f>IFERROR(ROUND((IF($V138&lt;=INDEX('Parametri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9</v>
      </c>
      <c r="I138" s="23">
        <f>IFERROR(INDEX('Input Statistiche 2025_26'!$F$3:$F$665,MATCH($A138,'Input Statistiche 2025_26'!$A$3:$A$665,0)),"")</f>
        <v>27</v>
      </c>
      <c r="J138" s="23">
        <f t="shared" si="18"/>
        <v>11</v>
      </c>
      <c r="K138" s="23">
        <f>IFERROR(INDEX('Input Statistiche 2025_26'!$I$3:$I$665,MATCH($A138,'Input Statistiche 2025_26'!$A$3:$A$665,0)),"")</f>
        <v>4</v>
      </c>
      <c r="L138" s="23">
        <f>IFERROR(INDEX('Input Statistiche 2025_26'!$O$3:$O$665,MATCH($A138,'Input Statistiche 2025_26'!$A$3:$A$665,0)),"")</f>
        <v>1</v>
      </c>
      <c r="M138" s="25"/>
      <c r="N138" s="24">
        <f>IFERROR(INDEX('Input Giocatori 2026_27'!$E$3:$E$493,MATCH($A138,'Input Giocatori 2026_27'!$A$3:$A$493,0)),"")</f>
        <v>8</v>
      </c>
      <c r="O138" s="24">
        <f>IFERROR(INDEX('Input Giocatori 2026_27'!$G$3:$G$493,MATCH($A138,'Input Giocatori 2026_27'!$A$3:$A$493,0)),"")</f>
        <v>24</v>
      </c>
      <c r="P138" s="23" t="str">
        <f>IFERROR(IF($O138="","",IF((1-(COUNTIFS($B$2:$B$492,$B138,$O$2:$O$492,"&gt;"&amp;$O138)+1-1)/COUNTIF($B$2:$B$492,$B138))&gt;='Parametri Modello'!$B$63,"Top",IF((1-(COUNTIFS($B$2:$B$492,$B138,$O$2:$O$492,"&gt;"&amp;$O138)+1-1)/COUNTIF($B$2:$B$492,$B138))&gt;='Parametri Modello'!$B$64,"Buono",IF((1-(COUNTIFS($B$2:$B$492,$B138,$O$2:$O$492,"&gt;"&amp;$O138)+1-1)/COUNTIF($B$2:$B$492,$B138))&gt;='Parametri Modello'!$B$65,"Nella Media","Scommessa/Riserva")))),"")</f>
        <v>Nella Media</v>
      </c>
      <c r="Q138" s="26">
        <f>IF(AND($D138="",$N138&gt;1),SUMPRODUCT(($D$2:$D138="")*($N$2:$N138&gt;1)),"")</f>
        <v>137</v>
      </c>
      <c r="R138" s="26" t="str">
        <f>IF($D138='Info Lega'!$B$28,COUNTIFS($D$2:$D138,'Info Lega'!$B$28),"")</f>
        <v/>
      </c>
      <c r="S138" s="27">
        <f>IFERROR(INDEX('Input Statistiche 2025_26'!$G$3:$G$665,MATCH($A138,'Input Statistiche 2025_26'!$A$3:$A$665,0)),"")</f>
        <v>5.78</v>
      </c>
      <c r="T138" s="27">
        <f>IFERROR(INDEX('Input Statistiche 2025_26'!$H$3:$H$665,MATCH($A138,'Input Statistiche 2025_26'!$A$3:$A$665,0)),"")</f>
        <v>6.24</v>
      </c>
      <c r="U138" s="23" t="str">
        <f>IF(OR('La Mia Rosa'!$O$12="",$D138&lt;&gt;""),"",IF($F138&lt;='La Mia Rosa'!$O$12*'Parametri Modello'!$B$24,"OK",IF($F138&lt;='La Mia Rosa'!$O$12*'Parametri Modello'!$B$25,"Attenzione","Rischio Alto")))</f>
        <v>OK</v>
      </c>
      <c r="V138" s="23">
        <f t="shared" si="19"/>
        <v>43</v>
      </c>
      <c r="W138" s="18">
        <f>'Info Lega'!$B$4-SUMIFS($M$2:$M$492,$D$2:$D$492,'Info Lega'!$B$28)</f>
        <v>1000</v>
      </c>
      <c r="X138" s="18">
        <f>('Info Lega'!$B$5-COUNTIFS($D$2:$D$492,'Info Lega'!$B$28,$B$2:$B$492,"P"))+('Info Lega'!$B$6-COUNTIFS($D$2:$D$492,'Info Lega'!$B$28,$B$2:$B$492,"D"))+('Info Lega'!$B$7-COUNTIFS($D$2:$D$492,'Info Lega'!$B$28,$B$2:$B$492,"C"))+('Info Lega'!$B$8-COUNTIFS($D$2:$D$492,'Info Lega'!$B$28,$B$2:$B$492,"A"))</f>
        <v>25</v>
      </c>
      <c r="Y138" s="18">
        <f>X138*'Parametri Modello'!$B$30</f>
        <v>25</v>
      </c>
      <c r="Z138" s="18">
        <f t="shared" si="20"/>
        <v>975</v>
      </c>
      <c r="AA138" s="18">
        <f t="shared" si="21"/>
        <v>8</v>
      </c>
      <c r="AB138" s="18"/>
      <c r="AC138" s="18" t="str">
        <f>IF($AB138="","",IF($AB138&gt;$AA138,"PASS",IF($AB138&lt;=$AA138*(1-'Parametri Modello'!$B$68),"BID","ATTENZIONE")))</f>
        <v/>
      </c>
      <c r="AD138" s="28">
        <f t="shared" si="22"/>
        <v>59</v>
      </c>
      <c r="AE138" s="5" t="str">
        <f>IFERROR(IF($AF138="Titolare",INDEX('Stato Asta'!$G$9:$G$12,MATCH($B138,'Stato Asta'!$A$9:$A$12,0)),INDEX('Stato Asta'!$P$9:$P$12,MATCH($B138,'Stato Asta'!$A$9:$A$12,0))),"")</f>
        <v>🟢 Riserve abbondanti</v>
      </c>
      <c r="AF138" t="str">
        <f>IFERROR(IF($V138&lt;=INDEX('Parametri Modello'!$C$57:$C$60,MATCH($B138,'Parametri Modello'!$A$57:$A$60,0)),"Titolare","Riserva"),"")</f>
        <v>Riserva</v>
      </c>
      <c r="AG138" t="str">
        <f>IFERROR(INDEX('Pressione Competitiva'!$F$3:$F$6,MATCH($B138,'Pressione Competitiva'!$B$3:$B$6,0)),"")</f>
        <v>🔴 Molto Alta</v>
      </c>
      <c r="AH138" t="str">
        <f t="shared" si="23"/>
        <v/>
      </c>
      <c r="AI138" t="str">
        <f>IFERROR(IF($AH138="","",IF($AH138&gt;=$AA138*'Parametri Modello'!$B$68,"🟢 Opportunita'",IF($AH138&lt;=$AA138*'Parametri Modello'!$B$69,"🔴 Sovrapprezzo","🟡 Prezzo Corretto"))),"")</f>
        <v/>
      </c>
      <c r="AJ138" t="str">
        <f t="shared" si="24"/>
        <v/>
      </c>
      <c r="AK138">
        <f t="shared" si="25"/>
        <v>17</v>
      </c>
      <c r="AL138" t="str">
        <f t="shared" si="26"/>
        <v>A|Nella Media|17</v>
      </c>
    </row>
    <row r="139" spans="1:38" ht="14.25" customHeight="1" x14ac:dyDescent="0.25">
      <c r="A139" s="18">
        <v>5436</v>
      </c>
      <c r="B139" s="18" t="s">
        <v>437</v>
      </c>
      <c r="C139" s="18" t="s">
        <v>483</v>
      </c>
      <c r="E139" s="23" t="str">
        <f>IF(COUNTIF('Info Strategia'!$D$2:$D$51,$C139)&gt;0,"SI","NO")</f>
        <v>NO</v>
      </c>
      <c r="F139" s="24">
        <f>IFERROR(ROUND(($G139+($H139-$G139)*'Info Strategia'!$B$6)*(1+IF($E139="SI",'Parametri Modello'!$B$7*'Info Strategia'!$B$6,0)),0),"")</f>
        <v>8</v>
      </c>
      <c r="G139" s="24">
        <f>IFERROR(ROUND(MAX(1,(IF($V139&lt;=INDEX('Parametri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5</v>
      </c>
      <c r="H139" s="24">
        <f>IFERROR(ROUND((IF($V139&lt;=INDEX('Parametri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9</v>
      </c>
      <c r="I139" s="23" t="str">
        <f>IFERROR(INDEX('Input Statistiche 2025_26'!$F$3:$F$665,MATCH($A139,'Input Statistiche 2025_26'!$A$3:$A$665,0)),"")</f>
        <v/>
      </c>
      <c r="J139" s="23" t="str">
        <f t="shared" si="18"/>
        <v/>
      </c>
      <c r="K139" s="23" t="str">
        <f>IFERROR(INDEX('Input Statistiche 2025_26'!$I$3:$I$665,MATCH($A139,'Input Statistiche 2025_26'!$A$3:$A$665,0)),"")</f>
        <v/>
      </c>
      <c r="L139" s="23" t="str">
        <f>IFERROR(INDEX('Input Statistiche 2025_26'!$O$3:$O$665,MATCH($A139,'Input Statistiche 2025_26'!$A$3:$A$665,0)),"")</f>
        <v/>
      </c>
      <c r="M139" s="25"/>
      <c r="N139" s="24">
        <f>IFERROR(INDEX('Input Giocatori 2026_27'!$E$3:$E$493,MATCH($A139,'Input Giocatori 2026_27'!$A$3:$A$493,0)),"")</f>
        <v>7</v>
      </c>
      <c r="O139" s="24">
        <f>IFERROR(INDEX('Input Giocatori 2026_27'!$G$3:$G$493,MATCH($A139,'Input Giocatori 2026_27'!$A$3:$A$493,0)),"")</f>
        <v>24</v>
      </c>
      <c r="P139" s="23" t="str">
        <f>IFERROR(IF($O139="","",IF((1-(COUNTIFS($B$2:$B$492,$B139,$O$2:$O$492,"&gt;"&amp;$O139)+1-1)/COUNTIF($B$2:$B$492,$B139))&gt;='Parametri Modello'!$B$63,"Top",IF((1-(COUNTIFS($B$2:$B$492,$B139,$O$2:$O$492,"&gt;"&amp;$O139)+1-1)/COUNTIF($B$2:$B$492,$B139))&gt;='Parametri Modello'!$B$64,"Buono",IF((1-(COUNTIFS($B$2:$B$492,$B139,$O$2:$O$492,"&gt;"&amp;$O139)+1-1)/COUNTIF($B$2:$B$492,$B139))&gt;='Parametri Modello'!$B$65,"Nella Media","Scommessa/Riserva")))),"")</f>
        <v>Nella Media</v>
      </c>
      <c r="Q139" s="26">
        <f>IF(AND($D139="",$N139&gt;1),SUMPRODUCT(($D$2:$D139="")*($N$2:$N139&gt;1)),"")</f>
        <v>138</v>
      </c>
      <c r="R139" s="26" t="str">
        <f>IF($D139='Info Lega'!$B$28,COUNTIFS($D$2:$D139,'Info Lega'!$B$28),"")</f>
        <v/>
      </c>
      <c r="S139" s="27" t="str">
        <f>IFERROR(INDEX('Input Statistiche 2025_26'!$G$3:$G$665,MATCH($A139,'Input Statistiche 2025_26'!$A$3:$A$665,0)),"")</f>
        <v/>
      </c>
      <c r="T139" s="27" t="str">
        <f>IFERROR(INDEX('Input Statistiche 2025_26'!$H$3:$H$665,MATCH($A139,'Input Statistiche 2025_26'!$A$3:$A$665,0)),"")</f>
        <v/>
      </c>
      <c r="U139" s="23" t="str">
        <f>IF(OR('La Mia Rosa'!$O$12="",$D139&lt;&gt;""),"",IF($F139&lt;='La Mia Rosa'!$O$12*'Parametri Modello'!$B$24,"OK",IF($F139&lt;='La Mia Rosa'!$O$12*'Parametri Modello'!$B$25,"Attenzione","Rischio Alto")))</f>
        <v>OK</v>
      </c>
      <c r="V139" s="23">
        <f t="shared" si="19"/>
        <v>43</v>
      </c>
      <c r="W139" s="18">
        <f>'Info Lega'!$B$4-SUMIFS($M$2:$M$492,$D$2:$D$492,'Info Lega'!$B$28)</f>
        <v>1000</v>
      </c>
      <c r="X139" s="18">
        <f>('Info Lega'!$B$5-COUNTIFS($D$2:$D$492,'Info Lega'!$B$28,$B$2:$B$492,"P"))+('Info Lega'!$B$6-COUNTIFS($D$2:$D$492,'Info Lega'!$B$28,$B$2:$B$492,"D"))+('Info Lega'!$B$7-COUNTIFS($D$2:$D$492,'Info Lega'!$B$28,$B$2:$B$492,"C"))+('Info Lega'!$B$8-COUNTIFS($D$2:$D$492,'Info Lega'!$B$28,$B$2:$B$492,"A"))</f>
        <v>25</v>
      </c>
      <c r="Y139" s="18">
        <f>X139*'Parametri Modello'!$B$30</f>
        <v>25</v>
      </c>
      <c r="Z139" s="18">
        <f t="shared" si="20"/>
        <v>975</v>
      </c>
      <c r="AA139" s="18">
        <f t="shared" si="21"/>
        <v>8</v>
      </c>
      <c r="AB139" s="18"/>
      <c r="AC139" s="18" t="str">
        <f>IF($AB139="","",IF($AB139&gt;$AA139,"PASS",IF($AB139&lt;=$AA139*(1-'Parametri Modello'!$B$68),"BID","ATTENZIONE")))</f>
        <v/>
      </c>
      <c r="AD139" s="28" t="str">
        <f t="shared" si="22"/>
        <v/>
      </c>
      <c r="AE139" s="5" t="str">
        <f>IFERROR(IF($AF139="Titolare",INDEX('Stato Asta'!$G$9:$G$12,MATCH($B139,'Stato Asta'!$A$9:$A$12,0)),INDEX('Stato Asta'!$P$9:$P$12,MATCH($B139,'Stato Asta'!$A$9:$A$12,0))),"")</f>
        <v>🟢 Riserve abbondanti</v>
      </c>
      <c r="AF139" t="str">
        <f>IFERROR(IF($V139&lt;=INDEX('Parametri Modello'!$C$57:$C$60,MATCH($B139,'Parametri Modello'!$A$57:$A$60,0)),"Titolare","Riserva"),"")</f>
        <v>Riserva</v>
      </c>
      <c r="AG139" t="str">
        <f>IFERROR(INDEX('Pressione Competitiva'!$F$3:$F$6,MATCH($B139,'Pressione Competitiva'!$B$3:$B$6,0)),"")</f>
        <v>🔴 Molto Alta</v>
      </c>
      <c r="AH139" t="str">
        <f t="shared" si="23"/>
        <v/>
      </c>
      <c r="AI139" t="str">
        <f>IFERROR(IF($AH139="","",IF($AH139&gt;=$AA139*'Parametri Modello'!$B$68,"🟢 Opportunita'",IF($AH139&lt;=$AA139*'Parametri Modello'!$B$69,"🔴 Sovrapprezzo","🟡 Prezzo Corretto"))),"")</f>
        <v/>
      </c>
      <c r="AJ139" t="str">
        <f t="shared" si="24"/>
        <v/>
      </c>
      <c r="AK139">
        <f t="shared" si="25"/>
        <v>17</v>
      </c>
      <c r="AL139" t="str">
        <f t="shared" si="26"/>
        <v>A|Nella Media|17</v>
      </c>
    </row>
    <row r="140" spans="1:38" ht="14.25" customHeight="1" x14ac:dyDescent="0.25">
      <c r="A140" s="18">
        <v>6531</v>
      </c>
      <c r="B140" s="18" t="s">
        <v>88</v>
      </c>
      <c r="C140" s="18" t="s">
        <v>117</v>
      </c>
      <c r="E140" s="23" t="str">
        <f>IF(COUNTIF('Info Strategia'!$D$2:$D$51,$C140)&gt;0,"SI","NO")</f>
        <v>NO</v>
      </c>
      <c r="F140" s="24">
        <f>IFERROR(ROUND(($G140+($H140-$G140)*'Info Strategia'!$B$6)*(1+IF($E140="SI",'Parametri Modello'!$B$7*'Info Strategia'!$B$6,0)),0),"")</f>
        <v>4</v>
      </c>
      <c r="G140" s="24">
        <f>IFERROR(ROUND(MAX(1,(IF($V140&lt;=INDEX('Parametri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3</v>
      </c>
      <c r="H140" s="24">
        <f>IFERROR(ROUND((IF($V140&lt;=INDEX('Parametri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4</v>
      </c>
      <c r="I140" s="23">
        <f>IFERROR(INDEX('Input Statistiche 2025_26'!$F$3:$F$665,MATCH($A140,'Input Statistiche 2025_26'!$A$3:$A$665,0)),"")</f>
        <v>1</v>
      </c>
      <c r="J140" s="23">
        <f t="shared" si="18"/>
        <v>37</v>
      </c>
      <c r="K140" s="23">
        <f>IFERROR(INDEX('Input Statistiche 2025_26'!$I$3:$I$665,MATCH($A140,'Input Statistiche 2025_26'!$A$3:$A$665,0)),"")</f>
        <v>0</v>
      </c>
      <c r="L140" s="23">
        <f>IFERROR(INDEX('Input Statistiche 2025_26'!$O$3:$O$665,MATCH($A140,'Input Statistiche 2025_26'!$A$3:$A$665,0)),"")</f>
        <v>0</v>
      </c>
      <c r="M140" s="25"/>
      <c r="N140" s="24">
        <f>IFERROR(INDEX('Input Giocatori 2026_27'!$E$3:$E$493,MATCH($A140,'Input Giocatori 2026_27'!$A$3:$A$493,0)),"")</f>
        <v>8</v>
      </c>
      <c r="O140" s="24">
        <f>IFERROR(INDEX('Input Giocatori 2026_27'!$G$3:$G$493,MATCH($A140,'Input Giocatori 2026_27'!$A$3:$A$493,0)),"")</f>
        <v>23</v>
      </c>
      <c r="P140" s="23" t="str">
        <f>IFERROR(IF($O140="","",IF((1-(COUNTIFS($B$2:$B$492,$B140,$O$2:$O$492,"&gt;"&amp;$O140)+1-1)/COUNTIF($B$2:$B$492,$B140))&gt;='Parametri Modello'!$B$63,"Top",IF((1-(COUNTIFS($B$2:$B$492,$B140,$O$2:$O$492,"&gt;"&amp;$O140)+1-1)/COUNTIF($B$2:$B$492,$B140))&gt;='Parametri Modello'!$B$64,"Buono",IF((1-(COUNTIFS($B$2:$B$492,$B140,$O$2:$O$492,"&gt;"&amp;$O140)+1-1)/COUNTIF($B$2:$B$492,$B140))&gt;='Parametri Modello'!$B$65,"Nella Media","Scommessa/Riserva")))),"")</f>
        <v>Buono</v>
      </c>
      <c r="Q140" s="26">
        <f>IF(AND($D140="",$N140&gt;1),SUMPRODUCT(($D$2:$D140="")*($N$2:$N140&gt;1)),"")</f>
        <v>139</v>
      </c>
      <c r="R140" s="26" t="str">
        <f>IF($D140='Info Lega'!$B$28,COUNTIFS($D$2:$D140,'Info Lega'!$B$28),"")</f>
        <v/>
      </c>
      <c r="S140" s="27">
        <f>IFERROR(INDEX('Input Statistiche 2025_26'!$G$3:$G$665,MATCH($A140,'Input Statistiche 2025_26'!$A$3:$A$665,0)),"")</f>
        <v>5.5</v>
      </c>
      <c r="T140" s="27">
        <f>IFERROR(INDEX('Input Statistiche 2025_26'!$H$3:$H$665,MATCH($A140,'Input Statistiche 2025_26'!$A$3:$A$665,0)),"")</f>
        <v>5</v>
      </c>
      <c r="U140" s="23" t="str">
        <f>IF(OR('La Mia Rosa'!$O$12="",$D140&lt;&gt;""),"",IF($F140&lt;='La Mia Rosa'!$O$12*'Parametri Modello'!$B$24,"OK",IF($F140&lt;='La Mia Rosa'!$O$12*'Parametri Modello'!$B$25,"Attenzione","Rischio Alto")))</f>
        <v>OK</v>
      </c>
      <c r="V140" s="23">
        <f t="shared" si="19"/>
        <v>31</v>
      </c>
      <c r="W140" s="18">
        <f>'Info Lega'!$B$4-SUMIFS($M$2:$M$492,$D$2:$D$492,'Info Lega'!$B$28)</f>
        <v>1000</v>
      </c>
      <c r="X140" s="18">
        <f>('Info Lega'!$B$5-COUNTIFS($D$2:$D$492,'Info Lega'!$B$28,$B$2:$B$492,"P"))+('Info Lega'!$B$6-COUNTIFS($D$2:$D$492,'Info Lega'!$B$28,$B$2:$B$492,"D"))+('Info Lega'!$B$7-COUNTIFS($D$2:$D$492,'Info Lega'!$B$28,$B$2:$B$492,"C"))+('Info Lega'!$B$8-COUNTIFS($D$2:$D$492,'Info Lega'!$B$28,$B$2:$B$492,"A"))</f>
        <v>25</v>
      </c>
      <c r="Y140" s="18">
        <f>X140*'Parametri Modello'!$B$30</f>
        <v>25</v>
      </c>
      <c r="Z140" s="18">
        <f t="shared" si="20"/>
        <v>975</v>
      </c>
      <c r="AA140" s="18">
        <f t="shared" si="21"/>
        <v>4</v>
      </c>
      <c r="AB140" s="18"/>
      <c r="AC140" s="18" t="str">
        <f>IF($AB140="","",IF($AB140&gt;$AA140,"PASS",IF($AB140&lt;=$AA140*(1-'Parametri Modello'!$B$68),"BID","ATTENZIONE")))</f>
        <v/>
      </c>
      <c r="AD140" s="28">
        <f t="shared" si="22"/>
        <v>3</v>
      </c>
      <c r="AE140" s="5" t="str">
        <f>IFERROR(IF($AF140="Titolare",INDEX('Stato Asta'!$G$9:$G$12,MATCH($B140,'Stato Asta'!$A$9:$A$12,0)),INDEX('Stato Asta'!$P$9:$P$12,MATCH($B140,'Stato Asta'!$A$9:$A$12,0))),"")</f>
        <v>🟢 Riserve abbondanti</v>
      </c>
      <c r="AF140" t="str">
        <f>IFERROR(IF($V140&lt;=INDEX('Parametri Modello'!$C$57:$C$60,MATCH($B140,'Parametri Modello'!$A$57:$A$60,0)),"Titolare","Riserva"),"")</f>
        <v>Riserva</v>
      </c>
      <c r="AG140" t="str">
        <f>IFERROR(INDEX('Pressione Competitiva'!$F$3:$F$6,MATCH($B140,'Pressione Competitiva'!$B$3:$B$6,0)),"")</f>
        <v>🔴 Molto Alta</v>
      </c>
      <c r="AH140" t="str">
        <f t="shared" si="23"/>
        <v/>
      </c>
      <c r="AI140" t="str">
        <f>IFERROR(IF($AH140="","",IF($AH140&gt;=$AA140*'Parametri Modello'!$B$68,"🟢 Opportunita'",IF($AH140&lt;=$AA140*'Parametri Modello'!$B$69,"🔴 Sovrapprezzo","🟡 Prezzo Corretto"))),"")</f>
        <v/>
      </c>
      <c r="AJ140" t="str">
        <f t="shared" si="24"/>
        <v/>
      </c>
      <c r="AK140">
        <f t="shared" si="25"/>
        <v>13</v>
      </c>
      <c r="AL140" t="str">
        <f t="shared" si="26"/>
        <v>D|Buono|13</v>
      </c>
    </row>
    <row r="141" spans="1:38" ht="14.25" customHeight="1" x14ac:dyDescent="0.25">
      <c r="A141" s="18">
        <v>7414</v>
      </c>
      <c r="B141" s="18" t="s">
        <v>88</v>
      </c>
      <c r="C141" s="18" t="s">
        <v>128</v>
      </c>
      <c r="E141" s="23" t="str">
        <f>IF(COUNTIF('Info Strategia'!$D$2:$D$51,$C141)&gt;0,"SI","NO")</f>
        <v>NO</v>
      </c>
      <c r="F141" s="24">
        <f>IFERROR(ROUND(($G141+($H141-$G141)*'Info Strategia'!$B$6)*(1+IF($E141="SI",'Parametri Modello'!$B$7*'Info Strategia'!$B$6,0)),0),"")</f>
        <v>4</v>
      </c>
      <c r="G141" s="24">
        <f>IFERROR(ROUND(MAX(1,(IF($V141&lt;=INDEX('Parametri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3</v>
      </c>
      <c r="H141" s="24">
        <f>IFERROR(ROUND((IF($V141&lt;=INDEX('Parametri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5</v>
      </c>
      <c r="I141" s="23" t="str">
        <f>IFERROR(INDEX('Input Statistiche 2025_26'!$F$3:$F$665,MATCH($A141,'Input Statistiche 2025_26'!$A$3:$A$665,0)),"")</f>
        <v/>
      </c>
      <c r="J141" s="23" t="str">
        <f t="shared" si="18"/>
        <v/>
      </c>
      <c r="K141" s="23" t="str">
        <f>IFERROR(INDEX('Input Statistiche 2025_26'!$I$3:$I$665,MATCH($A141,'Input Statistiche 2025_26'!$A$3:$A$665,0)),"")</f>
        <v/>
      </c>
      <c r="L141" s="23" t="str">
        <f>IFERROR(INDEX('Input Statistiche 2025_26'!$O$3:$O$665,MATCH($A141,'Input Statistiche 2025_26'!$A$3:$A$665,0)),"")</f>
        <v/>
      </c>
      <c r="M141" s="25"/>
      <c r="N141" s="24">
        <f>IFERROR(INDEX('Input Giocatori 2026_27'!$E$3:$E$493,MATCH($A141,'Input Giocatori 2026_27'!$A$3:$A$493,0)),"")</f>
        <v>7</v>
      </c>
      <c r="O141" s="24">
        <f>IFERROR(INDEX('Input Giocatori 2026_27'!$G$3:$G$493,MATCH($A141,'Input Giocatori 2026_27'!$A$3:$A$493,0)),"")</f>
        <v>23</v>
      </c>
      <c r="P141" s="23" t="str">
        <f>IFERROR(IF($O141="","",IF((1-(COUNTIFS($B$2:$B$492,$B141,$O$2:$O$492,"&gt;"&amp;$O141)+1-1)/COUNTIF($B$2:$B$492,$B141))&gt;='Parametri Modello'!$B$63,"Top",IF((1-(COUNTIFS($B$2:$B$492,$B141,$O$2:$O$492,"&gt;"&amp;$O141)+1-1)/COUNTIF($B$2:$B$492,$B141))&gt;='Parametri Modello'!$B$64,"Buono",IF((1-(COUNTIFS($B$2:$B$492,$B141,$O$2:$O$492,"&gt;"&amp;$O141)+1-1)/COUNTIF($B$2:$B$492,$B141))&gt;='Parametri Modello'!$B$65,"Nella Media","Scommessa/Riserva")))),"")</f>
        <v>Buono</v>
      </c>
      <c r="Q141" s="26">
        <f>IF(AND($D141="",$N141&gt;1),SUMPRODUCT(($D$2:$D141="")*($N$2:$N141&gt;1)),"")</f>
        <v>140</v>
      </c>
      <c r="R141" s="26" t="str">
        <f>IF($D141='Info Lega'!$B$28,COUNTIFS($D$2:$D141,'Info Lega'!$B$28),"")</f>
        <v/>
      </c>
      <c r="S141" s="27" t="str">
        <f>IFERROR(INDEX('Input Statistiche 2025_26'!$G$3:$G$665,MATCH($A141,'Input Statistiche 2025_26'!$A$3:$A$665,0)),"")</f>
        <v/>
      </c>
      <c r="T141" s="27" t="str">
        <f>IFERROR(INDEX('Input Statistiche 2025_26'!$H$3:$H$665,MATCH($A141,'Input Statistiche 2025_26'!$A$3:$A$665,0)),"")</f>
        <v/>
      </c>
      <c r="U141" s="23" t="str">
        <f>IF(OR('La Mia Rosa'!$O$12="",$D141&lt;&gt;""),"",IF($F141&lt;='La Mia Rosa'!$O$12*'Parametri Modello'!$B$24,"OK",IF($F141&lt;='La Mia Rosa'!$O$12*'Parametri Modello'!$B$25,"Attenzione","Rischio Alto")))</f>
        <v>OK</v>
      </c>
      <c r="V141" s="23">
        <f t="shared" si="19"/>
        <v>31</v>
      </c>
      <c r="W141" s="18">
        <f>'Info Lega'!$B$4-SUMIFS($M$2:$M$492,$D$2:$D$492,'Info Lega'!$B$28)</f>
        <v>1000</v>
      </c>
      <c r="X141" s="18">
        <f>('Info Lega'!$B$5-COUNTIFS($D$2:$D$492,'Info Lega'!$B$28,$B$2:$B$492,"P"))+('Info Lega'!$B$6-COUNTIFS($D$2:$D$492,'Info Lega'!$B$28,$B$2:$B$492,"D"))+('Info Lega'!$B$7-COUNTIFS($D$2:$D$492,'Info Lega'!$B$28,$B$2:$B$492,"C"))+('Info Lega'!$B$8-COUNTIFS($D$2:$D$492,'Info Lega'!$B$28,$B$2:$B$492,"A"))</f>
        <v>25</v>
      </c>
      <c r="Y141" s="18">
        <f>X141*'Parametri Modello'!$B$30</f>
        <v>25</v>
      </c>
      <c r="Z141" s="18">
        <f t="shared" si="20"/>
        <v>975</v>
      </c>
      <c r="AA141" s="18">
        <f t="shared" si="21"/>
        <v>4</v>
      </c>
      <c r="AB141" s="18"/>
      <c r="AC141" s="18" t="str">
        <f>IF($AB141="","",IF($AB141&gt;$AA141,"PASS",IF($AB141&lt;=$AA141*(1-'Parametri Modello'!$B$68),"BID","ATTENZIONE")))</f>
        <v/>
      </c>
      <c r="AD141" s="28" t="str">
        <f t="shared" si="22"/>
        <v/>
      </c>
      <c r="AE141" s="5" t="str">
        <f>IFERROR(IF($AF141="Titolare",INDEX('Stato Asta'!$G$9:$G$12,MATCH($B141,'Stato Asta'!$A$9:$A$12,0)),INDEX('Stato Asta'!$P$9:$P$12,MATCH($B141,'Stato Asta'!$A$9:$A$12,0))),"")</f>
        <v>🟢 Riserve abbondanti</v>
      </c>
      <c r="AF141" t="str">
        <f>IFERROR(IF($V141&lt;=INDEX('Parametri Modello'!$C$57:$C$60,MATCH($B141,'Parametri Modello'!$A$57:$A$60,0)),"Titolare","Riserva"),"")</f>
        <v>Riserva</v>
      </c>
      <c r="AG141" t="str">
        <f>IFERROR(INDEX('Pressione Competitiva'!$F$3:$F$6,MATCH($B141,'Pressione Competitiva'!$B$3:$B$6,0)),"")</f>
        <v>🔴 Molto Alta</v>
      </c>
      <c r="AH141" t="str">
        <f t="shared" si="23"/>
        <v/>
      </c>
      <c r="AI141" t="str">
        <f>IFERROR(IF($AH141="","",IF($AH141&gt;=$AA141*'Parametri Modello'!$B$68,"🟢 Opportunita'",IF($AH141&lt;=$AA141*'Parametri Modello'!$B$69,"🔴 Sovrapprezzo","🟡 Prezzo Corretto"))),"")</f>
        <v/>
      </c>
      <c r="AJ141" t="str">
        <f t="shared" si="24"/>
        <v/>
      </c>
      <c r="AK141">
        <f t="shared" si="25"/>
        <v>13</v>
      </c>
      <c r="AL141" t="str">
        <f t="shared" si="26"/>
        <v>D|Buono|13</v>
      </c>
    </row>
    <row r="142" spans="1:38" ht="14.25" customHeight="1" x14ac:dyDescent="0.25">
      <c r="A142" s="18">
        <v>4401</v>
      </c>
      <c r="B142" s="18" t="s">
        <v>88</v>
      </c>
      <c r="C142" s="18" t="s">
        <v>133</v>
      </c>
      <c r="E142" s="23" t="str">
        <f>IF(COUNTIF('Info Strategia'!$D$2:$D$51,$C142)&gt;0,"SI","NO")</f>
        <v>NO</v>
      </c>
      <c r="F142" s="24">
        <f>IFERROR(ROUND(($G142+($H142-$G142)*'Info Strategia'!$B$6)*(1+IF($E142="SI",'Parametri Modello'!$B$7*'Info Strategia'!$B$6,0)),0),"")</f>
        <v>4</v>
      </c>
      <c r="G142" s="24">
        <f>IFERROR(ROUND(MAX(1,(IF($V142&lt;=INDEX('Parametri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3</v>
      </c>
      <c r="H142" s="24">
        <f>IFERROR(ROUND((IF($V142&lt;=INDEX('Parametri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5</v>
      </c>
      <c r="I142" s="23">
        <f>IFERROR(INDEX('Input Statistiche 2025_26'!$F$3:$F$665,MATCH($A142,'Input Statistiche 2025_26'!$A$3:$A$665,0)),"")</f>
        <v>29</v>
      </c>
      <c r="J142" s="23">
        <f t="shared" si="18"/>
        <v>9</v>
      </c>
      <c r="K142" s="23">
        <f>IFERROR(INDEX('Input Statistiche 2025_26'!$I$3:$I$665,MATCH($A142,'Input Statistiche 2025_26'!$A$3:$A$665,0)),"")</f>
        <v>0</v>
      </c>
      <c r="L142" s="23">
        <f>IFERROR(INDEX('Input Statistiche 2025_26'!$O$3:$O$665,MATCH($A142,'Input Statistiche 2025_26'!$A$3:$A$665,0)),"")</f>
        <v>0</v>
      </c>
      <c r="M142" s="25"/>
      <c r="N142" s="24">
        <f>IFERROR(INDEX('Input Giocatori 2026_27'!$E$3:$E$493,MATCH($A142,'Input Giocatori 2026_27'!$A$3:$A$493,0)),"")</f>
        <v>7</v>
      </c>
      <c r="O142" s="24">
        <f>IFERROR(INDEX('Input Giocatori 2026_27'!$G$3:$G$493,MATCH($A142,'Input Giocatori 2026_27'!$A$3:$A$493,0)),"")</f>
        <v>23</v>
      </c>
      <c r="P142" s="23" t="str">
        <f>IFERROR(IF($O142="","",IF((1-(COUNTIFS($B$2:$B$492,$B142,$O$2:$O$492,"&gt;"&amp;$O142)+1-1)/COUNTIF($B$2:$B$492,$B142))&gt;='Parametri Modello'!$B$63,"Top",IF((1-(COUNTIFS($B$2:$B$492,$B142,$O$2:$O$492,"&gt;"&amp;$O142)+1-1)/COUNTIF($B$2:$B$492,$B142))&gt;='Parametri Modello'!$B$64,"Buono",IF((1-(COUNTIFS($B$2:$B$492,$B142,$O$2:$O$492,"&gt;"&amp;$O142)+1-1)/COUNTIF($B$2:$B$492,$B142))&gt;='Parametri Modello'!$B$65,"Nella Media","Scommessa/Riserva")))),"")</f>
        <v>Buono</v>
      </c>
      <c r="Q142" s="26">
        <f>IF(AND($D142="",$N142&gt;1),SUMPRODUCT(($D$2:$D142="")*($N$2:$N142&gt;1)),"")</f>
        <v>141</v>
      </c>
      <c r="R142" s="26" t="str">
        <f>IF($D142='Info Lega'!$B$28,COUNTIFS($D$2:$D142,'Info Lega'!$B$28),"")</f>
        <v/>
      </c>
      <c r="S142" s="27">
        <f>IFERROR(INDEX('Input Statistiche 2025_26'!$G$3:$G$665,MATCH($A142,'Input Statistiche 2025_26'!$A$3:$A$665,0)),"")</f>
        <v>5.91</v>
      </c>
      <c r="T142" s="27">
        <f>IFERROR(INDEX('Input Statistiche 2025_26'!$H$3:$H$665,MATCH($A142,'Input Statistiche 2025_26'!$A$3:$A$665,0)),"")</f>
        <v>5.84</v>
      </c>
      <c r="U142" s="23" t="str">
        <f>IF(OR('La Mia Rosa'!$O$12="",$D142&lt;&gt;""),"",IF($F142&lt;='La Mia Rosa'!$O$12*'Parametri Modello'!$B$24,"OK",IF($F142&lt;='La Mia Rosa'!$O$12*'Parametri Modello'!$B$25,"Attenzione","Rischio Alto")))</f>
        <v>OK</v>
      </c>
      <c r="V142" s="23">
        <f t="shared" si="19"/>
        <v>31</v>
      </c>
      <c r="W142" s="18">
        <f>'Info Lega'!$B$4-SUMIFS($M$2:$M$492,$D$2:$D$492,'Info Lega'!$B$28)</f>
        <v>1000</v>
      </c>
      <c r="X142" s="18">
        <f>('Info Lega'!$B$5-COUNTIFS($D$2:$D$492,'Info Lega'!$B$28,$B$2:$B$492,"P"))+('Info Lega'!$B$6-COUNTIFS($D$2:$D$492,'Info Lega'!$B$28,$B$2:$B$492,"D"))+('Info Lega'!$B$7-COUNTIFS($D$2:$D$492,'Info Lega'!$B$28,$B$2:$B$492,"C"))+('Info Lega'!$B$8-COUNTIFS($D$2:$D$492,'Info Lega'!$B$28,$B$2:$B$492,"A"))</f>
        <v>25</v>
      </c>
      <c r="Y142" s="18">
        <f>X142*'Parametri Modello'!$B$30</f>
        <v>25</v>
      </c>
      <c r="Z142" s="18">
        <f t="shared" si="20"/>
        <v>975</v>
      </c>
      <c r="AA142" s="18">
        <f t="shared" si="21"/>
        <v>4</v>
      </c>
      <c r="AB142" s="18"/>
      <c r="AC142" s="18" t="str">
        <f>IF($AB142="","",IF($AB142&gt;$AA142,"PASS",IF($AB142&lt;=$AA142*(1-'Parametri Modello'!$B$68),"BID","ATTENZIONE")))</f>
        <v/>
      </c>
      <c r="AD142" s="28">
        <f t="shared" si="22"/>
        <v>62</v>
      </c>
      <c r="AE142" s="5" t="str">
        <f>IFERROR(IF($AF142="Titolare",INDEX('Stato Asta'!$G$9:$G$12,MATCH($B142,'Stato Asta'!$A$9:$A$12,0)),INDEX('Stato Asta'!$P$9:$P$12,MATCH($B142,'Stato Asta'!$A$9:$A$12,0))),"")</f>
        <v>🟢 Riserve abbondanti</v>
      </c>
      <c r="AF142" t="str">
        <f>IFERROR(IF($V142&lt;=INDEX('Parametri Modello'!$C$57:$C$60,MATCH($B142,'Parametri Modello'!$A$57:$A$60,0)),"Titolare","Riserva"),"")</f>
        <v>Riserva</v>
      </c>
      <c r="AG142" t="str">
        <f>IFERROR(INDEX('Pressione Competitiva'!$F$3:$F$6,MATCH($B142,'Pressione Competitiva'!$B$3:$B$6,0)),"")</f>
        <v>🔴 Molto Alta</v>
      </c>
      <c r="AH142" t="str">
        <f t="shared" si="23"/>
        <v/>
      </c>
      <c r="AI142" t="str">
        <f>IFERROR(IF($AH142="","",IF($AH142&gt;=$AA142*'Parametri Modello'!$B$68,"🟢 Opportunita'",IF($AH142&lt;=$AA142*'Parametri Modello'!$B$69,"🔴 Sovrapprezzo","🟡 Prezzo Corretto"))),"")</f>
        <v/>
      </c>
      <c r="AJ142" t="str">
        <f t="shared" si="24"/>
        <v/>
      </c>
      <c r="AK142">
        <f t="shared" si="25"/>
        <v>13</v>
      </c>
      <c r="AL142" t="str">
        <f t="shared" si="26"/>
        <v>D|Buono|13</v>
      </c>
    </row>
    <row r="143" spans="1:38" ht="14.25" customHeight="1" x14ac:dyDescent="0.25">
      <c r="A143" s="18">
        <v>4465</v>
      </c>
      <c r="B143" s="18" t="s">
        <v>264</v>
      </c>
      <c r="C143" s="18" t="s">
        <v>308</v>
      </c>
      <c r="E143" s="23" t="str">
        <f>IF(COUNTIF('Info Strategia'!$D$2:$D$51,$C143)&gt;0,"SI","NO")</f>
        <v>NO</v>
      </c>
      <c r="F143" s="24">
        <f>IFERROR(ROUND(($G143+($H143-$G143)*'Info Strategia'!$B$6)*(1+IF($E143="SI",'Parametri Modello'!$B$7*'Info Strategia'!$B$6,0)),0),"")</f>
        <v>3</v>
      </c>
      <c r="G143" s="24">
        <f>IFERROR(ROUND(MAX(1,(IF($V143&lt;=INDEX('Parametri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2</v>
      </c>
      <c r="H143" s="24">
        <f>IFERROR(ROUND((IF($V143&lt;=INDEX('Parametri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3</v>
      </c>
      <c r="I143" s="23">
        <f>IFERROR(INDEX('Input Statistiche 2025_26'!$F$3:$F$665,MATCH($A143,'Input Statistiche 2025_26'!$A$3:$A$665,0)),"")</f>
        <v>33</v>
      </c>
      <c r="J143" s="23">
        <f t="shared" si="18"/>
        <v>5</v>
      </c>
      <c r="K143" s="23">
        <f>IFERROR(INDEX('Input Statistiche 2025_26'!$I$3:$I$665,MATCH($A143,'Input Statistiche 2025_26'!$A$3:$A$665,0)),"")</f>
        <v>2</v>
      </c>
      <c r="L143" s="23">
        <f>IFERROR(INDEX('Input Statistiche 2025_26'!$O$3:$O$665,MATCH($A143,'Input Statistiche 2025_26'!$A$3:$A$665,0)),"")</f>
        <v>3</v>
      </c>
      <c r="M143" s="25"/>
      <c r="N143" s="24">
        <f>IFERROR(INDEX('Input Giocatori 2026_27'!$E$3:$E$493,MATCH($A143,'Input Giocatori 2026_27'!$A$3:$A$493,0)),"")</f>
        <v>8</v>
      </c>
      <c r="O143" s="24">
        <f>IFERROR(INDEX('Input Giocatori 2026_27'!$G$3:$G$493,MATCH($A143,'Input Giocatori 2026_27'!$A$3:$A$493,0)),"")</f>
        <v>23</v>
      </c>
      <c r="P143" s="23" t="str">
        <f>IFERROR(IF($O143="","",IF((1-(COUNTIFS($B$2:$B$492,$B143,$O$2:$O$492,"&gt;"&amp;$O143)+1-1)/COUNTIF($B$2:$B$492,$B143))&gt;='Parametri Modello'!$B$63,"Top",IF((1-(COUNTIFS($B$2:$B$492,$B143,$O$2:$O$492,"&gt;"&amp;$O143)+1-1)/COUNTIF($B$2:$B$492,$B143))&gt;='Parametri Modello'!$B$64,"Buono",IF((1-(COUNTIFS($B$2:$B$492,$B143,$O$2:$O$492,"&gt;"&amp;$O143)+1-1)/COUNTIF($B$2:$B$492,$B143))&gt;='Parametri Modello'!$B$65,"Nella Media","Scommessa/Riserva")))),"")</f>
        <v>Buono</v>
      </c>
      <c r="Q143" s="26">
        <f>IF(AND($D143="",$N143&gt;1),SUMPRODUCT(($D$2:$D143="")*($N$2:$N143&gt;1)),"")</f>
        <v>142</v>
      </c>
      <c r="R143" s="26" t="str">
        <f>IF($D143='Info Lega'!$B$28,COUNTIFS($D$2:$D143,'Info Lega'!$B$28),"")</f>
        <v/>
      </c>
      <c r="S143" s="27">
        <f>IFERROR(INDEX('Input Statistiche 2025_26'!$G$3:$G$665,MATCH($A143,'Input Statistiche 2025_26'!$A$3:$A$665,0)),"")</f>
        <v>6.03</v>
      </c>
      <c r="T143" s="27">
        <f>IFERROR(INDEX('Input Statistiche 2025_26'!$H$3:$H$665,MATCH($A143,'Input Statistiche 2025_26'!$A$3:$A$665,0)),"")</f>
        <v>6.23</v>
      </c>
      <c r="U143" s="23" t="str">
        <f>IF(OR('La Mia Rosa'!$O$12="",$D143&lt;&gt;""),"",IF($F143&lt;='La Mia Rosa'!$O$12*'Parametri Modello'!$B$24,"OK",IF($F143&lt;='La Mia Rosa'!$O$12*'Parametri Modello'!$B$25,"Attenzione","Rischio Alto")))</f>
        <v>OK</v>
      </c>
      <c r="V143" s="23">
        <f t="shared" si="19"/>
        <v>52</v>
      </c>
      <c r="W143" s="18">
        <f>'Info Lega'!$B$4-SUMIFS($M$2:$M$492,$D$2:$D$492,'Info Lega'!$B$28)</f>
        <v>1000</v>
      </c>
      <c r="X143" s="18">
        <f>('Info Lega'!$B$5-COUNTIFS($D$2:$D$492,'Info Lega'!$B$28,$B$2:$B$492,"P"))+('Info Lega'!$B$6-COUNTIFS($D$2:$D$492,'Info Lega'!$B$28,$B$2:$B$492,"D"))+('Info Lega'!$B$7-COUNTIFS($D$2:$D$492,'Info Lega'!$B$28,$B$2:$B$492,"C"))+('Info Lega'!$B$8-COUNTIFS($D$2:$D$492,'Info Lega'!$B$28,$B$2:$B$492,"A"))</f>
        <v>25</v>
      </c>
      <c r="Y143" s="18">
        <f>X143*'Parametri Modello'!$B$30</f>
        <v>25</v>
      </c>
      <c r="Z143" s="18">
        <f t="shared" si="20"/>
        <v>975</v>
      </c>
      <c r="AA143" s="18">
        <f t="shared" si="21"/>
        <v>3</v>
      </c>
      <c r="AB143" s="18"/>
      <c r="AC143" s="18" t="str">
        <f>IF($AB143="","",IF($AB143&gt;$AA143,"PASS",IF($AB143&lt;=$AA143*(1-'Parametri Modello'!$B$68),"BID","ATTENZIONE")))</f>
        <v/>
      </c>
      <c r="AD143" s="28">
        <f t="shared" si="22"/>
        <v>67</v>
      </c>
      <c r="AE143" s="5" t="str">
        <f>IFERROR(IF($AF143="Titolare",INDEX('Stato Asta'!$G$9:$G$12,MATCH($B143,'Stato Asta'!$A$9:$A$12,0)),INDEX('Stato Asta'!$P$9:$P$12,MATCH($B143,'Stato Asta'!$A$9:$A$12,0))),"")</f>
        <v>🟢 Riserve abbondanti</v>
      </c>
      <c r="AF143" t="str">
        <f>IFERROR(IF($V143&lt;=INDEX('Parametri Modello'!$C$57:$C$60,MATCH($B143,'Parametri Modello'!$A$57:$A$60,0)),"Titolare","Riserva"),"")</f>
        <v>Riserva</v>
      </c>
      <c r="AG143" t="str">
        <f>IFERROR(INDEX('Pressione Competitiva'!$F$3:$F$6,MATCH($B143,'Pressione Competitiva'!$B$3:$B$6,0)),"")</f>
        <v>🔴 Molto Alta</v>
      </c>
      <c r="AH143" t="str">
        <f t="shared" si="23"/>
        <v/>
      </c>
      <c r="AI143" t="str">
        <f>IFERROR(IF($AH143="","",IF($AH143&gt;=$AA143*'Parametri Modello'!$B$68,"🟢 Opportunita'",IF($AH143&lt;=$AA143*'Parametri Modello'!$B$69,"🔴 Sovrapprezzo","🟡 Prezzo Corretto"))),"")</f>
        <v/>
      </c>
      <c r="AJ143" t="str">
        <f t="shared" si="24"/>
        <v/>
      </c>
      <c r="AK143">
        <f t="shared" si="25"/>
        <v>34</v>
      </c>
      <c r="AL143" t="str">
        <f t="shared" si="26"/>
        <v>C|Buono|34</v>
      </c>
    </row>
    <row r="144" spans="1:38" ht="14.25" customHeight="1" x14ac:dyDescent="0.25">
      <c r="A144" s="18">
        <v>5735</v>
      </c>
      <c r="B144" s="18" t="s">
        <v>264</v>
      </c>
      <c r="C144" s="18" t="s">
        <v>325</v>
      </c>
      <c r="E144" s="23" t="str">
        <f>IF(COUNTIF('Info Strategia'!$D$2:$D$51,$C144)&gt;0,"SI","NO")</f>
        <v>NO</v>
      </c>
      <c r="F144" s="24">
        <f>IFERROR(ROUND(($G144+($H144-$G144)*'Info Strategia'!$B$6)*(1+IF($E144="SI",'Parametri Modello'!$B$7*'Info Strategia'!$B$6,0)),0),"")</f>
        <v>3</v>
      </c>
      <c r="G144" s="24">
        <f>IFERROR(ROUND(MAX(1,(IF($V144&lt;=INDEX('Parametri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2</v>
      </c>
      <c r="H144" s="24">
        <f>IFERROR(ROUND((IF($V144&lt;=INDEX('Parametri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3</v>
      </c>
      <c r="I144" s="23">
        <f>IFERROR(INDEX('Input Statistiche 2025_26'!$F$3:$F$665,MATCH($A144,'Input Statistiche 2025_26'!$A$3:$A$665,0)),"")</f>
        <v>21</v>
      </c>
      <c r="J144" s="23">
        <f t="shared" si="18"/>
        <v>17</v>
      </c>
      <c r="K144" s="23">
        <f>IFERROR(INDEX('Input Statistiche 2025_26'!$I$3:$I$665,MATCH($A144,'Input Statistiche 2025_26'!$A$3:$A$665,0)),"")</f>
        <v>2</v>
      </c>
      <c r="L144" s="23">
        <f>IFERROR(INDEX('Input Statistiche 2025_26'!$O$3:$O$665,MATCH($A144,'Input Statistiche 2025_26'!$A$3:$A$665,0)),"")</f>
        <v>4</v>
      </c>
      <c r="M144" s="25"/>
      <c r="N144" s="24">
        <f>IFERROR(INDEX('Input Giocatori 2026_27'!$E$3:$E$493,MATCH($A144,'Input Giocatori 2026_27'!$A$3:$A$493,0)),"")</f>
        <v>7</v>
      </c>
      <c r="O144" s="24">
        <f>IFERROR(INDEX('Input Giocatori 2026_27'!$G$3:$G$493,MATCH($A144,'Input Giocatori 2026_27'!$A$3:$A$493,0)),"")</f>
        <v>23</v>
      </c>
      <c r="P144" s="23" t="str">
        <f>IFERROR(IF($O144="","",IF((1-(COUNTIFS($B$2:$B$492,$B144,$O$2:$O$492,"&gt;"&amp;$O144)+1-1)/COUNTIF($B$2:$B$492,$B144))&gt;='Parametri Modello'!$B$63,"Top",IF((1-(COUNTIFS($B$2:$B$492,$B144,$O$2:$O$492,"&gt;"&amp;$O144)+1-1)/COUNTIF($B$2:$B$492,$B144))&gt;='Parametri Modello'!$B$64,"Buono",IF((1-(COUNTIFS($B$2:$B$492,$B144,$O$2:$O$492,"&gt;"&amp;$O144)+1-1)/COUNTIF($B$2:$B$492,$B144))&gt;='Parametri Modello'!$B$65,"Nella Media","Scommessa/Riserva")))),"")</f>
        <v>Buono</v>
      </c>
      <c r="Q144" s="26">
        <f>IF(AND($D144="",$N144&gt;1),SUMPRODUCT(($D$2:$D144="")*($N$2:$N144&gt;1)),"")</f>
        <v>143</v>
      </c>
      <c r="R144" s="26" t="str">
        <f>IF($D144='Info Lega'!$B$28,COUNTIFS($D$2:$D144,'Info Lega'!$B$28),"")</f>
        <v/>
      </c>
      <c r="S144" s="27">
        <f>IFERROR(INDEX('Input Statistiche 2025_26'!$G$3:$G$665,MATCH($A144,'Input Statistiche 2025_26'!$A$3:$A$665,0)),"")</f>
        <v>6.14</v>
      </c>
      <c r="T144" s="27">
        <f>IFERROR(INDEX('Input Statistiche 2025_26'!$H$3:$H$665,MATCH($A144,'Input Statistiche 2025_26'!$A$3:$A$665,0)),"")</f>
        <v>6.52</v>
      </c>
      <c r="U144" s="23" t="str">
        <f>IF(OR('La Mia Rosa'!$O$12="",$D144&lt;&gt;""),"",IF($F144&lt;='La Mia Rosa'!$O$12*'Parametri Modello'!$B$24,"OK",IF($F144&lt;='La Mia Rosa'!$O$12*'Parametri Modello'!$B$25,"Attenzione","Rischio Alto")))</f>
        <v>OK</v>
      </c>
      <c r="V144" s="23">
        <f t="shared" si="19"/>
        <v>52</v>
      </c>
      <c r="W144" s="18">
        <f>'Info Lega'!$B$4-SUMIFS($M$2:$M$492,$D$2:$D$492,'Info Lega'!$B$28)</f>
        <v>1000</v>
      </c>
      <c r="X144" s="18">
        <f>('Info Lega'!$B$5-COUNTIFS($D$2:$D$492,'Info Lega'!$B$28,$B$2:$B$492,"P"))+('Info Lega'!$B$6-COUNTIFS($D$2:$D$492,'Info Lega'!$B$28,$B$2:$B$492,"D"))+('Info Lega'!$B$7-COUNTIFS($D$2:$D$492,'Info Lega'!$B$28,$B$2:$B$492,"C"))+('Info Lega'!$B$8-COUNTIFS($D$2:$D$492,'Info Lega'!$B$28,$B$2:$B$492,"A"))</f>
        <v>25</v>
      </c>
      <c r="Y144" s="18">
        <f>X144*'Parametri Modello'!$B$30</f>
        <v>25</v>
      </c>
      <c r="Z144" s="18">
        <f t="shared" si="20"/>
        <v>975</v>
      </c>
      <c r="AA144" s="18">
        <f t="shared" si="21"/>
        <v>3</v>
      </c>
      <c r="AB144" s="18"/>
      <c r="AC144" s="18" t="str">
        <f>IF($AB144="","",IF($AB144&gt;$AA144,"PASS",IF($AB144&lt;=$AA144*(1-'Parametri Modello'!$B$68),"BID","ATTENZIONE")))</f>
        <v/>
      </c>
      <c r="AD144" s="28">
        <f t="shared" si="22"/>
        <v>50</v>
      </c>
      <c r="AE144" s="5" t="str">
        <f>IFERROR(IF($AF144="Titolare",INDEX('Stato Asta'!$G$9:$G$12,MATCH($B144,'Stato Asta'!$A$9:$A$12,0)),INDEX('Stato Asta'!$P$9:$P$12,MATCH($B144,'Stato Asta'!$A$9:$A$12,0))),"")</f>
        <v>🟢 Riserve abbondanti</v>
      </c>
      <c r="AF144" t="str">
        <f>IFERROR(IF($V144&lt;=INDEX('Parametri Modello'!$C$57:$C$60,MATCH($B144,'Parametri Modello'!$A$57:$A$60,0)),"Titolare","Riserva"),"")</f>
        <v>Riserva</v>
      </c>
      <c r="AG144" t="str">
        <f>IFERROR(INDEX('Pressione Competitiva'!$F$3:$F$6,MATCH($B144,'Pressione Competitiva'!$B$3:$B$6,0)),"")</f>
        <v>🔴 Molto Alta</v>
      </c>
      <c r="AH144" t="str">
        <f t="shared" si="23"/>
        <v/>
      </c>
      <c r="AI144" t="str">
        <f>IFERROR(IF($AH144="","",IF($AH144&gt;=$AA144*'Parametri Modello'!$B$68,"🟢 Opportunita'",IF($AH144&lt;=$AA144*'Parametri Modello'!$B$69,"🔴 Sovrapprezzo","🟡 Prezzo Corretto"))),"")</f>
        <v/>
      </c>
      <c r="AJ144" t="str">
        <f t="shared" si="24"/>
        <v/>
      </c>
      <c r="AK144">
        <f t="shared" si="25"/>
        <v>34</v>
      </c>
      <c r="AL144" t="str">
        <f t="shared" si="26"/>
        <v>C|Buono|34</v>
      </c>
    </row>
    <row r="145" spans="1:38" ht="14.25" customHeight="1" x14ac:dyDescent="0.25">
      <c r="A145" s="18">
        <v>6783</v>
      </c>
      <c r="B145" s="18" t="s">
        <v>264</v>
      </c>
      <c r="C145" s="18" t="s">
        <v>327</v>
      </c>
      <c r="E145" s="23" t="str">
        <f>IF(COUNTIF('Info Strategia'!$D$2:$D$51,$C145)&gt;0,"SI","NO")</f>
        <v>NO</v>
      </c>
      <c r="F145" s="24">
        <f>IFERROR(ROUND(($G145+($H145-$G145)*'Info Strategia'!$B$6)*(1+IF($E145="SI",'Parametri Modello'!$B$7*'Info Strategia'!$B$6,0)),0),"")</f>
        <v>3</v>
      </c>
      <c r="G145" s="24">
        <f>IFERROR(ROUND(MAX(1,(IF($V145&lt;=INDEX('Parametri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2</v>
      </c>
      <c r="H145" s="24">
        <f>IFERROR(ROUND((IF($V145&lt;=INDEX('Parametri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3</v>
      </c>
      <c r="I145" s="23" t="str">
        <f>IFERROR(INDEX('Input Statistiche 2025_26'!$F$3:$F$665,MATCH($A145,'Input Statistiche 2025_26'!$A$3:$A$665,0)),"")</f>
        <v/>
      </c>
      <c r="J145" s="23" t="str">
        <f t="shared" si="18"/>
        <v/>
      </c>
      <c r="K145" s="23" t="str">
        <f>IFERROR(INDEX('Input Statistiche 2025_26'!$I$3:$I$665,MATCH($A145,'Input Statistiche 2025_26'!$A$3:$A$665,0)),"")</f>
        <v/>
      </c>
      <c r="L145" s="23" t="str">
        <f>IFERROR(INDEX('Input Statistiche 2025_26'!$O$3:$O$665,MATCH($A145,'Input Statistiche 2025_26'!$A$3:$A$665,0)),"")</f>
        <v/>
      </c>
      <c r="M145" s="25"/>
      <c r="N145" s="24">
        <f>IFERROR(INDEX('Input Giocatori 2026_27'!$E$3:$E$493,MATCH($A145,'Input Giocatori 2026_27'!$A$3:$A$493,0)),"")</f>
        <v>7</v>
      </c>
      <c r="O145" s="24">
        <f>IFERROR(INDEX('Input Giocatori 2026_27'!$G$3:$G$493,MATCH($A145,'Input Giocatori 2026_27'!$A$3:$A$493,0)),"")</f>
        <v>23</v>
      </c>
      <c r="P145" s="23" t="str">
        <f>IFERROR(IF($O145="","",IF((1-(COUNTIFS($B$2:$B$492,$B145,$O$2:$O$492,"&gt;"&amp;$O145)+1-1)/COUNTIF($B$2:$B$492,$B145))&gt;='Parametri Modello'!$B$63,"Top",IF((1-(COUNTIFS($B$2:$B$492,$B145,$O$2:$O$492,"&gt;"&amp;$O145)+1-1)/COUNTIF($B$2:$B$492,$B145))&gt;='Parametri Modello'!$B$64,"Buono",IF((1-(COUNTIFS($B$2:$B$492,$B145,$O$2:$O$492,"&gt;"&amp;$O145)+1-1)/COUNTIF($B$2:$B$492,$B145))&gt;='Parametri Modello'!$B$65,"Nella Media","Scommessa/Riserva")))),"")</f>
        <v>Buono</v>
      </c>
      <c r="Q145" s="26">
        <f>IF(AND($D145="",$N145&gt;1),SUMPRODUCT(($D$2:$D145="")*($N$2:$N145&gt;1)),"")</f>
        <v>144</v>
      </c>
      <c r="R145" s="26" t="str">
        <f>IF($D145='Info Lega'!$B$28,COUNTIFS($D$2:$D145,'Info Lega'!$B$28),"")</f>
        <v/>
      </c>
      <c r="S145" s="27" t="str">
        <f>IFERROR(INDEX('Input Statistiche 2025_26'!$G$3:$G$665,MATCH($A145,'Input Statistiche 2025_26'!$A$3:$A$665,0)),"")</f>
        <v/>
      </c>
      <c r="T145" s="27" t="str">
        <f>IFERROR(INDEX('Input Statistiche 2025_26'!$H$3:$H$665,MATCH($A145,'Input Statistiche 2025_26'!$A$3:$A$665,0)),"")</f>
        <v/>
      </c>
      <c r="U145" s="23" t="str">
        <f>IF(OR('La Mia Rosa'!$O$12="",$D145&lt;&gt;""),"",IF($F145&lt;='La Mia Rosa'!$O$12*'Parametri Modello'!$B$24,"OK",IF($F145&lt;='La Mia Rosa'!$O$12*'Parametri Modello'!$B$25,"Attenzione","Rischio Alto")))</f>
        <v>OK</v>
      </c>
      <c r="V145" s="23">
        <f t="shared" si="19"/>
        <v>52</v>
      </c>
      <c r="W145" s="18">
        <f>'Info Lega'!$B$4-SUMIFS($M$2:$M$492,$D$2:$D$492,'Info Lega'!$B$28)</f>
        <v>1000</v>
      </c>
      <c r="X145" s="18">
        <f>('Info Lega'!$B$5-COUNTIFS($D$2:$D$492,'Info Lega'!$B$28,$B$2:$B$492,"P"))+('Info Lega'!$B$6-COUNTIFS($D$2:$D$492,'Info Lega'!$B$28,$B$2:$B$492,"D"))+('Info Lega'!$B$7-COUNTIFS($D$2:$D$492,'Info Lega'!$B$28,$B$2:$B$492,"C"))+('Info Lega'!$B$8-COUNTIFS($D$2:$D$492,'Info Lega'!$B$28,$B$2:$B$492,"A"))</f>
        <v>25</v>
      </c>
      <c r="Y145" s="18">
        <f>X145*'Parametri Modello'!$B$30</f>
        <v>25</v>
      </c>
      <c r="Z145" s="18">
        <f t="shared" si="20"/>
        <v>975</v>
      </c>
      <c r="AA145" s="18">
        <f t="shared" si="21"/>
        <v>3</v>
      </c>
      <c r="AB145" s="18"/>
      <c r="AC145" s="18" t="str">
        <f>IF($AB145="","",IF($AB145&gt;$AA145,"PASS",IF($AB145&lt;=$AA145*(1-'Parametri Modello'!$B$68),"BID","ATTENZIONE")))</f>
        <v/>
      </c>
      <c r="AD145" s="28" t="str">
        <f t="shared" si="22"/>
        <v/>
      </c>
      <c r="AE145" s="5" t="str">
        <f>IFERROR(IF($AF145="Titolare",INDEX('Stato Asta'!$G$9:$G$12,MATCH($B145,'Stato Asta'!$A$9:$A$12,0)),INDEX('Stato Asta'!$P$9:$P$12,MATCH($B145,'Stato Asta'!$A$9:$A$12,0))),"")</f>
        <v>🟢 Riserve abbondanti</v>
      </c>
      <c r="AF145" t="str">
        <f>IFERROR(IF($V145&lt;=INDEX('Parametri Modello'!$C$57:$C$60,MATCH($B145,'Parametri Modello'!$A$57:$A$60,0)),"Titolare","Riserva"),"")</f>
        <v>Riserva</v>
      </c>
      <c r="AG145" t="str">
        <f>IFERROR(INDEX('Pressione Competitiva'!$F$3:$F$6,MATCH($B145,'Pressione Competitiva'!$B$3:$B$6,0)),"")</f>
        <v>🔴 Molto Alta</v>
      </c>
      <c r="AH145" t="str">
        <f t="shared" si="23"/>
        <v/>
      </c>
      <c r="AI145" t="str">
        <f>IFERROR(IF($AH145="","",IF($AH145&gt;=$AA145*'Parametri Modello'!$B$68,"🟢 Opportunita'",IF($AH145&lt;=$AA145*'Parametri Modello'!$B$69,"🔴 Sovrapprezzo","🟡 Prezzo Corretto"))),"")</f>
        <v/>
      </c>
      <c r="AJ145" t="str">
        <f t="shared" si="24"/>
        <v/>
      </c>
      <c r="AK145">
        <f t="shared" si="25"/>
        <v>34</v>
      </c>
      <c r="AL145" t="str">
        <f t="shared" si="26"/>
        <v>C|Buono|34</v>
      </c>
    </row>
    <row r="146" spans="1:38" ht="14.25" customHeight="1" x14ac:dyDescent="0.25">
      <c r="A146" s="18">
        <v>4686</v>
      </c>
      <c r="B146" s="18" t="s">
        <v>264</v>
      </c>
      <c r="C146" s="18" t="s">
        <v>358</v>
      </c>
      <c r="E146" s="23" t="str">
        <f>IF(COUNTIF('Info Strategia'!$D$2:$D$51,$C146)&gt;0,"SI","NO")</f>
        <v>NO</v>
      </c>
      <c r="F146" s="24">
        <f>IFERROR(ROUND(($G146+($H146-$G146)*'Info Strategia'!$B$6)*(1+IF($E146="SI",'Parametri Modello'!$B$7*'Info Strategia'!$B$6,0)),0),"")</f>
        <v>3</v>
      </c>
      <c r="G146" s="24">
        <f>IFERROR(ROUND(MAX(1,(IF($V146&lt;=INDEX('Parametri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2</v>
      </c>
      <c r="H146" s="24">
        <f>IFERROR(ROUND((IF($V146&lt;=INDEX('Parametri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3</v>
      </c>
      <c r="I146" s="23">
        <f>IFERROR(INDEX('Input Statistiche 2025_26'!$F$3:$F$665,MATCH($A146,'Input Statistiche 2025_26'!$A$3:$A$665,0)),"")</f>
        <v>33</v>
      </c>
      <c r="J146" s="23">
        <f t="shared" si="18"/>
        <v>5</v>
      </c>
      <c r="K146" s="23">
        <f>IFERROR(INDEX('Input Statistiche 2025_26'!$I$3:$I$665,MATCH($A146,'Input Statistiche 2025_26'!$A$3:$A$665,0)),"")</f>
        <v>2</v>
      </c>
      <c r="L146" s="23">
        <f>IFERROR(INDEX('Input Statistiche 2025_26'!$O$3:$O$665,MATCH($A146,'Input Statistiche 2025_26'!$A$3:$A$665,0)),"")</f>
        <v>3</v>
      </c>
      <c r="M146" s="25"/>
      <c r="N146" s="24">
        <f>IFERROR(INDEX('Input Giocatori 2026_27'!$E$3:$E$493,MATCH($A146,'Input Giocatori 2026_27'!$A$3:$A$493,0)),"")</f>
        <v>5</v>
      </c>
      <c r="O146" s="24">
        <f>IFERROR(INDEX('Input Giocatori 2026_27'!$G$3:$G$493,MATCH($A146,'Input Giocatori 2026_27'!$A$3:$A$493,0)),"")</f>
        <v>23</v>
      </c>
      <c r="P146" s="23" t="str">
        <f>IFERROR(IF($O146="","",IF((1-(COUNTIFS($B$2:$B$492,$B146,$O$2:$O$492,"&gt;"&amp;$O146)+1-1)/COUNTIF($B$2:$B$492,$B146))&gt;='Parametri Modello'!$B$63,"Top",IF((1-(COUNTIFS($B$2:$B$492,$B146,$O$2:$O$492,"&gt;"&amp;$O146)+1-1)/COUNTIF($B$2:$B$492,$B146))&gt;='Parametri Modello'!$B$64,"Buono",IF((1-(COUNTIFS($B$2:$B$492,$B146,$O$2:$O$492,"&gt;"&amp;$O146)+1-1)/COUNTIF($B$2:$B$492,$B146))&gt;='Parametri Modello'!$B$65,"Nella Media","Scommessa/Riserva")))),"")</f>
        <v>Buono</v>
      </c>
      <c r="Q146" s="26">
        <f>IF(AND($D146="",$N146&gt;1),SUMPRODUCT(($D$2:$D146="")*($N$2:$N146&gt;1)),"")</f>
        <v>145</v>
      </c>
      <c r="R146" s="26" t="str">
        <f>IF($D146='Info Lega'!$B$28,COUNTIFS($D$2:$D146,'Info Lega'!$B$28),"")</f>
        <v/>
      </c>
      <c r="S146" s="27">
        <f>IFERROR(INDEX('Input Statistiche 2025_26'!$G$3:$G$665,MATCH($A146,'Input Statistiche 2025_26'!$A$3:$A$665,0)),"")</f>
        <v>5.85</v>
      </c>
      <c r="T146" s="27">
        <f>IFERROR(INDEX('Input Statistiche 2025_26'!$H$3:$H$665,MATCH($A146,'Input Statistiche 2025_26'!$A$3:$A$665,0)),"")</f>
        <v>6.06</v>
      </c>
      <c r="U146" s="23" t="str">
        <f>IF(OR('La Mia Rosa'!$O$12="",$D146&lt;&gt;""),"",IF($F146&lt;='La Mia Rosa'!$O$12*'Parametri Modello'!$B$24,"OK",IF($F146&lt;='La Mia Rosa'!$O$12*'Parametri Modello'!$B$25,"Attenzione","Rischio Alto")))</f>
        <v>OK</v>
      </c>
      <c r="V146" s="23">
        <f t="shared" si="19"/>
        <v>52</v>
      </c>
      <c r="W146" s="18">
        <f>'Info Lega'!$B$4-SUMIFS($M$2:$M$492,$D$2:$D$492,'Info Lega'!$B$28)</f>
        <v>1000</v>
      </c>
      <c r="X146" s="18">
        <f>('Info Lega'!$B$5-COUNTIFS($D$2:$D$492,'Info Lega'!$B$28,$B$2:$B$492,"P"))+('Info Lega'!$B$6-COUNTIFS($D$2:$D$492,'Info Lega'!$B$28,$B$2:$B$492,"D"))+('Info Lega'!$B$7-COUNTIFS($D$2:$D$492,'Info Lega'!$B$28,$B$2:$B$492,"C"))+('Info Lega'!$B$8-COUNTIFS($D$2:$D$492,'Info Lega'!$B$28,$B$2:$B$492,"A"))</f>
        <v>25</v>
      </c>
      <c r="Y146" s="18">
        <f>X146*'Parametri Modello'!$B$30</f>
        <v>25</v>
      </c>
      <c r="Z146" s="18">
        <f t="shared" si="20"/>
        <v>975</v>
      </c>
      <c r="AA146" s="18">
        <f t="shared" si="21"/>
        <v>3</v>
      </c>
      <c r="AB146" s="18"/>
      <c r="AC146" s="18" t="str">
        <f>IF($AB146="","",IF($AB146&gt;$AA146,"PASS",IF($AB146&lt;=$AA146*(1-'Parametri Modello'!$B$68),"BID","ATTENZIONE")))</f>
        <v/>
      </c>
      <c r="AD146" s="28">
        <f t="shared" si="22"/>
        <v>67</v>
      </c>
      <c r="AE146" s="5" t="str">
        <f>IFERROR(IF($AF146="Titolare",INDEX('Stato Asta'!$G$9:$G$12,MATCH($B146,'Stato Asta'!$A$9:$A$12,0)),INDEX('Stato Asta'!$P$9:$P$12,MATCH($B146,'Stato Asta'!$A$9:$A$12,0))),"")</f>
        <v>🟢 Riserve abbondanti</v>
      </c>
      <c r="AF146" t="str">
        <f>IFERROR(IF($V146&lt;=INDEX('Parametri Modello'!$C$57:$C$60,MATCH($B146,'Parametri Modello'!$A$57:$A$60,0)),"Titolare","Riserva"),"")</f>
        <v>Riserva</v>
      </c>
      <c r="AG146" t="str">
        <f>IFERROR(INDEX('Pressione Competitiva'!$F$3:$F$6,MATCH($B146,'Pressione Competitiva'!$B$3:$B$6,0)),"")</f>
        <v>🔴 Molto Alta</v>
      </c>
      <c r="AH146" t="str">
        <f t="shared" si="23"/>
        <v/>
      </c>
      <c r="AI146" t="str">
        <f>IFERROR(IF($AH146="","",IF($AH146&gt;=$AA146*'Parametri Modello'!$B$68,"🟢 Opportunita'",IF($AH146&lt;=$AA146*'Parametri Modello'!$B$69,"🔴 Sovrapprezzo","🟡 Prezzo Corretto"))),"")</f>
        <v/>
      </c>
      <c r="AJ146" t="str">
        <f t="shared" si="24"/>
        <v/>
      </c>
      <c r="AK146">
        <f t="shared" si="25"/>
        <v>34</v>
      </c>
      <c r="AL146" t="str">
        <f t="shared" si="26"/>
        <v>C|Buono|34</v>
      </c>
    </row>
    <row r="147" spans="1:38" ht="14.25" customHeight="1" x14ac:dyDescent="0.25">
      <c r="A147" s="18">
        <v>6643</v>
      </c>
      <c r="B147" s="18" t="s">
        <v>437</v>
      </c>
      <c r="C147" s="18" t="s">
        <v>478</v>
      </c>
      <c r="E147" s="23" t="str">
        <f>IF(COUNTIF('Info Strategia'!$D$2:$D$51,$C147)&gt;0,"SI","NO")</f>
        <v>NO</v>
      </c>
      <c r="F147" s="24">
        <f>IFERROR(ROUND(($G147+($H147-$G147)*'Info Strategia'!$B$6)*(1+IF($E147="SI",'Parametri Modello'!$B$7*'Info Strategia'!$B$6,0)),0),"")</f>
        <v>7</v>
      </c>
      <c r="G147" s="24">
        <f>IFERROR(ROUND(MAX(1,(IF($V147&lt;=INDEX('Parametri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5</v>
      </c>
      <c r="H147" s="24">
        <f>IFERROR(ROUND((IF($V147&lt;=INDEX('Parametri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8</v>
      </c>
      <c r="I147" s="23">
        <f>IFERROR(INDEX('Input Statistiche 2025_26'!$F$3:$F$665,MATCH($A147,'Input Statistiche 2025_26'!$A$3:$A$665,0)),"")</f>
        <v>19</v>
      </c>
      <c r="J147" s="23">
        <f t="shared" si="18"/>
        <v>19</v>
      </c>
      <c r="K147" s="23">
        <f>IFERROR(INDEX('Input Statistiche 2025_26'!$I$3:$I$665,MATCH($A147,'Input Statistiche 2025_26'!$A$3:$A$665,0)),"")</f>
        <v>2</v>
      </c>
      <c r="L147" s="23">
        <f>IFERROR(INDEX('Input Statistiche 2025_26'!$O$3:$O$665,MATCH($A147,'Input Statistiche 2025_26'!$A$3:$A$665,0)),"")</f>
        <v>1</v>
      </c>
      <c r="M147" s="25"/>
      <c r="N147" s="24">
        <f>IFERROR(INDEX('Input Giocatori 2026_27'!$E$3:$E$493,MATCH($A147,'Input Giocatori 2026_27'!$A$3:$A$493,0)),"")</f>
        <v>8</v>
      </c>
      <c r="O147" s="24">
        <f>IFERROR(INDEX('Input Giocatori 2026_27'!$G$3:$G$493,MATCH($A147,'Input Giocatori 2026_27'!$A$3:$A$493,0)),"")</f>
        <v>23</v>
      </c>
      <c r="P147" s="23" t="str">
        <f>IFERROR(IF($O147="","",IF((1-(COUNTIFS($B$2:$B$492,$B147,$O$2:$O$492,"&gt;"&amp;$O147)+1-1)/COUNTIF($B$2:$B$492,$B147))&gt;='Parametri Modello'!$B$63,"Top",IF((1-(COUNTIFS($B$2:$B$492,$B147,$O$2:$O$492,"&gt;"&amp;$O147)+1-1)/COUNTIF($B$2:$B$492,$B147))&gt;='Parametri Modello'!$B$64,"Buono",IF((1-(COUNTIFS($B$2:$B$492,$B147,$O$2:$O$492,"&gt;"&amp;$O147)+1-1)/COUNTIF($B$2:$B$492,$B147))&gt;='Parametri Modello'!$B$65,"Nella Media","Scommessa/Riserva")))),"")</f>
        <v>Nella Media</v>
      </c>
      <c r="Q147" s="26">
        <f>IF(AND($D147="",$N147&gt;1),SUMPRODUCT(($D$2:$D147="")*($N$2:$N147&gt;1)),"")</f>
        <v>146</v>
      </c>
      <c r="R147" s="26" t="str">
        <f>IF($D147='Info Lega'!$B$28,COUNTIFS($D$2:$D147,'Info Lega'!$B$28),"")</f>
        <v/>
      </c>
      <c r="S147" s="27">
        <f>IFERROR(INDEX('Input Statistiche 2025_26'!$G$3:$G$665,MATCH($A147,'Input Statistiche 2025_26'!$A$3:$A$665,0)),"")</f>
        <v>5.82</v>
      </c>
      <c r="T147" s="27">
        <f>IFERROR(INDEX('Input Statistiche 2025_26'!$H$3:$H$665,MATCH($A147,'Input Statistiche 2025_26'!$A$3:$A$665,0)),"")</f>
        <v>6.13</v>
      </c>
      <c r="U147" s="23" t="str">
        <f>IF(OR('La Mia Rosa'!$O$12="",$D147&lt;&gt;""),"",IF($F147&lt;='La Mia Rosa'!$O$12*'Parametri Modello'!$B$24,"OK",IF($F147&lt;='La Mia Rosa'!$O$12*'Parametri Modello'!$B$25,"Attenzione","Rischio Alto")))</f>
        <v>OK</v>
      </c>
      <c r="V147" s="23">
        <f t="shared" si="19"/>
        <v>45</v>
      </c>
      <c r="W147" s="18">
        <f>'Info Lega'!$B$4-SUMIFS($M$2:$M$492,$D$2:$D$492,'Info Lega'!$B$28)</f>
        <v>1000</v>
      </c>
      <c r="X147" s="18">
        <f>('Info Lega'!$B$5-COUNTIFS($D$2:$D$492,'Info Lega'!$B$28,$B$2:$B$492,"P"))+('Info Lega'!$B$6-COUNTIFS($D$2:$D$492,'Info Lega'!$B$28,$B$2:$B$492,"D"))+('Info Lega'!$B$7-COUNTIFS($D$2:$D$492,'Info Lega'!$B$28,$B$2:$B$492,"C"))+('Info Lega'!$B$8-COUNTIFS($D$2:$D$492,'Info Lega'!$B$28,$B$2:$B$492,"A"))</f>
        <v>25</v>
      </c>
      <c r="Y147" s="18">
        <f>X147*'Parametri Modello'!$B$30</f>
        <v>25</v>
      </c>
      <c r="Z147" s="18">
        <f t="shared" si="20"/>
        <v>975</v>
      </c>
      <c r="AA147" s="18">
        <f t="shared" si="21"/>
        <v>7</v>
      </c>
      <c r="AB147" s="18"/>
      <c r="AC147" s="18" t="str">
        <f>IF($AB147="","",IF($AB147&gt;$AA147,"PASS",IF($AB147&lt;=$AA147*(1-'Parametri Modello'!$B$68),"BID","ATTENZIONE")))</f>
        <v/>
      </c>
      <c r="AD147" s="28">
        <f t="shared" si="22"/>
        <v>47</v>
      </c>
      <c r="AE147" s="5" t="str">
        <f>IFERROR(IF($AF147="Titolare",INDEX('Stato Asta'!$G$9:$G$12,MATCH($B147,'Stato Asta'!$A$9:$A$12,0)),INDEX('Stato Asta'!$P$9:$P$12,MATCH($B147,'Stato Asta'!$A$9:$A$12,0))),"")</f>
        <v>🟢 Riserve abbondanti</v>
      </c>
      <c r="AF147" t="str">
        <f>IFERROR(IF($V147&lt;=INDEX('Parametri Modello'!$C$57:$C$60,MATCH($B147,'Parametri Modello'!$A$57:$A$60,0)),"Titolare","Riserva"),"")</f>
        <v>Riserva</v>
      </c>
      <c r="AG147" t="str">
        <f>IFERROR(INDEX('Pressione Competitiva'!$F$3:$F$6,MATCH($B147,'Pressione Competitiva'!$B$3:$B$6,0)),"")</f>
        <v>🔴 Molto Alta</v>
      </c>
      <c r="AH147" t="str">
        <f t="shared" si="23"/>
        <v/>
      </c>
      <c r="AI147" t="str">
        <f>IFERROR(IF($AH147="","",IF($AH147&gt;=$AA147*'Parametri Modello'!$B$68,"🟢 Opportunita'",IF($AH147&lt;=$AA147*'Parametri Modello'!$B$69,"🔴 Sovrapprezzo","🟡 Prezzo Corretto"))),"")</f>
        <v/>
      </c>
      <c r="AJ147" t="str">
        <f t="shared" si="24"/>
        <v/>
      </c>
      <c r="AK147">
        <f t="shared" si="25"/>
        <v>19</v>
      </c>
      <c r="AL147" t="str">
        <f t="shared" si="26"/>
        <v>A|Nella Media|19</v>
      </c>
    </row>
    <row r="148" spans="1:38" ht="14.25" customHeight="1" x14ac:dyDescent="0.25">
      <c r="A148" s="18">
        <v>6814</v>
      </c>
      <c r="B148" s="18" t="s">
        <v>88</v>
      </c>
      <c r="C148" s="18" t="s">
        <v>118</v>
      </c>
      <c r="E148" s="23" t="str">
        <f>IF(COUNTIF('Info Strategia'!$D$2:$D$51,$C148)&gt;0,"SI","NO")</f>
        <v>NO</v>
      </c>
      <c r="F148" s="24">
        <f>IFERROR(ROUND(($G148+($H148-$G148)*'Info Strategia'!$B$6)*(1+IF($E148="SI",'Parametri Modello'!$B$7*'Info Strategia'!$B$6,0)),0),"")</f>
        <v>4</v>
      </c>
      <c r="G148" s="24">
        <f>IFERROR(ROUND(MAX(1,(IF($V148&lt;=INDEX('Parametri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3</v>
      </c>
      <c r="H148" s="24">
        <f>IFERROR(ROUND((IF($V148&lt;=INDEX('Parametri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4</v>
      </c>
      <c r="I148" s="23">
        <f>IFERROR(INDEX('Input Statistiche 2025_26'!$F$3:$F$665,MATCH($A148,'Input Statistiche 2025_26'!$A$3:$A$665,0)),"")</f>
        <v>27</v>
      </c>
      <c r="J148" s="23">
        <f t="shared" si="18"/>
        <v>11</v>
      </c>
      <c r="K148" s="23">
        <f>IFERROR(INDEX('Input Statistiche 2025_26'!$I$3:$I$665,MATCH($A148,'Input Statistiche 2025_26'!$A$3:$A$665,0)),"")</f>
        <v>2</v>
      </c>
      <c r="L148" s="23">
        <f>IFERROR(INDEX('Input Statistiche 2025_26'!$O$3:$O$665,MATCH($A148,'Input Statistiche 2025_26'!$A$3:$A$665,0)),"")</f>
        <v>1</v>
      </c>
      <c r="M148" s="25"/>
      <c r="N148" s="24">
        <f>IFERROR(INDEX('Input Giocatori 2026_27'!$E$3:$E$493,MATCH($A148,'Input Giocatori 2026_27'!$A$3:$A$493,0)),"")</f>
        <v>8</v>
      </c>
      <c r="O148" s="24">
        <f>IFERROR(INDEX('Input Giocatori 2026_27'!$G$3:$G$493,MATCH($A148,'Input Giocatori 2026_27'!$A$3:$A$493,0)),"")</f>
        <v>22</v>
      </c>
      <c r="P148" s="23" t="str">
        <f>IFERROR(IF($O148="","",IF((1-(COUNTIFS($B$2:$B$492,$B148,$O$2:$O$492,"&gt;"&amp;$O148)+1-1)/COUNTIF($B$2:$B$492,$B148))&gt;='Parametri Modello'!$B$63,"Top",IF((1-(COUNTIFS($B$2:$B$492,$B148,$O$2:$O$492,"&gt;"&amp;$O148)+1-1)/COUNTIF($B$2:$B$492,$B148))&gt;='Parametri Modello'!$B$64,"Buono",IF((1-(COUNTIFS($B$2:$B$492,$B148,$O$2:$O$492,"&gt;"&amp;$O148)+1-1)/COUNTIF($B$2:$B$492,$B148))&gt;='Parametri Modello'!$B$65,"Nella Media","Scommessa/Riserva")))),"")</f>
        <v>Buono</v>
      </c>
      <c r="Q148" s="26">
        <f>IF(AND($D148="",$N148&gt;1),SUMPRODUCT(($D$2:$D148="")*($N$2:$N148&gt;1)),"")</f>
        <v>147</v>
      </c>
      <c r="R148" s="26" t="str">
        <f>IF($D148='Info Lega'!$B$28,COUNTIFS($D$2:$D148,'Info Lega'!$B$28),"")</f>
        <v/>
      </c>
      <c r="S148" s="27">
        <f>IFERROR(INDEX('Input Statistiche 2025_26'!$G$3:$G$665,MATCH($A148,'Input Statistiche 2025_26'!$A$3:$A$665,0)),"")</f>
        <v>5.93</v>
      </c>
      <c r="T148" s="27">
        <f>IFERROR(INDEX('Input Statistiche 2025_26'!$H$3:$H$665,MATCH($A148,'Input Statistiche 2025_26'!$A$3:$A$665,0)),"")</f>
        <v>6.09</v>
      </c>
      <c r="U148" s="23" t="str">
        <f>IF(OR('La Mia Rosa'!$O$12="",$D148&lt;&gt;""),"",IF($F148&lt;='La Mia Rosa'!$O$12*'Parametri Modello'!$B$24,"OK",IF($F148&lt;='La Mia Rosa'!$O$12*'Parametri Modello'!$B$25,"Attenzione","Rischio Alto")))</f>
        <v>OK</v>
      </c>
      <c r="V148" s="23">
        <f t="shared" si="19"/>
        <v>34</v>
      </c>
      <c r="W148" s="18">
        <f>'Info Lega'!$B$4-SUMIFS($M$2:$M$492,$D$2:$D$492,'Info Lega'!$B$28)</f>
        <v>1000</v>
      </c>
      <c r="X148" s="18">
        <f>('Info Lega'!$B$5-COUNTIFS($D$2:$D$492,'Info Lega'!$B$28,$B$2:$B$492,"P"))+('Info Lega'!$B$6-COUNTIFS($D$2:$D$492,'Info Lega'!$B$28,$B$2:$B$492,"D"))+('Info Lega'!$B$7-COUNTIFS($D$2:$D$492,'Info Lega'!$B$28,$B$2:$B$492,"C"))+('Info Lega'!$B$8-COUNTIFS($D$2:$D$492,'Info Lega'!$B$28,$B$2:$B$492,"A"))</f>
        <v>25</v>
      </c>
      <c r="Y148" s="18">
        <f>X148*'Parametri Modello'!$B$30</f>
        <v>25</v>
      </c>
      <c r="Z148" s="18">
        <f t="shared" si="20"/>
        <v>975</v>
      </c>
      <c r="AA148" s="18">
        <f t="shared" si="21"/>
        <v>4</v>
      </c>
      <c r="AB148" s="18"/>
      <c r="AC148" s="18" t="str">
        <f>IF($AB148="","",IF($AB148&gt;$AA148,"PASS",IF($AB148&lt;=$AA148*(1-'Parametri Modello'!$B$68),"BID","ATTENZIONE")))</f>
        <v/>
      </c>
      <c r="AD148" s="28">
        <f t="shared" si="22"/>
        <v>59</v>
      </c>
      <c r="AE148" s="5" t="str">
        <f>IFERROR(IF($AF148="Titolare",INDEX('Stato Asta'!$G$9:$G$12,MATCH($B148,'Stato Asta'!$A$9:$A$12,0)),INDEX('Stato Asta'!$P$9:$P$12,MATCH($B148,'Stato Asta'!$A$9:$A$12,0))),"")</f>
        <v>🟢 Riserve abbondanti</v>
      </c>
      <c r="AF148" t="str">
        <f>IFERROR(IF($V148&lt;=INDEX('Parametri Modello'!$C$57:$C$60,MATCH($B148,'Parametri Modello'!$A$57:$A$60,0)),"Titolare","Riserva"),"")</f>
        <v>Riserva</v>
      </c>
      <c r="AG148" t="str">
        <f>IFERROR(INDEX('Pressione Competitiva'!$F$3:$F$6,MATCH($B148,'Pressione Competitiva'!$B$3:$B$6,0)),"")</f>
        <v>🔴 Molto Alta</v>
      </c>
      <c r="AH148" t="str">
        <f t="shared" si="23"/>
        <v/>
      </c>
      <c r="AI148" t="str">
        <f>IFERROR(IF($AH148="","",IF($AH148&gt;=$AA148*'Parametri Modello'!$B$68,"🟢 Opportunita'",IF($AH148&lt;=$AA148*'Parametri Modello'!$B$69,"🔴 Sovrapprezzo","🟡 Prezzo Corretto"))),"")</f>
        <v/>
      </c>
      <c r="AJ148" t="str">
        <f t="shared" si="24"/>
        <v/>
      </c>
      <c r="AK148">
        <f t="shared" si="25"/>
        <v>16</v>
      </c>
      <c r="AL148" t="str">
        <f t="shared" si="26"/>
        <v>D|Buono|16</v>
      </c>
    </row>
    <row r="149" spans="1:38" ht="14.25" customHeight="1" x14ac:dyDescent="0.25">
      <c r="A149" s="18">
        <v>6320</v>
      </c>
      <c r="B149" s="18" t="s">
        <v>88</v>
      </c>
      <c r="C149" s="18" t="s">
        <v>130</v>
      </c>
      <c r="E149" s="23" t="str">
        <f>IF(COUNTIF('Info Strategia'!$D$2:$D$51,$C149)&gt;0,"SI","NO")</f>
        <v>NO</v>
      </c>
      <c r="F149" s="24">
        <f>IFERROR(ROUND(($G149+($H149-$G149)*'Info Strategia'!$B$6)*(1+IF($E149="SI",'Parametri Modello'!$B$7*'Info Strategia'!$B$6,0)),0),"")</f>
        <v>4</v>
      </c>
      <c r="G149" s="24">
        <f>IFERROR(ROUND(MAX(1,(IF($V149&lt;=INDEX('Parametri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3</v>
      </c>
      <c r="H149" s="24">
        <f>IFERROR(ROUND((IF($V149&lt;=INDEX('Parametri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4</v>
      </c>
      <c r="I149" s="23" t="str">
        <f>IFERROR(INDEX('Input Statistiche 2025_26'!$F$3:$F$665,MATCH($A149,'Input Statistiche 2025_26'!$A$3:$A$665,0)),"")</f>
        <v/>
      </c>
      <c r="J149" s="23" t="str">
        <f t="shared" si="18"/>
        <v/>
      </c>
      <c r="K149" s="23" t="str">
        <f>IFERROR(INDEX('Input Statistiche 2025_26'!$I$3:$I$665,MATCH($A149,'Input Statistiche 2025_26'!$A$3:$A$665,0)),"")</f>
        <v/>
      </c>
      <c r="L149" s="23" t="str">
        <f>IFERROR(INDEX('Input Statistiche 2025_26'!$O$3:$O$665,MATCH($A149,'Input Statistiche 2025_26'!$A$3:$A$665,0)),"")</f>
        <v/>
      </c>
      <c r="M149" s="25"/>
      <c r="N149" s="24">
        <f>IFERROR(INDEX('Input Giocatori 2026_27'!$E$3:$E$493,MATCH($A149,'Input Giocatori 2026_27'!$A$3:$A$493,0)),"")</f>
        <v>7</v>
      </c>
      <c r="O149" s="24">
        <f>IFERROR(INDEX('Input Giocatori 2026_27'!$G$3:$G$493,MATCH($A149,'Input Giocatori 2026_27'!$A$3:$A$493,0)),"")</f>
        <v>22</v>
      </c>
      <c r="P149" s="23" t="str">
        <f>IFERROR(IF($O149="","",IF((1-(COUNTIFS($B$2:$B$492,$B149,$O$2:$O$492,"&gt;"&amp;$O149)+1-1)/COUNTIF($B$2:$B$492,$B149))&gt;='Parametri Modello'!$B$63,"Top",IF((1-(COUNTIFS($B$2:$B$492,$B149,$O$2:$O$492,"&gt;"&amp;$O149)+1-1)/COUNTIF($B$2:$B$492,$B149))&gt;='Parametri Modello'!$B$64,"Buono",IF((1-(COUNTIFS($B$2:$B$492,$B149,$O$2:$O$492,"&gt;"&amp;$O149)+1-1)/COUNTIF($B$2:$B$492,$B149))&gt;='Parametri Modello'!$B$65,"Nella Media","Scommessa/Riserva")))),"")</f>
        <v>Buono</v>
      </c>
      <c r="Q149" s="26">
        <f>IF(AND($D149="",$N149&gt;1),SUMPRODUCT(($D$2:$D149="")*($N$2:$N149&gt;1)),"")</f>
        <v>148</v>
      </c>
      <c r="R149" s="26" t="str">
        <f>IF($D149='Info Lega'!$B$28,COUNTIFS($D$2:$D149,'Info Lega'!$B$28),"")</f>
        <v/>
      </c>
      <c r="S149" s="27" t="str">
        <f>IFERROR(INDEX('Input Statistiche 2025_26'!$G$3:$G$665,MATCH($A149,'Input Statistiche 2025_26'!$A$3:$A$665,0)),"")</f>
        <v/>
      </c>
      <c r="T149" s="27" t="str">
        <f>IFERROR(INDEX('Input Statistiche 2025_26'!$H$3:$H$665,MATCH($A149,'Input Statistiche 2025_26'!$A$3:$A$665,0)),"")</f>
        <v/>
      </c>
      <c r="U149" s="23" t="str">
        <f>IF(OR('La Mia Rosa'!$O$12="",$D149&lt;&gt;""),"",IF($F149&lt;='La Mia Rosa'!$O$12*'Parametri Modello'!$B$24,"OK",IF($F149&lt;='La Mia Rosa'!$O$12*'Parametri Modello'!$B$25,"Attenzione","Rischio Alto")))</f>
        <v>OK</v>
      </c>
      <c r="V149" s="23">
        <f t="shared" si="19"/>
        <v>34</v>
      </c>
      <c r="W149" s="18">
        <f>'Info Lega'!$B$4-SUMIFS($M$2:$M$492,$D$2:$D$492,'Info Lega'!$B$28)</f>
        <v>1000</v>
      </c>
      <c r="X149" s="18">
        <f>('Info Lega'!$B$5-COUNTIFS($D$2:$D$492,'Info Lega'!$B$28,$B$2:$B$492,"P"))+('Info Lega'!$B$6-COUNTIFS($D$2:$D$492,'Info Lega'!$B$28,$B$2:$B$492,"D"))+('Info Lega'!$B$7-COUNTIFS($D$2:$D$492,'Info Lega'!$B$28,$B$2:$B$492,"C"))+('Info Lega'!$B$8-COUNTIFS($D$2:$D$492,'Info Lega'!$B$28,$B$2:$B$492,"A"))</f>
        <v>25</v>
      </c>
      <c r="Y149" s="18">
        <f>X149*'Parametri Modello'!$B$30</f>
        <v>25</v>
      </c>
      <c r="Z149" s="18">
        <f t="shared" si="20"/>
        <v>975</v>
      </c>
      <c r="AA149" s="18">
        <f t="shared" si="21"/>
        <v>4</v>
      </c>
      <c r="AB149" s="18"/>
      <c r="AC149" s="18" t="str">
        <f>IF($AB149="","",IF($AB149&gt;$AA149,"PASS",IF($AB149&lt;=$AA149*(1-'Parametri Modello'!$B$68),"BID","ATTENZIONE")))</f>
        <v/>
      </c>
      <c r="AD149" s="28" t="str">
        <f t="shared" si="22"/>
        <v/>
      </c>
      <c r="AE149" s="5" t="str">
        <f>IFERROR(IF($AF149="Titolare",INDEX('Stato Asta'!$G$9:$G$12,MATCH($B149,'Stato Asta'!$A$9:$A$12,0)),INDEX('Stato Asta'!$P$9:$P$12,MATCH($B149,'Stato Asta'!$A$9:$A$12,0))),"")</f>
        <v>🟢 Riserve abbondanti</v>
      </c>
      <c r="AF149" t="str">
        <f>IFERROR(IF($V149&lt;=INDEX('Parametri Modello'!$C$57:$C$60,MATCH($B149,'Parametri Modello'!$A$57:$A$60,0)),"Titolare","Riserva"),"")</f>
        <v>Riserva</v>
      </c>
      <c r="AG149" t="str">
        <f>IFERROR(INDEX('Pressione Competitiva'!$F$3:$F$6,MATCH($B149,'Pressione Competitiva'!$B$3:$B$6,0)),"")</f>
        <v>🔴 Molto Alta</v>
      </c>
      <c r="AH149" t="str">
        <f t="shared" si="23"/>
        <v/>
      </c>
      <c r="AI149" t="str">
        <f>IFERROR(IF($AH149="","",IF($AH149&gt;=$AA149*'Parametri Modello'!$B$68,"🟢 Opportunita'",IF($AH149&lt;=$AA149*'Parametri Modello'!$B$69,"🔴 Sovrapprezzo","🟡 Prezzo Corretto"))),"")</f>
        <v/>
      </c>
      <c r="AJ149" t="str">
        <f t="shared" si="24"/>
        <v/>
      </c>
      <c r="AK149">
        <f t="shared" si="25"/>
        <v>16</v>
      </c>
      <c r="AL149" t="str">
        <f t="shared" si="26"/>
        <v>D|Buono|16</v>
      </c>
    </row>
    <row r="150" spans="1:38" ht="14.25" customHeight="1" x14ac:dyDescent="0.25">
      <c r="A150" s="18">
        <v>2765</v>
      </c>
      <c r="B150" s="18" t="s">
        <v>264</v>
      </c>
      <c r="C150" s="18" t="s">
        <v>306</v>
      </c>
      <c r="E150" s="23" t="str">
        <f>IF(COUNTIF('Info Strategia'!$D$2:$D$51,$C150)&gt;0,"SI","NO")</f>
        <v>NO</v>
      </c>
      <c r="F150" s="24">
        <f>IFERROR(ROUND(($G150+($H150-$G150)*'Info Strategia'!$B$6)*(1+IF($E150="SI",'Parametri Modello'!$B$7*'Info Strategia'!$B$6,0)),0),"")</f>
        <v>3</v>
      </c>
      <c r="G150" s="24">
        <f>IFERROR(ROUND(MAX(1,(IF($V150&lt;=INDEX('Parametri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2</v>
      </c>
      <c r="H150" s="24">
        <f>IFERROR(ROUND((IF($V150&lt;=INDEX('Parametri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3</v>
      </c>
      <c r="I150" s="23">
        <f>IFERROR(INDEX('Input Statistiche 2025_26'!$F$3:$F$665,MATCH($A150,'Input Statistiche 2025_26'!$A$3:$A$665,0)),"")</f>
        <v>22</v>
      </c>
      <c r="J150" s="23">
        <f t="shared" si="18"/>
        <v>16</v>
      </c>
      <c r="K150" s="23">
        <f>IFERROR(INDEX('Input Statistiche 2025_26'!$I$3:$I$665,MATCH($A150,'Input Statistiche 2025_26'!$A$3:$A$665,0)),"")</f>
        <v>5</v>
      </c>
      <c r="L150" s="23">
        <f>IFERROR(INDEX('Input Statistiche 2025_26'!$O$3:$O$665,MATCH($A150,'Input Statistiche 2025_26'!$A$3:$A$665,0)),"")</f>
        <v>1</v>
      </c>
      <c r="M150" s="25"/>
      <c r="N150" s="24">
        <f>IFERROR(INDEX('Input Giocatori 2026_27'!$E$3:$E$493,MATCH($A150,'Input Giocatori 2026_27'!$A$3:$A$493,0)),"")</f>
        <v>8</v>
      </c>
      <c r="O150" s="24">
        <f>IFERROR(INDEX('Input Giocatori 2026_27'!$G$3:$G$493,MATCH($A150,'Input Giocatori 2026_27'!$A$3:$A$493,0)),"")</f>
        <v>22</v>
      </c>
      <c r="P150" s="23" t="str">
        <f>IFERROR(IF($O150="","",IF((1-(COUNTIFS($B$2:$B$492,$B150,$O$2:$O$492,"&gt;"&amp;$O150)+1-1)/COUNTIF($B$2:$B$492,$B150))&gt;='Parametri Modello'!$B$63,"Top",IF((1-(COUNTIFS($B$2:$B$492,$B150,$O$2:$O$492,"&gt;"&amp;$O150)+1-1)/COUNTIF($B$2:$B$492,$B150))&gt;='Parametri Modello'!$B$64,"Buono",IF((1-(COUNTIFS($B$2:$B$492,$B150,$O$2:$O$492,"&gt;"&amp;$O150)+1-1)/COUNTIF($B$2:$B$492,$B150))&gt;='Parametri Modello'!$B$65,"Nella Media","Scommessa/Riserva")))),"")</f>
        <v>Nella Media</v>
      </c>
      <c r="Q150" s="26">
        <f>IF(AND($D150="",$N150&gt;1),SUMPRODUCT(($D$2:$D150="")*($N$2:$N150&gt;1)),"")</f>
        <v>149</v>
      </c>
      <c r="R150" s="26" t="str">
        <f>IF($D150='Info Lega'!$B$28,COUNTIFS($D$2:$D150,'Info Lega'!$B$28),"")</f>
        <v/>
      </c>
      <c r="S150" s="27">
        <f>IFERROR(INDEX('Input Statistiche 2025_26'!$G$3:$G$665,MATCH($A150,'Input Statistiche 2025_26'!$A$3:$A$665,0)),"")</f>
        <v>5.91</v>
      </c>
      <c r="T150" s="27">
        <f>IFERROR(INDEX('Input Statistiche 2025_26'!$H$3:$H$665,MATCH($A150,'Input Statistiche 2025_26'!$A$3:$A$665,0)),"")</f>
        <v>6.61</v>
      </c>
      <c r="U150" s="23" t="str">
        <f>IF(OR('La Mia Rosa'!$O$12="",$D150&lt;&gt;""),"",IF($F150&lt;='La Mia Rosa'!$O$12*'Parametri Modello'!$B$24,"OK",IF($F150&lt;='La Mia Rosa'!$O$12*'Parametri Modello'!$B$25,"Attenzione","Rischio Alto")))</f>
        <v>OK</v>
      </c>
      <c r="V150" s="23">
        <f t="shared" si="19"/>
        <v>56</v>
      </c>
      <c r="W150" s="18">
        <f>'Info Lega'!$B$4-SUMIFS($M$2:$M$492,$D$2:$D$492,'Info Lega'!$B$28)</f>
        <v>1000</v>
      </c>
      <c r="X150" s="18">
        <f>('Info Lega'!$B$5-COUNTIFS($D$2:$D$492,'Info Lega'!$B$28,$B$2:$B$492,"P"))+('Info Lega'!$B$6-COUNTIFS($D$2:$D$492,'Info Lega'!$B$28,$B$2:$B$492,"D"))+('Info Lega'!$B$7-COUNTIFS($D$2:$D$492,'Info Lega'!$B$28,$B$2:$B$492,"C"))+('Info Lega'!$B$8-COUNTIFS($D$2:$D$492,'Info Lega'!$B$28,$B$2:$B$492,"A"))</f>
        <v>25</v>
      </c>
      <c r="Y150" s="18">
        <f>X150*'Parametri Modello'!$B$30</f>
        <v>25</v>
      </c>
      <c r="Z150" s="18">
        <f t="shared" si="20"/>
        <v>975</v>
      </c>
      <c r="AA150" s="18">
        <f t="shared" si="21"/>
        <v>3</v>
      </c>
      <c r="AB150" s="18"/>
      <c r="AC150" s="18" t="str">
        <f>IF($AB150="","",IF($AB150&gt;$AA150,"PASS",IF($AB150&lt;=$AA150*(1-'Parametri Modello'!$B$68),"BID","ATTENZIONE")))</f>
        <v/>
      </c>
      <c r="AD150" s="28">
        <f t="shared" si="22"/>
        <v>52</v>
      </c>
      <c r="AE150" s="5" t="str">
        <f>IFERROR(IF($AF150="Titolare",INDEX('Stato Asta'!$G$9:$G$12,MATCH($B150,'Stato Asta'!$A$9:$A$12,0)),INDEX('Stato Asta'!$P$9:$P$12,MATCH($B150,'Stato Asta'!$A$9:$A$12,0))),"")</f>
        <v>🟢 Riserve abbondanti</v>
      </c>
      <c r="AF150" t="str">
        <f>IFERROR(IF($V150&lt;=INDEX('Parametri Modello'!$C$57:$C$60,MATCH($B150,'Parametri Modello'!$A$57:$A$60,0)),"Titolare","Riserva"),"")</f>
        <v>Riserva</v>
      </c>
      <c r="AG150" t="str">
        <f>IFERROR(INDEX('Pressione Competitiva'!$F$3:$F$6,MATCH($B150,'Pressione Competitiva'!$B$3:$B$6,0)),"")</f>
        <v>🔴 Molto Alta</v>
      </c>
      <c r="AH150" t="str">
        <f t="shared" si="23"/>
        <v/>
      </c>
      <c r="AI150" t="str">
        <f>IFERROR(IF($AH150="","",IF($AH150&gt;=$AA150*'Parametri Modello'!$B$68,"🟢 Opportunita'",IF($AH150&lt;=$AA150*'Parametri Modello'!$B$69,"🔴 Sovrapprezzo","🟡 Prezzo Corretto"))),"")</f>
        <v/>
      </c>
      <c r="AJ150" t="str">
        <f t="shared" si="24"/>
        <v/>
      </c>
      <c r="AK150">
        <f t="shared" si="25"/>
        <v>1</v>
      </c>
      <c r="AL150" t="str">
        <f t="shared" si="26"/>
        <v>C|Nella Media|1</v>
      </c>
    </row>
    <row r="151" spans="1:38" ht="14.25" customHeight="1" x14ac:dyDescent="0.25">
      <c r="A151" s="18">
        <v>6678</v>
      </c>
      <c r="B151" s="18" t="s">
        <v>264</v>
      </c>
      <c r="C151" s="18" t="s">
        <v>333</v>
      </c>
      <c r="E151" s="23" t="str">
        <f>IF(COUNTIF('Info Strategia'!$D$2:$D$51,$C151)&gt;0,"SI","NO")</f>
        <v>NO</v>
      </c>
      <c r="F151" s="24">
        <f>IFERROR(ROUND(($G151+($H151-$G151)*'Info Strategia'!$B$6)*(1+IF($E151="SI",'Parametri Modello'!$B$7*'Info Strategia'!$B$6,0)),0),"")</f>
        <v>3</v>
      </c>
      <c r="G151" s="24">
        <f>IFERROR(ROUND(MAX(1,(IF($V151&lt;=INDEX('Parametri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2</v>
      </c>
      <c r="H151" s="24">
        <f>IFERROR(ROUND((IF($V151&lt;=INDEX('Parametri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3</v>
      </c>
      <c r="I151" s="23">
        <f>IFERROR(INDEX('Input Statistiche 2025_26'!$F$3:$F$665,MATCH($A151,'Input Statistiche 2025_26'!$A$3:$A$665,0)),"")</f>
        <v>0</v>
      </c>
      <c r="J151" s="23">
        <f t="shared" si="18"/>
        <v>38</v>
      </c>
      <c r="K151" s="23">
        <f>IFERROR(INDEX('Input Statistiche 2025_26'!$I$3:$I$665,MATCH($A151,'Input Statistiche 2025_26'!$A$3:$A$665,0)),"")</f>
        <v>0</v>
      </c>
      <c r="L151" s="23">
        <f>IFERROR(INDEX('Input Statistiche 2025_26'!$O$3:$O$665,MATCH($A151,'Input Statistiche 2025_26'!$A$3:$A$665,0)),"")</f>
        <v>0</v>
      </c>
      <c r="M151" s="25"/>
      <c r="N151" s="24">
        <f>IFERROR(INDEX('Input Giocatori 2026_27'!$E$3:$E$493,MATCH($A151,'Input Giocatori 2026_27'!$A$3:$A$493,0)),"")</f>
        <v>6</v>
      </c>
      <c r="O151" s="24">
        <f>IFERROR(INDEX('Input Giocatori 2026_27'!$G$3:$G$493,MATCH($A151,'Input Giocatori 2026_27'!$A$3:$A$493,0)),"")</f>
        <v>22</v>
      </c>
      <c r="P151" s="23" t="str">
        <f>IFERROR(IF($O151="","",IF((1-(COUNTIFS($B$2:$B$492,$B151,$O$2:$O$492,"&gt;"&amp;$O151)+1-1)/COUNTIF($B$2:$B$492,$B151))&gt;='Parametri Modello'!$B$63,"Top",IF((1-(COUNTIFS($B$2:$B$492,$B151,$O$2:$O$492,"&gt;"&amp;$O151)+1-1)/COUNTIF($B$2:$B$492,$B151))&gt;='Parametri Modello'!$B$64,"Buono",IF((1-(COUNTIFS($B$2:$B$492,$B151,$O$2:$O$492,"&gt;"&amp;$O151)+1-1)/COUNTIF($B$2:$B$492,$B151))&gt;='Parametri Modello'!$B$65,"Nella Media","Scommessa/Riserva")))),"")</f>
        <v>Nella Media</v>
      </c>
      <c r="Q151" s="26">
        <f>IF(AND($D151="",$N151&gt;1),SUMPRODUCT(($D$2:$D151="")*($N$2:$N151&gt;1)),"")</f>
        <v>150</v>
      </c>
      <c r="R151" s="26" t="str">
        <f>IF($D151='Info Lega'!$B$28,COUNTIFS($D$2:$D151,'Info Lega'!$B$28),"")</f>
        <v/>
      </c>
      <c r="S151" s="27">
        <f>IFERROR(INDEX('Input Statistiche 2025_26'!$G$3:$G$665,MATCH($A151,'Input Statistiche 2025_26'!$A$3:$A$665,0)),"")</f>
        <v>0</v>
      </c>
      <c r="T151" s="27">
        <f>IFERROR(INDEX('Input Statistiche 2025_26'!$H$3:$H$665,MATCH($A151,'Input Statistiche 2025_26'!$A$3:$A$665,0)),"")</f>
        <v>0</v>
      </c>
      <c r="U151" s="23" t="str">
        <f>IF(OR('La Mia Rosa'!$O$12="",$D151&lt;&gt;""),"",IF($F151&lt;='La Mia Rosa'!$O$12*'Parametri Modello'!$B$24,"OK",IF($F151&lt;='La Mia Rosa'!$O$12*'Parametri Modello'!$B$25,"Attenzione","Rischio Alto")))</f>
        <v>OK</v>
      </c>
      <c r="V151" s="23">
        <f t="shared" si="19"/>
        <v>56</v>
      </c>
      <c r="W151" s="18">
        <f>'Info Lega'!$B$4-SUMIFS($M$2:$M$492,$D$2:$D$492,'Info Lega'!$B$28)</f>
        <v>1000</v>
      </c>
      <c r="X151" s="18">
        <f>('Info Lega'!$B$5-COUNTIFS($D$2:$D$492,'Info Lega'!$B$28,$B$2:$B$492,"P"))+('Info Lega'!$B$6-COUNTIFS($D$2:$D$492,'Info Lega'!$B$28,$B$2:$B$492,"D"))+('Info Lega'!$B$7-COUNTIFS($D$2:$D$492,'Info Lega'!$B$28,$B$2:$B$492,"C"))+('Info Lega'!$B$8-COUNTIFS($D$2:$D$492,'Info Lega'!$B$28,$B$2:$B$492,"A"))</f>
        <v>25</v>
      </c>
      <c r="Y151" s="18">
        <f>X151*'Parametri Modello'!$B$30</f>
        <v>25</v>
      </c>
      <c r="Z151" s="18">
        <f t="shared" si="20"/>
        <v>975</v>
      </c>
      <c r="AA151" s="18">
        <f t="shared" si="21"/>
        <v>3</v>
      </c>
      <c r="AB151" s="18"/>
      <c r="AC151" s="18" t="str">
        <f>IF($AB151="","",IF($AB151&gt;$AA151,"PASS",IF($AB151&lt;=$AA151*(1-'Parametri Modello'!$B$68),"BID","ATTENZIONE")))</f>
        <v/>
      </c>
      <c r="AD151" s="28">
        <f t="shared" si="22"/>
        <v>0</v>
      </c>
      <c r="AE151" s="5" t="str">
        <f>IFERROR(IF($AF151="Titolare",INDEX('Stato Asta'!$G$9:$G$12,MATCH($B151,'Stato Asta'!$A$9:$A$12,0)),INDEX('Stato Asta'!$P$9:$P$12,MATCH($B151,'Stato Asta'!$A$9:$A$12,0))),"")</f>
        <v>🟢 Riserve abbondanti</v>
      </c>
      <c r="AF151" t="str">
        <f>IFERROR(IF($V151&lt;=INDEX('Parametri Modello'!$C$57:$C$60,MATCH($B151,'Parametri Modello'!$A$57:$A$60,0)),"Titolare","Riserva"),"")</f>
        <v>Riserva</v>
      </c>
      <c r="AG151" t="str">
        <f>IFERROR(INDEX('Pressione Competitiva'!$F$3:$F$6,MATCH($B151,'Pressione Competitiva'!$B$3:$B$6,0)),"")</f>
        <v>🔴 Molto Alta</v>
      </c>
      <c r="AH151" t="str">
        <f t="shared" si="23"/>
        <v/>
      </c>
      <c r="AI151" t="str">
        <f>IFERROR(IF($AH151="","",IF($AH151&gt;=$AA151*'Parametri Modello'!$B$68,"🟢 Opportunita'",IF($AH151&lt;=$AA151*'Parametri Modello'!$B$69,"🔴 Sovrapprezzo","🟡 Prezzo Corretto"))),"")</f>
        <v/>
      </c>
      <c r="AJ151" t="str">
        <f t="shared" si="24"/>
        <v/>
      </c>
      <c r="AK151">
        <f t="shared" si="25"/>
        <v>1</v>
      </c>
      <c r="AL151" t="str">
        <f t="shared" si="26"/>
        <v>C|Nella Media|1</v>
      </c>
    </row>
    <row r="152" spans="1:38" ht="14.25" customHeight="1" x14ac:dyDescent="0.25">
      <c r="A152" s="18">
        <v>6831</v>
      </c>
      <c r="B152" s="18" t="s">
        <v>437</v>
      </c>
      <c r="C152" s="18" t="s">
        <v>492</v>
      </c>
      <c r="E152" s="23" t="str">
        <f>IF(COUNTIF('Info Strategia'!$D$2:$D$51,$C152)&gt;0,"SI","NO")</f>
        <v>NO</v>
      </c>
      <c r="F152" s="24">
        <f>IFERROR(ROUND(($G152+($H152-$G152)*'Info Strategia'!$B$6)*(1+IF($E152="SI",'Parametri Modello'!$B$7*'Info Strategia'!$B$6,0)),0),"")</f>
        <v>7</v>
      </c>
      <c r="G152" s="24">
        <f>IFERROR(ROUND(MAX(1,(IF($V152&lt;=INDEX('Parametri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4</v>
      </c>
      <c r="H152" s="24">
        <f>IFERROR(ROUND((IF($V152&lt;=INDEX('Parametri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8</v>
      </c>
      <c r="I152" s="23">
        <f>IFERROR(INDEX('Input Statistiche 2025_26'!$F$3:$F$665,MATCH($A152,'Input Statistiche 2025_26'!$A$3:$A$665,0)),"")</f>
        <v>16</v>
      </c>
      <c r="J152" s="23">
        <f t="shared" si="18"/>
        <v>22</v>
      </c>
      <c r="K152" s="23">
        <f>IFERROR(INDEX('Input Statistiche 2025_26'!$I$3:$I$665,MATCH($A152,'Input Statistiche 2025_26'!$A$3:$A$665,0)),"")</f>
        <v>3</v>
      </c>
      <c r="L152" s="23">
        <f>IFERROR(INDEX('Input Statistiche 2025_26'!$O$3:$O$665,MATCH($A152,'Input Statistiche 2025_26'!$A$3:$A$665,0)),"")</f>
        <v>3</v>
      </c>
      <c r="M152" s="25"/>
      <c r="N152" s="24">
        <f>IFERROR(INDEX('Input Giocatori 2026_27'!$E$3:$E$493,MATCH($A152,'Input Giocatori 2026_27'!$A$3:$A$493,0)),"")</f>
        <v>6</v>
      </c>
      <c r="O152" s="24">
        <f>IFERROR(INDEX('Input Giocatori 2026_27'!$G$3:$G$493,MATCH($A152,'Input Giocatori 2026_27'!$A$3:$A$493,0)),"")</f>
        <v>22</v>
      </c>
      <c r="P152" s="23" t="str">
        <f>IFERROR(IF($O152="","",IF((1-(COUNTIFS($B$2:$B$492,$B152,$O$2:$O$492,"&gt;"&amp;$O152)+1-1)/COUNTIF($B$2:$B$492,$B152))&gt;='Parametri Modello'!$B$63,"Top",IF((1-(COUNTIFS($B$2:$B$492,$B152,$O$2:$O$492,"&gt;"&amp;$O152)+1-1)/COUNTIF($B$2:$B$492,$B152))&gt;='Parametri Modello'!$B$64,"Buono",IF((1-(COUNTIFS($B$2:$B$492,$B152,$O$2:$O$492,"&gt;"&amp;$O152)+1-1)/COUNTIF($B$2:$B$492,$B152))&gt;='Parametri Modello'!$B$65,"Nella Media","Scommessa/Riserva")))),"")</f>
        <v>Nella Media</v>
      </c>
      <c r="Q152" s="26">
        <f>IF(AND($D152="",$N152&gt;1),SUMPRODUCT(($D$2:$D152="")*($N$2:$N152&gt;1)),"")</f>
        <v>151</v>
      </c>
      <c r="R152" s="26" t="str">
        <f>IF($D152='Info Lega'!$B$28,COUNTIFS($D$2:$D152,'Info Lega'!$B$28),"")</f>
        <v/>
      </c>
      <c r="S152" s="27">
        <f>IFERROR(INDEX('Input Statistiche 2025_26'!$G$3:$G$665,MATCH($A152,'Input Statistiche 2025_26'!$A$3:$A$665,0)),"")</f>
        <v>6.19</v>
      </c>
      <c r="T152" s="27">
        <f>IFERROR(INDEX('Input Statistiche 2025_26'!$H$3:$H$665,MATCH($A152,'Input Statistiche 2025_26'!$A$3:$A$665,0)),"")</f>
        <v>6.84</v>
      </c>
      <c r="U152" s="23" t="str">
        <f>IF(OR('La Mia Rosa'!$O$12="",$D152&lt;&gt;""),"",IF($F152&lt;='La Mia Rosa'!$O$12*'Parametri Modello'!$B$24,"OK",IF($F152&lt;='La Mia Rosa'!$O$12*'Parametri Modello'!$B$25,"Attenzione","Rischio Alto")))</f>
        <v>OK</v>
      </c>
      <c r="V152" s="23">
        <f t="shared" si="19"/>
        <v>46</v>
      </c>
      <c r="W152" s="18">
        <f>'Info Lega'!$B$4-SUMIFS($M$2:$M$492,$D$2:$D$492,'Info Lega'!$B$28)</f>
        <v>1000</v>
      </c>
      <c r="X152" s="18">
        <f>('Info Lega'!$B$5-COUNTIFS($D$2:$D$492,'Info Lega'!$B$28,$B$2:$B$492,"P"))+('Info Lega'!$B$6-COUNTIFS($D$2:$D$492,'Info Lega'!$B$28,$B$2:$B$492,"D"))+('Info Lega'!$B$7-COUNTIFS($D$2:$D$492,'Info Lega'!$B$28,$B$2:$B$492,"C"))+('Info Lega'!$B$8-COUNTIFS($D$2:$D$492,'Info Lega'!$B$28,$B$2:$B$492,"A"))</f>
        <v>25</v>
      </c>
      <c r="Y152" s="18">
        <f>X152*'Parametri Modello'!$B$30</f>
        <v>25</v>
      </c>
      <c r="Z152" s="18">
        <f t="shared" si="20"/>
        <v>975</v>
      </c>
      <c r="AA152" s="18">
        <f t="shared" si="21"/>
        <v>7</v>
      </c>
      <c r="AB152" s="18"/>
      <c r="AC152" s="18" t="str">
        <f>IF($AB152="","",IF($AB152&gt;$AA152,"PASS",IF($AB152&lt;=$AA152*(1-'Parametri Modello'!$B$68),"BID","ATTENZIONE")))</f>
        <v/>
      </c>
      <c r="AD152" s="28">
        <f t="shared" si="22"/>
        <v>41</v>
      </c>
      <c r="AE152" s="5" t="str">
        <f>IFERROR(IF($AF152="Titolare",INDEX('Stato Asta'!$G$9:$G$12,MATCH($B152,'Stato Asta'!$A$9:$A$12,0)),INDEX('Stato Asta'!$P$9:$P$12,MATCH($B152,'Stato Asta'!$A$9:$A$12,0))),"")</f>
        <v>🟢 Riserve abbondanti</v>
      </c>
      <c r="AF152" t="str">
        <f>IFERROR(IF($V152&lt;=INDEX('Parametri Modello'!$C$57:$C$60,MATCH($B152,'Parametri Modello'!$A$57:$A$60,0)),"Titolare","Riserva"),"")</f>
        <v>Riserva</v>
      </c>
      <c r="AG152" t="str">
        <f>IFERROR(INDEX('Pressione Competitiva'!$F$3:$F$6,MATCH($B152,'Pressione Competitiva'!$B$3:$B$6,0)),"")</f>
        <v>🔴 Molto Alta</v>
      </c>
      <c r="AH152" t="str">
        <f t="shared" si="23"/>
        <v/>
      </c>
      <c r="AI152" t="str">
        <f>IFERROR(IF($AH152="","",IF($AH152&gt;=$AA152*'Parametri Modello'!$B$68,"🟢 Opportunita'",IF($AH152&lt;=$AA152*'Parametri Modello'!$B$69,"🔴 Sovrapprezzo","🟡 Prezzo Corretto"))),"")</f>
        <v/>
      </c>
      <c r="AJ152" t="str">
        <f t="shared" si="24"/>
        <v/>
      </c>
      <c r="AK152">
        <f t="shared" si="25"/>
        <v>20</v>
      </c>
      <c r="AL152" t="str">
        <f t="shared" si="26"/>
        <v>A|Nella Media|20</v>
      </c>
    </row>
    <row r="153" spans="1:38" ht="14.25" customHeight="1" x14ac:dyDescent="0.25">
      <c r="A153" s="18">
        <v>4657</v>
      </c>
      <c r="B153" s="18" t="s">
        <v>88</v>
      </c>
      <c r="C153" s="18" t="s">
        <v>119</v>
      </c>
      <c r="E153" s="23" t="str">
        <f>IF(COUNTIF('Info Strategia'!$D$2:$D$51,$C153)&gt;0,"SI","NO")</f>
        <v>NO</v>
      </c>
      <c r="F153" s="24">
        <f>IFERROR(ROUND(($G153+($H153-$G153)*'Info Strategia'!$B$6)*(1+IF($E153="SI",'Parametri Modello'!$B$7*'Info Strategia'!$B$6,0)),0),"")</f>
        <v>4</v>
      </c>
      <c r="G153" s="24">
        <f>IFERROR(ROUND(MAX(1,(IF($V153&lt;=INDEX('Parametri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3</v>
      </c>
      <c r="H153" s="24">
        <f>IFERROR(ROUND((IF($V153&lt;=INDEX('Parametri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4</v>
      </c>
      <c r="I153" s="23">
        <f>IFERROR(INDEX('Input Statistiche 2025_26'!$F$3:$F$665,MATCH($A153,'Input Statistiche 2025_26'!$A$3:$A$665,0)),"")</f>
        <v>32</v>
      </c>
      <c r="J153" s="23">
        <f t="shared" si="18"/>
        <v>6</v>
      </c>
      <c r="K153" s="23">
        <f>IFERROR(INDEX('Input Statistiche 2025_26'!$I$3:$I$665,MATCH($A153,'Input Statistiche 2025_26'!$A$3:$A$665,0)),"")</f>
        <v>1</v>
      </c>
      <c r="L153" s="23">
        <f>IFERROR(INDEX('Input Statistiche 2025_26'!$O$3:$O$665,MATCH($A153,'Input Statistiche 2025_26'!$A$3:$A$665,0)),"")</f>
        <v>2</v>
      </c>
      <c r="M153" s="25"/>
      <c r="N153" s="24">
        <f>IFERROR(INDEX('Input Giocatori 2026_27'!$E$3:$E$493,MATCH($A153,'Input Giocatori 2026_27'!$A$3:$A$493,0)),"")</f>
        <v>8</v>
      </c>
      <c r="O153" s="24">
        <f>IFERROR(INDEX('Input Giocatori 2026_27'!$G$3:$G$493,MATCH($A153,'Input Giocatori 2026_27'!$A$3:$A$493,0)),"")</f>
        <v>21</v>
      </c>
      <c r="P153" s="23" t="str">
        <f>IFERROR(IF($O153="","",IF((1-(COUNTIFS($B$2:$B$492,$B153,$O$2:$O$492,"&gt;"&amp;$O153)+1-1)/COUNTIF($B$2:$B$492,$B153))&gt;='Parametri Modello'!$B$63,"Top",IF((1-(COUNTIFS($B$2:$B$492,$B153,$O$2:$O$492,"&gt;"&amp;$O153)+1-1)/COUNTIF($B$2:$B$492,$B153))&gt;='Parametri Modello'!$B$64,"Buono",IF((1-(COUNTIFS($B$2:$B$492,$B153,$O$2:$O$492,"&gt;"&amp;$O153)+1-1)/COUNTIF($B$2:$B$492,$B153))&gt;='Parametri Modello'!$B$65,"Nella Media","Scommessa/Riserva")))),"")</f>
        <v>Buono</v>
      </c>
      <c r="Q153" s="26">
        <f>IF(AND($D153="",$N153&gt;1),SUMPRODUCT(($D$2:$D153="")*($N$2:$N153&gt;1)),"")</f>
        <v>152</v>
      </c>
      <c r="R153" s="26" t="str">
        <f>IF($D153='Info Lega'!$B$28,COUNTIFS($D$2:$D153,'Info Lega'!$B$28),"")</f>
        <v/>
      </c>
      <c r="S153" s="27">
        <f>IFERROR(INDEX('Input Statistiche 2025_26'!$G$3:$G$665,MATCH($A153,'Input Statistiche 2025_26'!$A$3:$A$665,0)),"")</f>
        <v>6.17</v>
      </c>
      <c r="T153" s="27">
        <f>IFERROR(INDEX('Input Statistiche 2025_26'!$H$3:$H$665,MATCH($A153,'Input Statistiche 2025_26'!$A$3:$A$665,0)),"")</f>
        <v>6.27</v>
      </c>
      <c r="U153" s="23" t="str">
        <f>IF(OR('La Mia Rosa'!$O$12="",$D153&lt;&gt;""),"",IF($F153&lt;='La Mia Rosa'!$O$12*'Parametri Modello'!$B$24,"OK",IF($F153&lt;='La Mia Rosa'!$O$12*'Parametri Modello'!$B$25,"Attenzione","Rischio Alto")))</f>
        <v>OK</v>
      </c>
      <c r="V153" s="23">
        <f t="shared" si="19"/>
        <v>36</v>
      </c>
      <c r="W153" s="18">
        <f>'Info Lega'!$B$4-SUMIFS($M$2:$M$492,$D$2:$D$492,'Info Lega'!$B$28)</f>
        <v>1000</v>
      </c>
      <c r="X153" s="18">
        <f>('Info Lega'!$B$5-COUNTIFS($D$2:$D$492,'Info Lega'!$B$28,$B$2:$B$492,"P"))+('Info Lega'!$B$6-COUNTIFS($D$2:$D$492,'Info Lega'!$B$28,$B$2:$B$492,"D"))+('Info Lega'!$B$7-COUNTIFS($D$2:$D$492,'Info Lega'!$B$28,$B$2:$B$492,"C"))+('Info Lega'!$B$8-COUNTIFS($D$2:$D$492,'Info Lega'!$B$28,$B$2:$B$492,"A"))</f>
        <v>25</v>
      </c>
      <c r="Y153" s="18">
        <f>X153*'Parametri Modello'!$B$30</f>
        <v>25</v>
      </c>
      <c r="Z153" s="18">
        <f t="shared" si="20"/>
        <v>975</v>
      </c>
      <c r="AA153" s="18">
        <f t="shared" si="21"/>
        <v>4</v>
      </c>
      <c r="AB153" s="18"/>
      <c r="AC153" s="18" t="str">
        <f>IF($AB153="","",IF($AB153&gt;$AA153,"PASS",IF($AB153&lt;=$AA153*(1-'Parametri Modello'!$B$68),"BID","ATTENZIONE")))</f>
        <v/>
      </c>
      <c r="AD153" s="28">
        <f t="shared" si="22"/>
        <v>66</v>
      </c>
      <c r="AE153" s="5" t="str">
        <f>IFERROR(IF($AF153="Titolare",INDEX('Stato Asta'!$G$9:$G$12,MATCH($B153,'Stato Asta'!$A$9:$A$12,0)),INDEX('Stato Asta'!$P$9:$P$12,MATCH($B153,'Stato Asta'!$A$9:$A$12,0))),"")</f>
        <v>🟢 Riserve abbondanti</v>
      </c>
      <c r="AF153" t="str">
        <f>IFERROR(IF($V153&lt;=INDEX('Parametri Modello'!$C$57:$C$60,MATCH($B153,'Parametri Modello'!$A$57:$A$60,0)),"Titolare","Riserva"),"")</f>
        <v>Riserva</v>
      </c>
      <c r="AG153" t="str">
        <f>IFERROR(INDEX('Pressione Competitiva'!$F$3:$F$6,MATCH($B153,'Pressione Competitiva'!$B$3:$B$6,0)),"")</f>
        <v>🔴 Molto Alta</v>
      </c>
      <c r="AH153" t="str">
        <f t="shared" si="23"/>
        <v/>
      </c>
      <c r="AI153" t="str">
        <f>IFERROR(IF($AH153="","",IF($AH153&gt;=$AA153*'Parametri Modello'!$B$68,"🟢 Opportunita'",IF($AH153&lt;=$AA153*'Parametri Modello'!$B$69,"🔴 Sovrapprezzo","🟡 Prezzo Corretto"))),"")</f>
        <v/>
      </c>
      <c r="AJ153" t="str">
        <f t="shared" si="24"/>
        <v/>
      </c>
      <c r="AK153">
        <f t="shared" si="25"/>
        <v>18</v>
      </c>
      <c r="AL153" t="str">
        <f t="shared" si="26"/>
        <v>D|Buono|18</v>
      </c>
    </row>
    <row r="154" spans="1:38" ht="14.25" customHeight="1" x14ac:dyDescent="0.25">
      <c r="A154" s="18">
        <v>6664</v>
      </c>
      <c r="B154" s="18" t="s">
        <v>88</v>
      </c>
      <c r="C154" s="18" t="s">
        <v>122</v>
      </c>
      <c r="E154" s="23" t="str">
        <f>IF(COUNTIF('Info Strategia'!$D$2:$D$51,$C154)&gt;0,"SI","NO")</f>
        <v>NO</v>
      </c>
      <c r="F154" s="24">
        <f>IFERROR(ROUND(($G154+($H154-$G154)*'Info Strategia'!$B$6)*(1+IF($E154="SI",'Parametri Modello'!$B$7*'Info Strategia'!$B$6,0)),0),"")</f>
        <v>4</v>
      </c>
      <c r="G154" s="24">
        <f>IFERROR(ROUND(MAX(1,(IF($V154&lt;=INDEX('Parametri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3</v>
      </c>
      <c r="H154" s="24">
        <f>IFERROR(ROUND((IF($V154&lt;=INDEX('Parametri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4</v>
      </c>
      <c r="I154" s="23">
        <f>IFERROR(INDEX('Input Statistiche 2025_26'!$F$3:$F$665,MATCH($A154,'Input Statistiche 2025_26'!$A$3:$A$665,0)),"")</f>
        <v>35</v>
      </c>
      <c r="J154" s="23">
        <f t="shared" si="18"/>
        <v>3</v>
      </c>
      <c r="K154" s="23">
        <f>IFERROR(INDEX('Input Statistiche 2025_26'!$I$3:$I$665,MATCH($A154,'Input Statistiche 2025_26'!$A$3:$A$665,0)),"")</f>
        <v>2</v>
      </c>
      <c r="L154" s="23">
        <f>IFERROR(INDEX('Input Statistiche 2025_26'!$O$3:$O$665,MATCH($A154,'Input Statistiche 2025_26'!$A$3:$A$665,0)),"")</f>
        <v>0</v>
      </c>
      <c r="M154" s="25"/>
      <c r="N154" s="24">
        <f>IFERROR(INDEX('Input Giocatori 2026_27'!$E$3:$E$493,MATCH($A154,'Input Giocatori 2026_27'!$A$3:$A$493,0)),"")</f>
        <v>8</v>
      </c>
      <c r="O154" s="24">
        <f>IFERROR(INDEX('Input Giocatori 2026_27'!$G$3:$G$493,MATCH($A154,'Input Giocatori 2026_27'!$A$3:$A$493,0)),"")</f>
        <v>21</v>
      </c>
      <c r="P154" s="23" t="str">
        <f>IFERROR(IF($O154="","",IF((1-(COUNTIFS($B$2:$B$492,$B154,$O$2:$O$492,"&gt;"&amp;$O154)+1-1)/COUNTIF($B$2:$B$492,$B154))&gt;='Parametri Modello'!$B$63,"Top",IF((1-(COUNTIFS($B$2:$B$492,$B154,$O$2:$O$492,"&gt;"&amp;$O154)+1-1)/COUNTIF($B$2:$B$492,$B154))&gt;='Parametri Modello'!$B$64,"Buono",IF((1-(COUNTIFS($B$2:$B$492,$B154,$O$2:$O$492,"&gt;"&amp;$O154)+1-1)/COUNTIF($B$2:$B$492,$B154))&gt;='Parametri Modello'!$B$65,"Nella Media","Scommessa/Riserva")))),"")</f>
        <v>Buono</v>
      </c>
      <c r="Q154" s="26">
        <f>IF(AND($D154="",$N154&gt;1),SUMPRODUCT(($D$2:$D154="")*($N$2:$N154&gt;1)),"")</f>
        <v>153</v>
      </c>
      <c r="R154" s="26" t="str">
        <f>IF($D154='Info Lega'!$B$28,COUNTIFS($D$2:$D154,'Info Lega'!$B$28),"")</f>
        <v/>
      </c>
      <c r="S154" s="27">
        <f>IFERROR(INDEX('Input Statistiche 2025_26'!$G$3:$G$665,MATCH($A154,'Input Statistiche 2025_26'!$A$3:$A$665,0)),"")</f>
        <v>5.91</v>
      </c>
      <c r="T154" s="27">
        <f>IFERROR(INDEX('Input Statistiche 2025_26'!$H$3:$H$665,MATCH($A154,'Input Statistiche 2025_26'!$A$3:$A$665,0)),"")</f>
        <v>6.01</v>
      </c>
      <c r="U154" s="23" t="str">
        <f>IF(OR('La Mia Rosa'!$O$12="",$D154&lt;&gt;""),"",IF($F154&lt;='La Mia Rosa'!$O$12*'Parametri Modello'!$B$24,"OK",IF($F154&lt;='La Mia Rosa'!$O$12*'Parametri Modello'!$B$25,"Attenzione","Rischio Alto")))</f>
        <v>OK</v>
      </c>
      <c r="V154" s="23">
        <f t="shared" si="19"/>
        <v>36</v>
      </c>
      <c r="W154" s="18">
        <f>'Info Lega'!$B$4-SUMIFS($M$2:$M$492,$D$2:$D$492,'Info Lega'!$B$28)</f>
        <v>1000</v>
      </c>
      <c r="X154" s="18">
        <f>('Info Lega'!$B$5-COUNTIFS($D$2:$D$492,'Info Lega'!$B$28,$B$2:$B$492,"P"))+('Info Lega'!$B$6-COUNTIFS($D$2:$D$492,'Info Lega'!$B$28,$B$2:$B$492,"D"))+('Info Lega'!$B$7-COUNTIFS($D$2:$D$492,'Info Lega'!$B$28,$B$2:$B$492,"C"))+('Info Lega'!$B$8-COUNTIFS($D$2:$D$492,'Info Lega'!$B$28,$B$2:$B$492,"A"))</f>
        <v>25</v>
      </c>
      <c r="Y154" s="18">
        <f>X154*'Parametri Modello'!$B$30</f>
        <v>25</v>
      </c>
      <c r="Z154" s="18">
        <f t="shared" si="20"/>
        <v>975</v>
      </c>
      <c r="AA154" s="18">
        <f t="shared" si="21"/>
        <v>4</v>
      </c>
      <c r="AB154" s="18"/>
      <c r="AC154" s="18" t="str">
        <f>IF($AB154="","",IF($AB154&gt;$AA154,"PASS",IF($AB154&lt;=$AA154*(1-'Parametri Modello'!$B$68),"BID","ATTENZIONE")))</f>
        <v/>
      </c>
      <c r="AD154" s="28">
        <f t="shared" si="22"/>
        <v>69</v>
      </c>
      <c r="AE154" s="5" t="str">
        <f>IFERROR(IF($AF154="Titolare",INDEX('Stato Asta'!$G$9:$G$12,MATCH($B154,'Stato Asta'!$A$9:$A$12,0)),INDEX('Stato Asta'!$P$9:$P$12,MATCH($B154,'Stato Asta'!$A$9:$A$12,0))),"")</f>
        <v>🟢 Riserve abbondanti</v>
      </c>
      <c r="AF154" t="str">
        <f>IFERROR(IF($V154&lt;=INDEX('Parametri Modello'!$C$57:$C$60,MATCH($B154,'Parametri Modello'!$A$57:$A$60,0)),"Titolare","Riserva"),"")</f>
        <v>Riserva</v>
      </c>
      <c r="AG154" t="str">
        <f>IFERROR(INDEX('Pressione Competitiva'!$F$3:$F$6,MATCH($B154,'Pressione Competitiva'!$B$3:$B$6,0)),"")</f>
        <v>🔴 Molto Alta</v>
      </c>
      <c r="AH154" t="str">
        <f t="shared" si="23"/>
        <v/>
      </c>
      <c r="AI154" t="str">
        <f>IFERROR(IF($AH154="","",IF($AH154&gt;=$AA154*'Parametri Modello'!$B$68,"🟢 Opportunita'",IF($AH154&lt;=$AA154*'Parametri Modello'!$B$69,"🔴 Sovrapprezzo","🟡 Prezzo Corretto"))),"")</f>
        <v/>
      </c>
      <c r="AJ154" t="str">
        <f t="shared" si="24"/>
        <v/>
      </c>
      <c r="AK154">
        <f t="shared" si="25"/>
        <v>18</v>
      </c>
      <c r="AL154" t="str">
        <f t="shared" si="26"/>
        <v>D|Buono|18</v>
      </c>
    </row>
    <row r="155" spans="1:38" ht="14.25" customHeight="1" x14ac:dyDescent="0.25">
      <c r="A155" s="18">
        <v>184</v>
      </c>
      <c r="B155" s="18" t="s">
        <v>264</v>
      </c>
      <c r="C155" s="18" t="s">
        <v>301</v>
      </c>
      <c r="E155" s="23" t="str">
        <f>IF(COUNTIF('Info Strategia'!$D$2:$D$51,$C155)&gt;0,"SI","NO")</f>
        <v>NO</v>
      </c>
      <c r="F155" s="24">
        <f>IFERROR(ROUND(($G155+($H155-$G155)*'Info Strategia'!$B$6)*(1+IF($E155="SI",'Parametri Modello'!$B$7*'Info Strategia'!$B$6,0)),0),"")</f>
        <v>3</v>
      </c>
      <c r="G155" s="24">
        <f>IFERROR(ROUND(MAX(1,(IF($V155&lt;=INDEX('Parametri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2</v>
      </c>
      <c r="H155" s="24">
        <f>IFERROR(ROUND((IF($V155&lt;=INDEX('Parametri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3</v>
      </c>
      <c r="I155" s="23">
        <f>IFERROR(INDEX('Input Statistiche 2025_26'!$F$3:$F$665,MATCH($A155,'Input Statistiche 2025_26'!$A$3:$A$665,0)),"")</f>
        <v>24</v>
      </c>
      <c r="J155" s="23">
        <f t="shared" si="18"/>
        <v>14</v>
      </c>
      <c r="K155" s="23">
        <f>IFERROR(INDEX('Input Statistiche 2025_26'!$I$3:$I$665,MATCH($A155,'Input Statistiche 2025_26'!$A$3:$A$665,0)),"")</f>
        <v>4</v>
      </c>
      <c r="L155" s="23">
        <f>IFERROR(INDEX('Input Statistiche 2025_26'!$O$3:$O$665,MATCH($A155,'Input Statistiche 2025_26'!$A$3:$A$665,0)),"")</f>
        <v>2</v>
      </c>
      <c r="M155" s="25"/>
      <c r="N155" s="24">
        <f>IFERROR(INDEX('Input Giocatori 2026_27'!$E$3:$E$493,MATCH($A155,'Input Giocatori 2026_27'!$A$3:$A$493,0)),"")</f>
        <v>9</v>
      </c>
      <c r="O155" s="24">
        <f>IFERROR(INDEX('Input Giocatori 2026_27'!$G$3:$G$493,MATCH($A155,'Input Giocatori 2026_27'!$A$3:$A$493,0)),"")</f>
        <v>21</v>
      </c>
      <c r="P155" s="23" t="str">
        <f>IFERROR(IF($O155="","",IF((1-(COUNTIFS($B$2:$B$492,$B155,$O$2:$O$492,"&gt;"&amp;$O155)+1-1)/COUNTIF($B$2:$B$492,$B155))&gt;='Parametri Modello'!$B$63,"Top",IF((1-(COUNTIFS($B$2:$B$492,$B155,$O$2:$O$492,"&gt;"&amp;$O155)+1-1)/COUNTIF($B$2:$B$492,$B155))&gt;='Parametri Modello'!$B$64,"Buono",IF((1-(COUNTIFS($B$2:$B$492,$B155,$O$2:$O$492,"&gt;"&amp;$O155)+1-1)/COUNTIF($B$2:$B$492,$B155))&gt;='Parametri Modello'!$B$65,"Nella Media","Scommessa/Riserva")))),"")</f>
        <v>Nella Media</v>
      </c>
      <c r="Q155" s="26">
        <f>IF(AND($D155="",$N155&gt;1),SUMPRODUCT(($D$2:$D155="")*($N$2:$N155&gt;1)),"")</f>
        <v>154</v>
      </c>
      <c r="R155" s="26" t="str">
        <f>IF($D155='Info Lega'!$B$28,COUNTIFS($D$2:$D155,'Info Lega'!$B$28),"")</f>
        <v/>
      </c>
      <c r="S155" s="27">
        <f>IFERROR(INDEX('Input Statistiche 2025_26'!$G$3:$G$665,MATCH($A155,'Input Statistiche 2025_26'!$A$3:$A$665,0)),"")</f>
        <v>6.04</v>
      </c>
      <c r="T155" s="27">
        <f>IFERROR(INDEX('Input Statistiche 2025_26'!$H$3:$H$665,MATCH($A155,'Input Statistiche 2025_26'!$A$3:$A$665,0)),"")</f>
        <v>6.56</v>
      </c>
      <c r="U155" s="23" t="str">
        <f>IF(OR('La Mia Rosa'!$O$12="",$D155&lt;&gt;""),"",IF($F155&lt;='La Mia Rosa'!$O$12*'Parametri Modello'!$B$24,"OK",IF($F155&lt;='La Mia Rosa'!$O$12*'Parametri Modello'!$B$25,"Attenzione","Rischio Alto")))</f>
        <v>OK</v>
      </c>
      <c r="V155" s="23">
        <f t="shared" si="19"/>
        <v>58</v>
      </c>
      <c r="W155" s="18">
        <f>'Info Lega'!$B$4-SUMIFS($M$2:$M$492,$D$2:$D$492,'Info Lega'!$B$28)</f>
        <v>1000</v>
      </c>
      <c r="X155" s="18">
        <f>('Info Lega'!$B$5-COUNTIFS($D$2:$D$492,'Info Lega'!$B$28,$B$2:$B$492,"P"))+('Info Lega'!$B$6-COUNTIFS($D$2:$D$492,'Info Lega'!$B$28,$B$2:$B$492,"D"))+('Info Lega'!$B$7-COUNTIFS($D$2:$D$492,'Info Lega'!$B$28,$B$2:$B$492,"C"))+('Info Lega'!$B$8-COUNTIFS($D$2:$D$492,'Info Lega'!$B$28,$B$2:$B$492,"A"))</f>
        <v>25</v>
      </c>
      <c r="Y155" s="18">
        <f>X155*'Parametri Modello'!$B$30</f>
        <v>25</v>
      </c>
      <c r="Z155" s="18">
        <f t="shared" si="20"/>
        <v>975</v>
      </c>
      <c r="AA155" s="18">
        <f t="shared" si="21"/>
        <v>3</v>
      </c>
      <c r="AB155" s="18"/>
      <c r="AC155" s="18" t="str">
        <f>IF($AB155="","",IF($AB155&gt;$AA155,"PASS",IF($AB155&lt;=$AA155*(1-'Parametri Modello'!$B$68),"BID","ATTENZIONE")))</f>
        <v/>
      </c>
      <c r="AD155" s="28">
        <f t="shared" si="22"/>
        <v>55</v>
      </c>
      <c r="AE155" s="5" t="str">
        <f>IFERROR(IF($AF155="Titolare",INDEX('Stato Asta'!$G$9:$G$12,MATCH($B155,'Stato Asta'!$A$9:$A$12,0)),INDEX('Stato Asta'!$P$9:$P$12,MATCH($B155,'Stato Asta'!$A$9:$A$12,0))),"")</f>
        <v>🟢 Riserve abbondanti</v>
      </c>
      <c r="AF155" t="str">
        <f>IFERROR(IF($V155&lt;=INDEX('Parametri Modello'!$C$57:$C$60,MATCH($B155,'Parametri Modello'!$A$57:$A$60,0)),"Titolare","Riserva"),"")</f>
        <v>Riserva</v>
      </c>
      <c r="AG155" t="str">
        <f>IFERROR(INDEX('Pressione Competitiva'!$F$3:$F$6,MATCH($B155,'Pressione Competitiva'!$B$3:$B$6,0)),"")</f>
        <v>🔴 Molto Alta</v>
      </c>
      <c r="AH155" t="str">
        <f t="shared" si="23"/>
        <v/>
      </c>
      <c r="AI155" t="str">
        <f>IFERROR(IF($AH155="","",IF($AH155&gt;=$AA155*'Parametri Modello'!$B$68,"🟢 Opportunita'",IF($AH155&lt;=$AA155*'Parametri Modello'!$B$69,"🔴 Sovrapprezzo","🟡 Prezzo Corretto"))),"")</f>
        <v/>
      </c>
      <c r="AJ155" t="str">
        <f t="shared" si="24"/>
        <v/>
      </c>
      <c r="AK155">
        <f t="shared" si="25"/>
        <v>3</v>
      </c>
      <c r="AL155" t="str">
        <f t="shared" si="26"/>
        <v>C|Nella Media|3</v>
      </c>
    </row>
    <row r="156" spans="1:38" ht="14.25" customHeight="1" x14ac:dyDescent="0.25">
      <c r="A156" s="18">
        <v>5422</v>
      </c>
      <c r="B156" s="18" t="s">
        <v>264</v>
      </c>
      <c r="C156" s="18" t="s">
        <v>328</v>
      </c>
      <c r="E156" s="23" t="str">
        <f>IF(COUNTIF('Info Strategia'!$D$2:$D$51,$C156)&gt;0,"SI","NO")</f>
        <v>NO</v>
      </c>
      <c r="F156" s="24">
        <f>IFERROR(ROUND(($G156+($H156-$G156)*'Info Strategia'!$B$6)*(1+IF($E156="SI",'Parametri Modello'!$B$7*'Info Strategia'!$B$6,0)),0),"")</f>
        <v>3</v>
      </c>
      <c r="G156" s="24">
        <f>IFERROR(ROUND(MAX(1,(IF($V156&lt;=INDEX('Parametri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2</v>
      </c>
      <c r="H156" s="24">
        <f>IFERROR(ROUND((IF($V156&lt;=INDEX('Parametri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3</v>
      </c>
      <c r="I156" s="23">
        <f>IFERROR(INDEX('Input Statistiche 2025_26'!$F$3:$F$665,MATCH($A156,'Input Statistiche 2025_26'!$A$3:$A$665,0)),"")</f>
        <v>31</v>
      </c>
      <c r="J156" s="23">
        <f t="shared" si="18"/>
        <v>7</v>
      </c>
      <c r="K156" s="23">
        <f>IFERROR(INDEX('Input Statistiche 2025_26'!$I$3:$I$665,MATCH($A156,'Input Statistiche 2025_26'!$A$3:$A$665,0)),"")</f>
        <v>2</v>
      </c>
      <c r="L156" s="23">
        <f>IFERROR(INDEX('Input Statistiche 2025_26'!$O$3:$O$665,MATCH($A156,'Input Statistiche 2025_26'!$A$3:$A$665,0)),"")</f>
        <v>5</v>
      </c>
      <c r="M156" s="25"/>
      <c r="N156" s="24">
        <f>IFERROR(INDEX('Input Giocatori 2026_27'!$E$3:$E$493,MATCH($A156,'Input Giocatori 2026_27'!$A$3:$A$493,0)),"")</f>
        <v>6</v>
      </c>
      <c r="O156" s="24">
        <f>IFERROR(INDEX('Input Giocatori 2026_27'!$G$3:$G$493,MATCH($A156,'Input Giocatori 2026_27'!$A$3:$A$493,0)),"")</f>
        <v>21</v>
      </c>
      <c r="P156" s="23" t="str">
        <f>IFERROR(IF($O156="","",IF((1-(COUNTIFS($B$2:$B$492,$B156,$O$2:$O$492,"&gt;"&amp;$O156)+1-1)/COUNTIF($B$2:$B$492,$B156))&gt;='Parametri Modello'!$B$63,"Top",IF((1-(COUNTIFS($B$2:$B$492,$B156,$O$2:$O$492,"&gt;"&amp;$O156)+1-1)/COUNTIF($B$2:$B$492,$B156))&gt;='Parametri Modello'!$B$64,"Buono",IF((1-(COUNTIFS($B$2:$B$492,$B156,$O$2:$O$492,"&gt;"&amp;$O156)+1-1)/COUNTIF($B$2:$B$492,$B156))&gt;='Parametri Modello'!$B$65,"Nella Media","Scommessa/Riserva")))),"")</f>
        <v>Nella Media</v>
      </c>
      <c r="Q156" s="26">
        <f>IF(AND($D156="",$N156&gt;1),SUMPRODUCT(($D$2:$D156="")*($N$2:$N156&gt;1)),"")</f>
        <v>155</v>
      </c>
      <c r="R156" s="26" t="str">
        <f>IF($D156='Info Lega'!$B$28,COUNTIFS($D$2:$D156,'Info Lega'!$B$28),"")</f>
        <v/>
      </c>
      <c r="S156" s="27">
        <f>IFERROR(INDEX('Input Statistiche 2025_26'!$G$3:$G$665,MATCH($A156,'Input Statistiche 2025_26'!$A$3:$A$665,0)),"")</f>
        <v>6.1</v>
      </c>
      <c r="T156" s="27">
        <f>IFERROR(INDEX('Input Statistiche 2025_26'!$H$3:$H$665,MATCH($A156,'Input Statistiche 2025_26'!$A$3:$A$665,0)),"")</f>
        <v>6.4</v>
      </c>
      <c r="U156" s="23" t="str">
        <f>IF(OR('La Mia Rosa'!$O$12="",$D156&lt;&gt;""),"",IF($F156&lt;='La Mia Rosa'!$O$12*'Parametri Modello'!$B$24,"OK",IF($F156&lt;='La Mia Rosa'!$O$12*'Parametri Modello'!$B$25,"Attenzione","Rischio Alto")))</f>
        <v>OK</v>
      </c>
      <c r="V156" s="23">
        <f t="shared" si="19"/>
        <v>58</v>
      </c>
      <c r="W156" s="18">
        <f>'Info Lega'!$B$4-SUMIFS($M$2:$M$492,$D$2:$D$492,'Info Lega'!$B$28)</f>
        <v>1000</v>
      </c>
      <c r="X156" s="18">
        <f>('Info Lega'!$B$5-COUNTIFS($D$2:$D$492,'Info Lega'!$B$28,$B$2:$B$492,"P"))+('Info Lega'!$B$6-COUNTIFS($D$2:$D$492,'Info Lega'!$B$28,$B$2:$B$492,"D"))+('Info Lega'!$B$7-COUNTIFS($D$2:$D$492,'Info Lega'!$B$28,$B$2:$B$492,"C"))+('Info Lega'!$B$8-COUNTIFS($D$2:$D$492,'Info Lega'!$B$28,$B$2:$B$492,"A"))</f>
        <v>25</v>
      </c>
      <c r="Y156" s="18">
        <f>X156*'Parametri Modello'!$B$30</f>
        <v>25</v>
      </c>
      <c r="Z156" s="18">
        <f t="shared" si="20"/>
        <v>975</v>
      </c>
      <c r="AA156" s="18">
        <f t="shared" si="21"/>
        <v>3</v>
      </c>
      <c r="AB156" s="18"/>
      <c r="AC156" s="18" t="str">
        <f>IF($AB156="","",IF($AB156&gt;$AA156,"PASS",IF($AB156&lt;=$AA156*(1-'Parametri Modello'!$B$68),"BID","ATTENZIONE")))</f>
        <v/>
      </c>
      <c r="AD156" s="28">
        <f t="shared" si="22"/>
        <v>64</v>
      </c>
      <c r="AE156" s="5" t="str">
        <f>IFERROR(IF($AF156="Titolare",INDEX('Stato Asta'!$G$9:$G$12,MATCH($B156,'Stato Asta'!$A$9:$A$12,0)),INDEX('Stato Asta'!$P$9:$P$12,MATCH($B156,'Stato Asta'!$A$9:$A$12,0))),"")</f>
        <v>🟢 Riserve abbondanti</v>
      </c>
      <c r="AF156" t="str">
        <f>IFERROR(IF($V156&lt;=INDEX('Parametri Modello'!$C$57:$C$60,MATCH($B156,'Parametri Modello'!$A$57:$A$60,0)),"Titolare","Riserva"),"")</f>
        <v>Riserva</v>
      </c>
      <c r="AG156" t="str">
        <f>IFERROR(INDEX('Pressione Competitiva'!$F$3:$F$6,MATCH($B156,'Pressione Competitiva'!$B$3:$B$6,0)),"")</f>
        <v>🔴 Molto Alta</v>
      </c>
      <c r="AH156" t="str">
        <f t="shared" si="23"/>
        <v/>
      </c>
      <c r="AI156" t="str">
        <f>IFERROR(IF($AH156="","",IF($AH156&gt;=$AA156*'Parametri Modello'!$B$68,"🟢 Opportunita'",IF($AH156&lt;=$AA156*'Parametri Modello'!$B$69,"🔴 Sovrapprezzo","🟡 Prezzo Corretto"))),"")</f>
        <v/>
      </c>
      <c r="AJ156" t="str">
        <f t="shared" si="24"/>
        <v/>
      </c>
      <c r="AK156">
        <f t="shared" si="25"/>
        <v>3</v>
      </c>
      <c r="AL156" t="str">
        <f t="shared" si="26"/>
        <v>C|Nella Media|3</v>
      </c>
    </row>
    <row r="157" spans="1:38" ht="14.25" customHeight="1" x14ac:dyDescent="0.25">
      <c r="A157" s="18">
        <v>6669</v>
      </c>
      <c r="B157" s="18" t="s">
        <v>437</v>
      </c>
      <c r="C157" s="18" t="s">
        <v>484</v>
      </c>
      <c r="E157" s="23" t="str">
        <f>IF(COUNTIF('Info Strategia'!$D$2:$D$51,$C157)&gt;0,"SI","NO")</f>
        <v>NO</v>
      </c>
      <c r="F157" s="24">
        <f>IFERROR(ROUND(($G157+($H157-$G157)*'Info Strategia'!$B$6)*(1+IF($E157="SI",'Parametri Modello'!$B$7*'Info Strategia'!$B$6,0)),0),"")</f>
        <v>7</v>
      </c>
      <c r="G157" s="24">
        <f>IFERROR(ROUND(MAX(1,(IF($V157&lt;=INDEX('Parametri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4</v>
      </c>
      <c r="H157" s="24">
        <f>IFERROR(ROUND((IF($V157&lt;=INDEX('Parametri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8</v>
      </c>
      <c r="I157" s="23">
        <f>IFERROR(INDEX('Input Statistiche 2025_26'!$F$3:$F$665,MATCH($A157,'Input Statistiche 2025_26'!$A$3:$A$665,0)),"")</f>
        <v>27</v>
      </c>
      <c r="J157" s="23">
        <f t="shared" si="18"/>
        <v>11</v>
      </c>
      <c r="K157" s="23">
        <f>IFERROR(INDEX('Input Statistiche 2025_26'!$I$3:$I$665,MATCH($A157,'Input Statistiche 2025_26'!$A$3:$A$665,0)),"")</f>
        <v>5</v>
      </c>
      <c r="L157" s="23">
        <f>IFERROR(INDEX('Input Statistiche 2025_26'!$O$3:$O$665,MATCH($A157,'Input Statistiche 2025_26'!$A$3:$A$665,0)),"")</f>
        <v>4</v>
      </c>
      <c r="M157" s="25"/>
      <c r="N157" s="24">
        <f>IFERROR(INDEX('Input Giocatori 2026_27'!$E$3:$E$493,MATCH($A157,'Input Giocatori 2026_27'!$A$3:$A$493,0)),"")</f>
        <v>7</v>
      </c>
      <c r="O157" s="24">
        <f>IFERROR(INDEX('Input Giocatori 2026_27'!$G$3:$G$493,MATCH($A157,'Input Giocatori 2026_27'!$A$3:$A$493,0)),"")</f>
        <v>21</v>
      </c>
      <c r="P157" s="23" t="str">
        <f>IFERROR(IF($O157="","",IF((1-(COUNTIFS($B$2:$B$492,$B157,$O$2:$O$492,"&gt;"&amp;$O157)+1-1)/COUNTIF($B$2:$B$492,$B157))&gt;='Parametri Modello'!$B$63,"Top",IF((1-(COUNTIFS($B$2:$B$492,$B157,$O$2:$O$492,"&gt;"&amp;$O157)+1-1)/COUNTIF($B$2:$B$492,$B157))&gt;='Parametri Modello'!$B$64,"Buono",IF((1-(COUNTIFS($B$2:$B$492,$B157,$O$2:$O$492,"&gt;"&amp;$O157)+1-1)/COUNTIF($B$2:$B$492,$B157))&gt;='Parametri Modello'!$B$65,"Nella Media","Scommessa/Riserva")))),"")</f>
        <v>Nella Media</v>
      </c>
      <c r="Q157" s="26">
        <f>IF(AND($D157="",$N157&gt;1),SUMPRODUCT(($D$2:$D157="")*($N$2:$N157&gt;1)),"")</f>
        <v>156</v>
      </c>
      <c r="R157" s="26" t="str">
        <f>IF($D157='Info Lega'!$B$28,COUNTIFS($D$2:$D157,'Info Lega'!$B$28),"")</f>
        <v/>
      </c>
      <c r="S157" s="27">
        <f>IFERROR(INDEX('Input Statistiche 2025_26'!$G$3:$G$665,MATCH($A157,'Input Statistiche 2025_26'!$A$3:$A$665,0)),"")</f>
        <v>6.15</v>
      </c>
      <c r="T157" s="27">
        <f>IFERROR(INDEX('Input Statistiche 2025_26'!$H$3:$H$665,MATCH($A157,'Input Statistiche 2025_26'!$A$3:$A$665,0)),"")</f>
        <v>6.83</v>
      </c>
      <c r="U157" s="23" t="str">
        <f>IF(OR('La Mia Rosa'!$O$12="",$D157&lt;&gt;""),"",IF($F157&lt;='La Mia Rosa'!$O$12*'Parametri Modello'!$B$24,"OK",IF($F157&lt;='La Mia Rosa'!$O$12*'Parametri Modello'!$B$25,"Attenzione","Rischio Alto")))</f>
        <v>OK</v>
      </c>
      <c r="V157" s="23">
        <f t="shared" si="19"/>
        <v>47</v>
      </c>
      <c r="W157" s="18">
        <f>'Info Lega'!$B$4-SUMIFS($M$2:$M$492,$D$2:$D$492,'Info Lega'!$B$28)</f>
        <v>1000</v>
      </c>
      <c r="X157" s="18">
        <f>('Info Lega'!$B$5-COUNTIFS($D$2:$D$492,'Info Lega'!$B$28,$B$2:$B$492,"P"))+('Info Lega'!$B$6-COUNTIFS($D$2:$D$492,'Info Lega'!$B$28,$B$2:$B$492,"D"))+('Info Lega'!$B$7-COUNTIFS($D$2:$D$492,'Info Lega'!$B$28,$B$2:$B$492,"C"))+('Info Lega'!$B$8-COUNTIFS($D$2:$D$492,'Info Lega'!$B$28,$B$2:$B$492,"A"))</f>
        <v>25</v>
      </c>
      <c r="Y157" s="18">
        <f>X157*'Parametri Modello'!$B$30</f>
        <v>25</v>
      </c>
      <c r="Z157" s="18">
        <f t="shared" si="20"/>
        <v>975</v>
      </c>
      <c r="AA157" s="18">
        <f t="shared" si="21"/>
        <v>7</v>
      </c>
      <c r="AB157" s="18"/>
      <c r="AC157" s="18" t="str">
        <f>IF($AB157="","",IF($AB157&gt;$AA157,"PASS",IF($AB157&lt;=$AA157*(1-'Parametri Modello'!$B$68),"BID","ATTENZIONE")))</f>
        <v/>
      </c>
      <c r="AD157" s="28">
        <f t="shared" si="22"/>
        <v>59</v>
      </c>
      <c r="AE157" s="5" t="str">
        <f>IFERROR(IF($AF157="Titolare",INDEX('Stato Asta'!$G$9:$G$12,MATCH($B157,'Stato Asta'!$A$9:$A$12,0)),INDEX('Stato Asta'!$P$9:$P$12,MATCH($B157,'Stato Asta'!$A$9:$A$12,0))),"")</f>
        <v>🟢 Riserve abbondanti</v>
      </c>
      <c r="AF157" t="str">
        <f>IFERROR(IF($V157&lt;=INDEX('Parametri Modello'!$C$57:$C$60,MATCH($B157,'Parametri Modello'!$A$57:$A$60,0)),"Titolare","Riserva"),"")</f>
        <v>Riserva</v>
      </c>
      <c r="AG157" t="str">
        <f>IFERROR(INDEX('Pressione Competitiva'!$F$3:$F$6,MATCH($B157,'Pressione Competitiva'!$B$3:$B$6,0)),"")</f>
        <v>🔴 Molto Alta</v>
      </c>
      <c r="AH157" t="str">
        <f t="shared" si="23"/>
        <v/>
      </c>
      <c r="AI157" t="str">
        <f>IFERROR(IF($AH157="","",IF($AH157&gt;=$AA157*'Parametri Modello'!$B$68,"🟢 Opportunita'",IF($AH157&lt;=$AA157*'Parametri Modello'!$B$69,"🔴 Sovrapprezzo","🟡 Prezzo Corretto"))),"")</f>
        <v/>
      </c>
      <c r="AJ157" t="str">
        <f t="shared" si="24"/>
        <v/>
      </c>
      <c r="AK157">
        <f t="shared" si="25"/>
        <v>21</v>
      </c>
      <c r="AL157" t="str">
        <f t="shared" si="26"/>
        <v>A|Nella Media|21</v>
      </c>
    </row>
    <row r="158" spans="1:38" ht="14.25" customHeight="1" x14ac:dyDescent="0.25">
      <c r="A158" s="18">
        <v>6641</v>
      </c>
      <c r="B158" s="18" t="s">
        <v>8</v>
      </c>
      <c r="C158" s="18" t="s">
        <v>39</v>
      </c>
      <c r="E158" s="23" t="str">
        <f>IF(COUNTIF('Info Strategia'!$D$2:$D$51,$C158)&gt;0,"SI","NO")</f>
        <v>NO</v>
      </c>
      <c r="F158" s="24">
        <f>IFERROR(ROUND(($G158+($H158-$G158)*'Info Strategia'!$B$6)*(1+IF($E158="SI",'Parametri Modello'!$B$7*'Info Strategia'!$B$6,0)),0),"")</f>
        <v>6</v>
      </c>
      <c r="G158" s="24">
        <f>IFERROR(ROUND(MAX(1,(IF($V158&lt;=INDEX('Parametri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5</v>
      </c>
      <c r="H158" s="24">
        <f>IFERROR(ROUND((IF($V158&lt;=INDEX('Parametri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7</v>
      </c>
      <c r="I158" s="23">
        <f>IFERROR(INDEX('Input Statistiche 2025_26'!$F$3:$F$665,MATCH($A158,'Input Statistiche 2025_26'!$A$3:$A$665,0)),"")</f>
        <v>20</v>
      </c>
      <c r="J158" s="23">
        <f t="shared" si="18"/>
        <v>18</v>
      </c>
      <c r="K158" s="23">
        <f>IFERROR(INDEX('Input Statistiche 2025_26'!$I$3:$I$665,MATCH($A158,'Input Statistiche 2025_26'!$A$3:$A$665,0)),"")</f>
        <v>0</v>
      </c>
      <c r="L158" s="23">
        <f>IFERROR(INDEX('Input Statistiche 2025_26'!$O$3:$O$665,MATCH($A158,'Input Statistiche 2025_26'!$A$3:$A$665,0)),"")</f>
        <v>0</v>
      </c>
      <c r="M158" s="25"/>
      <c r="N158" s="24">
        <f>IFERROR(INDEX('Input Giocatori 2026_27'!$E$3:$E$493,MATCH($A158,'Input Giocatori 2026_27'!$A$3:$A$493,0)),"")</f>
        <v>7</v>
      </c>
      <c r="O158" s="24">
        <f>IFERROR(INDEX('Input Giocatori 2026_27'!$G$3:$G$493,MATCH($A158,'Input Giocatori 2026_27'!$A$3:$A$493,0)),"")</f>
        <v>20</v>
      </c>
      <c r="P158" s="23" t="str">
        <f>IFERROR(IF($O158="","",IF((1-(COUNTIFS($B$2:$B$492,$B158,$O$2:$O$492,"&gt;"&amp;$O158)+1-1)/COUNTIF($B$2:$B$492,$B158))&gt;='Parametri Modello'!$B$63,"Top",IF((1-(COUNTIFS($B$2:$B$492,$B158,$O$2:$O$492,"&gt;"&amp;$O158)+1-1)/COUNTIF($B$2:$B$492,$B158))&gt;='Parametri Modello'!$B$64,"Buono",IF((1-(COUNTIFS($B$2:$B$492,$B158,$O$2:$O$492,"&gt;"&amp;$O158)+1-1)/COUNTIF($B$2:$B$492,$B158))&gt;='Parametri Modello'!$B$65,"Nella Media","Scommessa/Riserva")))),"")</f>
        <v>Buono</v>
      </c>
      <c r="Q158" s="26">
        <f>IF(AND($D158="",$N158&gt;1),SUMPRODUCT(($D$2:$D158="")*($N$2:$N158&gt;1)),"")</f>
        <v>157</v>
      </c>
      <c r="R158" s="26" t="str">
        <f>IF($D158='Info Lega'!$B$28,COUNTIFS($D$2:$D158,'Info Lega'!$B$28),"")</f>
        <v/>
      </c>
      <c r="S158" s="27">
        <f>IFERROR(INDEX('Input Statistiche 2025_26'!$G$3:$G$665,MATCH($A158,'Input Statistiche 2025_26'!$A$3:$A$665,0)),"")</f>
        <v>6.02</v>
      </c>
      <c r="T158" s="27">
        <f>IFERROR(INDEX('Input Statistiche 2025_26'!$H$3:$H$665,MATCH($A158,'Input Statistiche 2025_26'!$A$3:$A$665,0)),"")</f>
        <v>4.75</v>
      </c>
      <c r="U158" s="23" t="str">
        <f>IF(OR('La Mia Rosa'!$O$12="",$D158&lt;&gt;""),"",IF($F158&lt;='La Mia Rosa'!$O$12*'Parametri Modello'!$B$24,"OK",IF($F158&lt;='La Mia Rosa'!$O$12*'Parametri Modello'!$B$25,"Attenzione","Rischio Alto")))</f>
        <v>OK</v>
      </c>
      <c r="V158" s="23">
        <f t="shared" si="19"/>
        <v>14</v>
      </c>
      <c r="W158" s="18">
        <f>'Info Lega'!$B$4-SUMIFS($M$2:$M$492,$D$2:$D$492,'Info Lega'!$B$28)</f>
        <v>1000</v>
      </c>
      <c r="X158" s="18">
        <f>('Info Lega'!$B$5-COUNTIFS($D$2:$D$492,'Info Lega'!$B$28,$B$2:$B$492,"P"))+('Info Lega'!$B$6-COUNTIFS($D$2:$D$492,'Info Lega'!$B$28,$B$2:$B$492,"D"))+('Info Lega'!$B$7-COUNTIFS($D$2:$D$492,'Info Lega'!$B$28,$B$2:$B$492,"C"))+('Info Lega'!$B$8-COUNTIFS($D$2:$D$492,'Info Lega'!$B$28,$B$2:$B$492,"A"))</f>
        <v>25</v>
      </c>
      <c r="Y158" s="18">
        <f>X158*'Parametri Modello'!$B$30</f>
        <v>25</v>
      </c>
      <c r="Z158" s="18">
        <f t="shared" si="20"/>
        <v>975</v>
      </c>
      <c r="AA158" s="18">
        <f t="shared" si="21"/>
        <v>6</v>
      </c>
      <c r="AB158" s="18"/>
      <c r="AC158" s="18" t="str">
        <f>IF($AB158="","",IF($AB158&gt;$AA158,"PASS",IF($AB158&lt;=$AA158*(1-'Parametri Modello'!$B$68),"BID","ATTENZIONE")))</f>
        <v/>
      </c>
      <c r="AD158" s="28">
        <f t="shared" si="22"/>
        <v>49</v>
      </c>
      <c r="AE158" s="5" t="str">
        <f>IFERROR(IF($AF158="Titolare",INDEX('Stato Asta'!$G$9:$G$12,MATCH($B158,'Stato Asta'!$A$9:$A$12,0)),INDEX('Stato Asta'!$P$9:$P$12,MATCH($B158,'Stato Asta'!$A$9:$A$12,0))),"")</f>
        <v>🔴 Riserve scarse</v>
      </c>
      <c r="AF158" t="str">
        <f>IFERROR(IF($V158&lt;=INDEX('Parametri Modello'!$C$57:$C$60,MATCH($B158,'Parametri Modello'!$A$57:$A$60,0)),"Titolare","Riserva"),"")</f>
        <v>Riserva</v>
      </c>
      <c r="AG158" t="str">
        <f>IFERROR(INDEX('Pressione Competitiva'!$F$3:$F$6,MATCH($B158,'Pressione Competitiva'!$B$3:$B$6,0)),"")</f>
        <v>🔴 Molto Alta</v>
      </c>
      <c r="AH158" t="str">
        <f t="shared" si="23"/>
        <v/>
      </c>
      <c r="AI158" t="str">
        <f>IFERROR(IF($AH158="","",IF($AH158&gt;=$AA158*'Parametri Modello'!$B$68,"🟢 Opportunita'",IF($AH158&lt;=$AA158*'Parametri Modello'!$B$69,"🔴 Sovrapprezzo","🟡 Prezzo Corretto"))),"")</f>
        <v/>
      </c>
      <c r="AJ158" t="str">
        <f t="shared" si="24"/>
        <v/>
      </c>
      <c r="AK158">
        <f t="shared" si="25"/>
        <v>7</v>
      </c>
      <c r="AL158" t="str">
        <f t="shared" si="26"/>
        <v>P|Buono|7</v>
      </c>
    </row>
    <row r="159" spans="1:38" ht="14.25" customHeight="1" x14ac:dyDescent="0.25">
      <c r="A159" s="18">
        <v>4210</v>
      </c>
      <c r="B159" s="18" t="s">
        <v>88</v>
      </c>
      <c r="C159" s="18" t="s">
        <v>115</v>
      </c>
      <c r="E159" s="23" t="str">
        <f>IF(COUNTIF('Info Strategia'!$D$2:$D$51,$C159)&gt;0,"SI","NO")</f>
        <v>NO</v>
      </c>
      <c r="F159" s="24">
        <f>IFERROR(ROUND(($G159+($H159-$G159)*'Info Strategia'!$B$6)*(1+IF($E159="SI",'Parametri Modello'!$B$7*'Info Strategia'!$B$6,0)),0),"")</f>
        <v>4</v>
      </c>
      <c r="G159" s="24">
        <f>IFERROR(ROUND(MAX(1,(IF($V159&lt;=INDEX('Parametri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3</v>
      </c>
      <c r="H159" s="24">
        <f>IFERROR(ROUND((IF($V159&lt;=INDEX('Parametri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4</v>
      </c>
      <c r="I159" s="23">
        <f>IFERROR(INDEX('Input Statistiche 2025_26'!$F$3:$F$665,MATCH($A159,'Input Statistiche 2025_26'!$A$3:$A$665,0)),"")</f>
        <v>26</v>
      </c>
      <c r="J159" s="23">
        <f t="shared" si="18"/>
        <v>12</v>
      </c>
      <c r="K159" s="23">
        <f>IFERROR(INDEX('Input Statistiche 2025_26'!$I$3:$I$665,MATCH($A159,'Input Statistiche 2025_26'!$A$3:$A$665,0)),"")</f>
        <v>2</v>
      </c>
      <c r="L159" s="23">
        <f>IFERROR(INDEX('Input Statistiche 2025_26'!$O$3:$O$665,MATCH($A159,'Input Statistiche 2025_26'!$A$3:$A$665,0)),"")</f>
        <v>1</v>
      </c>
      <c r="M159" s="25"/>
      <c r="N159" s="24">
        <f>IFERROR(INDEX('Input Giocatori 2026_27'!$E$3:$E$493,MATCH($A159,'Input Giocatori 2026_27'!$A$3:$A$493,0)),"")</f>
        <v>8</v>
      </c>
      <c r="O159" s="24">
        <f>IFERROR(INDEX('Input Giocatori 2026_27'!$G$3:$G$493,MATCH($A159,'Input Giocatori 2026_27'!$A$3:$A$493,0)),"")</f>
        <v>20</v>
      </c>
      <c r="P159" s="23" t="str">
        <f>IFERROR(IF($O159="","",IF((1-(COUNTIFS($B$2:$B$492,$B159,$O$2:$O$492,"&gt;"&amp;$O159)+1-1)/COUNTIF($B$2:$B$492,$B159))&gt;='Parametri Modello'!$B$63,"Top",IF((1-(COUNTIFS($B$2:$B$492,$B159,$O$2:$O$492,"&gt;"&amp;$O159)+1-1)/COUNTIF($B$2:$B$492,$B159))&gt;='Parametri Modello'!$B$64,"Buono",IF((1-(COUNTIFS($B$2:$B$492,$B159,$O$2:$O$492,"&gt;"&amp;$O159)+1-1)/COUNTIF($B$2:$B$492,$B159))&gt;='Parametri Modello'!$B$65,"Nella Media","Scommessa/Riserva")))),"")</f>
        <v>Buono</v>
      </c>
      <c r="Q159" s="26">
        <f>IF(AND($D159="",$N159&gt;1),SUMPRODUCT(($D$2:$D159="")*($N$2:$N159&gt;1)),"")</f>
        <v>158</v>
      </c>
      <c r="R159" s="26" t="str">
        <f>IF($D159='Info Lega'!$B$28,COUNTIFS($D$2:$D159,'Info Lega'!$B$28),"")</f>
        <v/>
      </c>
      <c r="S159" s="27">
        <f>IFERROR(INDEX('Input Statistiche 2025_26'!$G$3:$G$665,MATCH($A159,'Input Statistiche 2025_26'!$A$3:$A$665,0)),"")</f>
        <v>6</v>
      </c>
      <c r="T159" s="27">
        <f>IFERROR(INDEX('Input Statistiche 2025_26'!$H$3:$H$665,MATCH($A159,'Input Statistiche 2025_26'!$A$3:$A$665,0)),"")</f>
        <v>6.17</v>
      </c>
      <c r="U159" s="23" t="str">
        <f>IF(OR('La Mia Rosa'!$O$12="",$D159&lt;&gt;""),"",IF($F159&lt;='La Mia Rosa'!$O$12*'Parametri Modello'!$B$24,"OK",IF($F159&lt;='La Mia Rosa'!$O$12*'Parametri Modello'!$B$25,"Attenzione","Rischio Alto")))</f>
        <v>OK</v>
      </c>
      <c r="V159" s="23">
        <f t="shared" si="19"/>
        <v>38</v>
      </c>
      <c r="W159" s="18">
        <f>'Info Lega'!$B$4-SUMIFS($M$2:$M$492,$D$2:$D$492,'Info Lega'!$B$28)</f>
        <v>1000</v>
      </c>
      <c r="X159" s="18">
        <f>('Info Lega'!$B$5-COUNTIFS($D$2:$D$492,'Info Lega'!$B$28,$B$2:$B$492,"P"))+('Info Lega'!$B$6-COUNTIFS($D$2:$D$492,'Info Lega'!$B$28,$B$2:$B$492,"D"))+('Info Lega'!$B$7-COUNTIFS($D$2:$D$492,'Info Lega'!$B$28,$B$2:$B$492,"C"))+('Info Lega'!$B$8-COUNTIFS($D$2:$D$492,'Info Lega'!$B$28,$B$2:$B$492,"A"))</f>
        <v>25</v>
      </c>
      <c r="Y159" s="18">
        <f>X159*'Parametri Modello'!$B$30</f>
        <v>25</v>
      </c>
      <c r="Z159" s="18">
        <f t="shared" si="20"/>
        <v>975</v>
      </c>
      <c r="AA159" s="18">
        <f t="shared" si="21"/>
        <v>4</v>
      </c>
      <c r="AB159" s="18"/>
      <c r="AC159" s="18" t="str">
        <f>IF($AB159="","",IF($AB159&gt;$AA159,"PASS",IF($AB159&lt;=$AA159*(1-'Parametri Modello'!$B$68),"BID","ATTENZIONE")))</f>
        <v/>
      </c>
      <c r="AD159" s="28">
        <f t="shared" si="22"/>
        <v>58</v>
      </c>
      <c r="AE159" s="5" t="str">
        <f>IFERROR(IF($AF159="Titolare",INDEX('Stato Asta'!$G$9:$G$12,MATCH($B159,'Stato Asta'!$A$9:$A$12,0)),INDEX('Stato Asta'!$P$9:$P$12,MATCH($B159,'Stato Asta'!$A$9:$A$12,0))),"")</f>
        <v>🟢 Riserve abbondanti</v>
      </c>
      <c r="AF159" t="str">
        <f>IFERROR(IF($V159&lt;=INDEX('Parametri Modello'!$C$57:$C$60,MATCH($B159,'Parametri Modello'!$A$57:$A$60,0)),"Titolare","Riserva"),"")</f>
        <v>Riserva</v>
      </c>
      <c r="AG159" t="str">
        <f>IFERROR(INDEX('Pressione Competitiva'!$F$3:$F$6,MATCH($B159,'Pressione Competitiva'!$B$3:$B$6,0)),"")</f>
        <v>🔴 Molto Alta</v>
      </c>
      <c r="AH159" t="str">
        <f t="shared" si="23"/>
        <v/>
      </c>
      <c r="AI159" t="str">
        <f>IFERROR(IF($AH159="","",IF($AH159&gt;=$AA159*'Parametri Modello'!$B$68,"🟢 Opportunita'",IF($AH159&lt;=$AA159*'Parametri Modello'!$B$69,"🔴 Sovrapprezzo","🟡 Prezzo Corretto"))),"")</f>
        <v/>
      </c>
      <c r="AJ159" t="str">
        <f t="shared" si="24"/>
        <v/>
      </c>
      <c r="AK159">
        <f t="shared" si="25"/>
        <v>20</v>
      </c>
      <c r="AL159" t="str">
        <f t="shared" si="26"/>
        <v>D|Buono|20</v>
      </c>
    </row>
    <row r="160" spans="1:38" ht="14.25" customHeight="1" x14ac:dyDescent="0.25">
      <c r="A160" s="18">
        <v>7529</v>
      </c>
      <c r="B160" s="18" t="s">
        <v>88</v>
      </c>
      <c r="C160" s="18" t="s">
        <v>124</v>
      </c>
      <c r="E160" s="23" t="str">
        <f>IF(COUNTIF('Info Strategia'!$D$2:$D$51,$C160)&gt;0,"SI","NO")</f>
        <v>NO</v>
      </c>
      <c r="F160" s="24">
        <f>IFERROR(ROUND(($G160+($H160-$G160)*'Info Strategia'!$B$6)*(1+IF($E160="SI",'Parametri Modello'!$B$7*'Info Strategia'!$B$6,0)),0),"")</f>
        <v>4</v>
      </c>
      <c r="G160" s="24">
        <f>IFERROR(ROUND(MAX(1,(IF($V160&lt;=INDEX('Parametri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3</v>
      </c>
      <c r="H160" s="24">
        <f>IFERROR(ROUND((IF($V160&lt;=INDEX('Parametri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4</v>
      </c>
      <c r="I160" s="23" t="str">
        <f>IFERROR(INDEX('Input Statistiche 2025_26'!$F$3:$F$665,MATCH($A160,'Input Statistiche 2025_26'!$A$3:$A$665,0)),"")</f>
        <v/>
      </c>
      <c r="J160" s="23" t="str">
        <f t="shared" si="18"/>
        <v/>
      </c>
      <c r="K160" s="23" t="str">
        <f>IFERROR(INDEX('Input Statistiche 2025_26'!$I$3:$I$665,MATCH($A160,'Input Statistiche 2025_26'!$A$3:$A$665,0)),"")</f>
        <v/>
      </c>
      <c r="L160" s="23" t="str">
        <f>IFERROR(INDEX('Input Statistiche 2025_26'!$O$3:$O$665,MATCH($A160,'Input Statistiche 2025_26'!$A$3:$A$665,0)),"")</f>
        <v/>
      </c>
      <c r="M160" s="25"/>
      <c r="N160" s="24">
        <f>IFERROR(INDEX('Input Giocatori 2026_27'!$E$3:$E$493,MATCH($A160,'Input Giocatori 2026_27'!$A$3:$A$493,0)),"")</f>
        <v>8</v>
      </c>
      <c r="O160" s="24">
        <f>IFERROR(INDEX('Input Giocatori 2026_27'!$G$3:$G$493,MATCH($A160,'Input Giocatori 2026_27'!$A$3:$A$493,0)),"")</f>
        <v>20</v>
      </c>
      <c r="P160" s="23" t="str">
        <f>IFERROR(IF($O160="","",IF((1-(COUNTIFS($B$2:$B$492,$B160,$O$2:$O$492,"&gt;"&amp;$O160)+1-1)/COUNTIF($B$2:$B$492,$B160))&gt;='Parametri Modello'!$B$63,"Top",IF((1-(COUNTIFS($B$2:$B$492,$B160,$O$2:$O$492,"&gt;"&amp;$O160)+1-1)/COUNTIF($B$2:$B$492,$B160))&gt;='Parametri Modello'!$B$64,"Buono",IF((1-(COUNTIFS($B$2:$B$492,$B160,$O$2:$O$492,"&gt;"&amp;$O160)+1-1)/COUNTIF($B$2:$B$492,$B160))&gt;='Parametri Modello'!$B$65,"Nella Media","Scommessa/Riserva")))),"")</f>
        <v>Buono</v>
      </c>
      <c r="Q160" s="26">
        <f>IF(AND($D160="",$N160&gt;1),SUMPRODUCT(($D$2:$D160="")*($N$2:$N160&gt;1)),"")</f>
        <v>159</v>
      </c>
      <c r="R160" s="26" t="str">
        <f>IF($D160='Info Lega'!$B$28,COUNTIFS($D$2:$D160,'Info Lega'!$B$28),"")</f>
        <v/>
      </c>
      <c r="S160" s="27" t="str">
        <f>IFERROR(INDEX('Input Statistiche 2025_26'!$G$3:$G$665,MATCH($A160,'Input Statistiche 2025_26'!$A$3:$A$665,0)),"")</f>
        <v/>
      </c>
      <c r="T160" s="27" t="str">
        <f>IFERROR(INDEX('Input Statistiche 2025_26'!$H$3:$H$665,MATCH($A160,'Input Statistiche 2025_26'!$A$3:$A$665,0)),"")</f>
        <v/>
      </c>
      <c r="U160" s="23" t="str">
        <f>IF(OR('La Mia Rosa'!$O$12="",$D160&lt;&gt;""),"",IF($F160&lt;='La Mia Rosa'!$O$12*'Parametri Modello'!$B$24,"OK",IF($F160&lt;='La Mia Rosa'!$O$12*'Parametri Modello'!$B$25,"Attenzione","Rischio Alto")))</f>
        <v>OK</v>
      </c>
      <c r="V160" s="23">
        <f t="shared" si="19"/>
        <v>38</v>
      </c>
      <c r="W160" s="18">
        <f>'Info Lega'!$B$4-SUMIFS($M$2:$M$492,$D$2:$D$492,'Info Lega'!$B$28)</f>
        <v>1000</v>
      </c>
      <c r="X160" s="18">
        <f>('Info Lega'!$B$5-COUNTIFS($D$2:$D$492,'Info Lega'!$B$28,$B$2:$B$492,"P"))+('Info Lega'!$B$6-COUNTIFS($D$2:$D$492,'Info Lega'!$B$28,$B$2:$B$492,"D"))+('Info Lega'!$B$7-COUNTIFS($D$2:$D$492,'Info Lega'!$B$28,$B$2:$B$492,"C"))+('Info Lega'!$B$8-COUNTIFS($D$2:$D$492,'Info Lega'!$B$28,$B$2:$B$492,"A"))</f>
        <v>25</v>
      </c>
      <c r="Y160" s="18">
        <f>X160*'Parametri Modello'!$B$30</f>
        <v>25</v>
      </c>
      <c r="Z160" s="18">
        <f t="shared" si="20"/>
        <v>975</v>
      </c>
      <c r="AA160" s="18">
        <f t="shared" si="21"/>
        <v>4</v>
      </c>
      <c r="AB160" s="18"/>
      <c r="AC160" s="18" t="str">
        <f>IF($AB160="","",IF($AB160&gt;$AA160,"PASS",IF($AB160&lt;=$AA160*(1-'Parametri Modello'!$B$68),"BID","ATTENZIONE")))</f>
        <v/>
      </c>
      <c r="AD160" s="28" t="str">
        <f t="shared" si="22"/>
        <v/>
      </c>
      <c r="AE160" s="5" t="str">
        <f>IFERROR(IF($AF160="Titolare",INDEX('Stato Asta'!$G$9:$G$12,MATCH($B160,'Stato Asta'!$A$9:$A$12,0)),INDEX('Stato Asta'!$P$9:$P$12,MATCH($B160,'Stato Asta'!$A$9:$A$12,0))),"")</f>
        <v>🟢 Riserve abbondanti</v>
      </c>
      <c r="AF160" t="str">
        <f>IFERROR(IF($V160&lt;=INDEX('Parametri Modello'!$C$57:$C$60,MATCH($B160,'Parametri Modello'!$A$57:$A$60,0)),"Titolare","Riserva"),"")</f>
        <v>Riserva</v>
      </c>
      <c r="AG160" t="str">
        <f>IFERROR(INDEX('Pressione Competitiva'!$F$3:$F$6,MATCH($B160,'Pressione Competitiva'!$B$3:$B$6,0)),"")</f>
        <v>🔴 Molto Alta</v>
      </c>
      <c r="AH160" t="str">
        <f t="shared" si="23"/>
        <v/>
      </c>
      <c r="AI160" t="str">
        <f>IFERROR(IF($AH160="","",IF($AH160&gt;=$AA160*'Parametri Modello'!$B$68,"🟢 Opportunita'",IF($AH160&lt;=$AA160*'Parametri Modello'!$B$69,"🔴 Sovrapprezzo","🟡 Prezzo Corretto"))),"")</f>
        <v/>
      </c>
      <c r="AJ160" t="str">
        <f t="shared" si="24"/>
        <v/>
      </c>
      <c r="AK160">
        <f t="shared" si="25"/>
        <v>20</v>
      </c>
      <c r="AL160" t="str">
        <f t="shared" si="26"/>
        <v>D|Buono|20</v>
      </c>
    </row>
    <row r="161" spans="1:38" ht="14.25" customHeight="1" x14ac:dyDescent="0.25">
      <c r="A161" s="18">
        <v>4751</v>
      </c>
      <c r="B161" s="18" t="s">
        <v>88</v>
      </c>
      <c r="C161" s="18" t="s">
        <v>134</v>
      </c>
      <c r="E161" s="23" t="str">
        <f>IF(COUNTIF('Info Strategia'!$D$2:$D$51,$C161)&gt;0,"SI","NO")</f>
        <v>NO</v>
      </c>
      <c r="F161" s="24">
        <f>IFERROR(ROUND(($G161+($H161-$G161)*'Info Strategia'!$B$6)*(1+IF($E161="SI",'Parametri Modello'!$B$7*'Info Strategia'!$B$6,0)),0),"")</f>
        <v>4</v>
      </c>
      <c r="G161" s="24">
        <f>IFERROR(ROUND(MAX(1,(IF($V161&lt;=INDEX('Parametri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3</v>
      </c>
      <c r="H161" s="24">
        <f>IFERROR(ROUND((IF($V161&lt;=INDEX('Parametri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4</v>
      </c>
      <c r="I161" s="23">
        <f>IFERROR(INDEX('Input Statistiche 2025_26'!$F$3:$F$665,MATCH($A161,'Input Statistiche 2025_26'!$A$3:$A$665,0)),"")</f>
        <v>32</v>
      </c>
      <c r="J161" s="23">
        <f t="shared" si="18"/>
        <v>6</v>
      </c>
      <c r="K161" s="23">
        <f>IFERROR(INDEX('Input Statistiche 2025_26'!$I$3:$I$665,MATCH($A161,'Input Statistiche 2025_26'!$A$3:$A$665,0)),"")</f>
        <v>0</v>
      </c>
      <c r="L161" s="23">
        <f>IFERROR(INDEX('Input Statistiche 2025_26'!$O$3:$O$665,MATCH($A161,'Input Statistiche 2025_26'!$A$3:$A$665,0)),"")</f>
        <v>1</v>
      </c>
      <c r="M161" s="25"/>
      <c r="N161" s="24">
        <f>IFERROR(INDEX('Input Giocatori 2026_27'!$E$3:$E$493,MATCH($A161,'Input Giocatori 2026_27'!$A$3:$A$493,0)),"")</f>
        <v>7</v>
      </c>
      <c r="O161" s="24">
        <f>IFERROR(INDEX('Input Giocatori 2026_27'!$G$3:$G$493,MATCH($A161,'Input Giocatori 2026_27'!$A$3:$A$493,0)),"")</f>
        <v>20</v>
      </c>
      <c r="P161" s="23" t="str">
        <f>IFERROR(IF($O161="","",IF((1-(COUNTIFS($B$2:$B$492,$B161,$O$2:$O$492,"&gt;"&amp;$O161)+1-1)/COUNTIF($B$2:$B$492,$B161))&gt;='Parametri Modello'!$B$63,"Top",IF((1-(COUNTIFS($B$2:$B$492,$B161,$O$2:$O$492,"&gt;"&amp;$O161)+1-1)/COUNTIF($B$2:$B$492,$B161))&gt;='Parametri Modello'!$B$64,"Buono",IF((1-(COUNTIFS($B$2:$B$492,$B161,$O$2:$O$492,"&gt;"&amp;$O161)+1-1)/COUNTIF($B$2:$B$492,$B161))&gt;='Parametri Modello'!$B$65,"Nella Media","Scommessa/Riserva")))),"")</f>
        <v>Buono</v>
      </c>
      <c r="Q161" s="26">
        <f>IF(AND($D161="",$N161&gt;1),SUMPRODUCT(($D$2:$D161="")*($N$2:$N161&gt;1)),"")</f>
        <v>160</v>
      </c>
      <c r="R161" s="26" t="str">
        <f>IF($D161='Info Lega'!$B$28,COUNTIFS($D$2:$D161,'Info Lega'!$B$28),"")</f>
        <v/>
      </c>
      <c r="S161" s="27">
        <f>IFERROR(INDEX('Input Statistiche 2025_26'!$G$3:$G$665,MATCH($A161,'Input Statistiche 2025_26'!$A$3:$A$665,0)),"")</f>
        <v>5.97</v>
      </c>
      <c r="T161" s="27">
        <f>IFERROR(INDEX('Input Statistiche 2025_26'!$H$3:$H$665,MATCH($A161,'Input Statistiche 2025_26'!$A$3:$A$665,0)),"")</f>
        <v>5.88</v>
      </c>
      <c r="U161" s="23" t="str">
        <f>IF(OR('La Mia Rosa'!$O$12="",$D161&lt;&gt;""),"",IF($F161&lt;='La Mia Rosa'!$O$12*'Parametri Modello'!$B$24,"OK",IF($F161&lt;='La Mia Rosa'!$O$12*'Parametri Modello'!$B$25,"Attenzione","Rischio Alto")))</f>
        <v>OK</v>
      </c>
      <c r="V161" s="23">
        <f t="shared" si="19"/>
        <v>38</v>
      </c>
      <c r="W161" s="18">
        <f>'Info Lega'!$B$4-SUMIFS($M$2:$M$492,$D$2:$D$492,'Info Lega'!$B$28)</f>
        <v>1000</v>
      </c>
      <c r="X161" s="18">
        <f>('Info Lega'!$B$5-COUNTIFS($D$2:$D$492,'Info Lega'!$B$28,$B$2:$B$492,"P"))+('Info Lega'!$B$6-COUNTIFS($D$2:$D$492,'Info Lega'!$B$28,$B$2:$B$492,"D"))+('Info Lega'!$B$7-COUNTIFS($D$2:$D$492,'Info Lega'!$B$28,$B$2:$B$492,"C"))+('Info Lega'!$B$8-COUNTIFS($D$2:$D$492,'Info Lega'!$B$28,$B$2:$B$492,"A"))</f>
        <v>25</v>
      </c>
      <c r="Y161" s="18">
        <f>X161*'Parametri Modello'!$B$30</f>
        <v>25</v>
      </c>
      <c r="Z161" s="18">
        <f t="shared" si="20"/>
        <v>975</v>
      </c>
      <c r="AA161" s="18">
        <f t="shared" si="21"/>
        <v>4</v>
      </c>
      <c r="AB161" s="18"/>
      <c r="AC161" s="18" t="str">
        <f>IF($AB161="","",IF($AB161&gt;$AA161,"PASS",IF($AB161&lt;=$AA161*(1-'Parametri Modello'!$B$68),"BID","ATTENZIONE")))</f>
        <v/>
      </c>
      <c r="AD161" s="28">
        <f t="shared" si="22"/>
        <v>66</v>
      </c>
      <c r="AE161" s="5" t="str">
        <f>IFERROR(IF($AF161="Titolare",INDEX('Stato Asta'!$G$9:$G$12,MATCH($B161,'Stato Asta'!$A$9:$A$12,0)),INDEX('Stato Asta'!$P$9:$P$12,MATCH($B161,'Stato Asta'!$A$9:$A$12,0))),"")</f>
        <v>🟢 Riserve abbondanti</v>
      </c>
      <c r="AF161" t="str">
        <f>IFERROR(IF($V161&lt;=INDEX('Parametri Modello'!$C$57:$C$60,MATCH($B161,'Parametri Modello'!$A$57:$A$60,0)),"Titolare","Riserva"),"")</f>
        <v>Riserva</v>
      </c>
      <c r="AG161" t="str">
        <f>IFERROR(INDEX('Pressione Competitiva'!$F$3:$F$6,MATCH($B161,'Pressione Competitiva'!$B$3:$B$6,0)),"")</f>
        <v>🔴 Molto Alta</v>
      </c>
      <c r="AH161" t="str">
        <f t="shared" si="23"/>
        <v/>
      </c>
      <c r="AI161" t="str">
        <f>IFERROR(IF($AH161="","",IF($AH161&gt;=$AA161*'Parametri Modello'!$B$68,"🟢 Opportunita'",IF($AH161&lt;=$AA161*'Parametri Modello'!$B$69,"🔴 Sovrapprezzo","🟡 Prezzo Corretto"))),"")</f>
        <v/>
      </c>
      <c r="AJ161" t="str">
        <f t="shared" si="24"/>
        <v/>
      </c>
      <c r="AK161">
        <f t="shared" si="25"/>
        <v>20</v>
      </c>
      <c r="AL161" t="str">
        <f t="shared" si="26"/>
        <v>D|Buono|20</v>
      </c>
    </row>
    <row r="162" spans="1:38" ht="14.25" customHeight="1" x14ac:dyDescent="0.25">
      <c r="A162" s="18">
        <v>2188</v>
      </c>
      <c r="B162" s="18" t="s">
        <v>88</v>
      </c>
      <c r="C162" s="18" t="s">
        <v>152</v>
      </c>
      <c r="E162" s="23" t="str">
        <f>IF(COUNTIF('Info Strategia'!$D$2:$D$51,$C162)&gt;0,"SI","NO")</f>
        <v>NO</v>
      </c>
      <c r="F162" s="24">
        <f>IFERROR(ROUND(($G162+($H162-$G162)*'Info Strategia'!$B$6)*(1+IF($E162="SI",'Parametri Modello'!$B$7*'Info Strategia'!$B$6,0)),0),"")</f>
        <v>4</v>
      </c>
      <c r="G162" s="24">
        <f>IFERROR(ROUND(MAX(1,(IF($V162&lt;=INDEX('Parametri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3</v>
      </c>
      <c r="H162" s="24">
        <f>IFERROR(ROUND((IF($V162&lt;=INDEX('Parametri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4</v>
      </c>
      <c r="I162" s="23">
        <f>IFERROR(INDEX('Input Statistiche 2025_26'!$F$3:$F$665,MATCH($A162,'Input Statistiche 2025_26'!$A$3:$A$665,0)),"")</f>
        <v>33</v>
      </c>
      <c r="J162" s="23">
        <f t="shared" si="18"/>
        <v>5</v>
      </c>
      <c r="K162" s="23">
        <f>IFERROR(INDEX('Input Statistiche 2025_26'!$I$3:$I$665,MATCH($A162,'Input Statistiche 2025_26'!$A$3:$A$665,0)),"")</f>
        <v>1</v>
      </c>
      <c r="L162" s="23">
        <f>IFERROR(INDEX('Input Statistiche 2025_26'!$O$3:$O$665,MATCH($A162,'Input Statistiche 2025_26'!$A$3:$A$665,0)),"")</f>
        <v>2</v>
      </c>
      <c r="M162" s="25"/>
      <c r="N162" s="24">
        <f>IFERROR(INDEX('Input Giocatori 2026_27'!$E$3:$E$493,MATCH($A162,'Input Giocatori 2026_27'!$A$3:$A$493,0)),"")</f>
        <v>6</v>
      </c>
      <c r="O162" s="24">
        <f>IFERROR(INDEX('Input Giocatori 2026_27'!$G$3:$G$493,MATCH($A162,'Input Giocatori 2026_27'!$A$3:$A$493,0)),"")</f>
        <v>20</v>
      </c>
      <c r="P162" s="23" t="str">
        <f>IFERROR(IF($O162="","",IF((1-(COUNTIFS($B$2:$B$492,$B162,$O$2:$O$492,"&gt;"&amp;$O162)+1-1)/COUNTIF($B$2:$B$492,$B162))&gt;='Parametri Modello'!$B$63,"Top",IF((1-(COUNTIFS($B$2:$B$492,$B162,$O$2:$O$492,"&gt;"&amp;$O162)+1-1)/COUNTIF($B$2:$B$492,$B162))&gt;='Parametri Modello'!$B$64,"Buono",IF((1-(COUNTIFS($B$2:$B$492,$B162,$O$2:$O$492,"&gt;"&amp;$O162)+1-1)/COUNTIF($B$2:$B$492,$B162))&gt;='Parametri Modello'!$B$65,"Nella Media","Scommessa/Riserva")))),"")</f>
        <v>Buono</v>
      </c>
      <c r="Q162" s="26">
        <f>IF(AND($D162="",$N162&gt;1),SUMPRODUCT(($D$2:$D162="")*($N$2:$N162&gt;1)),"")</f>
        <v>161</v>
      </c>
      <c r="R162" s="26" t="str">
        <f>IF($D162='Info Lega'!$B$28,COUNTIFS($D$2:$D162,'Info Lega'!$B$28),"")</f>
        <v/>
      </c>
      <c r="S162" s="27">
        <f>IFERROR(INDEX('Input Statistiche 2025_26'!$G$3:$G$665,MATCH($A162,'Input Statistiche 2025_26'!$A$3:$A$665,0)),"")</f>
        <v>5.86</v>
      </c>
      <c r="T162" s="27">
        <f>IFERROR(INDEX('Input Statistiche 2025_26'!$H$3:$H$665,MATCH($A162,'Input Statistiche 2025_26'!$A$3:$A$665,0)),"")</f>
        <v>5.97</v>
      </c>
      <c r="U162" s="23" t="str">
        <f>IF(OR('La Mia Rosa'!$O$12="",$D162&lt;&gt;""),"",IF($F162&lt;='La Mia Rosa'!$O$12*'Parametri Modello'!$B$24,"OK",IF($F162&lt;='La Mia Rosa'!$O$12*'Parametri Modello'!$B$25,"Attenzione","Rischio Alto")))</f>
        <v>OK</v>
      </c>
      <c r="V162" s="23">
        <f t="shared" si="19"/>
        <v>38</v>
      </c>
      <c r="W162" s="18">
        <f>'Info Lega'!$B$4-SUMIFS($M$2:$M$492,$D$2:$D$492,'Info Lega'!$B$28)</f>
        <v>1000</v>
      </c>
      <c r="X162" s="18">
        <f>('Info Lega'!$B$5-COUNTIFS($D$2:$D$492,'Info Lega'!$B$28,$B$2:$B$492,"P"))+('Info Lega'!$B$6-COUNTIFS($D$2:$D$492,'Info Lega'!$B$28,$B$2:$B$492,"D"))+('Info Lega'!$B$7-COUNTIFS($D$2:$D$492,'Info Lega'!$B$28,$B$2:$B$492,"C"))+('Info Lega'!$B$8-COUNTIFS($D$2:$D$492,'Info Lega'!$B$28,$B$2:$B$492,"A"))</f>
        <v>25</v>
      </c>
      <c r="Y162" s="18">
        <f>X162*'Parametri Modello'!$B$30</f>
        <v>25</v>
      </c>
      <c r="Z162" s="18">
        <f t="shared" si="20"/>
        <v>975</v>
      </c>
      <c r="AA162" s="18">
        <f t="shared" si="21"/>
        <v>4</v>
      </c>
      <c r="AB162" s="18"/>
      <c r="AC162" s="18" t="str">
        <f>IF($AB162="","",IF($AB162&gt;$AA162,"PASS",IF($AB162&lt;=$AA162*(1-'Parametri Modello'!$B$68),"BID","ATTENZIONE")))</f>
        <v/>
      </c>
      <c r="AD162" s="28">
        <f t="shared" si="22"/>
        <v>67</v>
      </c>
      <c r="AE162" s="5" t="str">
        <f>IFERROR(IF($AF162="Titolare",INDEX('Stato Asta'!$G$9:$G$12,MATCH($B162,'Stato Asta'!$A$9:$A$12,0)),INDEX('Stato Asta'!$P$9:$P$12,MATCH($B162,'Stato Asta'!$A$9:$A$12,0))),"")</f>
        <v>🟢 Riserve abbondanti</v>
      </c>
      <c r="AF162" t="str">
        <f>IFERROR(IF($V162&lt;=INDEX('Parametri Modello'!$C$57:$C$60,MATCH($B162,'Parametri Modello'!$A$57:$A$60,0)),"Titolare","Riserva"),"")</f>
        <v>Riserva</v>
      </c>
      <c r="AG162" t="str">
        <f>IFERROR(INDEX('Pressione Competitiva'!$F$3:$F$6,MATCH($B162,'Pressione Competitiva'!$B$3:$B$6,0)),"")</f>
        <v>🔴 Molto Alta</v>
      </c>
      <c r="AH162" t="str">
        <f t="shared" si="23"/>
        <v/>
      </c>
      <c r="AI162" t="str">
        <f>IFERROR(IF($AH162="","",IF($AH162&gt;=$AA162*'Parametri Modello'!$B$68,"🟢 Opportunita'",IF($AH162&lt;=$AA162*'Parametri Modello'!$B$69,"🔴 Sovrapprezzo","🟡 Prezzo Corretto"))),"")</f>
        <v/>
      </c>
      <c r="AJ162" t="str">
        <f t="shared" si="24"/>
        <v/>
      </c>
      <c r="AK162">
        <f t="shared" si="25"/>
        <v>20</v>
      </c>
      <c r="AL162" t="str">
        <f t="shared" si="26"/>
        <v>D|Buono|20</v>
      </c>
    </row>
    <row r="163" spans="1:38" ht="14.25" customHeight="1" x14ac:dyDescent="0.25">
      <c r="A163" s="18">
        <v>6717</v>
      </c>
      <c r="B163" s="18" t="s">
        <v>264</v>
      </c>
      <c r="C163" s="18" t="s">
        <v>305</v>
      </c>
      <c r="E163" s="23" t="str">
        <f>IF(COUNTIF('Info Strategia'!$D$2:$D$51,$C163)&gt;0,"SI","NO")</f>
        <v>NO</v>
      </c>
      <c r="F163" s="24">
        <f>IFERROR(ROUND(($G163+($H163-$G163)*'Info Strategia'!$B$6)*(1+IF($E163="SI",'Parametri Modello'!$B$7*'Info Strategia'!$B$6,0)),0),"")</f>
        <v>3</v>
      </c>
      <c r="G163" s="24">
        <f>IFERROR(ROUND(MAX(1,(IF($V163&lt;=INDEX('Parametri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2</v>
      </c>
      <c r="H163" s="24">
        <f>IFERROR(ROUND((IF($V163&lt;=INDEX('Parametri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3</v>
      </c>
      <c r="I163" s="23">
        <f>IFERROR(INDEX('Input Statistiche 2025_26'!$F$3:$F$665,MATCH($A163,'Input Statistiche 2025_26'!$A$3:$A$665,0)),"")</f>
        <v>35</v>
      </c>
      <c r="J163" s="23">
        <f t="shared" si="18"/>
        <v>3</v>
      </c>
      <c r="K163" s="23">
        <f>IFERROR(INDEX('Input Statistiche 2025_26'!$I$3:$I$665,MATCH($A163,'Input Statistiche 2025_26'!$A$3:$A$665,0)),"")</f>
        <v>6</v>
      </c>
      <c r="L163" s="23">
        <f>IFERROR(INDEX('Input Statistiche 2025_26'!$O$3:$O$665,MATCH($A163,'Input Statistiche 2025_26'!$A$3:$A$665,0)),"")</f>
        <v>0</v>
      </c>
      <c r="M163" s="25"/>
      <c r="N163" s="24">
        <f>IFERROR(INDEX('Input Giocatori 2026_27'!$E$3:$E$493,MATCH($A163,'Input Giocatori 2026_27'!$A$3:$A$493,0)),"")</f>
        <v>9</v>
      </c>
      <c r="O163" s="24">
        <f>IFERROR(INDEX('Input Giocatori 2026_27'!$G$3:$G$493,MATCH($A163,'Input Giocatori 2026_27'!$A$3:$A$493,0)),"")</f>
        <v>20</v>
      </c>
      <c r="P163" s="23" t="str">
        <f>IFERROR(IF($O163="","",IF((1-(COUNTIFS($B$2:$B$492,$B163,$O$2:$O$492,"&gt;"&amp;$O163)+1-1)/COUNTIF($B$2:$B$492,$B163))&gt;='Parametri Modello'!$B$63,"Top",IF((1-(COUNTIFS($B$2:$B$492,$B163,$O$2:$O$492,"&gt;"&amp;$O163)+1-1)/COUNTIF($B$2:$B$492,$B163))&gt;='Parametri Modello'!$B$64,"Buono",IF((1-(COUNTIFS($B$2:$B$492,$B163,$O$2:$O$492,"&gt;"&amp;$O163)+1-1)/COUNTIF($B$2:$B$492,$B163))&gt;='Parametri Modello'!$B$65,"Nella Media","Scommessa/Riserva")))),"")</f>
        <v>Nella Media</v>
      </c>
      <c r="Q163" s="26">
        <f>IF(AND($D163="",$N163&gt;1),SUMPRODUCT(($D$2:$D163="")*($N$2:$N163&gt;1)),"")</f>
        <v>162</v>
      </c>
      <c r="R163" s="26" t="str">
        <f>IF($D163='Info Lega'!$B$28,COUNTIFS($D$2:$D163,'Info Lega'!$B$28),"")</f>
        <v/>
      </c>
      <c r="S163" s="27">
        <f>IFERROR(INDEX('Input Statistiche 2025_26'!$G$3:$G$665,MATCH($A163,'Input Statistiche 2025_26'!$A$3:$A$665,0)),"")</f>
        <v>6.19</v>
      </c>
      <c r="T163" s="27">
        <f>IFERROR(INDEX('Input Statistiche 2025_26'!$H$3:$H$665,MATCH($A163,'Input Statistiche 2025_26'!$A$3:$A$665,0)),"")</f>
        <v>6.63</v>
      </c>
      <c r="U163" s="23" t="str">
        <f>IF(OR('La Mia Rosa'!$O$12="",$D163&lt;&gt;""),"",IF($F163&lt;='La Mia Rosa'!$O$12*'Parametri Modello'!$B$24,"OK",IF($F163&lt;='La Mia Rosa'!$O$12*'Parametri Modello'!$B$25,"Attenzione","Rischio Alto")))</f>
        <v>OK</v>
      </c>
      <c r="V163" s="23">
        <f t="shared" si="19"/>
        <v>60</v>
      </c>
      <c r="W163" s="18">
        <f>'Info Lega'!$B$4-SUMIFS($M$2:$M$492,$D$2:$D$492,'Info Lega'!$B$28)</f>
        <v>1000</v>
      </c>
      <c r="X163" s="18">
        <f>('Info Lega'!$B$5-COUNTIFS($D$2:$D$492,'Info Lega'!$B$28,$B$2:$B$492,"P"))+('Info Lega'!$B$6-COUNTIFS($D$2:$D$492,'Info Lega'!$B$28,$B$2:$B$492,"D"))+('Info Lega'!$B$7-COUNTIFS($D$2:$D$492,'Info Lega'!$B$28,$B$2:$B$492,"C"))+('Info Lega'!$B$8-COUNTIFS($D$2:$D$492,'Info Lega'!$B$28,$B$2:$B$492,"A"))</f>
        <v>25</v>
      </c>
      <c r="Y163" s="18">
        <f>X163*'Parametri Modello'!$B$30</f>
        <v>25</v>
      </c>
      <c r="Z163" s="18">
        <f t="shared" si="20"/>
        <v>975</v>
      </c>
      <c r="AA163" s="18">
        <f t="shared" si="21"/>
        <v>3</v>
      </c>
      <c r="AB163" s="18"/>
      <c r="AC163" s="18" t="str">
        <f>IF($AB163="","",IF($AB163&gt;$AA163,"PASS",IF($AB163&lt;=$AA163*(1-'Parametri Modello'!$B$68),"BID","ATTENZIONE")))</f>
        <v/>
      </c>
      <c r="AD163" s="28">
        <f t="shared" si="22"/>
        <v>69</v>
      </c>
      <c r="AE163" s="5" t="str">
        <f>IFERROR(IF($AF163="Titolare",INDEX('Stato Asta'!$G$9:$G$12,MATCH($B163,'Stato Asta'!$A$9:$A$12,0)),INDEX('Stato Asta'!$P$9:$P$12,MATCH($B163,'Stato Asta'!$A$9:$A$12,0))),"")</f>
        <v>🟢 Riserve abbondanti</v>
      </c>
      <c r="AF163" t="str">
        <f>IFERROR(IF($V163&lt;=INDEX('Parametri Modello'!$C$57:$C$60,MATCH($B163,'Parametri Modello'!$A$57:$A$60,0)),"Titolare","Riserva"),"")</f>
        <v>Riserva</v>
      </c>
      <c r="AG163" t="str">
        <f>IFERROR(INDEX('Pressione Competitiva'!$F$3:$F$6,MATCH($B163,'Pressione Competitiva'!$B$3:$B$6,0)),"")</f>
        <v>🔴 Molto Alta</v>
      </c>
      <c r="AH163" t="str">
        <f t="shared" si="23"/>
        <v/>
      </c>
      <c r="AI163" t="str">
        <f>IFERROR(IF($AH163="","",IF($AH163&gt;=$AA163*'Parametri Modello'!$B$68,"🟢 Opportunita'",IF($AH163&lt;=$AA163*'Parametri Modello'!$B$69,"🔴 Sovrapprezzo","🟡 Prezzo Corretto"))),"")</f>
        <v/>
      </c>
      <c r="AJ163" t="str">
        <f t="shared" si="24"/>
        <v/>
      </c>
      <c r="AK163">
        <f t="shared" si="25"/>
        <v>5</v>
      </c>
      <c r="AL163" t="str">
        <f t="shared" si="26"/>
        <v>C|Nella Media|5</v>
      </c>
    </row>
    <row r="164" spans="1:38" ht="14.25" customHeight="1" x14ac:dyDescent="0.25">
      <c r="A164" s="18">
        <v>2741</v>
      </c>
      <c r="B164" s="18" t="s">
        <v>264</v>
      </c>
      <c r="C164" s="18" t="s">
        <v>322</v>
      </c>
      <c r="E164" s="23" t="str">
        <f>IF(COUNTIF('Info Strategia'!$D$2:$D$51,$C164)&gt;0,"SI","NO")</f>
        <v>NO</v>
      </c>
      <c r="F164" s="24">
        <f>IFERROR(ROUND(($G164+($H164-$G164)*'Info Strategia'!$B$6)*(1+IF($E164="SI",'Parametri Modello'!$B$7*'Info Strategia'!$B$6,0)),0),"")</f>
        <v>3</v>
      </c>
      <c r="G164" s="24">
        <f>IFERROR(ROUND(MAX(1,(IF($V164&lt;=INDEX('Parametri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2</v>
      </c>
      <c r="H164" s="24">
        <f>IFERROR(ROUND((IF($V164&lt;=INDEX('Parametri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3</v>
      </c>
      <c r="I164" s="23" t="str">
        <f>IFERROR(INDEX('Input Statistiche 2025_26'!$F$3:$F$665,MATCH($A164,'Input Statistiche 2025_26'!$A$3:$A$665,0)),"")</f>
        <v/>
      </c>
      <c r="J164" s="23" t="str">
        <f t="shared" si="18"/>
        <v/>
      </c>
      <c r="K164" s="23" t="str">
        <f>IFERROR(INDEX('Input Statistiche 2025_26'!$I$3:$I$665,MATCH($A164,'Input Statistiche 2025_26'!$A$3:$A$665,0)),"")</f>
        <v/>
      </c>
      <c r="L164" s="23" t="str">
        <f>IFERROR(INDEX('Input Statistiche 2025_26'!$O$3:$O$665,MATCH($A164,'Input Statistiche 2025_26'!$A$3:$A$665,0)),"")</f>
        <v/>
      </c>
      <c r="M164" s="25"/>
      <c r="N164" s="24">
        <f>IFERROR(INDEX('Input Giocatori 2026_27'!$E$3:$E$493,MATCH($A164,'Input Giocatori 2026_27'!$A$3:$A$493,0)),"")</f>
        <v>7</v>
      </c>
      <c r="O164" s="24">
        <f>IFERROR(INDEX('Input Giocatori 2026_27'!$G$3:$G$493,MATCH($A164,'Input Giocatori 2026_27'!$A$3:$A$493,0)),"")</f>
        <v>20</v>
      </c>
      <c r="P164" s="23" t="str">
        <f>IFERROR(IF($O164="","",IF((1-(COUNTIFS($B$2:$B$492,$B164,$O$2:$O$492,"&gt;"&amp;$O164)+1-1)/COUNTIF($B$2:$B$492,$B164))&gt;='Parametri Modello'!$B$63,"Top",IF((1-(COUNTIFS($B$2:$B$492,$B164,$O$2:$O$492,"&gt;"&amp;$O164)+1-1)/COUNTIF($B$2:$B$492,$B164))&gt;='Parametri Modello'!$B$64,"Buono",IF((1-(COUNTIFS($B$2:$B$492,$B164,$O$2:$O$492,"&gt;"&amp;$O164)+1-1)/COUNTIF($B$2:$B$492,$B164))&gt;='Parametri Modello'!$B$65,"Nella Media","Scommessa/Riserva")))),"")</f>
        <v>Nella Media</v>
      </c>
      <c r="Q164" s="26">
        <f>IF(AND($D164="",$N164&gt;1),SUMPRODUCT(($D$2:$D164="")*($N$2:$N164&gt;1)),"")</f>
        <v>163</v>
      </c>
      <c r="R164" s="26" t="str">
        <f>IF($D164='Info Lega'!$B$28,COUNTIFS($D$2:$D164,'Info Lega'!$B$28),"")</f>
        <v/>
      </c>
      <c r="S164" s="27" t="str">
        <f>IFERROR(INDEX('Input Statistiche 2025_26'!$G$3:$G$665,MATCH($A164,'Input Statistiche 2025_26'!$A$3:$A$665,0)),"")</f>
        <v/>
      </c>
      <c r="T164" s="27" t="str">
        <f>IFERROR(INDEX('Input Statistiche 2025_26'!$H$3:$H$665,MATCH($A164,'Input Statistiche 2025_26'!$A$3:$A$665,0)),"")</f>
        <v/>
      </c>
      <c r="U164" s="23" t="str">
        <f>IF(OR('La Mia Rosa'!$O$12="",$D164&lt;&gt;""),"",IF($F164&lt;='La Mia Rosa'!$O$12*'Parametri Modello'!$B$24,"OK",IF($F164&lt;='La Mia Rosa'!$O$12*'Parametri Modello'!$B$25,"Attenzione","Rischio Alto")))</f>
        <v>OK</v>
      </c>
      <c r="V164" s="23">
        <f t="shared" si="19"/>
        <v>60</v>
      </c>
      <c r="W164" s="18">
        <f>'Info Lega'!$B$4-SUMIFS($M$2:$M$492,$D$2:$D$492,'Info Lega'!$B$28)</f>
        <v>1000</v>
      </c>
      <c r="X164" s="18">
        <f>('Info Lega'!$B$5-COUNTIFS($D$2:$D$492,'Info Lega'!$B$28,$B$2:$B$492,"P"))+('Info Lega'!$B$6-COUNTIFS($D$2:$D$492,'Info Lega'!$B$28,$B$2:$B$492,"D"))+('Info Lega'!$B$7-COUNTIFS($D$2:$D$492,'Info Lega'!$B$28,$B$2:$B$492,"C"))+('Info Lega'!$B$8-COUNTIFS($D$2:$D$492,'Info Lega'!$B$28,$B$2:$B$492,"A"))</f>
        <v>25</v>
      </c>
      <c r="Y164" s="18">
        <f>X164*'Parametri Modello'!$B$30</f>
        <v>25</v>
      </c>
      <c r="Z164" s="18">
        <f t="shared" si="20"/>
        <v>975</v>
      </c>
      <c r="AA164" s="18">
        <f t="shared" si="21"/>
        <v>3</v>
      </c>
      <c r="AB164" s="18"/>
      <c r="AC164" s="18" t="str">
        <f>IF($AB164="","",IF($AB164&gt;$AA164,"PASS",IF($AB164&lt;=$AA164*(1-'Parametri Modello'!$B$68),"BID","ATTENZIONE")))</f>
        <v/>
      </c>
      <c r="AD164" s="28" t="str">
        <f t="shared" si="22"/>
        <v/>
      </c>
      <c r="AE164" s="5" t="str">
        <f>IFERROR(IF($AF164="Titolare",INDEX('Stato Asta'!$G$9:$G$12,MATCH($B164,'Stato Asta'!$A$9:$A$12,0)),INDEX('Stato Asta'!$P$9:$P$12,MATCH($B164,'Stato Asta'!$A$9:$A$12,0))),"")</f>
        <v>🟢 Riserve abbondanti</v>
      </c>
      <c r="AF164" t="str">
        <f>IFERROR(IF($V164&lt;=INDEX('Parametri Modello'!$C$57:$C$60,MATCH($B164,'Parametri Modello'!$A$57:$A$60,0)),"Titolare","Riserva"),"")</f>
        <v>Riserva</v>
      </c>
      <c r="AG164" t="str">
        <f>IFERROR(INDEX('Pressione Competitiva'!$F$3:$F$6,MATCH($B164,'Pressione Competitiva'!$B$3:$B$6,0)),"")</f>
        <v>🔴 Molto Alta</v>
      </c>
      <c r="AH164" t="str">
        <f t="shared" si="23"/>
        <v/>
      </c>
      <c r="AI164" t="str">
        <f>IFERROR(IF($AH164="","",IF($AH164&gt;=$AA164*'Parametri Modello'!$B$68,"🟢 Opportunita'",IF($AH164&lt;=$AA164*'Parametri Modello'!$B$69,"🔴 Sovrapprezzo","🟡 Prezzo Corretto"))),"")</f>
        <v/>
      </c>
      <c r="AJ164" t="str">
        <f t="shared" si="24"/>
        <v/>
      </c>
      <c r="AK164">
        <f t="shared" si="25"/>
        <v>5</v>
      </c>
      <c r="AL164" t="str">
        <f t="shared" si="26"/>
        <v>C|Nella Media|5</v>
      </c>
    </row>
    <row r="165" spans="1:38" ht="14.25" customHeight="1" x14ac:dyDescent="0.25">
      <c r="A165" s="18">
        <v>4287</v>
      </c>
      <c r="B165" s="18" t="s">
        <v>264</v>
      </c>
      <c r="C165" s="18" t="s">
        <v>323</v>
      </c>
      <c r="E165" s="23" t="str">
        <f>IF(COUNTIF('Info Strategia'!$D$2:$D$51,$C165)&gt;0,"SI","NO")</f>
        <v>NO</v>
      </c>
      <c r="F165" s="24">
        <f>IFERROR(ROUND(($G165+($H165-$G165)*'Info Strategia'!$B$6)*(1+IF($E165="SI",'Parametri Modello'!$B$7*'Info Strategia'!$B$6,0)),0),"")</f>
        <v>3</v>
      </c>
      <c r="G165" s="24">
        <f>IFERROR(ROUND(MAX(1,(IF($V165&lt;=INDEX('Parametri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2</v>
      </c>
      <c r="H165" s="24">
        <f>IFERROR(ROUND((IF($V165&lt;=INDEX('Parametri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3</v>
      </c>
      <c r="I165" s="23">
        <f>IFERROR(INDEX('Input Statistiche 2025_26'!$F$3:$F$665,MATCH($A165,'Input Statistiche 2025_26'!$A$3:$A$665,0)),"")</f>
        <v>31</v>
      </c>
      <c r="J165" s="23">
        <f t="shared" si="18"/>
        <v>7</v>
      </c>
      <c r="K165" s="23">
        <f>IFERROR(INDEX('Input Statistiche 2025_26'!$I$3:$I$665,MATCH($A165,'Input Statistiche 2025_26'!$A$3:$A$665,0)),"")</f>
        <v>1</v>
      </c>
      <c r="L165" s="23">
        <f>IFERROR(INDEX('Input Statistiche 2025_26'!$O$3:$O$665,MATCH($A165,'Input Statistiche 2025_26'!$A$3:$A$665,0)),"")</f>
        <v>0</v>
      </c>
      <c r="M165" s="25"/>
      <c r="N165" s="24">
        <f>IFERROR(INDEX('Input Giocatori 2026_27'!$E$3:$E$493,MATCH($A165,'Input Giocatori 2026_27'!$A$3:$A$493,0)),"")</f>
        <v>7</v>
      </c>
      <c r="O165" s="24">
        <f>IFERROR(INDEX('Input Giocatori 2026_27'!$G$3:$G$493,MATCH($A165,'Input Giocatori 2026_27'!$A$3:$A$493,0)),"")</f>
        <v>20</v>
      </c>
      <c r="P165" s="23" t="str">
        <f>IFERROR(IF($O165="","",IF((1-(COUNTIFS($B$2:$B$492,$B165,$O$2:$O$492,"&gt;"&amp;$O165)+1-1)/COUNTIF($B$2:$B$492,$B165))&gt;='Parametri Modello'!$B$63,"Top",IF((1-(COUNTIFS($B$2:$B$492,$B165,$O$2:$O$492,"&gt;"&amp;$O165)+1-1)/COUNTIF($B$2:$B$492,$B165))&gt;='Parametri Modello'!$B$64,"Buono",IF((1-(COUNTIFS($B$2:$B$492,$B165,$O$2:$O$492,"&gt;"&amp;$O165)+1-1)/COUNTIF($B$2:$B$492,$B165))&gt;='Parametri Modello'!$B$65,"Nella Media","Scommessa/Riserva")))),"")</f>
        <v>Nella Media</v>
      </c>
      <c r="Q165" s="26">
        <f>IF(AND($D165="",$N165&gt;1),SUMPRODUCT(($D$2:$D165="")*($N$2:$N165&gt;1)),"")</f>
        <v>164</v>
      </c>
      <c r="R165" s="26" t="str">
        <f>IF($D165='Info Lega'!$B$28,COUNTIFS($D$2:$D165,'Info Lega'!$B$28),"")</f>
        <v/>
      </c>
      <c r="S165" s="27">
        <f>IFERROR(INDEX('Input Statistiche 2025_26'!$G$3:$G$665,MATCH($A165,'Input Statistiche 2025_26'!$A$3:$A$665,0)),"")</f>
        <v>6.05</v>
      </c>
      <c r="T165" s="27">
        <f>IFERROR(INDEX('Input Statistiche 2025_26'!$H$3:$H$665,MATCH($A165,'Input Statistiche 2025_26'!$A$3:$A$665,0)),"")</f>
        <v>6.1</v>
      </c>
      <c r="U165" s="23" t="str">
        <f>IF(OR('La Mia Rosa'!$O$12="",$D165&lt;&gt;""),"",IF($F165&lt;='La Mia Rosa'!$O$12*'Parametri Modello'!$B$24,"OK",IF($F165&lt;='La Mia Rosa'!$O$12*'Parametri Modello'!$B$25,"Attenzione","Rischio Alto")))</f>
        <v>OK</v>
      </c>
      <c r="V165" s="23">
        <f t="shared" si="19"/>
        <v>60</v>
      </c>
      <c r="W165" s="18">
        <f>'Info Lega'!$B$4-SUMIFS($M$2:$M$492,$D$2:$D$492,'Info Lega'!$B$28)</f>
        <v>1000</v>
      </c>
      <c r="X165" s="18">
        <f>('Info Lega'!$B$5-COUNTIFS($D$2:$D$492,'Info Lega'!$B$28,$B$2:$B$492,"P"))+('Info Lega'!$B$6-COUNTIFS($D$2:$D$492,'Info Lega'!$B$28,$B$2:$B$492,"D"))+('Info Lega'!$B$7-COUNTIFS($D$2:$D$492,'Info Lega'!$B$28,$B$2:$B$492,"C"))+('Info Lega'!$B$8-COUNTIFS($D$2:$D$492,'Info Lega'!$B$28,$B$2:$B$492,"A"))</f>
        <v>25</v>
      </c>
      <c r="Y165" s="18">
        <f>X165*'Parametri Modello'!$B$30</f>
        <v>25</v>
      </c>
      <c r="Z165" s="18">
        <f t="shared" si="20"/>
        <v>975</v>
      </c>
      <c r="AA165" s="18">
        <f t="shared" si="21"/>
        <v>3</v>
      </c>
      <c r="AB165" s="18"/>
      <c r="AC165" s="18" t="str">
        <f>IF($AB165="","",IF($AB165&gt;$AA165,"PASS",IF($AB165&lt;=$AA165*(1-'Parametri Modello'!$B$68),"BID","ATTENZIONE")))</f>
        <v/>
      </c>
      <c r="AD165" s="28">
        <f t="shared" si="22"/>
        <v>64</v>
      </c>
      <c r="AE165" s="5" t="str">
        <f>IFERROR(IF($AF165="Titolare",INDEX('Stato Asta'!$G$9:$G$12,MATCH($B165,'Stato Asta'!$A$9:$A$12,0)),INDEX('Stato Asta'!$P$9:$P$12,MATCH($B165,'Stato Asta'!$A$9:$A$12,0))),"")</f>
        <v>🟢 Riserve abbondanti</v>
      </c>
      <c r="AF165" t="str">
        <f>IFERROR(IF($V165&lt;=INDEX('Parametri Modello'!$C$57:$C$60,MATCH($B165,'Parametri Modello'!$A$57:$A$60,0)),"Titolare","Riserva"),"")</f>
        <v>Riserva</v>
      </c>
      <c r="AG165" t="str">
        <f>IFERROR(INDEX('Pressione Competitiva'!$F$3:$F$6,MATCH($B165,'Pressione Competitiva'!$B$3:$B$6,0)),"")</f>
        <v>🔴 Molto Alta</v>
      </c>
      <c r="AH165" t="str">
        <f t="shared" si="23"/>
        <v/>
      </c>
      <c r="AI165" t="str">
        <f>IFERROR(IF($AH165="","",IF($AH165&gt;=$AA165*'Parametri Modello'!$B$68,"🟢 Opportunita'",IF($AH165&lt;=$AA165*'Parametri Modello'!$B$69,"🔴 Sovrapprezzo","🟡 Prezzo Corretto"))),"")</f>
        <v/>
      </c>
      <c r="AJ165" t="str">
        <f t="shared" si="24"/>
        <v/>
      </c>
      <c r="AK165">
        <f t="shared" si="25"/>
        <v>5</v>
      </c>
      <c r="AL165" t="str">
        <f t="shared" si="26"/>
        <v>C|Nella Media|5</v>
      </c>
    </row>
    <row r="166" spans="1:38" ht="14.25" customHeight="1" x14ac:dyDescent="0.25">
      <c r="A166" s="18">
        <v>5036</v>
      </c>
      <c r="B166" s="18" t="s">
        <v>264</v>
      </c>
      <c r="C166" s="18" t="s">
        <v>332</v>
      </c>
      <c r="E166" s="23" t="str">
        <f>IF(COUNTIF('Info Strategia'!$D$2:$D$51,$C166)&gt;0,"SI","NO")</f>
        <v>NO</v>
      </c>
      <c r="F166" s="24">
        <f>IFERROR(ROUND(($G166+($H166-$G166)*'Info Strategia'!$B$6)*(1+IF($E166="SI",'Parametri Modello'!$B$7*'Info Strategia'!$B$6,0)),0),"")</f>
        <v>3</v>
      </c>
      <c r="G166" s="24">
        <f>IFERROR(ROUND(MAX(1,(IF($V166&lt;=INDEX('Parametri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2</v>
      </c>
      <c r="H166" s="24">
        <f>IFERROR(ROUND((IF($V166&lt;=INDEX('Parametri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3</v>
      </c>
      <c r="I166" s="23">
        <f>IFERROR(INDEX('Input Statistiche 2025_26'!$F$3:$F$665,MATCH($A166,'Input Statistiche 2025_26'!$A$3:$A$665,0)),"")</f>
        <v>28</v>
      </c>
      <c r="J166" s="23">
        <f t="shared" si="18"/>
        <v>10</v>
      </c>
      <c r="K166" s="23">
        <f>IFERROR(INDEX('Input Statistiche 2025_26'!$I$3:$I$665,MATCH($A166,'Input Statistiche 2025_26'!$A$3:$A$665,0)),"")</f>
        <v>2</v>
      </c>
      <c r="L166" s="23">
        <f>IFERROR(INDEX('Input Statistiche 2025_26'!$O$3:$O$665,MATCH($A166,'Input Statistiche 2025_26'!$A$3:$A$665,0)),"")</f>
        <v>4</v>
      </c>
      <c r="M166" s="25"/>
      <c r="N166" s="24">
        <f>IFERROR(INDEX('Input Giocatori 2026_27'!$E$3:$E$493,MATCH($A166,'Input Giocatori 2026_27'!$A$3:$A$493,0)),"")</f>
        <v>6</v>
      </c>
      <c r="O166" s="24">
        <f>IFERROR(INDEX('Input Giocatori 2026_27'!$G$3:$G$493,MATCH($A166,'Input Giocatori 2026_27'!$A$3:$A$493,0)),"")</f>
        <v>20</v>
      </c>
      <c r="P166" s="23" t="str">
        <f>IFERROR(IF($O166="","",IF((1-(COUNTIFS($B$2:$B$492,$B166,$O$2:$O$492,"&gt;"&amp;$O166)+1-1)/COUNTIF($B$2:$B$492,$B166))&gt;='Parametri Modello'!$B$63,"Top",IF((1-(COUNTIFS($B$2:$B$492,$B166,$O$2:$O$492,"&gt;"&amp;$O166)+1-1)/COUNTIF($B$2:$B$492,$B166))&gt;='Parametri Modello'!$B$64,"Buono",IF((1-(COUNTIFS($B$2:$B$492,$B166,$O$2:$O$492,"&gt;"&amp;$O166)+1-1)/COUNTIF($B$2:$B$492,$B166))&gt;='Parametri Modello'!$B$65,"Nella Media","Scommessa/Riserva")))),"")</f>
        <v>Nella Media</v>
      </c>
      <c r="Q166" s="26">
        <f>IF(AND($D166="",$N166&gt;1),SUMPRODUCT(($D$2:$D166="")*($N$2:$N166&gt;1)),"")</f>
        <v>165</v>
      </c>
      <c r="R166" s="26" t="str">
        <f>IF($D166='Info Lega'!$B$28,COUNTIFS($D$2:$D166,'Info Lega'!$B$28),"")</f>
        <v/>
      </c>
      <c r="S166" s="27">
        <f>IFERROR(INDEX('Input Statistiche 2025_26'!$G$3:$G$665,MATCH($A166,'Input Statistiche 2025_26'!$A$3:$A$665,0)),"")</f>
        <v>6.11</v>
      </c>
      <c r="T166" s="27">
        <f>IFERROR(INDEX('Input Statistiche 2025_26'!$H$3:$H$665,MATCH($A166,'Input Statistiche 2025_26'!$A$3:$A$665,0)),"")</f>
        <v>6.41</v>
      </c>
      <c r="U166" s="23" t="str">
        <f>IF(OR('La Mia Rosa'!$O$12="",$D166&lt;&gt;""),"",IF($F166&lt;='La Mia Rosa'!$O$12*'Parametri Modello'!$B$24,"OK",IF($F166&lt;='La Mia Rosa'!$O$12*'Parametri Modello'!$B$25,"Attenzione","Rischio Alto")))</f>
        <v>OK</v>
      </c>
      <c r="V166" s="23">
        <f t="shared" si="19"/>
        <v>60</v>
      </c>
      <c r="W166" s="18">
        <f>'Info Lega'!$B$4-SUMIFS($M$2:$M$492,$D$2:$D$492,'Info Lega'!$B$28)</f>
        <v>1000</v>
      </c>
      <c r="X166" s="18">
        <f>('Info Lega'!$B$5-COUNTIFS($D$2:$D$492,'Info Lega'!$B$28,$B$2:$B$492,"P"))+('Info Lega'!$B$6-COUNTIFS($D$2:$D$492,'Info Lega'!$B$28,$B$2:$B$492,"D"))+('Info Lega'!$B$7-COUNTIFS($D$2:$D$492,'Info Lega'!$B$28,$B$2:$B$492,"C"))+('Info Lega'!$B$8-COUNTIFS($D$2:$D$492,'Info Lega'!$B$28,$B$2:$B$492,"A"))</f>
        <v>25</v>
      </c>
      <c r="Y166" s="18">
        <f>X166*'Parametri Modello'!$B$30</f>
        <v>25</v>
      </c>
      <c r="Z166" s="18">
        <f t="shared" si="20"/>
        <v>975</v>
      </c>
      <c r="AA166" s="18">
        <f t="shared" si="21"/>
        <v>3</v>
      </c>
      <c r="AB166" s="18"/>
      <c r="AC166" s="18" t="str">
        <f>IF($AB166="","",IF($AB166&gt;$AA166,"PASS",IF($AB166&lt;=$AA166*(1-'Parametri Modello'!$B$68),"BID","ATTENZIONE")))</f>
        <v/>
      </c>
      <c r="AD166" s="28">
        <f t="shared" si="22"/>
        <v>61</v>
      </c>
      <c r="AE166" s="5" t="str">
        <f>IFERROR(IF($AF166="Titolare",INDEX('Stato Asta'!$G$9:$G$12,MATCH($B166,'Stato Asta'!$A$9:$A$12,0)),INDEX('Stato Asta'!$P$9:$P$12,MATCH($B166,'Stato Asta'!$A$9:$A$12,0))),"")</f>
        <v>🟢 Riserve abbondanti</v>
      </c>
      <c r="AF166" t="str">
        <f>IFERROR(IF($V166&lt;=INDEX('Parametri Modello'!$C$57:$C$60,MATCH($B166,'Parametri Modello'!$A$57:$A$60,0)),"Titolare","Riserva"),"")</f>
        <v>Riserva</v>
      </c>
      <c r="AG166" t="str">
        <f>IFERROR(INDEX('Pressione Competitiva'!$F$3:$F$6,MATCH($B166,'Pressione Competitiva'!$B$3:$B$6,0)),"")</f>
        <v>🔴 Molto Alta</v>
      </c>
      <c r="AH166" t="str">
        <f t="shared" si="23"/>
        <v/>
      </c>
      <c r="AI166" t="str">
        <f>IFERROR(IF($AH166="","",IF($AH166&gt;=$AA166*'Parametri Modello'!$B$68,"🟢 Opportunita'",IF($AH166&lt;=$AA166*'Parametri Modello'!$B$69,"🔴 Sovrapprezzo","🟡 Prezzo Corretto"))),"")</f>
        <v/>
      </c>
      <c r="AJ166" t="str">
        <f t="shared" si="24"/>
        <v/>
      </c>
      <c r="AK166">
        <f t="shared" si="25"/>
        <v>5</v>
      </c>
      <c r="AL166" t="str">
        <f t="shared" si="26"/>
        <v>C|Nella Media|5</v>
      </c>
    </row>
    <row r="167" spans="1:38" ht="14.25" customHeight="1" x14ac:dyDescent="0.25">
      <c r="A167" s="18">
        <v>7464</v>
      </c>
      <c r="B167" s="18" t="s">
        <v>264</v>
      </c>
      <c r="C167" s="18" t="s">
        <v>334</v>
      </c>
      <c r="E167" s="23" t="str">
        <f>IF(COUNTIF('Info Strategia'!$D$2:$D$51,$C167)&gt;0,"SI","NO")</f>
        <v>NO</v>
      </c>
      <c r="F167" s="24">
        <f>IFERROR(ROUND(($G167+($H167-$G167)*'Info Strategia'!$B$6)*(1+IF($E167="SI",'Parametri Modello'!$B$7*'Info Strategia'!$B$6,0)),0),"")</f>
        <v>3</v>
      </c>
      <c r="G167" s="24">
        <f>IFERROR(ROUND(MAX(1,(IF($V167&lt;=INDEX('Parametri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2</v>
      </c>
      <c r="H167" s="24">
        <f>IFERROR(ROUND((IF($V167&lt;=INDEX('Parametri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3</v>
      </c>
      <c r="I167" s="23" t="str">
        <f>IFERROR(INDEX('Input Statistiche 2025_26'!$F$3:$F$665,MATCH($A167,'Input Statistiche 2025_26'!$A$3:$A$665,0)),"")</f>
        <v/>
      </c>
      <c r="J167" s="23" t="str">
        <f t="shared" si="18"/>
        <v/>
      </c>
      <c r="K167" s="23" t="str">
        <f>IFERROR(INDEX('Input Statistiche 2025_26'!$I$3:$I$665,MATCH($A167,'Input Statistiche 2025_26'!$A$3:$A$665,0)),"")</f>
        <v/>
      </c>
      <c r="L167" s="23" t="str">
        <f>IFERROR(INDEX('Input Statistiche 2025_26'!$O$3:$O$665,MATCH($A167,'Input Statistiche 2025_26'!$A$3:$A$665,0)),"")</f>
        <v/>
      </c>
      <c r="M167" s="25"/>
      <c r="N167" s="24">
        <f>IFERROR(INDEX('Input Giocatori 2026_27'!$E$3:$E$493,MATCH($A167,'Input Giocatori 2026_27'!$A$3:$A$493,0)),"")</f>
        <v>6</v>
      </c>
      <c r="O167" s="24">
        <f>IFERROR(INDEX('Input Giocatori 2026_27'!$G$3:$G$493,MATCH($A167,'Input Giocatori 2026_27'!$A$3:$A$493,0)),"")</f>
        <v>20</v>
      </c>
      <c r="P167" s="23" t="str">
        <f>IFERROR(IF($O167="","",IF((1-(COUNTIFS($B$2:$B$492,$B167,$O$2:$O$492,"&gt;"&amp;$O167)+1-1)/COUNTIF($B$2:$B$492,$B167))&gt;='Parametri Modello'!$B$63,"Top",IF((1-(COUNTIFS($B$2:$B$492,$B167,$O$2:$O$492,"&gt;"&amp;$O167)+1-1)/COUNTIF($B$2:$B$492,$B167))&gt;='Parametri Modello'!$B$64,"Buono",IF((1-(COUNTIFS($B$2:$B$492,$B167,$O$2:$O$492,"&gt;"&amp;$O167)+1-1)/COUNTIF($B$2:$B$492,$B167))&gt;='Parametri Modello'!$B$65,"Nella Media","Scommessa/Riserva")))),"")</f>
        <v>Nella Media</v>
      </c>
      <c r="Q167" s="26">
        <f>IF(AND($D167="",$N167&gt;1),SUMPRODUCT(($D$2:$D167="")*($N$2:$N167&gt;1)),"")</f>
        <v>166</v>
      </c>
      <c r="R167" s="26" t="str">
        <f>IF($D167='Info Lega'!$B$28,COUNTIFS($D$2:$D167,'Info Lega'!$B$28),"")</f>
        <v/>
      </c>
      <c r="S167" s="27" t="str">
        <f>IFERROR(INDEX('Input Statistiche 2025_26'!$G$3:$G$665,MATCH($A167,'Input Statistiche 2025_26'!$A$3:$A$665,0)),"")</f>
        <v/>
      </c>
      <c r="T167" s="27" t="str">
        <f>IFERROR(INDEX('Input Statistiche 2025_26'!$H$3:$H$665,MATCH($A167,'Input Statistiche 2025_26'!$A$3:$A$665,0)),"")</f>
        <v/>
      </c>
      <c r="U167" s="23" t="str">
        <f>IF(OR('La Mia Rosa'!$O$12="",$D167&lt;&gt;""),"",IF($F167&lt;='La Mia Rosa'!$O$12*'Parametri Modello'!$B$24,"OK",IF($F167&lt;='La Mia Rosa'!$O$12*'Parametri Modello'!$B$25,"Attenzione","Rischio Alto")))</f>
        <v>OK</v>
      </c>
      <c r="V167" s="23">
        <f t="shared" si="19"/>
        <v>60</v>
      </c>
      <c r="W167" s="18">
        <f>'Info Lega'!$B$4-SUMIFS($M$2:$M$492,$D$2:$D$492,'Info Lega'!$B$28)</f>
        <v>1000</v>
      </c>
      <c r="X167" s="18">
        <f>('Info Lega'!$B$5-COUNTIFS($D$2:$D$492,'Info Lega'!$B$28,$B$2:$B$492,"P"))+('Info Lega'!$B$6-COUNTIFS($D$2:$D$492,'Info Lega'!$B$28,$B$2:$B$492,"D"))+('Info Lega'!$B$7-COUNTIFS($D$2:$D$492,'Info Lega'!$B$28,$B$2:$B$492,"C"))+('Info Lega'!$B$8-COUNTIFS($D$2:$D$492,'Info Lega'!$B$28,$B$2:$B$492,"A"))</f>
        <v>25</v>
      </c>
      <c r="Y167" s="18">
        <f>X167*'Parametri Modello'!$B$30</f>
        <v>25</v>
      </c>
      <c r="Z167" s="18">
        <f t="shared" si="20"/>
        <v>975</v>
      </c>
      <c r="AA167" s="18">
        <f t="shared" si="21"/>
        <v>3</v>
      </c>
      <c r="AB167" s="18"/>
      <c r="AC167" s="18" t="str">
        <f>IF($AB167="","",IF($AB167&gt;$AA167,"PASS",IF($AB167&lt;=$AA167*(1-'Parametri Modello'!$B$68),"BID","ATTENZIONE")))</f>
        <v/>
      </c>
      <c r="AD167" s="28" t="str">
        <f t="shared" si="22"/>
        <v/>
      </c>
      <c r="AE167" s="5" t="str">
        <f>IFERROR(IF($AF167="Titolare",INDEX('Stato Asta'!$G$9:$G$12,MATCH($B167,'Stato Asta'!$A$9:$A$12,0)),INDEX('Stato Asta'!$P$9:$P$12,MATCH($B167,'Stato Asta'!$A$9:$A$12,0))),"")</f>
        <v>🟢 Riserve abbondanti</v>
      </c>
      <c r="AF167" t="str">
        <f>IFERROR(IF($V167&lt;=INDEX('Parametri Modello'!$C$57:$C$60,MATCH($B167,'Parametri Modello'!$A$57:$A$60,0)),"Titolare","Riserva"),"")</f>
        <v>Riserva</v>
      </c>
      <c r="AG167" t="str">
        <f>IFERROR(INDEX('Pressione Competitiva'!$F$3:$F$6,MATCH($B167,'Pressione Competitiva'!$B$3:$B$6,0)),"")</f>
        <v>🔴 Molto Alta</v>
      </c>
      <c r="AH167" t="str">
        <f t="shared" si="23"/>
        <v/>
      </c>
      <c r="AI167" t="str">
        <f>IFERROR(IF($AH167="","",IF($AH167&gt;=$AA167*'Parametri Modello'!$B$68,"🟢 Opportunita'",IF($AH167&lt;=$AA167*'Parametri Modello'!$B$69,"🔴 Sovrapprezzo","🟡 Prezzo Corretto"))),"")</f>
        <v/>
      </c>
      <c r="AJ167" t="str">
        <f t="shared" si="24"/>
        <v/>
      </c>
      <c r="AK167">
        <f t="shared" si="25"/>
        <v>5</v>
      </c>
      <c r="AL167" t="str">
        <f t="shared" si="26"/>
        <v>C|Nella Media|5</v>
      </c>
    </row>
    <row r="168" spans="1:38" ht="14.25" customHeight="1" x14ac:dyDescent="0.25">
      <c r="A168" s="18">
        <v>6680</v>
      </c>
      <c r="B168" s="18" t="s">
        <v>264</v>
      </c>
      <c r="C168" s="18" t="s">
        <v>343</v>
      </c>
      <c r="E168" s="23" t="str">
        <f>IF(COUNTIF('Info Strategia'!$D$2:$D$51,$C168)&gt;0,"SI","NO")</f>
        <v>NO</v>
      </c>
      <c r="F168" s="24">
        <f>IFERROR(ROUND(($G168+($H168-$G168)*'Info Strategia'!$B$6)*(1+IF($E168="SI",'Parametri Modello'!$B$7*'Info Strategia'!$B$6,0)),0),"")</f>
        <v>3</v>
      </c>
      <c r="G168" s="24">
        <f>IFERROR(ROUND(MAX(1,(IF($V168&lt;=INDEX('Parametri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2</v>
      </c>
      <c r="H168" s="24">
        <f>IFERROR(ROUND((IF($V168&lt;=INDEX('Parametri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3</v>
      </c>
      <c r="I168" s="23">
        <f>IFERROR(INDEX('Input Statistiche 2025_26'!$F$3:$F$665,MATCH($A168,'Input Statistiche 2025_26'!$A$3:$A$665,0)),"")</f>
        <v>36</v>
      </c>
      <c r="J168" s="23">
        <f t="shared" si="18"/>
        <v>2</v>
      </c>
      <c r="K168" s="23">
        <f>IFERROR(INDEX('Input Statistiche 2025_26'!$I$3:$I$665,MATCH($A168,'Input Statistiche 2025_26'!$A$3:$A$665,0)),"")</f>
        <v>1</v>
      </c>
      <c r="L168" s="23">
        <f>IFERROR(INDEX('Input Statistiche 2025_26'!$O$3:$O$665,MATCH($A168,'Input Statistiche 2025_26'!$A$3:$A$665,0)),"")</f>
        <v>0</v>
      </c>
      <c r="M168" s="25"/>
      <c r="N168" s="24">
        <f>IFERROR(INDEX('Input Giocatori 2026_27'!$E$3:$E$493,MATCH($A168,'Input Giocatori 2026_27'!$A$3:$A$493,0)),"")</f>
        <v>6</v>
      </c>
      <c r="O168" s="24">
        <f>IFERROR(INDEX('Input Giocatori 2026_27'!$G$3:$G$493,MATCH($A168,'Input Giocatori 2026_27'!$A$3:$A$493,0)),"")</f>
        <v>20</v>
      </c>
      <c r="P168" s="23" t="str">
        <f>IFERROR(IF($O168="","",IF((1-(COUNTIFS($B$2:$B$492,$B168,$O$2:$O$492,"&gt;"&amp;$O168)+1-1)/COUNTIF($B$2:$B$492,$B168))&gt;='Parametri Modello'!$B$63,"Top",IF((1-(COUNTIFS($B$2:$B$492,$B168,$O$2:$O$492,"&gt;"&amp;$O168)+1-1)/COUNTIF($B$2:$B$492,$B168))&gt;='Parametri Modello'!$B$64,"Buono",IF((1-(COUNTIFS($B$2:$B$492,$B168,$O$2:$O$492,"&gt;"&amp;$O168)+1-1)/COUNTIF($B$2:$B$492,$B168))&gt;='Parametri Modello'!$B$65,"Nella Media","Scommessa/Riserva")))),"")</f>
        <v>Nella Media</v>
      </c>
      <c r="Q168" s="26">
        <f>IF(AND($D168="",$N168&gt;1),SUMPRODUCT(($D$2:$D168="")*($N$2:$N168&gt;1)),"")</f>
        <v>167</v>
      </c>
      <c r="R168" s="26" t="str">
        <f>IF($D168='Info Lega'!$B$28,COUNTIFS($D$2:$D168,'Info Lega'!$B$28),"")</f>
        <v/>
      </c>
      <c r="S168" s="27">
        <f>IFERROR(INDEX('Input Statistiche 2025_26'!$G$3:$G$665,MATCH($A168,'Input Statistiche 2025_26'!$A$3:$A$665,0)),"")</f>
        <v>5.96</v>
      </c>
      <c r="T168" s="27">
        <f>IFERROR(INDEX('Input Statistiche 2025_26'!$H$3:$H$665,MATCH($A168,'Input Statistiche 2025_26'!$A$3:$A$665,0)),"")</f>
        <v>5.96</v>
      </c>
      <c r="U168" s="23" t="str">
        <f>IF(OR('La Mia Rosa'!$O$12="",$D168&lt;&gt;""),"",IF($F168&lt;='La Mia Rosa'!$O$12*'Parametri Modello'!$B$24,"OK",IF($F168&lt;='La Mia Rosa'!$O$12*'Parametri Modello'!$B$25,"Attenzione","Rischio Alto")))</f>
        <v>OK</v>
      </c>
      <c r="V168" s="23">
        <f t="shared" si="19"/>
        <v>60</v>
      </c>
      <c r="W168" s="18">
        <f>'Info Lega'!$B$4-SUMIFS($M$2:$M$492,$D$2:$D$492,'Info Lega'!$B$28)</f>
        <v>1000</v>
      </c>
      <c r="X168" s="18">
        <f>('Info Lega'!$B$5-COUNTIFS($D$2:$D$492,'Info Lega'!$B$28,$B$2:$B$492,"P"))+('Info Lega'!$B$6-COUNTIFS($D$2:$D$492,'Info Lega'!$B$28,$B$2:$B$492,"D"))+('Info Lega'!$B$7-COUNTIFS($D$2:$D$492,'Info Lega'!$B$28,$B$2:$B$492,"C"))+('Info Lega'!$B$8-COUNTIFS($D$2:$D$492,'Info Lega'!$B$28,$B$2:$B$492,"A"))</f>
        <v>25</v>
      </c>
      <c r="Y168" s="18">
        <f>X168*'Parametri Modello'!$B$30</f>
        <v>25</v>
      </c>
      <c r="Z168" s="18">
        <f t="shared" si="20"/>
        <v>975</v>
      </c>
      <c r="AA168" s="18">
        <f t="shared" si="21"/>
        <v>3</v>
      </c>
      <c r="AB168" s="18"/>
      <c r="AC168" s="18" t="str">
        <f>IF($AB168="","",IF($AB168&gt;$AA168,"PASS",IF($AB168&lt;=$AA168*(1-'Parametri Modello'!$B$68),"BID","ATTENZIONE")))</f>
        <v/>
      </c>
      <c r="AD168" s="28">
        <f t="shared" si="22"/>
        <v>70</v>
      </c>
      <c r="AE168" s="5" t="str">
        <f>IFERROR(IF($AF168="Titolare",INDEX('Stato Asta'!$G$9:$G$12,MATCH($B168,'Stato Asta'!$A$9:$A$12,0)),INDEX('Stato Asta'!$P$9:$P$12,MATCH($B168,'Stato Asta'!$A$9:$A$12,0))),"")</f>
        <v>🟢 Riserve abbondanti</v>
      </c>
      <c r="AF168" t="str">
        <f>IFERROR(IF($V168&lt;=INDEX('Parametri Modello'!$C$57:$C$60,MATCH($B168,'Parametri Modello'!$A$57:$A$60,0)),"Titolare","Riserva"),"")</f>
        <v>Riserva</v>
      </c>
      <c r="AG168" t="str">
        <f>IFERROR(INDEX('Pressione Competitiva'!$F$3:$F$6,MATCH($B168,'Pressione Competitiva'!$B$3:$B$6,0)),"")</f>
        <v>🔴 Molto Alta</v>
      </c>
      <c r="AH168" t="str">
        <f t="shared" si="23"/>
        <v/>
      </c>
      <c r="AI168" t="str">
        <f>IFERROR(IF($AH168="","",IF($AH168&gt;=$AA168*'Parametri Modello'!$B$68,"🟢 Opportunita'",IF($AH168&lt;=$AA168*'Parametri Modello'!$B$69,"🔴 Sovrapprezzo","🟡 Prezzo Corretto"))),"")</f>
        <v/>
      </c>
      <c r="AJ168" t="str">
        <f t="shared" si="24"/>
        <v/>
      </c>
      <c r="AK168">
        <f t="shared" si="25"/>
        <v>5</v>
      </c>
      <c r="AL168" t="str">
        <f t="shared" si="26"/>
        <v>C|Nella Media|5</v>
      </c>
    </row>
    <row r="169" spans="1:38" ht="14.25" customHeight="1" x14ac:dyDescent="0.25">
      <c r="A169" s="18">
        <v>6164</v>
      </c>
      <c r="B169" s="18" t="s">
        <v>437</v>
      </c>
      <c r="C169" s="18" t="s">
        <v>480</v>
      </c>
      <c r="E169" s="23" t="str">
        <f>IF(COUNTIF('Info Strategia'!$D$2:$D$51,$C169)&gt;0,"SI","NO")</f>
        <v>NO</v>
      </c>
      <c r="F169" s="24">
        <f>IFERROR(ROUND(($G169+($H169-$G169)*'Info Strategia'!$B$6)*(1+IF($E169="SI",'Parametri Modello'!$B$7*'Info Strategia'!$B$6,0)),0),"")</f>
        <v>6</v>
      </c>
      <c r="G169" s="24">
        <f>IFERROR(ROUND(MAX(1,(IF($V169&lt;=INDEX('Parametri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4</v>
      </c>
      <c r="H169" s="24">
        <f>IFERROR(ROUND((IF($V169&lt;=INDEX('Parametri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7</v>
      </c>
      <c r="I169" s="23">
        <f>IFERROR(INDEX('Input Statistiche 2025_26'!$F$3:$F$665,MATCH($A169,'Input Statistiche 2025_26'!$A$3:$A$665,0)),"")</f>
        <v>31</v>
      </c>
      <c r="J169" s="23">
        <f t="shared" si="18"/>
        <v>7</v>
      </c>
      <c r="K169" s="23">
        <f>IFERROR(INDEX('Input Statistiche 2025_26'!$I$3:$I$665,MATCH($A169,'Input Statistiche 2025_26'!$A$3:$A$665,0)),"")</f>
        <v>5</v>
      </c>
      <c r="L169" s="23">
        <f>IFERROR(INDEX('Input Statistiche 2025_26'!$O$3:$O$665,MATCH($A169,'Input Statistiche 2025_26'!$A$3:$A$665,0)),"")</f>
        <v>1</v>
      </c>
      <c r="M169" s="25"/>
      <c r="N169" s="24">
        <f>IFERROR(INDEX('Input Giocatori 2026_27'!$E$3:$E$493,MATCH($A169,'Input Giocatori 2026_27'!$A$3:$A$493,0)),"")</f>
        <v>8</v>
      </c>
      <c r="O169" s="24">
        <f>IFERROR(INDEX('Input Giocatori 2026_27'!$G$3:$G$493,MATCH($A169,'Input Giocatori 2026_27'!$A$3:$A$493,0)),"")</f>
        <v>20</v>
      </c>
      <c r="P169" s="23" t="str">
        <f>IFERROR(IF($O169="","",IF((1-(COUNTIFS($B$2:$B$492,$B169,$O$2:$O$492,"&gt;"&amp;$O169)+1-1)/COUNTIF($B$2:$B$492,$B169))&gt;='Parametri Modello'!$B$63,"Top",IF((1-(COUNTIFS($B$2:$B$492,$B169,$O$2:$O$492,"&gt;"&amp;$O169)+1-1)/COUNTIF($B$2:$B$492,$B169))&gt;='Parametri Modello'!$B$64,"Buono",IF((1-(COUNTIFS($B$2:$B$492,$B169,$O$2:$O$492,"&gt;"&amp;$O169)+1-1)/COUNTIF($B$2:$B$492,$B169))&gt;='Parametri Modello'!$B$65,"Nella Media","Scommessa/Riserva")))),"")</f>
        <v>Nella Media</v>
      </c>
      <c r="Q169" s="26">
        <f>IF(AND($D169="",$N169&gt;1),SUMPRODUCT(($D$2:$D169="")*($N$2:$N169&gt;1)),"")</f>
        <v>168</v>
      </c>
      <c r="R169" s="26" t="str">
        <f>IF($D169='Info Lega'!$B$28,COUNTIFS($D$2:$D169,'Info Lega'!$B$28),"")</f>
        <v/>
      </c>
      <c r="S169" s="27">
        <f>IFERROR(INDEX('Input Statistiche 2025_26'!$G$3:$G$665,MATCH($A169,'Input Statistiche 2025_26'!$A$3:$A$665,0)),"")</f>
        <v>5.95</v>
      </c>
      <c r="T169" s="27">
        <f>IFERROR(INDEX('Input Statistiche 2025_26'!$H$3:$H$665,MATCH($A169,'Input Statistiche 2025_26'!$A$3:$A$665,0)),"")</f>
        <v>6.39</v>
      </c>
      <c r="U169" s="23" t="str">
        <f>IF(OR('La Mia Rosa'!$O$12="",$D169&lt;&gt;""),"",IF($F169&lt;='La Mia Rosa'!$O$12*'Parametri Modello'!$B$24,"OK",IF($F169&lt;='La Mia Rosa'!$O$12*'Parametri Modello'!$B$25,"Attenzione","Rischio Alto")))</f>
        <v>OK</v>
      </c>
      <c r="V169" s="23">
        <f t="shared" si="19"/>
        <v>48</v>
      </c>
      <c r="W169" s="18">
        <f>'Info Lega'!$B$4-SUMIFS($M$2:$M$492,$D$2:$D$492,'Info Lega'!$B$28)</f>
        <v>1000</v>
      </c>
      <c r="X169" s="18">
        <f>('Info Lega'!$B$5-COUNTIFS($D$2:$D$492,'Info Lega'!$B$28,$B$2:$B$492,"P"))+('Info Lega'!$B$6-COUNTIFS($D$2:$D$492,'Info Lega'!$B$28,$B$2:$B$492,"D"))+('Info Lega'!$B$7-COUNTIFS($D$2:$D$492,'Info Lega'!$B$28,$B$2:$B$492,"C"))+('Info Lega'!$B$8-COUNTIFS($D$2:$D$492,'Info Lega'!$B$28,$B$2:$B$492,"A"))</f>
        <v>25</v>
      </c>
      <c r="Y169" s="18">
        <f>X169*'Parametri Modello'!$B$30</f>
        <v>25</v>
      </c>
      <c r="Z169" s="18">
        <f t="shared" si="20"/>
        <v>975</v>
      </c>
      <c r="AA169" s="18">
        <f t="shared" si="21"/>
        <v>6</v>
      </c>
      <c r="AB169" s="18"/>
      <c r="AC169" s="18" t="str">
        <f>IF($AB169="","",IF($AB169&gt;$AA169,"PASS",IF($AB169&lt;=$AA169*(1-'Parametri Modello'!$B$68),"BID","ATTENZIONE")))</f>
        <v/>
      </c>
      <c r="AD169" s="28">
        <f t="shared" si="22"/>
        <v>64</v>
      </c>
      <c r="AE169" s="5" t="str">
        <f>IFERROR(IF($AF169="Titolare",INDEX('Stato Asta'!$G$9:$G$12,MATCH($B169,'Stato Asta'!$A$9:$A$12,0)),INDEX('Stato Asta'!$P$9:$P$12,MATCH($B169,'Stato Asta'!$A$9:$A$12,0))),"")</f>
        <v>🟢 Riserve abbondanti</v>
      </c>
      <c r="AF169" t="str">
        <f>IFERROR(IF($V169&lt;=INDEX('Parametri Modello'!$C$57:$C$60,MATCH($B169,'Parametri Modello'!$A$57:$A$60,0)),"Titolare","Riserva"),"")</f>
        <v>Riserva</v>
      </c>
      <c r="AG169" t="str">
        <f>IFERROR(INDEX('Pressione Competitiva'!$F$3:$F$6,MATCH($B169,'Pressione Competitiva'!$B$3:$B$6,0)),"")</f>
        <v>🔴 Molto Alta</v>
      </c>
      <c r="AH169" t="str">
        <f t="shared" si="23"/>
        <v/>
      </c>
      <c r="AI169" t="str">
        <f>IFERROR(IF($AH169="","",IF($AH169&gt;=$AA169*'Parametri Modello'!$B$68,"🟢 Opportunita'",IF($AH169&lt;=$AA169*'Parametri Modello'!$B$69,"🔴 Sovrapprezzo","🟡 Prezzo Corretto"))),"")</f>
        <v/>
      </c>
      <c r="AJ169" t="str">
        <f t="shared" si="24"/>
        <v/>
      </c>
      <c r="AK169">
        <f t="shared" si="25"/>
        <v>22</v>
      </c>
      <c r="AL169" t="str">
        <f t="shared" si="26"/>
        <v>A|Nella Media|22</v>
      </c>
    </row>
    <row r="170" spans="1:38" ht="14.25" customHeight="1" x14ac:dyDescent="0.25">
      <c r="A170" s="18">
        <v>7449</v>
      </c>
      <c r="B170" s="18" t="s">
        <v>437</v>
      </c>
      <c r="C170" s="18" t="s">
        <v>482</v>
      </c>
      <c r="E170" s="23" t="str">
        <f>IF(COUNTIF('Info Strategia'!$D$2:$D$51,$C170)&gt;0,"SI","NO")</f>
        <v>NO</v>
      </c>
      <c r="F170" s="24">
        <f>IFERROR(ROUND(($G170+($H170-$G170)*'Info Strategia'!$B$6)*(1+IF($E170="SI",'Parametri Modello'!$B$7*'Info Strategia'!$B$6,0)),0),"")</f>
        <v>6</v>
      </c>
      <c r="G170" s="24">
        <f>IFERROR(ROUND(MAX(1,(IF($V170&lt;=INDEX('Parametri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4</v>
      </c>
      <c r="H170" s="24">
        <f>IFERROR(ROUND((IF($V170&lt;=INDEX('Parametri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7</v>
      </c>
      <c r="I170" s="23" t="str">
        <f>IFERROR(INDEX('Input Statistiche 2025_26'!$F$3:$F$665,MATCH($A170,'Input Statistiche 2025_26'!$A$3:$A$665,0)),"")</f>
        <v/>
      </c>
      <c r="J170" s="23" t="str">
        <f t="shared" si="18"/>
        <v/>
      </c>
      <c r="K170" s="23" t="str">
        <f>IFERROR(INDEX('Input Statistiche 2025_26'!$I$3:$I$665,MATCH($A170,'Input Statistiche 2025_26'!$A$3:$A$665,0)),"")</f>
        <v/>
      </c>
      <c r="L170" s="23" t="str">
        <f>IFERROR(INDEX('Input Statistiche 2025_26'!$O$3:$O$665,MATCH($A170,'Input Statistiche 2025_26'!$A$3:$A$665,0)),"")</f>
        <v/>
      </c>
      <c r="M170" s="25"/>
      <c r="N170" s="24">
        <f>IFERROR(INDEX('Input Giocatori 2026_27'!$E$3:$E$493,MATCH($A170,'Input Giocatori 2026_27'!$A$3:$A$493,0)),"")</f>
        <v>8</v>
      </c>
      <c r="O170" s="24">
        <f>IFERROR(INDEX('Input Giocatori 2026_27'!$G$3:$G$493,MATCH($A170,'Input Giocatori 2026_27'!$A$3:$A$493,0)),"")</f>
        <v>20</v>
      </c>
      <c r="P170" s="23" t="str">
        <f>IFERROR(IF($O170="","",IF((1-(COUNTIFS($B$2:$B$492,$B170,$O$2:$O$492,"&gt;"&amp;$O170)+1-1)/COUNTIF($B$2:$B$492,$B170))&gt;='Parametri Modello'!$B$63,"Top",IF((1-(COUNTIFS($B$2:$B$492,$B170,$O$2:$O$492,"&gt;"&amp;$O170)+1-1)/COUNTIF($B$2:$B$492,$B170))&gt;='Parametri Modello'!$B$64,"Buono",IF((1-(COUNTIFS($B$2:$B$492,$B170,$O$2:$O$492,"&gt;"&amp;$O170)+1-1)/COUNTIF($B$2:$B$492,$B170))&gt;='Parametri Modello'!$B$65,"Nella Media","Scommessa/Riserva")))),"")</f>
        <v>Nella Media</v>
      </c>
      <c r="Q170" s="26">
        <f>IF(AND($D170="",$N170&gt;1),SUMPRODUCT(($D$2:$D170="")*($N$2:$N170&gt;1)),"")</f>
        <v>169</v>
      </c>
      <c r="R170" s="26" t="str">
        <f>IF($D170='Info Lega'!$B$28,COUNTIFS($D$2:$D170,'Info Lega'!$B$28),"")</f>
        <v/>
      </c>
      <c r="S170" s="27" t="str">
        <f>IFERROR(INDEX('Input Statistiche 2025_26'!$G$3:$G$665,MATCH($A170,'Input Statistiche 2025_26'!$A$3:$A$665,0)),"")</f>
        <v/>
      </c>
      <c r="T170" s="27" t="str">
        <f>IFERROR(INDEX('Input Statistiche 2025_26'!$H$3:$H$665,MATCH($A170,'Input Statistiche 2025_26'!$A$3:$A$665,0)),"")</f>
        <v/>
      </c>
      <c r="U170" s="23" t="str">
        <f>IF(OR('La Mia Rosa'!$O$12="",$D170&lt;&gt;""),"",IF($F170&lt;='La Mia Rosa'!$O$12*'Parametri Modello'!$B$24,"OK",IF($F170&lt;='La Mia Rosa'!$O$12*'Parametri Modello'!$B$25,"Attenzione","Rischio Alto")))</f>
        <v>OK</v>
      </c>
      <c r="V170" s="23">
        <f t="shared" si="19"/>
        <v>48</v>
      </c>
      <c r="W170" s="18">
        <f>'Info Lega'!$B$4-SUMIFS($M$2:$M$492,$D$2:$D$492,'Info Lega'!$B$28)</f>
        <v>1000</v>
      </c>
      <c r="X170" s="18">
        <f>('Info Lega'!$B$5-COUNTIFS($D$2:$D$492,'Info Lega'!$B$28,$B$2:$B$492,"P"))+('Info Lega'!$B$6-COUNTIFS($D$2:$D$492,'Info Lega'!$B$28,$B$2:$B$492,"D"))+('Info Lega'!$B$7-COUNTIFS($D$2:$D$492,'Info Lega'!$B$28,$B$2:$B$492,"C"))+('Info Lega'!$B$8-COUNTIFS($D$2:$D$492,'Info Lega'!$B$28,$B$2:$B$492,"A"))</f>
        <v>25</v>
      </c>
      <c r="Y170" s="18">
        <f>X170*'Parametri Modello'!$B$30</f>
        <v>25</v>
      </c>
      <c r="Z170" s="18">
        <f t="shared" si="20"/>
        <v>975</v>
      </c>
      <c r="AA170" s="18">
        <f t="shared" si="21"/>
        <v>6</v>
      </c>
      <c r="AB170" s="18"/>
      <c r="AC170" s="18" t="str">
        <f>IF($AB170="","",IF($AB170&gt;$AA170,"PASS",IF($AB170&lt;=$AA170*(1-'Parametri Modello'!$B$68),"BID","ATTENZIONE")))</f>
        <v/>
      </c>
      <c r="AD170" s="28" t="str">
        <f t="shared" si="22"/>
        <v/>
      </c>
      <c r="AE170" s="5" t="str">
        <f>IFERROR(IF($AF170="Titolare",INDEX('Stato Asta'!$G$9:$G$12,MATCH($B170,'Stato Asta'!$A$9:$A$12,0)),INDEX('Stato Asta'!$P$9:$P$12,MATCH($B170,'Stato Asta'!$A$9:$A$12,0))),"")</f>
        <v>🟢 Riserve abbondanti</v>
      </c>
      <c r="AF170" t="str">
        <f>IFERROR(IF($V170&lt;=INDEX('Parametri Modello'!$C$57:$C$60,MATCH($B170,'Parametri Modello'!$A$57:$A$60,0)),"Titolare","Riserva"),"")</f>
        <v>Riserva</v>
      </c>
      <c r="AG170" t="str">
        <f>IFERROR(INDEX('Pressione Competitiva'!$F$3:$F$6,MATCH($B170,'Pressione Competitiva'!$B$3:$B$6,0)),"")</f>
        <v>🔴 Molto Alta</v>
      </c>
      <c r="AH170" t="str">
        <f t="shared" si="23"/>
        <v/>
      </c>
      <c r="AI170" t="str">
        <f>IFERROR(IF($AH170="","",IF($AH170&gt;=$AA170*'Parametri Modello'!$B$68,"🟢 Opportunita'",IF($AH170&lt;=$AA170*'Parametri Modello'!$B$69,"🔴 Sovrapprezzo","🟡 Prezzo Corretto"))),"")</f>
        <v/>
      </c>
      <c r="AJ170" t="str">
        <f t="shared" si="24"/>
        <v/>
      </c>
      <c r="AK170">
        <f t="shared" si="25"/>
        <v>22</v>
      </c>
      <c r="AL170" t="str">
        <f t="shared" si="26"/>
        <v>A|Nella Media|22</v>
      </c>
    </row>
    <row r="171" spans="1:38" ht="14.25" customHeight="1" x14ac:dyDescent="0.25">
      <c r="A171" s="18">
        <v>4994</v>
      </c>
      <c r="B171" s="18" t="s">
        <v>88</v>
      </c>
      <c r="C171" s="18" t="s">
        <v>125</v>
      </c>
      <c r="E171" s="23" t="str">
        <f>IF(COUNTIF('Info Strategia'!$D$2:$D$51,$C171)&gt;0,"SI","NO")</f>
        <v>NO</v>
      </c>
      <c r="F171" s="24">
        <f>IFERROR(ROUND(($G171+($H171-$G171)*'Info Strategia'!$B$6)*(1+IF($E171="SI",'Parametri Modello'!$B$7*'Info Strategia'!$B$6,0)),0),"")</f>
        <v>4</v>
      </c>
      <c r="G171" s="24">
        <f>IFERROR(ROUND(MAX(1,(IF($V171&lt;=INDEX('Parametri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3</v>
      </c>
      <c r="H171" s="24">
        <f>IFERROR(ROUND((IF($V171&lt;=INDEX('Parametri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4</v>
      </c>
      <c r="I171" s="23">
        <f>IFERROR(INDEX('Input Statistiche 2025_26'!$F$3:$F$665,MATCH($A171,'Input Statistiche 2025_26'!$A$3:$A$665,0)),"")</f>
        <v>27</v>
      </c>
      <c r="J171" s="23">
        <f t="shared" si="18"/>
        <v>11</v>
      </c>
      <c r="K171" s="23">
        <f>IFERROR(INDEX('Input Statistiche 2025_26'!$I$3:$I$665,MATCH($A171,'Input Statistiche 2025_26'!$A$3:$A$665,0)),"")</f>
        <v>2</v>
      </c>
      <c r="L171" s="23">
        <f>IFERROR(INDEX('Input Statistiche 2025_26'!$O$3:$O$665,MATCH($A171,'Input Statistiche 2025_26'!$A$3:$A$665,0)),"")</f>
        <v>1</v>
      </c>
      <c r="M171" s="25"/>
      <c r="N171" s="24">
        <f>IFERROR(INDEX('Input Giocatori 2026_27'!$E$3:$E$493,MATCH($A171,'Input Giocatori 2026_27'!$A$3:$A$493,0)),"")</f>
        <v>8</v>
      </c>
      <c r="O171" s="24">
        <f>IFERROR(INDEX('Input Giocatori 2026_27'!$G$3:$G$493,MATCH($A171,'Input Giocatori 2026_27'!$A$3:$A$493,0)),"")</f>
        <v>19</v>
      </c>
      <c r="P171" s="23" t="str">
        <f>IFERROR(IF($O171="","",IF((1-(COUNTIFS($B$2:$B$492,$B171,$O$2:$O$492,"&gt;"&amp;$O171)+1-1)/COUNTIF($B$2:$B$492,$B171))&gt;='Parametri Modello'!$B$63,"Top",IF((1-(COUNTIFS($B$2:$B$492,$B171,$O$2:$O$492,"&gt;"&amp;$O171)+1-1)/COUNTIF($B$2:$B$492,$B171))&gt;='Parametri Modello'!$B$64,"Buono",IF((1-(COUNTIFS($B$2:$B$492,$B171,$O$2:$O$492,"&gt;"&amp;$O171)+1-1)/COUNTIF($B$2:$B$492,$B171))&gt;='Parametri Modello'!$B$65,"Nella Media","Scommessa/Riserva")))),"")</f>
        <v>Buono</v>
      </c>
      <c r="Q171" s="26">
        <f>IF(AND($D171="",$N171&gt;1),SUMPRODUCT(($D$2:$D171="")*($N$2:$N171&gt;1)),"")</f>
        <v>170</v>
      </c>
      <c r="R171" s="26" t="str">
        <f>IF($D171='Info Lega'!$B$28,COUNTIFS($D$2:$D171,'Info Lega'!$B$28),"")</f>
        <v/>
      </c>
      <c r="S171" s="27">
        <f>IFERROR(INDEX('Input Statistiche 2025_26'!$G$3:$G$665,MATCH($A171,'Input Statistiche 2025_26'!$A$3:$A$665,0)),"")</f>
        <v>6.02</v>
      </c>
      <c r="T171" s="27">
        <f>IFERROR(INDEX('Input Statistiche 2025_26'!$H$3:$H$665,MATCH($A171,'Input Statistiche 2025_26'!$A$3:$A$665,0)),"")</f>
        <v>6.24</v>
      </c>
      <c r="U171" s="23" t="str">
        <f>IF(OR('La Mia Rosa'!$O$12="",$D171&lt;&gt;""),"",IF($F171&lt;='La Mia Rosa'!$O$12*'Parametri Modello'!$B$24,"OK",IF($F171&lt;='La Mia Rosa'!$O$12*'Parametri Modello'!$B$25,"Attenzione","Rischio Alto")))</f>
        <v>OK</v>
      </c>
      <c r="V171" s="23">
        <f t="shared" si="19"/>
        <v>42</v>
      </c>
      <c r="W171" s="18">
        <f>'Info Lega'!$B$4-SUMIFS($M$2:$M$492,$D$2:$D$492,'Info Lega'!$B$28)</f>
        <v>1000</v>
      </c>
      <c r="X171" s="18">
        <f>('Info Lega'!$B$5-COUNTIFS($D$2:$D$492,'Info Lega'!$B$28,$B$2:$B$492,"P"))+('Info Lega'!$B$6-COUNTIFS($D$2:$D$492,'Info Lega'!$B$28,$B$2:$B$492,"D"))+('Info Lega'!$B$7-COUNTIFS($D$2:$D$492,'Info Lega'!$B$28,$B$2:$B$492,"C"))+('Info Lega'!$B$8-COUNTIFS($D$2:$D$492,'Info Lega'!$B$28,$B$2:$B$492,"A"))</f>
        <v>25</v>
      </c>
      <c r="Y171" s="18">
        <f>X171*'Parametri Modello'!$B$30</f>
        <v>25</v>
      </c>
      <c r="Z171" s="18">
        <f t="shared" si="20"/>
        <v>975</v>
      </c>
      <c r="AA171" s="18">
        <f t="shared" si="21"/>
        <v>4</v>
      </c>
      <c r="AB171" s="18"/>
      <c r="AC171" s="18" t="str">
        <f>IF($AB171="","",IF($AB171&gt;$AA171,"PASS",IF($AB171&lt;=$AA171*(1-'Parametri Modello'!$B$68),"BID","ATTENZIONE")))</f>
        <v/>
      </c>
      <c r="AD171" s="28">
        <f t="shared" si="22"/>
        <v>59</v>
      </c>
      <c r="AE171" s="5" t="str">
        <f>IFERROR(IF($AF171="Titolare",INDEX('Stato Asta'!$G$9:$G$12,MATCH($B171,'Stato Asta'!$A$9:$A$12,0)),INDEX('Stato Asta'!$P$9:$P$12,MATCH($B171,'Stato Asta'!$A$9:$A$12,0))),"")</f>
        <v>🟢 Riserve abbondanti</v>
      </c>
      <c r="AF171" t="str">
        <f>IFERROR(IF($V171&lt;=INDEX('Parametri Modello'!$C$57:$C$60,MATCH($B171,'Parametri Modello'!$A$57:$A$60,0)),"Titolare","Riserva"),"")</f>
        <v>Riserva</v>
      </c>
      <c r="AG171" t="str">
        <f>IFERROR(INDEX('Pressione Competitiva'!$F$3:$F$6,MATCH($B171,'Pressione Competitiva'!$B$3:$B$6,0)),"")</f>
        <v>🔴 Molto Alta</v>
      </c>
      <c r="AH171" t="str">
        <f t="shared" si="23"/>
        <v/>
      </c>
      <c r="AI171" t="str">
        <f>IFERROR(IF($AH171="","",IF($AH171&gt;=$AA171*'Parametri Modello'!$B$68,"🟢 Opportunita'",IF($AH171&lt;=$AA171*'Parametri Modello'!$B$69,"🔴 Sovrapprezzo","🟡 Prezzo Corretto"))),"")</f>
        <v/>
      </c>
      <c r="AJ171" t="str">
        <f t="shared" si="24"/>
        <v/>
      </c>
      <c r="AK171">
        <f t="shared" si="25"/>
        <v>24</v>
      </c>
      <c r="AL171" t="str">
        <f t="shared" si="26"/>
        <v>D|Buono|24</v>
      </c>
    </row>
    <row r="172" spans="1:38" ht="14.25" customHeight="1" x14ac:dyDescent="0.25">
      <c r="A172" s="18">
        <v>4433</v>
      </c>
      <c r="B172" s="18" t="s">
        <v>88</v>
      </c>
      <c r="C172" s="18" t="s">
        <v>144</v>
      </c>
      <c r="E172" s="23" t="str">
        <f>IF(COUNTIF('Info Strategia'!$D$2:$D$51,$C172)&gt;0,"SI","NO")</f>
        <v>NO</v>
      </c>
      <c r="F172" s="24">
        <f>IFERROR(ROUND(($G172+($H172-$G172)*'Info Strategia'!$B$6)*(1+IF($E172="SI",'Parametri Modello'!$B$7*'Info Strategia'!$B$6,0)),0),"")</f>
        <v>4</v>
      </c>
      <c r="G172" s="24">
        <f>IFERROR(ROUND(MAX(1,(IF($V172&lt;=INDEX('Parametri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3</v>
      </c>
      <c r="H172" s="24">
        <f>IFERROR(ROUND((IF($V172&lt;=INDEX('Parametri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4</v>
      </c>
      <c r="I172" s="23">
        <f>IFERROR(INDEX('Input Statistiche 2025_26'!$F$3:$F$665,MATCH($A172,'Input Statistiche 2025_26'!$A$3:$A$665,0)),"")</f>
        <v>28</v>
      </c>
      <c r="J172" s="23">
        <f t="shared" si="18"/>
        <v>10</v>
      </c>
      <c r="K172" s="23">
        <f>IFERROR(INDEX('Input Statistiche 2025_26'!$I$3:$I$665,MATCH($A172,'Input Statistiche 2025_26'!$A$3:$A$665,0)),"")</f>
        <v>0</v>
      </c>
      <c r="L172" s="23">
        <f>IFERROR(INDEX('Input Statistiche 2025_26'!$O$3:$O$665,MATCH($A172,'Input Statistiche 2025_26'!$A$3:$A$665,0)),"")</f>
        <v>2</v>
      </c>
      <c r="M172" s="25"/>
      <c r="N172" s="24">
        <f>IFERROR(INDEX('Input Giocatori 2026_27'!$E$3:$E$493,MATCH($A172,'Input Giocatori 2026_27'!$A$3:$A$493,0)),"")</f>
        <v>6</v>
      </c>
      <c r="O172" s="24">
        <f>IFERROR(INDEX('Input Giocatori 2026_27'!$G$3:$G$493,MATCH($A172,'Input Giocatori 2026_27'!$A$3:$A$493,0)),"")</f>
        <v>19</v>
      </c>
      <c r="P172" s="23" t="str">
        <f>IFERROR(IF($O172="","",IF((1-(COUNTIFS($B$2:$B$492,$B172,$O$2:$O$492,"&gt;"&amp;$O172)+1-1)/COUNTIF($B$2:$B$492,$B172))&gt;='Parametri Modello'!$B$63,"Top",IF((1-(COUNTIFS($B$2:$B$492,$B172,$O$2:$O$492,"&gt;"&amp;$O172)+1-1)/COUNTIF($B$2:$B$492,$B172))&gt;='Parametri Modello'!$B$64,"Buono",IF((1-(COUNTIFS($B$2:$B$492,$B172,$O$2:$O$492,"&gt;"&amp;$O172)+1-1)/COUNTIF($B$2:$B$492,$B172))&gt;='Parametri Modello'!$B$65,"Nella Media","Scommessa/Riserva")))),"")</f>
        <v>Buono</v>
      </c>
      <c r="Q172" s="26">
        <f>IF(AND($D172="",$N172&gt;1),SUMPRODUCT(($D$2:$D172="")*($N$2:$N172&gt;1)),"")</f>
        <v>171</v>
      </c>
      <c r="R172" s="26" t="str">
        <f>IF($D172='Info Lega'!$B$28,COUNTIFS($D$2:$D172,'Info Lega'!$B$28),"")</f>
        <v/>
      </c>
      <c r="S172" s="27">
        <f>IFERROR(INDEX('Input Statistiche 2025_26'!$G$3:$G$665,MATCH($A172,'Input Statistiche 2025_26'!$A$3:$A$665,0)),"")</f>
        <v>5.86</v>
      </c>
      <c r="T172" s="27">
        <f>IFERROR(INDEX('Input Statistiche 2025_26'!$H$3:$H$665,MATCH($A172,'Input Statistiche 2025_26'!$A$3:$A$665,0)),"")</f>
        <v>5.89</v>
      </c>
      <c r="U172" s="23" t="str">
        <f>IF(OR('La Mia Rosa'!$O$12="",$D172&lt;&gt;""),"",IF($F172&lt;='La Mia Rosa'!$O$12*'Parametri Modello'!$B$24,"OK",IF($F172&lt;='La Mia Rosa'!$O$12*'Parametri Modello'!$B$25,"Attenzione","Rischio Alto")))</f>
        <v>OK</v>
      </c>
      <c r="V172" s="23">
        <f t="shared" si="19"/>
        <v>42</v>
      </c>
      <c r="W172" s="18">
        <f>'Info Lega'!$B$4-SUMIFS($M$2:$M$492,$D$2:$D$492,'Info Lega'!$B$28)</f>
        <v>1000</v>
      </c>
      <c r="X172" s="18">
        <f>('Info Lega'!$B$5-COUNTIFS($D$2:$D$492,'Info Lega'!$B$28,$B$2:$B$492,"P"))+('Info Lega'!$B$6-COUNTIFS($D$2:$D$492,'Info Lega'!$B$28,$B$2:$B$492,"D"))+('Info Lega'!$B$7-COUNTIFS($D$2:$D$492,'Info Lega'!$B$28,$B$2:$B$492,"C"))+('Info Lega'!$B$8-COUNTIFS($D$2:$D$492,'Info Lega'!$B$28,$B$2:$B$492,"A"))</f>
        <v>25</v>
      </c>
      <c r="Y172" s="18">
        <f>X172*'Parametri Modello'!$B$30</f>
        <v>25</v>
      </c>
      <c r="Z172" s="18">
        <f t="shared" si="20"/>
        <v>975</v>
      </c>
      <c r="AA172" s="18">
        <f t="shared" si="21"/>
        <v>4</v>
      </c>
      <c r="AB172" s="18"/>
      <c r="AC172" s="18" t="str">
        <f>IF($AB172="","",IF($AB172&gt;$AA172,"PASS",IF($AB172&lt;=$AA172*(1-'Parametri Modello'!$B$68),"BID","ATTENZIONE")))</f>
        <v/>
      </c>
      <c r="AD172" s="28">
        <f t="shared" si="22"/>
        <v>61</v>
      </c>
      <c r="AE172" s="5" t="str">
        <f>IFERROR(IF($AF172="Titolare",INDEX('Stato Asta'!$G$9:$G$12,MATCH($B172,'Stato Asta'!$A$9:$A$12,0)),INDEX('Stato Asta'!$P$9:$P$12,MATCH($B172,'Stato Asta'!$A$9:$A$12,0))),"")</f>
        <v>🟢 Riserve abbondanti</v>
      </c>
      <c r="AF172" t="str">
        <f>IFERROR(IF($V172&lt;=INDEX('Parametri Modello'!$C$57:$C$60,MATCH($B172,'Parametri Modello'!$A$57:$A$60,0)),"Titolare","Riserva"),"")</f>
        <v>Riserva</v>
      </c>
      <c r="AG172" t="str">
        <f>IFERROR(INDEX('Pressione Competitiva'!$F$3:$F$6,MATCH($B172,'Pressione Competitiva'!$B$3:$B$6,0)),"")</f>
        <v>🔴 Molto Alta</v>
      </c>
      <c r="AH172" t="str">
        <f t="shared" si="23"/>
        <v/>
      </c>
      <c r="AI172" t="str">
        <f>IFERROR(IF($AH172="","",IF($AH172&gt;=$AA172*'Parametri Modello'!$B$68,"🟢 Opportunita'",IF($AH172&lt;=$AA172*'Parametri Modello'!$B$69,"🔴 Sovrapprezzo","🟡 Prezzo Corretto"))),"")</f>
        <v/>
      </c>
      <c r="AJ172" t="str">
        <f t="shared" si="24"/>
        <v/>
      </c>
      <c r="AK172">
        <f t="shared" si="25"/>
        <v>24</v>
      </c>
      <c r="AL172" t="str">
        <f t="shared" si="26"/>
        <v>D|Buono|24</v>
      </c>
    </row>
    <row r="173" spans="1:38" ht="14.25" customHeight="1" x14ac:dyDescent="0.25">
      <c r="A173" s="18">
        <v>7410</v>
      </c>
      <c r="B173" s="18" t="s">
        <v>88</v>
      </c>
      <c r="C173" s="18" t="s">
        <v>147</v>
      </c>
      <c r="E173" s="23" t="str">
        <f>IF(COUNTIF('Info Strategia'!$D$2:$D$51,$C173)&gt;0,"SI","NO")</f>
        <v>NO</v>
      </c>
      <c r="F173" s="24">
        <f>IFERROR(ROUND(($G173+($H173-$G173)*'Info Strategia'!$B$6)*(1+IF($E173="SI",'Parametri Modello'!$B$7*'Info Strategia'!$B$6,0)),0),"")</f>
        <v>4</v>
      </c>
      <c r="G173" s="24">
        <f>IFERROR(ROUND(MAX(1,(IF($V173&lt;=INDEX('Parametri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3</v>
      </c>
      <c r="H173" s="24">
        <f>IFERROR(ROUND((IF($V173&lt;=INDEX('Parametri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4</v>
      </c>
      <c r="I173" s="23" t="str">
        <f>IFERROR(INDEX('Input Statistiche 2025_26'!$F$3:$F$665,MATCH($A173,'Input Statistiche 2025_26'!$A$3:$A$665,0)),"")</f>
        <v/>
      </c>
      <c r="J173" s="23" t="str">
        <f t="shared" si="18"/>
        <v/>
      </c>
      <c r="K173" s="23" t="str">
        <f>IFERROR(INDEX('Input Statistiche 2025_26'!$I$3:$I$665,MATCH($A173,'Input Statistiche 2025_26'!$A$3:$A$665,0)),"")</f>
        <v/>
      </c>
      <c r="L173" s="23" t="str">
        <f>IFERROR(INDEX('Input Statistiche 2025_26'!$O$3:$O$665,MATCH($A173,'Input Statistiche 2025_26'!$A$3:$A$665,0)),"")</f>
        <v/>
      </c>
      <c r="M173" s="25"/>
      <c r="N173" s="24">
        <f>IFERROR(INDEX('Input Giocatori 2026_27'!$E$3:$E$493,MATCH($A173,'Input Giocatori 2026_27'!$A$3:$A$493,0)),"")</f>
        <v>6</v>
      </c>
      <c r="O173" s="24">
        <f>IFERROR(INDEX('Input Giocatori 2026_27'!$G$3:$G$493,MATCH($A173,'Input Giocatori 2026_27'!$A$3:$A$493,0)),"")</f>
        <v>19</v>
      </c>
      <c r="P173" s="23" t="str">
        <f>IFERROR(IF($O173="","",IF((1-(COUNTIFS($B$2:$B$492,$B173,$O$2:$O$492,"&gt;"&amp;$O173)+1-1)/COUNTIF($B$2:$B$492,$B173))&gt;='Parametri Modello'!$B$63,"Top",IF((1-(COUNTIFS($B$2:$B$492,$B173,$O$2:$O$492,"&gt;"&amp;$O173)+1-1)/COUNTIF($B$2:$B$492,$B173))&gt;='Parametri Modello'!$B$64,"Buono",IF((1-(COUNTIFS($B$2:$B$492,$B173,$O$2:$O$492,"&gt;"&amp;$O173)+1-1)/COUNTIF($B$2:$B$492,$B173))&gt;='Parametri Modello'!$B$65,"Nella Media","Scommessa/Riserva")))),"")</f>
        <v>Buono</v>
      </c>
      <c r="Q173" s="26">
        <f>IF(AND($D173="",$N173&gt;1),SUMPRODUCT(($D$2:$D173="")*($N$2:$N173&gt;1)),"")</f>
        <v>172</v>
      </c>
      <c r="R173" s="26" t="str">
        <f>IF($D173='Info Lega'!$B$28,COUNTIFS($D$2:$D173,'Info Lega'!$B$28),"")</f>
        <v/>
      </c>
      <c r="S173" s="27" t="str">
        <f>IFERROR(INDEX('Input Statistiche 2025_26'!$G$3:$G$665,MATCH($A173,'Input Statistiche 2025_26'!$A$3:$A$665,0)),"")</f>
        <v/>
      </c>
      <c r="T173" s="27" t="str">
        <f>IFERROR(INDEX('Input Statistiche 2025_26'!$H$3:$H$665,MATCH($A173,'Input Statistiche 2025_26'!$A$3:$A$665,0)),"")</f>
        <v/>
      </c>
      <c r="U173" s="23" t="str">
        <f>IF(OR('La Mia Rosa'!$O$12="",$D173&lt;&gt;""),"",IF($F173&lt;='La Mia Rosa'!$O$12*'Parametri Modello'!$B$24,"OK",IF($F173&lt;='La Mia Rosa'!$O$12*'Parametri Modello'!$B$25,"Attenzione","Rischio Alto")))</f>
        <v>OK</v>
      </c>
      <c r="V173" s="23">
        <f t="shared" si="19"/>
        <v>42</v>
      </c>
      <c r="W173" s="18">
        <f>'Info Lega'!$B$4-SUMIFS($M$2:$M$492,$D$2:$D$492,'Info Lega'!$B$28)</f>
        <v>1000</v>
      </c>
      <c r="X173" s="18">
        <f>('Info Lega'!$B$5-COUNTIFS($D$2:$D$492,'Info Lega'!$B$28,$B$2:$B$492,"P"))+('Info Lega'!$B$6-COUNTIFS($D$2:$D$492,'Info Lega'!$B$28,$B$2:$B$492,"D"))+('Info Lega'!$B$7-COUNTIFS($D$2:$D$492,'Info Lega'!$B$28,$B$2:$B$492,"C"))+('Info Lega'!$B$8-COUNTIFS($D$2:$D$492,'Info Lega'!$B$28,$B$2:$B$492,"A"))</f>
        <v>25</v>
      </c>
      <c r="Y173" s="18">
        <f>X173*'Parametri Modello'!$B$30</f>
        <v>25</v>
      </c>
      <c r="Z173" s="18">
        <f t="shared" si="20"/>
        <v>975</v>
      </c>
      <c r="AA173" s="18">
        <f t="shared" si="21"/>
        <v>4</v>
      </c>
      <c r="AB173" s="18"/>
      <c r="AC173" s="18" t="str">
        <f>IF($AB173="","",IF($AB173&gt;$AA173,"PASS",IF($AB173&lt;=$AA173*(1-'Parametri Modello'!$B$68),"BID","ATTENZIONE")))</f>
        <v/>
      </c>
      <c r="AD173" s="28" t="str">
        <f t="shared" si="22"/>
        <v/>
      </c>
      <c r="AE173" s="5" t="str">
        <f>IFERROR(IF($AF173="Titolare",INDEX('Stato Asta'!$G$9:$G$12,MATCH($B173,'Stato Asta'!$A$9:$A$12,0)),INDEX('Stato Asta'!$P$9:$P$12,MATCH($B173,'Stato Asta'!$A$9:$A$12,0))),"")</f>
        <v>🟢 Riserve abbondanti</v>
      </c>
      <c r="AF173" t="str">
        <f>IFERROR(IF($V173&lt;=INDEX('Parametri Modello'!$C$57:$C$60,MATCH($B173,'Parametri Modello'!$A$57:$A$60,0)),"Titolare","Riserva"),"")</f>
        <v>Riserva</v>
      </c>
      <c r="AG173" t="str">
        <f>IFERROR(INDEX('Pressione Competitiva'!$F$3:$F$6,MATCH($B173,'Pressione Competitiva'!$B$3:$B$6,0)),"")</f>
        <v>🔴 Molto Alta</v>
      </c>
      <c r="AH173" t="str">
        <f t="shared" si="23"/>
        <v/>
      </c>
      <c r="AI173" t="str">
        <f>IFERROR(IF($AH173="","",IF($AH173&gt;=$AA173*'Parametri Modello'!$B$68,"🟢 Opportunita'",IF($AH173&lt;=$AA173*'Parametri Modello'!$B$69,"🔴 Sovrapprezzo","🟡 Prezzo Corretto"))),"")</f>
        <v/>
      </c>
      <c r="AJ173" t="str">
        <f t="shared" si="24"/>
        <v/>
      </c>
      <c r="AK173">
        <f t="shared" si="25"/>
        <v>24</v>
      </c>
      <c r="AL173" t="str">
        <f t="shared" si="26"/>
        <v>D|Buono|24</v>
      </c>
    </row>
    <row r="174" spans="1:38" ht="14.25" customHeight="1" x14ac:dyDescent="0.25">
      <c r="A174" s="18">
        <v>6010</v>
      </c>
      <c r="B174" s="18" t="s">
        <v>264</v>
      </c>
      <c r="C174" s="18" t="s">
        <v>318</v>
      </c>
      <c r="E174" s="23" t="str">
        <f>IF(COUNTIF('Info Strategia'!$D$2:$D$51,$C174)&gt;0,"SI","NO")</f>
        <v>NO</v>
      </c>
      <c r="F174" s="24">
        <f>IFERROR(ROUND(($G174+($H174-$G174)*'Info Strategia'!$B$6)*(1+IF($E174="SI",'Parametri Modello'!$B$7*'Info Strategia'!$B$6,0)),0),"")</f>
        <v>3</v>
      </c>
      <c r="G174" s="24">
        <f>IFERROR(ROUND(MAX(1,(IF($V174&lt;=INDEX('Parametri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2</v>
      </c>
      <c r="H174" s="24">
        <f>IFERROR(ROUND((IF($V174&lt;=INDEX('Parametri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3</v>
      </c>
      <c r="I174" s="23">
        <f>IFERROR(INDEX('Input Statistiche 2025_26'!$F$3:$F$665,MATCH($A174,'Input Statistiche 2025_26'!$A$3:$A$665,0)),"")</f>
        <v>12</v>
      </c>
      <c r="J174" s="23">
        <f t="shared" si="18"/>
        <v>26</v>
      </c>
      <c r="K174" s="23">
        <f>IFERROR(INDEX('Input Statistiche 2025_26'!$I$3:$I$665,MATCH($A174,'Input Statistiche 2025_26'!$A$3:$A$665,0)),"")</f>
        <v>0</v>
      </c>
      <c r="L174" s="23">
        <f>IFERROR(INDEX('Input Statistiche 2025_26'!$O$3:$O$665,MATCH($A174,'Input Statistiche 2025_26'!$A$3:$A$665,0)),"")</f>
        <v>0</v>
      </c>
      <c r="M174" s="25"/>
      <c r="N174" s="24">
        <f>IFERROR(INDEX('Input Giocatori 2026_27'!$E$3:$E$493,MATCH($A174,'Input Giocatori 2026_27'!$A$3:$A$493,0)),"")</f>
        <v>7</v>
      </c>
      <c r="O174" s="24">
        <f>IFERROR(INDEX('Input Giocatori 2026_27'!$G$3:$G$493,MATCH($A174,'Input Giocatori 2026_27'!$A$3:$A$493,0)),"")</f>
        <v>19</v>
      </c>
      <c r="P174" s="23" t="str">
        <f>IFERROR(IF($O174="","",IF((1-(COUNTIFS($B$2:$B$492,$B174,$O$2:$O$492,"&gt;"&amp;$O174)+1-1)/COUNTIF($B$2:$B$492,$B174))&gt;='Parametri Modello'!$B$63,"Top",IF((1-(COUNTIFS($B$2:$B$492,$B174,$O$2:$O$492,"&gt;"&amp;$O174)+1-1)/COUNTIF($B$2:$B$492,$B174))&gt;='Parametri Modello'!$B$64,"Buono",IF((1-(COUNTIFS($B$2:$B$492,$B174,$O$2:$O$492,"&gt;"&amp;$O174)+1-1)/COUNTIF($B$2:$B$492,$B174))&gt;='Parametri Modello'!$B$65,"Nella Media","Scommessa/Riserva")))),"")</f>
        <v>Nella Media</v>
      </c>
      <c r="Q174" s="26">
        <f>IF(AND($D174="",$N174&gt;1),SUMPRODUCT(($D$2:$D174="")*($N$2:$N174&gt;1)),"")</f>
        <v>173</v>
      </c>
      <c r="R174" s="26" t="str">
        <f>IF($D174='Info Lega'!$B$28,COUNTIFS($D$2:$D174,'Info Lega'!$B$28),"")</f>
        <v/>
      </c>
      <c r="S174" s="27">
        <f>IFERROR(INDEX('Input Statistiche 2025_26'!$G$3:$G$665,MATCH($A174,'Input Statistiche 2025_26'!$A$3:$A$665,0)),"")</f>
        <v>5.88</v>
      </c>
      <c r="T174" s="27">
        <f>IFERROR(INDEX('Input Statistiche 2025_26'!$H$3:$H$665,MATCH($A174,'Input Statistiche 2025_26'!$A$3:$A$665,0)),"")</f>
        <v>5.83</v>
      </c>
      <c r="U174" s="23" t="str">
        <f>IF(OR('La Mia Rosa'!$O$12="",$D174&lt;&gt;""),"",IF($F174&lt;='La Mia Rosa'!$O$12*'Parametri Modello'!$B$24,"OK",IF($F174&lt;='La Mia Rosa'!$O$12*'Parametri Modello'!$B$25,"Attenzione","Rischio Alto")))</f>
        <v>OK</v>
      </c>
      <c r="V174" s="23">
        <f t="shared" si="19"/>
        <v>66</v>
      </c>
      <c r="W174" s="18">
        <f>'Info Lega'!$B$4-SUMIFS($M$2:$M$492,$D$2:$D$492,'Info Lega'!$B$28)</f>
        <v>1000</v>
      </c>
      <c r="X174" s="18">
        <f>('Info Lega'!$B$5-COUNTIFS($D$2:$D$492,'Info Lega'!$B$28,$B$2:$B$492,"P"))+('Info Lega'!$B$6-COUNTIFS($D$2:$D$492,'Info Lega'!$B$28,$B$2:$B$492,"D"))+('Info Lega'!$B$7-COUNTIFS($D$2:$D$492,'Info Lega'!$B$28,$B$2:$B$492,"C"))+('Info Lega'!$B$8-COUNTIFS($D$2:$D$492,'Info Lega'!$B$28,$B$2:$B$492,"A"))</f>
        <v>25</v>
      </c>
      <c r="Y174" s="18">
        <f>X174*'Parametri Modello'!$B$30</f>
        <v>25</v>
      </c>
      <c r="Z174" s="18">
        <f t="shared" si="20"/>
        <v>975</v>
      </c>
      <c r="AA174" s="18">
        <f t="shared" si="21"/>
        <v>3</v>
      </c>
      <c r="AB174" s="18"/>
      <c r="AC174" s="18" t="str">
        <f>IF($AB174="","",IF($AB174&gt;$AA174,"PASS",IF($AB174&lt;=$AA174*(1-'Parametri Modello'!$B$68),"BID","ATTENZIONE")))</f>
        <v/>
      </c>
      <c r="AD174" s="28">
        <f t="shared" si="22"/>
        <v>33</v>
      </c>
      <c r="AE174" s="5" t="str">
        <f>IFERROR(IF($AF174="Titolare",INDEX('Stato Asta'!$G$9:$G$12,MATCH($B174,'Stato Asta'!$A$9:$A$12,0)),INDEX('Stato Asta'!$P$9:$P$12,MATCH($B174,'Stato Asta'!$A$9:$A$12,0))),"")</f>
        <v>🟢 Riserve abbondanti</v>
      </c>
      <c r="AF174" t="str">
        <f>IFERROR(IF($V174&lt;=INDEX('Parametri Modello'!$C$57:$C$60,MATCH($B174,'Parametri Modello'!$A$57:$A$60,0)),"Titolare","Riserva"),"")</f>
        <v>Riserva</v>
      </c>
      <c r="AG174" t="str">
        <f>IFERROR(INDEX('Pressione Competitiva'!$F$3:$F$6,MATCH($B174,'Pressione Competitiva'!$B$3:$B$6,0)),"")</f>
        <v>🔴 Molto Alta</v>
      </c>
      <c r="AH174" t="str">
        <f t="shared" si="23"/>
        <v/>
      </c>
      <c r="AI174" t="str">
        <f>IFERROR(IF($AH174="","",IF($AH174&gt;=$AA174*'Parametri Modello'!$B$68,"🟢 Opportunita'",IF($AH174&lt;=$AA174*'Parametri Modello'!$B$69,"🔴 Sovrapprezzo","🟡 Prezzo Corretto"))),"")</f>
        <v/>
      </c>
      <c r="AJ174" t="str">
        <f t="shared" si="24"/>
        <v/>
      </c>
      <c r="AK174">
        <f t="shared" si="25"/>
        <v>11</v>
      </c>
      <c r="AL174" t="str">
        <f t="shared" si="26"/>
        <v>C|Nella Media|11</v>
      </c>
    </row>
    <row r="175" spans="1:38" ht="14.25" customHeight="1" x14ac:dyDescent="0.25">
      <c r="A175" s="18">
        <v>5791</v>
      </c>
      <c r="B175" s="18" t="s">
        <v>264</v>
      </c>
      <c r="C175" s="18" t="s">
        <v>320</v>
      </c>
      <c r="E175" s="23" t="str">
        <f>IF(COUNTIF('Info Strategia'!$D$2:$D$51,$C175)&gt;0,"SI","NO")</f>
        <v>NO</v>
      </c>
      <c r="F175" s="24">
        <f>IFERROR(ROUND(($G175+($H175-$G175)*'Info Strategia'!$B$6)*(1+IF($E175="SI",'Parametri Modello'!$B$7*'Info Strategia'!$B$6,0)),0),"")</f>
        <v>3</v>
      </c>
      <c r="G175" s="24">
        <f>IFERROR(ROUND(MAX(1,(IF($V175&lt;=INDEX('Parametri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2</v>
      </c>
      <c r="H175" s="24">
        <f>IFERROR(ROUND((IF($V175&lt;=INDEX('Parametri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3</v>
      </c>
      <c r="I175" s="23">
        <f>IFERROR(INDEX('Input Statistiche 2025_26'!$F$3:$F$665,MATCH($A175,'Input Statistiche 2025_26'!$A$3:$A$665,0)),"")</f>
        <v>36</v>
      </c>
      <c r="J175" s="23">
        <f t="shared" si="18"/>
        <v>2</v>
      </c>
      <c r="K175" s="23">
        <f>IFERROR(INDEX('Input Statistiche 2025_26'!$I$3:$I$665,MATCH($A175,'Input Statistiche 2025_26'!$A$3:$A$665,0)),"")</f>
        <v>1</v>
      </c>
      <c r="L175" s="23">
        <f>IFERROR(INDEX('Input Statistiche 2025_26'!$O$3:$O$665,MATCH($A175,'Input Statistiche 2025_26'!$A$3:$A$665,0)),"")</f>
        <v>0</v>
      </c>
      <c r="M175" s="25"/>
      <c r="N175" s="24">
        <f>IFERROR(INDEX('Input Giocatori 2026_27'!$E$3:$E$493,MATCH($A175,'Input Giocatori 2026_27'!$A$3:$A$493,0)),"")</f>
        <v>7</v>
      </c>
      <c r="O175" s="24">
        <f>IFERROR(INDEX('Input Giocatori 2026_27'!$G$3:$G$493,MATCH($A175,'Input Giocatori 2026_27'!$A$3:$A$493,0)),"")</f>
        <v>19</v>
      </c>
      <c r="P175" s="23" t="str">
        <f>IFERROR(IF($O175="","",IF((1-(COUNTIFS($B$2:$B$492,$B175,$O$2:$O$492,"&gt;"&amp;$O175)+1-1)/COUNTIF($B$2:$B$492,$B175))&gt;='Parametri Modello'!$B$63,"Top",IF((1-(COUNTIFS($B$2:$B$492,$B175,$O$2:$O$492,"&gt;"&amp;$O175)+1-1)/COUNTIF($B$2:$B$492,$B175))&gt;='Parametri Modello'!$B$64,"Buono",IF((1-(COUNTIFS($B$2:$B$492,$B175,$O$2:$O$492,"&gt;"&amp;$O175)+1-1)/COUNTIF($B$2:$B$492,$B175))&gt;='Parametri Modello'!$B$65,"Nella Media","Scommessa/Riserva")))),"")</f>
        <v>Nella Media</v>
      </c>
      <c r="Q175" s="26">
        <f>IF(AND($D175="",$N175&gt;1),SUMPRODUCT(($D$2:$D175="")*($N$2:$N175&gt;1)),"")</f>
        <v>174</v>
      </c>
      <c r="R175" s="26" t="str">
        <f>IF($D175='Info Lega'!$B$28,COUNTIFS($D$2:$D175,'Info Lega'!$B$28),"")</f>
        <v/>
      </c>
      <c r="S175" s="27">
        <f>IFERROR(INDEX('Input Statistiche 2025_26'!$G$3:$G$665,MATCH($A175,'Input Statistiche 2025_26'!$A$3:$A$665,0)),"")</f>
        <v>5.96</v>
      </c>
      <c r="T175" s="27">
        <f>IFERROR(INDEX('Input Statistiche 2025_26'!$H$3:$H$665,MATCH($A175,'Input Statistiche 2025_26'!$A$3:$A$665,0)),"")</f>
        <v>5.97</v>
      </c>
      <c r="U175" s="23" t="str">
        <f>IF(OR('La Mia Rosa'!$O$12="",$D175&lt;&gt;""),"",IF($F175&lt;='La Mia Rosa'!$O$12*'Parametri Modello'!$B$24,"OK",IF($F175&lt;='La Mia Rosa'!$O$12*'Parametri Modello'!$B$25,"Attenzione","Rischio Alto")))</f>
        <v>OK</v>
      </c>
      <c r="V175" s="23">
        <f t="shared" si="19"/>
        <v>66</v>
      </c>
      <c r="W175" s="18">
        <f>'Info Lega'!$B$4-SUMIFS($M$2:$M$492,$D$2:$D$492,'Info Lega'!$B$28)</f>
        <v>1000</v>
      </c>
      <c r="X175" s="18">
        <f>('Info Lega'!$B$5-COUNTIFS($D$2:$D$492,'Info Lega'!$B$28,$B$2:$B$492,"P"))+('Info Lega'!$B$6-COUNTIFS($D$2:$D$492,'Info Lega'!$B$28,$B$2:$B$492,"D"))+('Info Lega'!$B$7-COUNTIFS($D$2:$D$492,'Info Lega'!$B$28,$B$2:$B$492,"C"))+('Info Lega'!$B$8-COUNTIFS($D$2:$D$492,'Info Lega'!$B$28,$B$2:$B$492,"A"))</f>
        <v>25</v>
      </c>
      <c r="Y175" s="18">
        <f>X175*'Parametri Modello'!$B$30</f>
        <v>25</v>
      </c>
      <c r="Z175" s="18">
        <f t="shared" si="20"/>
        <v>975</v>
      </c>
      <c r="AA175" s="18">
        <f t="shared" si="21"/>
        <v>3</v>
      </c>
      <c r="AB175" s="18"/>
      <c r="AC175" s="18" t="str">
        <f>IF($AB175="","",IF($AB175&gt;$AA175,"PASS",IF($AB175&lt;=$AA175*(1-'Parametri Modello'!$B$68),"BID","ATTENZIONE")))</f>
        <v/>
      </c>
      <c r="AD175" s="28">
        <f t="shared" si="22"/>
        <v>70</v>
      </c>
      <c r="AE175" s="5" t="str">
        <f>IFERROR(IF($AF175="Titolare",INDEX('Stato Asta'!$G$9:$G$12,MATCH($B175,'Stato Asta'!$A$9:$A$12,0)),INDEX('Stato Asta'!$P$9:$P$12,MATCH($B175,'Stato Asta'!$A$9:$A$12,0))),"")</f>
        <v>🟢 Riserve abbondanti</v>
      </c>
      <c r="AF175" t="str">
        <f>IFERROR(IF($V175&lt;=INDEX('Parametri Modello'!$C$57:$C$60,MATCH($B175,'Parametri Modello'!$A$57:$A$60,0)),"Titolare","Riserva"),"")</f>
        <v>Riserva</v>
      </c>
      <c r="AG175" t="str">
        <f>IFERROR(INDEX('Pressione Competitiva'!$F$3:$F$6,MATCH($B175,'Pressione Competitiva'!$B$3:$B$6,0)),"")</f>
        <v>🔴 Molto Alta</v>
      </c>
      <c r="AH175" t="str">
        <f t="shared" si="23"/>
        <v/>
      </c>
      <c r="AI175" t="str">
        <f>IFERROR(IF($AH175="","",IF($AH175&gt;=$AA175*'Parametri Modello'!$B$68,"🟢 Opportunita'",IF($AH175&lt;=$AA175*'Parametri Modello'!$B$69,"🔴 Sovrapprezzo","🟡 Prezzo Corretto"))),"")</f>
        <v/>
      </c>
      <c r="AJ175" t="str">
        <f t="shared" si="24"/>
        <v/>
      </c>
      <c r="AK175">
        <f t="shared" si="25"/>
        <v>11</v>
      </c>
      <c r="AL175" t="str">
        <f t="shared" si="26"/>
        <v>C|Nella Media|11</v>
      </c>
    </row>
    <row r="176" spans="1:38" ht="14.25" customHeight="1" x14ac:dyDescent="0.25">
      <c r="A176" s="18">
        <v>6549</v>
      </c>
      <c r="B176" s="18" t="s">
        <v>264</v>
      </c>
      <c r="C176" s="18" t="s">
        <v>339</v>
      </c>
      <c r="E176" s="23" t="str">
        <f>IF(COUNTIF('Info Strategia'!$D$2:$D$51,$C176)&gt;0,"SI","NO")</f>
        <v>NO</v>
      </c>
      <c r="F176" s="24">
        <f>IFERROR(ROUND(($G176+($H176-$G176)*'Info Strategia'!$B$6)*(1+IF($E176="SI",'Parametri Modello'!$B$7*'Info Strategia'!$B$6,0)),0),"")</f>
        <v>3</v>
      </c>
      <c r="G176" s="24">
        <f>IFERROR(ROUND(MAX(1,(IF($V176&lt;=INDEX('Parametri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2</v>
      </c>
      <c r="H176" s="24">
        <f>IFERROR(ROUND((IF($V176&lt;=INDEX('Parametri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3</v>
      </c>
      <c r="I176" s="23">
        <f>IFERROR(INDEX('Input Statistiche 2025_26'!$F$3:$F$665,MATCH($A176,'Input Statistiche 2025_26'!$A$3:$A$665,0)),"")</f>
        <v>37</v>
      </c>
      <c r="J176" s="23">
        <f t="shared" si="18"/>
        <v>1</v>
      </c>
      <c r="K176" s="23">
        <f>IFERROR(INDEX('Input Statistiche 2025_26'!$I$3:$I$665,MATCH($A176,'Input Statistiche 2025_26'!$A$3:$A$665,0)),"")</f>
        <v>1</v>
      </c>
      <c r="L176" s="23">
        <f>IFERROR(INDEX('Input Statistiche 2025_26'!$O$3:$O$665,MATCH($A176,'Input Statistiche 2025_26'!$A$3:$A$665,0)),"")</f>
        <v>1</v>
      </c>
      <c r="M176" s="25"/>
      <c r="N176" s="24">
        <f>IFERROR(INDEX('Input Giocatori 2026_27'!$E$3:$E$493,MATCH($A176,'Input Giocatori 2026_27'!$A$3:$A$493,0)),"")</f>
        <v>6</v>
      </c>
      <c r="O176" s="24">
        <f>IFERROR(INDEX('Input Giocatori 2026_27'!$G$3:$G$493,MATCH($A176,'Input Giocatori 2026_27'!$A$3:$A$493,0)),"")</f>
        <v>19</v>
      </c>
      <c r="P176" s="23" t="str">
        <f>IFERROR(IF($O176="","",IF((1-(COUNTIFS($B$2:$B$492,$B176,$O$2:$O$492,"&gt;"&amp;$O176)+1-1)/COUNTIF($B$2:$B$492,$B176))&gt;='Parametri Modello'!$B$63,"Top",IF((1-(COUNTIFS($B$2:$B$492,$B176,$O$2:$O$492,"&gt;"&amp;$O176)+1-1)/COUNTIF($B$2:$B$492,$B176))&gt;='Parametri Modello'!$B$64,"Buono",IF((1-(COUNTIFS($B$2:$B$492,$B176,$O$2:$O$492,"&gt;"&amp;$O176)+1-1)/COUNTIF($B$2:$B$492,$B176))&gt;='Parametri Modello'!$B$65,"Nella Media","Scommessa/Riserva")))),"")</f>
        <v>Nella Media</v>
      </c>
      <c r="Q176" s="26">
        <f>IF(AND($D176="",$N176&gt;1),SUMPRODUCT(($D$2:$D176="")*($N$2:$N176&gt;1)),"")</f>
        <v>175</v>
      </c>
      <c r="R176" s="26" t="str">
        <f>IF($D176='Info Lega'!$B$28,COUNTIFS($D$2:$D176,'Info Lega'!$B$28),"")</f>
        <v/>
      </c>
      <c r="S176" s="27">
        <f>IFERROR(INDEX('Input Statistiche 2025_26'!$G$3:$G$665,MATCH($A176,'Input Statistiche 2025_26'!$A$3:$A$665,0)),"")</f>
        <v>5.8</v>
      </c>
      <c r="T176" s="27">
        <f>IFERROR(INDEX('Input Statistiche 2025_26'!$H$3:$H$665,MATCH($A176,'Input Statistiche 2025_26'!$A$3:$A$665,0)),"")</f>
        <v>5.85</v>
      </c>
      <c r="U176" s="23" t="str">
        <f>IF(OR('La Mia Rosa'!$O$12="",$D176&lt;&gt;""),"",IF($F176&lt;='La Mia Rosa'!$O$12*'Parametri Modello'!$B$24,"OK",IF($F176&lt;='La Mia Rosa'!$O$12*'Parametri Modello'!$B$25,"Attenzione","Rischio Alto")))</f>
        <v>OK</v>
      </c>
      <c r="V176" s="23">
        <f t="shared" si="19"/>
        <v>66</v>
      </c>
      <c r="W176" s="18">
        <f>'Info Lega'!$B$4-SUMIFS($M$2:$M$492,$D$2:$D$492,'Info Lega'!$B$28)</f>
        <v>1000</v>
      </c>
      <c r="X176" s="18">
        <f>('Info Lega'!$B$5-COUNTIFS($D$2:$D$492,'Info Lega'!$B$28,$B$2:$B$492,"P"))+('Info Lega'!$B$6-COUNTIFS($D$2:$D$492,'Info Lega'!$B$28,$B$2:$B$492,"D"))+('Info Lega'!$B$7-COUNTIFS($D$2:$D$492,'Info Lega'!$B$28,$B$2:$B$492,"C"))+('Info Lega'!$B$8-COUNTIFS($D$2:$D$492,'Info Lega'!$B$28,$B$2:$B$492,"A"))</f>
        <v>25</v>
      </c>
      <c r="Y176" s="18">
        <f>X176*'Parametri Modello'!$B$30</f>
        <v>25</v>
      </c>
      <c r="Z176" s="18">
        <f t="shared" si="20"/>
        <v>975</v>
      </c>
      <c r="AA176" s="18">
        <f t="shared" si="21"/>
        <v>3</v>
      </c>
      <c r="AB176" s="18"/>
      <c r="AC176" s="18" t="str">
        <f>IF($AB176="","",IF($AB176&gt;$AA176,"PASS",IF($AB176&lt;=$AA176*(1-'Parametri Modello'!$B$68),"BID","ATTENZIONE")))</f>
        <v/>
      </c>
      <c r="AD176" s="28">
        <f t="shared" si="22"/>
        <v>71</v>
      </c>
      <c r="AE176" s="5" t="str">
        <f>IFERROR(IF($AF176="Titolare",INDEX('Stato Asta'!$G$9:$G$12,MATCH($B176,'Stato Asta'!$A$9:$A$12,0)),INDEX('Stato Asta'!$P$9:$P$12,MATCH($B176,'Stato Asta'!$A$9:$A$12,0))),"")</f>
        <v>🟢 Riserve abbondanti</v>
      </c>
      <c r="AF176" t="str">
        <f>IFERROR(IF($V176&lt;=INDEX('Parametri Modello'!$C$57:$C$60,MATCH($B176,'Parametri Modello'!$A$57:$A$60,0)),"Titolare","Riserva"),"")</f>
        <v>Riserva</v>
      </c>
      <c r="AG176" t="str">
        <f>IFERROR(INDEX('Pressione Competitiva'!$F$3:$F$6,MATCH($B176,'Pressione Competitiva'!$B$3:$B$6,0)),"")</f>
        <v>🔴 Molto Alta</v>
      </c>
      <c r="AH176" t="str">
        <f t="shared" si="23"/>
        <v/>
      </c>
      <c r="AI176" t="str">
        <f>IFERROR(IF($AH176="","",IF($AH176&gt;=$AA176*'Parametri Modello'!$B$68,"🟢 Opportunita'",IF($AH176&lt;=$AA176*'Parametri Modello'!$B$69,"🔴 Sovrapprezzo","🟡 Prezzo Corretto"))),"")</f>
        <v/>
      </c>
      <c r="AJ176" t="str">
        <f t="shared" si="24"/>
        <v/>
      </c>
      <c r="AK176">
        <f t="shared" si="25"/>
        <v>11</v>
      </c>
      <c r="AL176" t="str">
        <f t="shared" si="26"/>
        <v>C|Nella Media|11</v>
      </c>
    </row>
    <row r="177" spans="1:38" ht="14.25" customHeight="1" x14ac:dyDescent="0.25">
      <c r="A177" s="18">
        <v>5674</v>
      </c>
      <c r="B177" s="18" t="s">
        <v>264</v>
      </c>
      <c r="C177" s="18" t="s">
        <v>344</v>
      </c>
      <c r="E177" s="23" t="str">
        <f>IF(COUNTIF('Info Strategia'!$D$2:$D$51,$C177)&gt;0,"SI","NO")</f>
        <v>NO</v>
      </c>
      <c r="F177" s="24">
        <f>IFERROR(ROUND(($G177+($H177-$G177)*'Info Strategia'!$B$6)*(1+IF($E177="SI",'Parametri Modello'!$B$7*'Info Strategia'!$B$6,0)),0),"")</f>
        <v>3</v>
      </c>
      <c r="G177" s="24">
        <f>IFERROR(ROUND(MAX(1,(IF($V177&lt;=INDEX('Parametri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2</v>
      </c>
      <c r="H177" s="24">
        <f>IFERROR(ROUND((IF($V177&lt;=INDEX('Parametri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3</v>
      </c>
      <c r="I177" s="23">
        <f>IFERROR(INDEX('Input Statistiche 2025_26'!$F$3:$F$665,MATCH($A177,'Input Statistiche 2025_26'!$A$3:$A$665,0)),"")</f>
        <v>23</v>
      </c>
      <c r="J177" s="23">
        <f t="shared" si="18"/>
        <v>15</v>
      </c>
      <c r="K177" s="23">
        <f>IFERROR(INDEX('Input Statistiche 2025_26'!$I$3:$I$665,MATCH($A177,'Input Statistiche 2025_26'!$A$3:$A$665,0)),"")</f>
        <v>2</v>
      </c>
      <c r="L177" s="23">
        <f>IFERROR(INDEX('Input Statistiche 2025_26'!$O$3:$O$665,MATCH($A177,'Input Statistiche 2025_26'!$A$3:$A$665,0)),"")</f>
        <v>3</v>
      </c>
      <c r="M177" s="25"/>
      <c r="N177" s="24">
        <f>IFERROR(INDEX('Input Giocatori 2026_27'!$E$3:$E$493,MATCH($A177,'Input Giocatori 2026_27'!$A$3:$A$493,0)),"")</f>
        <v>6</v>
      </c>
      <c r="O177" s="24">
        <f>IFERROR(INDEX('Input Giocatori 2026_27'!$G$3:$G$493,MATCH($A177,'Input Giocatori 2026_27'!$A$3:$A$493,0)),"")</f>
        <v>19</v>
      </c>
      <c r="P177" s="23" t="str">
        <f>IFERROR(IF($O177="","",IF((1-(COUNTIFS($B$2:$B$492,$B177,$O$2:$O$492,"&gt;"&amp;$O177)+1-1)/COUNTIF($B$2:$B$492,$B177))&gt;='Parametri Modello'!$B$63,"Top",IF((1-(COUNTIFS($B$2:$B$492,$B177,$O$2:$O$492,"&gt;"&amp;$O177)+1-1)/COUNTIF($B$2:$B$492,$B177))&gt;='Parametri Modello'!$B$64,"Buono",IF((1-(COUNTIFS($B$2:$B$492,$B177,$O$2:$O$492,"&gt;"&amp;$O177)+1-1)/COUNTIF($B$2:$B$492,$B177))&gt;='Parametri Modello'!$B$65,"Nella Media","Scommessa/Riserva")))),"")</f>
        <v>Nella Media</v>
      </c>
      <c r="Q177" s="26">
        <f>IF(AND($D177="",$N177&gt;1),SUMPRODUCT(($D$2:$D177="")*($N$2:$N177&gt;1)),"")</f>
        <v>176</v>
      </c>
      <c r="R177" s="26" t="str">
        <f>IF($D177='Info Lega'!$B$28,COUNTIFS($D$2:$D177,'Info Lega'!$B$28),"")</f>
        <v/>
      </c>
      <c r="S177" s="27">
        <f>IFERROR(INDEX('Input Statistiche 2025_26'!$G$3:$G$665,MATCH($A177,'Input Statistiche 2025_26'!$A$3:$A$665,0)),"")</f>
        <v>6.09</v>
      </c>
      <c r="T177" s="27">
        <f>IFERROR(INDEX('Input Statistiche 2025_26'!$H$3:$H$665,MATCH($A177,'Input Statistiche 2025_26'!$A$3:$A$665,0)),"")</f>
        <v>6.43</v>
      </c>
      <c r="U177" s="23" t="str">
        <f>IF(OR('La Mia Rosa'!$O$12="",$D177&lt;&gt;""),"",IF($F177&lt;='La Mia Rosa'!$O$12*'Parametri Modello'!$B$24,"OK",IF($F177&lt;='La Mia Rosa'!$O$12*'Parametri Modello'!$B$25,"Attenzione","Rischio Alto")))</f>
        <v>OK</v>
      </c>
      <c r="V177" s="23">
        <f t="shared" si="19"/>
        <v>66</v>
      </c>
      <c r="W177" s="18">
        <f>'Info Lega'!$B$4-SUMIFS($M$2:$M$492,$D$2:$D$492,'Info Lega'!$B$28)</f>
        <v>1000</v>
      </c>
      <c r="X177" s="18">
        <f>('Info Lega'!$B$5-COUNTIFS($D$2:$D$492,'Info Lega'!$B$28,$B$2:$B$492,"P"))+('Info Lega'!$B$6-COUNTIFS($D$2:$D$492,'Info Lega'!$B$28,$B$2:$B$492,"D"))+('Info Lega'!$B$7-COUNTIFS($D$2:$D$492,'Info Lega'!$B$28,$B$2:$B$492,"C"))+('Info Lega'!$B$8-COUNTIFS($D$2:$D$492,'Info Lega'!$B$28,$B$2:$B$492,"A"))</f>
        <v>25</v>
      </c>
      <c r="Y177" s="18">
        <f>X177*'Parametri Modello'!$B$30</f>
        <v>25</v>
      </c>
      <c r="Z177" s="18">
        <f t="shared" si="20"/>
        <v>975</v>
      </c>
      <c r="AA177" s="18">
        <f t="shared" si="21"/>
        <v>3</v>
      </c>
      <c r="AB177" s="18"/>
      <c r="AC177" s="18" t="str">
        <f>IF($AB177="","",IF($AB177&gt;$AA177,"PASS",IF($AB177&lt;=$AA177*(1-'Parametri Modello'!$B$68),"BID","ATTENZIONE")))</f>
        <v/>
      </c>
      <c r="AD177" s="28">
        <f t="shared" si="22"/>
        <v>54</v>
      </c>
      <c r="AE177" s="5" t="str">
        <f>IFERROR(IF($AF177="Titolare",INDEX('Stato Asta'!$G$9:$G$12,MATCH($B177,'Stato Asta'!$A$9:$A$12,0)),INDEX('Stato Asta'!$P$9:$P$12,MATCH($B177,'Stato Asta'!$A$9:$A$12,0))),"")</f>
        <v>🟢 Riserve abbondanti</v>
      </c>
      <c r="AF177" t="str">
        <f>IFERROR(IF($V177&lt;=INDEX('Parametri Modello'!$C$57:$C$60,MATCH($B177,'Parametri Modello'!$A$57:$A$60,0)),"Titolare","Riserva"),"")</f>
        <v>Riserva</v>
      </c>
      <c r="AG177" t="str">
        <f>IFERROR(INDEX('Pressione Competitiva'!$F$3:$F$6,MATCH($B177,'Pressione Competitiva'!$B$3:$B$6,0)),"")</f>
        <v>🔴 Molto Alta</v>
      </c>
      <c r="AH177" t="str">
        <f t="shared" si="23"/>
        <v/>
      </c>
      <c r="AI177" t="str">
        <f>IFERROR(IF($AH177="","",IF($AH177&gt;=$AA177*'Parametri Modello'!$B$68,"🟢 Opportunita'",IF($AH177&lt;=$AA177*'Parametri Modello'!$B$69,"🔴 Sovrapprezzo","🟡 Prezzo Corretto"))),"")</f>
        <v/>
      </c>
      <c r="AJ177" t="str">
        <f t="shared" si="24"/>
        <v/>
      </c>
      <c r="AK177">
        <f t="shared" si="25"/>
        <v>11</v>
      </c>
      <c r="AL177" t="str">
        <f t="shared" si="26"/>
        <v>C|Nella Media|11</v>
      </c>
    </row>
    <row r="178" spans="1:38" ht="14.25" customHeight="1" x14ac:dyDescent="0.25">
      <c r="A178" s="18">
        <v>2529</v>
      </c>
      <c r="B178" s="18" t="s">
        <v>264</v>
      </c>
      <c r="C178" s="18" t="s">
        <v>353</v>
      </c>
      <c r="E178" s="23" t="str">
        <f>IF(COUNTIF('Info Strategia'!$D$2:$D$51,$C178)&gt;0,"SI","NO")</f>
        <v>NO</v>
      </c>
      <c r="F178" s="24">
        <f>IFERROR(ROUND(($G178+($H178-$G178)*'Info Strategia'!$B$6)*(1+IF($E178="SI",'Parametri Modello'!$B$7*'Info Strategia'!$B$6,0)),0),"")</f>
        <v>3</v>
      </c>
      <c r="G178" s="24">
        <f>IFERROR(ROUND(MAX(1,(IF($V178&lt;=INDEX('Parametri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2</v>
      </c>
      <c r="H178" s="24">
        <f>IFERROR(ROUND((IF($V178&lt;=INDEX('Parametri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3</v>
      </c>
      <c r="I178" s="23">
        <f>IFERROR(INDEX('Input Statistiche 2025_26'!$F$3:$F$665,MATCH($A178,'Input Statistiche 2025_26'!$A$3:$A$665,0)),"")</f>
        <v>28</v>
      </c>
      <c r="J178" s="23">
        <f t="shared" si="18"/>
        <v>10</v>
      </c>
      <c r="K178" s="23">
        <f>IFERROR(INDEX('Input Statistiche 2025_26'!$I$3:$I$665,MATCH($A178,'Input Statistiche 2025_26'!$A$3:$A$665,0)),"")</f>
        <v>4</v>
      </c>
      <c r="L178" s="23">
        <f>IFERROR(INDEX('Input Statistiche 2025_26'!$O$3:$O$665,MATCH($A178,'Input Statistiche 2025_26'!$A$3:$A$665,0)),"")</f>
        <v>1</v>
      </c>
      <c r="M178" s="25"/>
      <c r="N178" s="24">
        <f>IFERROR(INDEX('Input Giocatori 2026_27'!$E$3:$E$493,MATCH($A178,'Input Giocatori 2026_27'!$A$3:$A$493,0)),"")</f>
        <v>5</v>
      </c>
      <c r="O178" s="24">
        <f>IFERROR(INDEX('Input Giocatori 2026_27'!$G$3:$G$493,MATCH($A178,'Input Giocatori 2026_27'!$A$3:$A$493,0)),"")</f>
        <v>19</v>
      </c>
      <c r="P178" s="23" t="str">
        <f>IFERROR(IF($O178="","",IF((1-(COUNTIFS($B$2:$B$492,$B178,$O$2:$O$492,"&gt;"&amp;$O178)+1-1)/COUNTIF($B$2:$B$492,$B178))&gt;='Parametri Modello'!$B$63,"Top",IF((1-(COUNTIFS($B$2:$B$492,$B178,$O$2:$O$492,"&gt;"&amp;$O178)+1-1)/COUNTIF($B$2:$B$492,$B178))&gt;='Parametri Modello'!$B$64,"Buono",IF((1-(COUNTIFS($B$2:$B$492,$B178,$O$2:$O$492,"&gt;"&amp;$O178)+1-1)/COUNTIF($B$2:$B$492,$B178))&gt;='Parametri Modello'!$B$65,"Nella Media","Scommessa/Riserva")))),"")</f>
        <v>Nella Media</v>
      </c>
      <c r="Q178" s="26">
        <f>IF(AND($D178="",$N178&gt;1),SUMPRODUCT(($D$2:$D178="")*($N$2:$N178&gt;1)),"")</f>
        <v>177</v>
      </c>
      <c r="R178" s="26" t="str">
        <f>IF($D178='Info Lega'!$B$28,COUNTIFS($D$2:$D178,'Info Lega'!$B$28),"")</f>
        <v/>
      </c>
      <c r="S178" s="27">
        <f>IFERROR(INDEX('Input Statistiche 2025_26'!$G$3:$G$665,MATCH($A178,'Input Statistiche 2025_26'!$A$3:$A$665,0)),"")</f>
        <v>6.21</v>
      </c>
      <c r="T178" s="27">
        <f>IFERROR(INDEX('Input Statistiche 2025_26'!$H$3:$H$665,MATCH($A178,'Input Statistiche 2025_26'!$A$3:$A$665,0)),"")</f>
        <v>6.59</v>
      </c>
      <c r="U178" s="23" t="str">
        <f>IF(OR('La Mia Rosa'!$O$12="",$D178&lt;&gt;""),"",IF($F178&lt;='La Mia Rosa'!$O$12*'Parametri Modello'!$B$24,"OK",IF($F178&lt;='La Mia Rosa'!$O$12*'Parametri Modello'!$B$25,"Attenzione","Rischio Alto")))</f>
        <v>OK</v>
      </c>
      <c r="V178" s="23">
        <f t="shared" si="19"/>
        <v>66</v>
      </c>
      <c r="W178" s="18">
        <f>'Info Lega'!$B$4-SUMIFS($M$2:$M$492,$D$2:$D$492,'Info Lega'!$B$28)</f>
        <v>1000</v>
      </c>
      <c r="X178" s="18">
        <f>('Info Lega'!$B$5-COUNTIFS($D$2:$D$492,'Info Lega'!$B$28,$B$2:$B$492,"P"))+('Info Lega'!$B$6-COUNTIFS($D$2:$D$492,'Info Lega'!$B$28,$B$2:$B$492,"D"))+('Info Lega'!$B$7-COUNTIFS($D$2:$D$492,'Info Lega'!$B$28,$B$2:$B$492,"C"))+('Info Lega'!$B$8-COUNTIFS($D$2:$D$492,'Info Lega'!$B$28,$B$2:$B$492,"A"))</f>
        <v>25</v>
      </c>
      <c r="Y178" s="18">
        <f>X178*'Parametri Modello'!$B$30</f>
        <v>25</v>
      </c>
      <c r="Z178" s="18">
        <f t="shared" si="20"/>
        <v>975</v>
      </c>
      <c r="AA178" s="18">
        <f t="shared" si="21"/>
        <v>3</v>
      </c>
      <c r="AB178" s="18"/>
      <c r="AC178" s="18" t="str">
        <f>IF($AB178="","",IF($AB178&gt;$AA178,"PASS",IF($AB178&lt;=$AA178*(1-'Parametri Modello'!$B$68),"BID","ATTENZIONE")))</f>
        <v/>
      </c>
      <c r="AD178" s="28">
        <f t="shared" si="22"/>
        <v>61</v>
      </c>
      <c r="AE178" s="5" t="str">
        <f>IFERROR(IF($AF178="Titolare",INDEX('Stato Asta'!$G$9:$G$12,MATCH($B178,'Stato Asta'!$A$9:$A$12,0)),INDEX('Stato Asta'!$P$9:$P$12,MATCH($B178,'Stato Asta'!$A$9:$A$12,0))),"")</f>
        <v>🟢 Riserve abbondanti</v>
      </c>
      <c r="AF178" t="str">
        <f>IFERROR(IF($V178&lt;=INDEX('Parametri Modello'!$C$57:$C$60,MATCH($B178,'Parametri Modello'!$A$57:$A$60,0)),"Titolare","Riserva"),"")</f>
        <v>Riserva</v>
      </c>
      <c r="AG178" t="str">
        <f>IFERROR(INDEX('Pressione Competitiva'!$F$3:$F$6,MATCH($B178,'Pressione Competitiva'!$B$3:$B$6,0)),"")</f>
        <v>🔴 Molto Alta</v>
      </c>
      <c r="AH178" t="str">
        <f t="shared" si="23"/>
        <v/>
      </c>
      <c r="AI178" t="str">
        <f>IFERROR(IF($AH178="","",IF($AH178&gt;=$AA178*'Parametri Modello'!$B$68,"🟢 Opportunita'",IF($AH178&lt;=$AA178*'Parametri Modello'!$B$69,"🔴 Sovrapprezzo","🟡 Prezzo Corretto"))),"")</f>
        <v/>
      </c>
      <c r="AJ178" t="str">
        <f t="shared" si="24"/>
        <v/>
      </c>
      <c r="AK178">
        <f t="shared" si="25"/>
        <v>11</v>
      </c>
      <c r="AL178" t="str">
        <f t="shared" si="26"/>
        <v>C|Nella Media|11</v>
      </c>
    </row>
    <row r="179" spans="1:38" ht="14.25" customHeight="1" x14ac:dyDescent="0.25">
      <c r="A179" s="18">
        <v>6598</v>
      </c>
      <c r="B179" s="18" t="s">
        <v>437</v>
      </c>
      <c r="C179" s="18" t="s">
        <v>488</v>
      </c>
      <c r="E179" s="23" t="str">
        <f>IF(COUNTIF('Info Strategia'!$D$2:$D$51,$C179)&gt;0,"SI","NO")</f>
        <v>NO</v>
      </c>
      <c r="F179" s="24">
        <f>IFERROR(ROUND(($G179+($H179-$G179)*'Info Strategia'!$B$6)*(1+IF($E179="SI",'Parametri Modello'!$B$7*'Info Strategia'!$B$6,0)),0),"")</f>
        <v>6</v>
      </c>
      <c r="G179" s="24">
        <f>IFERROR(ROUND(MAX(1,(IF($V179&lt;=INDEX('Parametri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4</v>
      </c>
      <c r="H179" s="24">
        <f>IFERROR(ROUND((IF($V179&lt;=INDEX('Parametri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7</v>
      </c>
      <c r="I179" s="23" t="str">
        <f>IFERROR(INDEX('Input Statistiche 2025_26'!$F$3:$F$665,MATCH($A179,'Input Statistiche 2025_26'!$A$3:$A$665,0)),"")</f>
        <v/>
      </c>
      <c r="J179" s="23" t="str">
        <f t="shared" si="18"/>
        <v/>
      </c>
      <c r="K179" s="23" t="str">
        <f>IFERROR(INDEX('Input Statistiche 2025_26'!$I$3:$I$665,MATCH($A179,'Input Statistiche 2025_26'!$A$3:$A$665,0)),"")</f>
        <v/>
      </c>
      <c r="L179" s="23" t="str">
        <f>IFERROR(INDEX('Input Statistiche 2025_26'!$O$3:$O$665,MATCH($A179,'Input Statistiche 2025_26'!$A$3:$A$665,0)),"")</f>
        <v/>
      </c>
      <c r="M179" s="25"/>
      <c r="N179" s="24">
        <f>IFERROR(INDEX('Input Giocatori 2026_27'!$E$3:$E$493,MATCH($A179,'Input Giocatori 2026_27'!$A$3:$A$493,0)),"")</f>
        <v>6</v>
      </c>
      <c r="O179" s="24">
        <f>IFERROR(INDEX('Input Giocatori 2026_27'!$G$3:$G$493,MATCH($A179,'Input Giocatori 2026_27'!$A$3:$A$493,0)),"")</f>
        <v>19</v>
      </c>
      <c r="P179" s="23" t="str">
        <f>IFERROR(IF($O179="","",IF((1-(COUNTIFS($B$2:$B$492,$B179,$O$2:$O$492,"&gt;"&amp;$O179)+1-1)/COUNTIF($B$2:$B$492,$B179))&gt;='Parametri Modello'!$B$63,"Top",IF((1-(COUNTIFS($B$2:$B$492,$B179,$O$2:$O$492,"&gt;"&amp;$O179)+1-1)/COUNTIF($B$2:$B$492,$B179))&gt;='Parametri Modello'!$B$64,"Buono",IF((1-(COUNTIFS($B$2:$B$492,$B179,$O$2:$O$492,"&gt;"&amp;$O179)+1-1)/COUNTIF($B$2:$B$492,$B179))&gt;='Parametri Modello'!$B$65,"Nella Media","Scommessa/Riserva")))),"")</f>
        <v>Nella Media</v>
      </c>
      <c r="Q179" s="26">
        <f>IF(AND($D179="",$N179&gt;1),SUMPRODUCT(($D$2:$D179="")*($N$2:$N179&gt;1)),"")</f>
        <v>178</v>
      </c>
      <c r="R179" s="26" t="str">
        <f>IF($D179='Info Lega'!$B$28,COUNTIFS($D$2:$D179,'Info Lega'!$B$28),"")</f>
        <v/>
      </c>
      <c r="S179" s="27" t="str">
        <f>IFERROR(INDEX('Input Statistiche 2025_26'!$G$3:$G$665,MATCH($A179,'Input Statistiche 2025_26'!$A$3:$A$665,0)),"")</f>
        <v/>
      </c>
      <c r="T179" s="27" t="str">
        <f>IFERROR(INDEX('Input Statistiche 2025_26'!$H$3:$H$665,MATCH($A179,'Input Statistiche 2025_26'!$A$3:$A$665,0)),"")</f>
        <v/>
      </c>
      <c r="U179" s="23" t="str">
        <f>IF(OR('La Mia Rosa'!$O$12="",$D179&lt;&gt;""),"",IF($F179&lt;='La Mia Rosa'!$O$12*'Parametri Modello'!$B$24,"OK",IF($F179&lt;='La Mia Rosa'!$O$12*'Parametri Modello'!$B$25,"Attenzione","Rischio Alto")))</f>
        <v>OK</v>
      </c>
      <c r="V179" s="23">
        <f t="shared" si="19"/>
        <v>50</v>
      </c>
      <c r="W179" s="18">
        <f>'Info Lega'!$B$4-SUMIFS($M$2:$M$492,$D$2:$D$492,'Info Lega'!$B$28)</f>
        <v>1000</v>
      </c>
      <c r="X179" s="18">
        <f>('Info Lega'!$B$5-COUNTIFS($D$2:$D$492,'Info Lega'!$B$28,$B$2:$B$492,"P"))+('Info Lega'!$B$6-COUNTIFS($D$2:$D$492,'Info Lega'!$B$28,$B$2:$B$492,"D"))+('Info Lega'!$B$7-COUNTIFS($D$2:$D$492,'Info Lega'!$B$28,$B$2:$B$492,"C"))+('Info Lega'!$B$8-COUNTIFS($D$2:$D$492,'Info Lega'!$B$28,$B$2:$B$492,"A"))</f>
        <v>25</v>
      </c>
      <c r="Y179" s="18">
        <f>X179*'Parametri Modello'!$B$30</f>
        <v>25</v>
      </c>
      <c r="Z179" s="18">
        <f t="shared" si="20"/>
        <v>975</v>
      </c>
      <c r="AA179" s="18">
        <f t="shared" si="21"/>
        <v>6</v>
      </c>
      <c r="AB179" s="18"/>
      <c r="AC179" s="18" t="str">
        <f>IF($AB179="","",IF($AB179&gt;$AA179,"PASS",IF($AB179&lt;=$AA179*(1-'Parametri Modello'!$B$68),"BID","ATTENZIONE")))</f>
        <v/>
      </c>
      <c r="AD179" s="28" t="str">
        <f t="shared" si="22"/>
        <v/>
      </c>
      <c r="AE179" s="5" t="str">
        <f>IFERROR(IF($AF179="Titolare",INDEX('Stato Asta'!$G$9:$G$12,MATCH($B179,'Stato Asta'!$A$9:$A$12,0)),INDEX('Stato Asta'!$P$9:$P$12,MATCH($B179,'Stato Asta'!$A$9:$A$12,0))),"")</f>
        <v>🟢 Riserve abbondanti</v>
      </c>
      <c r="AF179" t="str">
        <f>IFERROR(IF($V179&lt;=INDEX('Parametri Modello'!$C$57:$C$60,MATCH($B179,'Parametri Modello'!$A$57:$A$60,0)),"Titolare","Riserva"),"")</f>
        <v>Riserva</v>
      </c>
      <c r="AG179" t="str">
        <f>IFERROR(INDEX('Pressione Competitiva'!$F$3:$F$6,MATCH($B179,'Pressione Competitiva'!$B$3:$B$6,0)),"")</f>
        <v>🔴 Molto Alta</v>
      </c>
      <c r="AH179" t="str">
        <f t="shared" si="23"/>
        <v/>
      </c>
      <c r="AI179" t="str">
        <f>IFERROR(IF($AH179="","",IF($AH179&gt;=$AA179*'Parametri Modello'!$B$68,"🟢 Opportunita'",IF($AH179&lt;=$AA179*'Parametri Modello'!$B$69,"🔴 Sovrapprezzo","🟡 Prezzo Corretto"))),"")</f>
        <v/>
      </c>
      <c r="AJ179" t="str">
        <f t="shared" si="24"/>
        <v/>
      </c>
      <c r="AK179">
        <f t="shared" si="25"/>
        <v>24</v>
      </c>
      <c r="AL179" t="str">
        <f t="shared" si="26"/>
        <v>A|Nella Media|24</v>
      </c>
    </row>
    <row r="180" spans="1:38" ht="14.25" customHeight="1" x14ac:dyDescent="0.25">
      <c r="A180" s="18">
        <v>7332</v>
      </c>
      <c r="B180" s="18" t="s">
        <v>8</v>
      </c>
      <c r="C180" s="18" t="s">
        <v>33</v>
      </c>
      <c r="E180" s="23" t="str">
        <f>IF(COUNTIF('Info Strategia'!$D$2:$D$51,$C180)&gt;0,"SI","NO")</f>
        <v>NO</v>
      </c>
      <c r="F180" s="24">
        <f>IFERROR(ROUND(($G180+($H180-$G180)*'Info Strategia'!$B$6)*(1+IF($E180="SI",'Parametri Modello'!$B$7*'Info Strategia'!$B$6,0)),0),"")</f>
        <v>6</v>
      </c>
      <c r="G180" s="24">
        <f>IFERROR(ROUND(MAX(1,(IF($V180&lt;=INDEX('Parametri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5</v>
      </c>
      <c r="H180" s="24">
        <f>IFERROR(ROUND((IF($V180&lt;=INDEX('Parametri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7</v>
      </c>
      <c r="I180" s="23">
        <f>IFERROR(INDEX('Input Statistiche 2025_26'!$F$3:$F$665,MATCH($A180,'Input Statistiche 2025_26'!$A$3:$A$665,0)),"")</f>
        <v>16</v>
      </c>
      <c r="J180" s="23">
        <f t="shared" si="18"/>
        <v>22</v>
      </c>
      <c r="K180" s="23">
        <f>IFERROR(INDEX('Input Statistiche 2025_26'!$I$3:$I$665,MATCH($A180,'Input Statistiche 2025_26'!$A$3:$A$665,0)),"")</f>
        <v>0</v>
      </c>
      <c r="L180" s="23">
        <f>IFERROR(INDEX('Input Statistiche 2025_26'!$O$3:$O$665,MATCH($A180,'Input Statistiche 2025_26'!$A$3:$A$665,0)),"")</f>
        <v>0</v>
      </c>
      <c r="M180" s="25"/>
      <c r="N180" s="24">
        <f>IFERROR(INDEX('Input Giocatori 2026_27'!$E$3:$E$493,MATCH($A180,'Input Giocatori 2026_27'!$A$3:$A$493,0)),"")</f>
        <v>8</v>
      </c>
      <c r="O180" s="24">
        <f>IFERROR(INDEX('Input Giocatori 2026_27'!$G$3:$G$493,MATCH($A180,'Input Giocatori 2026_27'!$A$3:$A$493,0)),"")</f>
        <v>18</v>
      </c>
      <c r="P180" s="23" t="str">
        <f>IFERROR(IF($O180="","",IF((1-(COUNTIFS($B$2:$B$492,$B180,$O$2:$O$492,"&gt;"&amp;$O180)+1-1)/COUNTIF($B$2:$B$492,$B180))&gt;='Parametri Modello'!$B$63,"Top",IF((1-(COUNTIFS($B$2:$B$492,$B180,$O$2:$O$492,"&gt;"&amp;$O180)+1-1)/COUNTIF($B$2:$B$492,$B180))&gt;='Parametri Modello'!$B$64,"Buono",IF((1-(COUNTIFS($B$2:$B$492,$B180,$O$2:$O$492,"&gt;"&amp;$O180)+1-1)/COUNTIF($B$2:$B$492,$B180))&gt;='Parametri Modello'!$B$65,"Nella Media","Scommessa/Riserva")))),"")</f>
        <v>Buono</v>
      </c>
      <c r="Q180" s="26">
        <f>IF(AND($D180="",$N180&gt;1),SUMPRODUCT(($D$2:$D180="")*($N$2:$N180&gt;1)),"")</f>
        <v>179</v>
      </c>
      <c r="R180" s="26" t="str">
        <f>IF($D180='Info Lega'!$B$28,COUNTIFS($D$2:$D180,'Info Lega'!$B$28),"")</f>
        <v/>
      </c>
      <c r="S180" s="27">
        <f>IFERROR(INDEX('Input Statistiche 2025_26'!$G$3:$G$665,MATCH($A180,'Input Statistiche 2025_26'!$A$3:$A$665,0)),"")</f>
        <v>6.06</v>
      </c>
      <c r="T180" s="27">
        <f>IFERROR(INDEX('Input Statistiche 2025_26'!$H$3:$H$665,MATCH($A180,'Input Statistiche 2025_26'!$A$3:$A$665,0)),"")</f>
        <v>4.78</v>
      </c>
      <c r="U180" s="23" t="str">
        <f>IF(OR('La Mia Rosa'!$O$12="",$D180&lt;&gt;""),"",IF($F180&lt;='La Mia Rosa'!$O$12*'Parametri Modello'!$B$24,"OK",IF($F180&lt;='La Mia Rosa'!$O$12*'Parametri Modello'!$B$25,"Attenzione","Rischio Alto")))</f>
        <v>OK</v>
      </c>
      <c r="V180" s="23">
        <f t="shared" si="19"/>
        <v>15</v>
      </c>
      <c r="W180" s="18">
        <f>'Info Lega'!$B$4-SUMIFS($M$2:$M$492,$D$2:$D$492,'Info Lega'!$B$28)</f>
        <v>1000</v>
      </c>
      <c r="X180" s="18">
        <f>('Info Lega'!$B$5-COUNTIFS($D$2:$D$492,'Info Lega'!$B$28,$B$2:$B$492,"P"))+('Info Lega'!$B$6-COUNTIFS($D$2:$D$492,'Info Lega'!$B$28,$B$2:$B$492,"D"))+('Info Lega'!$B$7-COUNTIFS($D$2:$D$492,'Info Lega'!$B$28,$B$2:$B$492,"C"))+('Info Lega'!$B$8-COUNTIFS($D$2:$D$492,'Info Lega'!$B$28,$B$2:$B$492,"A"))</f>
        <v>25</v>
      </c>
      <c r="Y180" s="18">
        <f>X180*'Parametri Modello'!$B$30</f>
        <v>25</v>
      </c>
      <c r="Z180" s="18">
        <f t="shared" si="20"/>
        <v>975</v>
      </c>
      <c r="AA180" s="18">
        <f t="shared" si="21"/>
        <v>6</v>
      </c>
      <c r="AB180" s="18"/>
      <c r="AC180" s="18" t="str">
        <f>IF($AB180="","",IF($AB180&gt;$AA180,"PASS",IF($AB180&lt;=$AA180*(1-'Parametri Modello'!$B$68),"BID","ATTENZIONE")))</f>
        <v/>
      </c>
      <c r="AD180" s="28">
        <f t="shared" si="22"/>
        <v>41</v>
      </c>
      <c r="AE180" s="5" t="str">
        <f>IFERROR(IF($AF180="Titolare",INDEX('Stato Asta'!$G$9:$G$12,MATCH($B180,'Stato Asta'!$A$9:$A$12,0)),INDEX('Stato Asta'!$P$9:$P$12,MATCH($B180,'Stato Asta'!$A$9:$A$12,0))),"")</f>
        <v>🔴 Riserve scarse</v>
      </c>
      <c r="AF180" t="str">
        <f>IFERROR(IF($V180&lt;=INDEX('Parametri Modello'!$C$57:$C$60,MATCH($B180,'Parametri Modello'!$A$57:$A$60,0)),"Titolare","Riserva"),"")</f>
        <v>Riserva</v>
      </c>
      <c r="AG180" t="str">
        <f>IFERROR(INDEX('Pressione Competitiva'!$F$3:$F$6,MATCH($B180,'Pressione Competitiva'!$B$3:$B$6,0)),"")</f>
        <v>🔴 Molto Alta</v>
      </c>
      <c r="AH180" t="str">
        <f t="shared" si="23"/>
        <v/>
      </c>
      <c r="AI180" t="str">
        <f>IFERROR(IF($AH180="","",IF($AH180&gt;=$AA180*'Parametri Modello'!$B$68,"🟢 Opportunita'",IF($AH180&lt;=$AA180*'Parametri Modello'!$B$69,"🔴 Sovrapprezzo","🟡 Prezzo Corretto"))),"")</f>
        <v/>
      </c>
      <c r="AJ180" t="str">
        <f t="shared" si="24"/>
        <v/>
      </c>
      <c r="AK180">
        <f t="shared" si="25"/>
        <v>8</v>
      </c>
      <c r="AL180" t="str">
        <f t="shared" si="26"/>
        <v>P|Buono|8</v>
      </c>
    </row>
    <row r="181" spans="1:38" ht="14.25" customHeight="1" x14ac:dyDescent="0.25">
      <c r="A181" s="18">
        <v>6042</v>
      </c>
      <c r="B181" s="18" t="s">
        <v>88</v>
      </c>
      <c r="C181" s="18" t="s">
        <v>113</v>
      </c>
      <c r="E181" s="23" t="str">
        <f>IF(COUNTIF('Info Strategia'!$D$2:$D$51,$C181)&gt;0,"SI","NO")</f>
        <v>NO</v>
      </c>
      <c r="F181" s="24">
        <f>IFERROR(ROUND(($G181+($H181-$G181)*'Info Strategia'!$B$6)*(1+IF($E181="SI",'Parametri Modello'!$B$7*'Info Strategia'!$B$6,0)),0),"")</f>
        <v>3</v>
      </c>
      <c r="G181" s="24">
        <f>IFERROR(ROUND(MAX(1,(IF($V181&lt;=INDEX('Parametri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2</v>
      </c>
      <c r="H181" s="24">
        <f>IFERROR(ROUND((IF($V181&lt;=INDEX('Parametri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4</v>
      </c>
      <c r="I181" s="23">
        <f>IFERROR(INDEX('Input Statistiche 2025_26'!$F$3:$F$665,MATCH($A181,'Input Statistiche 2025_26'!$A$3:$A$665,0)),"")</f>
        <v>28</v>
      </c>
      <c r="J181" s="23">
        <f t="shared" si="18"/>
        <v>10</v>
      </c>
      <c r="K181" s="23">
        <f>IFERROR(INDEX('Input Statistiche 2025_26'!$I$3:$I$665,MATCH($A181,'Input Statistiche 2025_26'!$A$3:$A$665,0)),"")</f>
        <v>1</v>
      </c>
      <c r="L181" s="23">
        <f>IFERROR(INDEX('Input Statistiche 2025_26'!$O$3:$O$665,MATCH($A181,'Input Statistiche 2025_26'!$A$3:$A$665,0)),"")</f>
        <v>0</v>
      </c>
      <c r="M181" s="25"/>
      <c r="N181" s="24">
        <f>IFERROR(INDEX('Input Giocatori 2026_27'!$E$3:$E$493,MATCH($A181,'Input Giocatori 2026_27'!$A$3:$A$493,0)),"")</f>
        <v>8</v>
      </c>
      <c r="O181" s="24">
        <f>IFERROR(INDEX('Input Giocatori 2026_27'!$G$3:$G$493,MATCH($A181,'Input Giocatori 2026_27'!$A$3:$A$493,0)),"")</f>
        <v>18</v>
      </c>
      <c r="P181" s="23" t="str">
        <f>IFERROR(IF($O181="","",IF((1-(COUNTIFS($B$2:$B$492,$B181,$O$2:$O$492,"&gt;"&amp;$O181)+1-1)/COUNTIF($B$2:$B$492,$B181))&gt;='Parametri Modello'!$B$63,"Top",IF((1-(COUNTIFS($B$2:$B$492,$B181,$O$2:$O$492,"&gt;"&amp;$O181)+1-1)/COUNTIF($B$2:$B$492,$B181))&gt;='Parametri Modello'!$B$64,"Buono",IF((1-(COUNTIFS($B$2:$B$492,$B181,$O$2:$O$492,"&gt;"&amp;$O181)+1-1)/COUNTIF($B$2:$B$492,$B181))&gt;='Parametri Modello'!$B$65,"Nella Media","Scommessa/Riserva")))),"")</f>
        <v>Buono</v>
      </c>
      <c r="Q181" s="26">
        <f>IF(AND($D181="",$N181&gt;1),SUMPRODUCT(($D$2:$D181="")*($N$2:$N181&gt;1)),"")</f>
        <v>180</v>
      </c>
      <c r="R181" s="26" t="str">
        <f>IF($D181='Info Lega'!$B$28,COUNTIFS($D$2:$D181,'Info Lega'!$B$28),"")</f>
        <v/>
      </c>
      <c r="S181" s="27">
        <f>IFERROR(INDEX('Input Statistiche 2025_26'!$G$3:$G$665,MATCH($A181,'Input Statistiche 2025_26'!$A$3:$A$665,0)),"")</f>
        <v>5.88</v>
      </c>
      <c r="T181" s="27">
        <f>IFERROR(INDEX('Input Statistiche 2025_26'!$H$3:$H$665,MATCH($A181,'Input Statistiche 2025_26'!$A$3:$A$665,0)),"")</f>
        <v>5.89</v>
      </c>
      <c r="U181" s="23" t="str">
        <f>IF(OR('La Mia Rosa'!$O$12="",$D181&lt;&gt;""),"",IF($F181&lt;='La Mia Rosa'!$O$12*'Parametri Modello'!$B$24,"OK",IF($F181&lt;='La Mia Rosa'!$O$12*'Parametri Modello'!$B$25,"Attenzione","Rischio Alto")))</f>
        <v>OK</v>
      </c>
      <c r="V181" s="23">
        <f t="shared" si="19"/>
        <v>45</v>
      </c>
      <c r="W181" s="18">
        <f>'Info Lega'!$B$4-SUMIFS($M$2:$M$492,$D$2:$D$492,'Info Lega'!$B$28)</f>
        <v>1000</v>
      </c>
      <c r="X181" s="18">
        <f>('Info Lega'!$B$5-COUNTIFS($D$2:$D$492,'Info Lega'!$B$28,$B$2:$B$492,"P"))+('Info Lega'!$B$6-COUNTIFS($D$2:$D$492,'Info Lega'!$B$28,$B$2:$B$492,"D"))+('Info Lega'!$B$7-COUNTIFS($D$2:$D$492,'Info Lega'!$B$28,$B$2:$B$492,"C"))+('Info Lega'!$B$8-COUNTIFS($D$2:$D$492,'Info Lega'!$B$28,$B$2:$B$492,"A"))</f>
        <v>25</v>
      </c>
      <c r="Y181" s="18">
        <f>X181*'Parametri Modello'!$B$30</f>
        <v>25</v>
      </c>
      <c r="Z181" s="18">
        <f t="shared" si="20"/>
        <v>975</v>
      </c>
      <c r="AA181" s="18">
        <f t="shared" si="21"/>
        <v>3</v>
      </c>
      <c r="AB181" s="18"/>
      <c r="AC181" s="18" t="str">
        <f>IF($AB181="","",IF($AB181&gt;$AA181,"PASS",IF($AB181&lt;=$AA181*(1-'Parametri Modello'!$B$68),"BID","ATTENZIONE")))</f>
        <v/>
      </c>
      <c r="AD181" s="28">
        <f t="shared" si="22"/>
        <v>61</v>
      </c>
      <c r="AE181" s="5" t="str">
        <f>IFERROR(IF($AF181="Titolare",INDEX('Stato Asta'!$G$9:$G$12,MATCH($B181,'Stato Asta'!$A$9:$A$12,0)),INDEX('Stato Asta'!$P$9:$P$12,MATCH($B181,'Stato Asta'!$A$9:$A$12,0))),"")</f>
        <v>🟢 Riserve abbondanti</v>
      </c>
      <c r="AF181" t="str">
        <f>IFERROR(IF($V181&lt;=INDEX('Parametri Modello'!$C$57:$C$60,MATCH($B181,'Parametri Modello'!$A$57:$A$60,0)),"Titolare","Riserva"),"")</f>
        <v>Riserva</v>
      </c>
      <c r="AG181" t="str">
        <f>IFERROR(INDEX('Pressione Competitiva'!$F$3:$F$6,MATCH($B181,'Pressione Competitiva'!$B$3:$B$6,0)),"")</f>
        <v>🔴 Molto Alta</v>
      </c>
      <c r="AH181" t="str">
        <f t="shared" si="23"/>
        <v/>
      </c>
      <c r="AI181" t="str">
        <f>IFERROR(IF($AH181="","",IF($AH181&gt;=$AA181*'Parametri Modello'!$B$68,"🟢 Opportunita'",IF($AH181&lt;=$AA181*'Parametri Modello'!$B$69,"🔴 Sovrapprezzo","🟡 Prezzo Corretto"))),"")</f>
        <v/>
      </c>
      <c r="AJ181" t="str">
        <f t="shared" si="24"/>
        <v/>
      </c>
      <c r="AK181">
        <f t="shared" si="25"/>
        <v>27</v>
      </c>
      <c r="AL181" t="str">
        <f t="shared" si="26"/>
        <v>D|Buono|27</v>
      </c>
    </row>
    <row r="182" spans="1:38" ht="14.25" customHeight="1" x14ac:dyDescent="0.25">
      <c r="A182" s="18">
        <v>2724</v>
      </c>
      <c r="B182" s="18" t="s">
        <v>88</v>
      </c>
      <c r="C182" s="18" t="s">
        <v>135</v>
      </c>
      <c r="E182" s="23" t="str">
        <f>IF(COUNTIF('Info Strategia'!$D$2:$D$51,$C182)&gt;0,"SI","NO")</f>
        <v>NO</v>
      </c>
      <c r="F182" s="24">
        <f>IFERROR(ROUND(($G182+($H182-$G182)*'Info Strategia'!$B$6)*(1+IF($E182="SI",'Parametri Modello'!$B$7*'Info Strategia'!$B$6,0)),0),"")</f>
        <v>3</v>
      </c>
      <c r="G182" s="24">
        <f>IFERROR(ROUND(MAX(1,(IF($V182&lt;=INDEX('Parametri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2</v>
      </c>
      <c r="H182" s="24">
        <f>IFERROR(ROUND((IF($V182&lt;=INDEX('Parametri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4</v>
      </c>
      <c r="I182" s="23">
        <f>IFERROR(INDEX('Input Statistiche 2025_26'!$F$3:$F$665,MATCH($A182,'Input Statistiche 2025_26'!$A$3:$A$665,0)),"")</f>
        <v>32</v>
      </c>
      <c r="J182" s="23">
        <f t="shared" si="18"/>
        <v>6</v>
      </c>
      <c r="K182" s="23">
        <f>IFERROR(INDEX('Input Statistiche 2025_26'!$I$3:$I$665,MATCH($A182,'Input Statistiche 2025_26'!$A$3:$A$665,0)),"")</f>
        <v>0</v>
      </c>
      <c r="L182" s="23">
        <f>IFERROR(INDEX('Input Statistiche 2025_26'!$O$3:$O$665,MATCH($A182,'Input Statistiche 2025_26'!$A$3:$A$665,0)),"")</f>
        <v>1</v>
      </c>
      <c r="M182" s="25"/>
      <c r="N182" s="24">
        <f>IFERROR(INDEX('Input Giocatori 2026_27'!$E$3:$E$493,MATCH($A182,'Input Giocatori 2026_27'!$A$3:$A$493,0)),"")</f>
        <v>7</v>
      </c>
      <c r="O182" s="24">
        <f>IFERROR(INDEX('Input Giocatori 2026_27'!$G$3:$G$493,MATCH($A182,'Input Giocatori 2026_27'!$A$3:$A$493,0)),"")</f>
        <v>18</v>
      </c>
      <c r="P182" s="23" t="str">
        <f>IFERROR(IF($O182="","",IF((1-(COUNTIFS($B$2:$B$492,$B182,$O$2:$O$492,"&gt;"&amp;$O182)+1-1)/COUNTIF($B$2:$B$492,$B182))&gt;='Parametri Modello'!$B$63,"Top",IF((1-(COUNTIFS($B$2:$B$492,$B182,$O$2:$O$492,"&gt;"&amp;$O182)+1-1)/COUNTIF($B$2:$B$492,$B182))&gt;='Parametri Modello'!$B$64,"Buono",IF((1-(COUNTIFS($B$2:$B$492,$B182,$O$2:$O$492,"&gt;"&amp;$O182)+1-1)/COUNTIF($B$2:$B$492,$B182))&gt;='Parametri Modello'!$B$65,"Nella Media","Scommessa/Riserva")))),"")</f>
        <v>Buono</v>
      </c>
      <c r="Q182" s="26">
        <f>IF(AND($D182="",$N182&gt;1),SUMPRODUCT(($D$2:$D182="")*($N$2:$N182&gt;1)),"")</f>
        <v>181</v>
      </c>
      <c r="R182" s="26" t="str">
        <f>IF($D182='Info Lega'!$B$28,COUNTIFS($D$2:$D182,'Info Lega'!$B$28),"")</f>
        <v/>
      </c>
      <c r="S182" s="27">
        <f>IFERROR(INDEX('Input Statistiche 2025_26'!$G$3:$G$665,MATCH($A182,'Input Statistiche 2025_26'!$A$3:$A$665,0)),"")</f>
        <v>5.89</v>
      </c>
      <c r="T182" s="27">
        <f>IFERROR(INDEX('Input Statistiche 2025_26'!$H$3:$H$665,MATCH($A182,'Input Statistiche 2025_26'!$A$3:$A$665,0)),"")</f>
        <v>5.88</v>
      </c>
      <c r="U182" s="23" t="str">
        <f>IF(OR('La Mia Rosa'!$O$12="",$D182&lt;&gt;""),"",IF($F182&lt;='La Mia Rosa'!$O$12*'Parametri Modello'!$B$24,"OK",IF($F182&lt;='La Mia Rosa'!$O$12*'Parametri Modello'!$B$25,"Attenzione","Rischio Alto")))</f>
        <v>OK</v>
      </c>
      <c r="V182" s="23">
        <f t="shared" si="19"/>
        <v>45</v>
      </c>
      <c r="W182" s="18">
        <f>'Info Lega'!$B$4-SUMIFS($M$2:$M$492,$D$2:$D$492,'Info Lega'!$B$28)</f>
        <v>1000</v>
      </c>
      <c r="X182" s="18">
        <f>('Info Lega'!$B$5-COUNTIFS($D$2:$D$492,'Info Lega'!$B$28,$B$2:$B$492,"P"))+('Info Lega'!$B$6-COUNTIFS($D$2:$D$492,'Info Lega'!$B$28,$B$2:$B$492,"D"))+('Info Lega'!$B$7-COUNTIFS($D$2:$D$492,'Info Lega'!$B$28,$B$2:$B$492,"C"))+('Info Lega'!$B$8-COUNTIFS($D$2:$D$492,'Info Lega'!$B$28,$B$2:$B$492,"A"))</f>
        <v>25</v>
      </c>
      <c r="Y182" s="18">
        <f>X182*'Parametri Modello'!$B$30</f>
        <v>25</v>
      </c>
      <c r="Z182" s="18">
        <f t="shared" si="20"/>
        <v>975</v>
      </c>
      <c r="AA182" s="18">
        <f t="shared" si="21"/>
        <v>3</v>
      </c>
      <c r="AB182" s="18"/>
      <c r="AC182" s="18" t="str">
        <f>IF($AB182="","",IF($AB182&gt;$AA182,"PASS",IF($AB182&lt;=$AA182*(1-'Parametri Modello'!$B$68),"BID","ATTENZIONE")))</f>
        <v/>
      </c>
      <c r="AD182" s="28">
        <f t="shared" si="22"/>
        <v>66</v>
      </c>
      <c r="AE182" s="5" t="str">
        <f>IFERROR(IF($AF182="Titolare",INDEX('Stato Asta'!$G$9:$G$12,MATCH($B182,'Stato Asta'!$A$9:$A$12,0)),INDEX('Stato Asta'!$P$9:$P$12,MATCH($B182,'Stato Asta'!$A$9:$A$12,0))),"")</f>
        <v>🟢 Riserve abbondanti</v>
      </c>
      <c r="AF182" t="str">
        <f>IFERROR(IF($V182&lt;=INDEX('Parametri Modello'!$C$57:$C$60,MATCH($B182,'Parametri Modello'!$A$57:$A$60,0)),"Titolare","Riserva"),"")</f>
        <v>Riserva</v>
      </c>
      <c r="AG182" t="str">
        <f>IFERROR(INDEX('Pressione Competitiva'!$F$3:$F$6,MATCH($B182,'Pressione Competitiva'!$B$3:$B$6,0)),"")</f>
        <v>🔴 Molto Alta</v>
      </c>
      <c r="AH182" t="str">
        <f t="shared" si="23"/>
        <v/>
      </c>
      <c r="AI182" t="str">
        <f>IFERROR(IF($AH182="","",IF($AH182&gt;=$AA182*'Parametri Modello'!$B$68,"🟢 Opportunita'",IF($AH182&lt;=$AA182*'Parametri Modello'!$B$69,"🔴 Sovrapprezzo","🟡 Prezzo Corretto"))),"")</f>
        <v/>
      </c>
      <c r="AJ182" t="str">
        <f t="shared" si="24"/>
        <v/>
      </c>
      <c r="AK182">
        <f t="shared" si="25"/>
        <v>27</v>
      </c>
      <c r="AL182" t="str">
        <f t="shared" si="26"/>
        <v>D|Buono|27</v>
      </c>
    </row>
    <row r="183" spans="1:38" ht="14.25" customHeight="1" x14ac:dyDescent="0.25">
      <c r="A183" s="18">
        <v>6642</v>
      </c>
      <c r="B183" s="18" t="s">
        <v>88</v>
      </c>
      <c r="C183" s="18" t="s">
        <v>137</v>
      </c>
      <c r="E183" s="23" t="str">
        <f>IF(COUNTIF('Info Strategia'!$D$2:$D$51,$C183)&gt;0,"SI","NO")</f>
        <v>NO</v>
      </c>
      <c r="F183" s="24">
        <f>IFERROR(ROUND(($G183+($H183-$G183)*'Info Strategia'!$B$6)*(1+IF($E183="SI",'Parametri Modello'!$B$7*'Info Strategia'!$B$6,0)),0),"")</f>
        <v>3</v>
      </c>
      <c r="G183" s="24">
        <f>IFERROR(ROUND(MAX(1,(IF($V183&lt;=INDEX('Parametri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2</v>
      </c>
      <c r="H183" s="24">
        <f>IFERROR(ROUND((IF($V183&lt;=INDEX('Parametri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4</v>
      </c>
      <c r="I183" s="23">
        <f>IFERROR(INDEX('Input Statistiche 2025_26'!$F$3:$F$665,MATCH($A183,'Input Statistiche 2025_26'!$A$3:$A$665,0)),"")</f>
        <v>35</v>
      </c>
      <c r="J183" s="23">
        <f t="shared" si="18"/>
        <v>3</v>
      </c>
      <c r="K183" s="23">
        <f>IFERROR(INDEX('Input Statistiche 2025_26'!$I$3:$I$665,MATCH($A183,'Input Statistiche 2025_26'!$A$3:$A$665,0)),"")</f>
        <v>1</v>
      </c>
      <c r="L183" s="23">
        <f>IFERROR(INDEX('Input Statistiche 2025_26'!$O$3:$O$665,MATCH($A183,'Input Statistiche 2025_26'!$A$3:$A$665,0)),"")</f>
        <v>1</v>
      </c>
      <c r="M183" s="25"/>
      <c r="N183" s="24">
        <f>IFERROR(INDEX('Input Giocatori 2026_27'!$E$3:$E$493,MATCH($A183,'Input Giocatori 2026_27'!$A$3:$A$493,0)),"")</f>
        <v>7</v>
      </c>
      <c r="O183" s="24">
        <f>IFERROR(INDEX('Input Giocatori 2026_27'!$G$3:$G$493,MATCH($A183,'Input Giocatori 2026_27'!$A$3:$A$493,0)),"")</f>
        <v>18</v>
      </c>
      <c r="P183" s="23" t="str">
        <f>IFERROR(IF($O183="","",IF((1-(COUNTIFS($B$2:$B$492,$B183,$O$2:$O$492,"&gt;"&amp;$O183)+1-1)/COUNTIF($B$2:$B$492,$B183))&gt;='Parametri Modello'!$B$63,"Top",IF((1-(COUNTIFS($B$2:$B$492,$B183,$O$2:$O$492,"&gt;"&amp;$O183)+1-1)/COUNTIF($B$2:$B$492,$B183))&gt;='Parametri Modello'!$B$64,"Buono",IF((1-(COUNTIFS($B$2:$B$492,$B183,$O$2:$O$492,"&gt;"&amp;$O183)+1-1)/COUNTIF($B$2:$B$492,$B183))&gt;='Parametri Modello'!$B$65,"Nella Media","Scommessa/Riserva")))),"")</f>
        <v>Buono</v>
      </c>
      <c r="Q183" s="26">
        <f>IF(AND($D183="",$N183&gt;1),SUMPRODUCT(($D$2:$D183="")*($N$2:$N183&gt;1)),"")</f>
        <v>182</v>
      </c>
      <c r="R183" s="26" t="str">
        <f>IF($D183='Info Lega'!$B$28,COUNTIFS($D$2:$D183,'Info Lega'!$B$28),"")</f>
        <v/>
      </c>
      <c r="S183" s="27">
        <f>IFERROR(INDEX('Input Statistiche 2025_26'!$G$3:$G$665,MATCH($A183,'Input Statistiche 2025_26'!$A$3:$A$665,0)),"")</f>
        <v>5.84</v>
      </c>
      <c r="T183" s="27">
        <f>IFERROR(INDEX('Input Statistiche 2025_26'!$H$3:$H$665,MATCH($A183,'Input Statistiche 2025_26'!$A$3:$A$665,0)),"")</f>
        <v>5.91</v>
      </c>
      <c r="U183" s="23" t="str">
        <f>IF(OR('La Mia Rosa'!$O$12="",$D183&lt;&gt;""),"",IF($F183&lt;='La Mia Rosa'!$O$12*'Parametri Modello'!$B$24,"OK",IF($F183&lt;='La Mia Rosa'!$O$12*'Parametri Modello'!$B$25,"Attenzione","Rischio Alto")))</f>
        <v>OK</v>
      </c>
      <c r="V183" s="23">
        <f t="shared" si="19"/>
        <v>45</v>
      </c>
      <c r="W183" s="18">
        <f>'Info Lega'!$B$4-SUMIFS($M$2:$M$492,$D$2:$D$492,'Info Lega'!$B$28)</f>
        <v>1000</v>
      </c>
      <c r="X183" s="18">
        <f>('Info Lega'!$B$5-COUNTIFS($D$2:$D$492,'Info Lega'!$B$28,$B$2:$B$492,"P"))+('Info Lega'!$B$6-COUNTIFS($D$2:$D$492,'Info Lega'!$B$28,$B$2:$B$492,"D"))+('Info Lega'!$B$7-COUNTIFS($D$2:$D$492,'Info Lega'!$B$28,$B$2:$B$492,"C"))+('Info Lega'!$B$8-COUNTIFS($D$2:$D$492,'Info Lega'!$B$28,$B$2:$B$492,"A"))</f>
        <v>25</v>
      </c>
      <c r="Y183" s="18">
        <f>X183*'Parametri Modello'!$B$30</f>
        <v>25</v>
      </c>
      <c r="Z183" s="18">
        <f t="shared" si="20"/>
        <v>975</v>
      </c>
      <c r="AA183" s="18">
        <f t="shared" si="21"/>
        <v>3</v>
      </c>
      <c r="AB183" s="18"/>
      <c r="AC183" s="18" t="str">
        <f>IF($AB183="","",IF($AB183&gt;$AA183,"PASS",IF($AB183&lt;=$AA183*(1-'Parametri Modello'!$B$68),"BID","ATTENZIONE")))</f>
        <v/>
      </c>
      <c r="AD183" s="28">
        <f t="shared" si="22"/>
        <v>69</v>
      </c>
      <c r="AE183" s="5" t="str">
        <f>IFERROR(IF($AF183="Titolare",INDEX('Stato Asta'!$G$9:$G$12,MATCH($B183,'Stato Asta'!$A$9:$A$12,0)),INDEX('Stato Asta'!$P$9:$P$12,MATCH($B183,'Stato Asta'!$A$9:$A$12,0))),"")</f>
        <v>🟢 Riserve abbondanti</v>
      </c>
      <c r="AF183" t="str">
        <f>IFERROR(IF($V183&lt;=INDEX('Parametri Modello'!$C$57:$C$60,MATCH($B183,'Parametri Modello'!$A$57:$A$60,0)),"Titolare","Riserva"),"")</f>
        <v>Riserva</v>
      </c>
      <c r="AG183" t="str">
        <f>IFERROR(INDEX('Pressione Competitiva'!$F$3:$F$6,MATCH($B183,'Pressione Competitiva'!$B$3:$B$6,0)),"")</f>
        <v>🔴 Molto Alta</v>
      </c>
      <c r="AH183" t="str">
        <f t="shared" si="23"/>
        <v/>
      </c>
      <c r="AI183" t="str">
        <f>IFERROR(IF($AH183="","",IF($AH183&gt;=$AA183*'Parametri Modello'!$B$68,"🟢 Opportunita'",IF($AH183&lt;=$AA183*'Parametri Modello'!$B$69,"🔴 Sovrapprezzo","🟡 Prezzo Corretto"))),"")</f>
        <v/>
      </c>
      <c r="AJ183" t="str">
        <f t="shared" si="24"/>
        <v/>
      </c>
      <c r="AK183">
        <f t="shared" si="25"/>
        <v>27</v>
      </c>
      <c r="AL183" t="str">
        <f t="shared" si="26"/>
        <v>D|Buono|27</v>
      </c>
    </row>
    <row r="184" spans="1:38" ht="14.25" customHeight="1" x14ac:dyDescent="0.25">
      <c r="A184" s="18">
        <v>5010</v>
      </c>
      <c r="B184" s="18" t="s">
        <v>88</v>
      </c>
      <c r="C184" s="18" t="s">
        <v>138</v>
      </c>
      <c r="E184" s="23" t="str">
        <f>IF(COUNTIF('Info Strategia'!$D$2:$D$51,$C184)&gt;0,"SI","NO")</f>
        <v>NO</v>
      </c>
      <c r="F184" s="24">
        <f>IFERROR(ROUND(($G184+($H184-$G184)*'Info Strategia'!$B$6)*(1+IF($E184="SI",'Parametri Modello'!$B$7*'Info Strategia'!$B$6,0)),0),"")</f>
        <v>3</v>
      </c>
      <c r="G184" s="24">
        <f>IFERROR(ROUND(MAX(1,(IF($V184&lt;=INDEX('Parametri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2</v>
      </c>
      <c r="H184" s="24">
        <f>IFERROR(ROUND((IF($V184&lt;=INDEX('Parametri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4</v>
      </c>
      <c r="I184" s="23">
        <f>IFERROR(INDEX('Input Statistiche 2025_26'!$F$3:$F$665,MATCH($A184,'Input Statistiche 2025_26'!$A$3:$A$665,0)),"")</f>
        <v>24</v>
      </c>
      <c r="J184" s="23">
        <f t="shared" si="18"/>
        <v>14</v>
      </c>
      <c r="K184" s="23">
        <f>IFERROR(INDEX('Input Statistiche 2025_26'!$I$3:$I$665,MATCH($A184,'Input Statistiche 2025_26'!$A$3:$A$665,0)),"")</f>
        <v>0</v>
      </c>
      <c r="L184" s="23">
        <f>IFERROR(INDEX('Input Statistiche 2025_26'!$O$3:$O$665,MATCH($A184,'Input Statistiche 2025_26'!$A$3:$A$665,0)),"")</f>
        <v>2</v>
      </c>
      <c r="M184" s="25"/>
      <c r="N184" s="24">
        <f>IFERROR(INDEX('Input Giocatori 2026_27'!$E$3:$E$493,MATCH($A184,'Input Giocatori 2026_27'!$A$3:$A$493,0)),"")</f>
        <v>7</v>
      </c>
      <c r="O184" s="24">
        <f>IFERROR(INDEX('Input Giocatori 2026_27'!$G$3:$G$493,MATCH($A184,'Input Giocatori 2026_27'!$A$3:$A$493,0)),"")</f>
        <v>18</v>
      </c>
      <c r="P184" s="23" t="str">
        <f>IFERROR(IF($O184="","",IF((1-(COUNTIFS($B$2:$B$492,$B184,$O$2:$O$492,"&gt;"&amp;$O184)+1-1)/COUNTIF($B$2:$B$492,$B184))&gt;='Parametri Modello'!$B$63,"Top",IF((1-(COUNTIFS($B$2:$B$492,$B184,$O$2:$O$492,"&gt;"&amp;$O184)+1-1)/COUNTIF($B$2:$B$492,$B184))&gt;='Parametri Modello'!$B$64,"Buono",IF((1-(COUNTIFS($B$2:$B$492,$B184,$O$2:$O$492,"&gt;"&amp;$O184)+1-1)/COUNTIF($B$2:$B$492,$B184))&gt;='Parametri Modello'!$B$65,"Nella Media","Scommessa/Riserva")))),"")</f>
        <v>Buono</v>
      </c>
      <c r="Q184" s="26">
        <f>IF(AND($D184="",$N184&gt;1),SUMPRODUCT(($D$2:$D184="")*($N$2:$N184&gt;1)),"")</f>
        <v>183</v>
      </c>
      <c r="R184" s="26" t="str">
        <f>IF($D184='Info Lega'!$B$28,COUNTIFS($D$2:$D184,'Info Lega'!$B$28),"")</f>
        <v/>
      </c>
      <c r="S184" s="27">
        <f>IFERROR(INDEX('Input Statistiche 2025_26'!$G$3:$G$665,MATCH($A184,'Input Statistiche 2025_26'!$A$3:$A$665,0)),"")</f>
        <v>5.92</v>
      </c>
      <c r="T184" s="27">
        <f>IFERROR(INDEX('Input Statistiche 2025_26'!$H$3:$H$665,MATCH($A184,'Input Statistiche 2025_26'!$A$3:$A$665,0)),"")</f>
        <v>5.9</v>
      </c>
      <c r="U184" s="23" t="str">
        <f>IF(OR('La Mia Rosa'!$O$12="",$D184&lt;&gt;""),"",IF($F184&lt;='La Mia Rosa'!$O$12*'Parametri Modello'!$B$24,"OK",IF($F184&lt;='La Mia Rosa'!$O$12*'Parametri Modello'!$B$25,"Attenzione","Rischio Alto")))</f>
        <v>OK</v>
      </c>
      <c r="V184" s="23">
        <f t="shared" si="19"/>
        <v>45</v>
      </c>
      <c r="W184" s="18">
        <f>'Info Lega'!$B$4-SUMIFS($M$2:$M$492,$D$2:$D$492,'Info Lega'!$B$28)</f>
        <v>1000</v>
      </c>
      <c r="X184" s="18">
        <f>('Info Lega'!$B$5-COUNTIFS($D$2:$D$492,'Info Lega'!$B$28,$B$2:$B$492,"P"))+('Info Lega'!$B$6-COUNTIFS($D$2:$D$492,'Info Lega'!$B$28,$B$2:$B$492,"D"))+('Info Lega'!$B$7-COUNTIFS($D$2:$D$492,'Info Lega'!$B$28,$B$2:$B$492,"C"))+('Info Lega'!$B$8-COUNTIFS($D$2:$D$492,'Info Lega'!$B$28,$B$2:$B$492,"A"))</f>
        <v>25</v>
      </c>
      <c r="Y184" s="18">
        <f>X184*'Parametri Modello'!$B$30</f>
        <v>25</v>
      </c>
      <c r="Z184" s="18">
        <f t="shared" si="20"/>
        <v>975</v>
      </c>
      <c r="AA184" s="18">
        <f t="shared" si="21"/>
        <v>3</v>
      </c>
      <c r="AB184" s="18"/>
      <c r="AC184" s="18" t="str">
        <f>IF($AB184="","",IF($AB184&gt;$AA184,"PASS",IF($AB184&lt;=$AA184*(1-'Parametri Modello'!$B$68),"BID","ATTENZIONE")))</f>
        <v/>
      </c>
      <c r="AD184" s="28">
        <f t="shared" si="22"/>
        <v>55</v>
      </c>
      <c r="AE184" s="5" t="str">
        <f>IFERROR(IF($AF184="Titolare",INDEX('Stato Asta'!$G$9:$G$12,MATCH($B184,'Stato Asta'!$A$9:$A$12,0)),INDEX('Stato Asta'!$P$9:$P$12,MATCH($B184,'Stato Asta'!$A$9:$A$12,0))),"")</f>
        <v>🟢 Riserve abbondanti</v>
      </c>
      <c r="AF184" t="str">
        <f>IFERROR(IF($V184&lt;=INDEX('Parametri Modello'!$C$57:$C$60,MATCH($B184,'Parametri Modello'!$A$57:$A$60,0)),"Titolare","Riserva"),"")</f>
        <v>Riserva</v>
      </c>
      <c r="AG184" t="str">
        <f>IFERROR(INDEX('Pressione Competitiva'!$F$3:$F$6,MATCH($B184,'Pressione Competitiva'!$B$3:$B$6,0)),"")</f>
        <v>🔴 Molto Alta</v>
      </c>
      <c r="AH184" t="str">
        <f t="shared" si="23"/>
        <v/>
      </c>
      <c r="AI184" t="str">
        <f>IFERROR(IF($AH184="","",IF($AH184&gt;=$AA184*'Parametri Modello'!$B$68,"🟢 Opportunita'",IF($AH184&lt;=$AA184*'Parametri Modello'!$B$69,"🔴 Sovrapprezzo","🟡 Prezzo Corretto"))),"")</f>
        <v/>
      </c>
      <c r="AJ184" t="str">
        <f t="shared" si="24"/>
        <v/>
      </c>
      <c r="AK184">
        <f t="shared" si="25"/>
        <v>27</v>
      </c>
      <c r="AL184" t="str">
        <f t="shared" si="26"/>
        <v>D|Buono|27</v>
      </c>
    </row>
    <row r="185" spans="1:38" ht="14.25" customHeight="1" x14ac:dyDescent="0.25">
      <c r="A185" s="18">
        <v>6867</v>
      </c>
      <c r="B185" s="18" t="s">
        <v>88</v>
      </c>
      <c r="C185" s="18" t="s">
        <v>145</v>
      </c>
      <c r="E185" s="23" t="str">
        <f>IF(COUNTIF('Info Strategia'!$D$2:$D$51,$C185)&gt;0,"SI","NO")</f>
        <v>NO</v>
      </c>
      <c r="F185" s="24">
        <f>IFERROR(ROUND(($G185+($H185-$G185)*'Info Strategia'!$B$6)*(1+IF($E185="SI",'Parametri Modello'!$B$7*'Info Strategia'!$B$6,0)),0),"")</f>
        <v>3</v>
      </c>
      <c r="G185" s="24">
        <f>IFERROR(ROUND(MAX(1,(IF($V185&lt;=INDEX('Parametri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2</v>
      </c>
      <c r="H185" s="24">
        <f>IFERROR(ROUND((IF($V185&lt;=INDEX('Parametri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4</v>
      </c>
      <c r="I185" s="23">
        <f>IFERROR(INDEX('Input Statistiche 2025_26'!$F$3:$F$665,MATCH($A185,'Input Statistiche 2025_26'!$A$3:$A$665,0)),"")</f>
        <v>26</v>
      </c>
      <c r="J185" s="23">
        <f t="shared" si="18"/>
        <v>12</v>
      </c>
      <c r="K185" s="23">
        <f>IFERROR(INDEX('Input Statistiche 2025_26'!$I$3:$I$665,MATCH($A185,'Input Statistiche 2025_26'!$A$3:$A$665,0)),"")</f>
        <v>1</v>
      </c>
      <c r="L185" s="23">
        <f>IFERROR(INDEX('Input Statistiche 2025_26'!$O$3:$O$665,MATCH($A185,'Input Statistiche 2025_26'!$A$3:$A$665,0)),"")</f>
        <v>3</v>
      </c>
      <c r="M185" s="25"/>
      <c r="N185" s="24">
        <f>IFERROR(INDEX('Input Giocatori 2026_27'!$E$3:$E$493,MATCH($A185,'Input Giocatori 2026_27'!$A$3:$A$493,0)),"")</f>
        <v>6</v>
      </c>
      <c r="O185" s="24">
        <f>IFERROR(INDEX('Input Giocatori 2026_27'!$G$3:$G$493,MATCH($A185,'Input Giocatori 2026_27'!$A$3:$A$493,0)),"")</f>
        <v>18</v>
      </c>
      <c r="P185" s="23" t="str">
        <f>IFERROR(IF($O185="","",IF((1-(COUNTIFS($B$2:$B$492,$B185,$O$2:$O$492,"&gt;"&amp;$O185)+1-1)/COUNTIF($B$2:$B$492,$B185))&gt;='Parametri Modello'!$B$63,"Top",IF((1-(COUNTIFS($B$2:$B$492,$B185,$O$2:$O$492,"&gt;"&amp;$O185)+1-1)/COUNTIF($B$2:$B$492,$B185))&gt;='Parametri Modello'!$B$64,"Buono",IF((1-(COUNTIFS($B$2:$B$492,$B185,$O$2:$O$492,"&gt;"&amp;$O185)+1-1)/COUNTIF($B$2:$B$492,$B185))&gt;='Parametri Modello'!$B$65,"Nella Media","Scommessa/Riserva")))),"")</f>
        <v>Buono</v>
      </c>
      <c r="Q185" s="26">
        <f>IF(AND($D185="",$N185&gt;1),SUMPRODUCT(($D$2:$D185="")*($N$2:$N185&gt;1)),"")</f>
        <v>184</v>
      </c>
      <c r="R185" s="26" t="str">
        <f>IF($D185='Info Lega'!$B$28,COUNTIFS($D$2:$D185,'Info Lega'!$B$28),"")</f>
        <v/>
      </c>
      <c r="S185" s="27">
        <f>IFERROR(INDEX('Input Statistiche 2025_26'!$G$3:$G$665,MATCH($A185,'Input Statistiche 2025_26'!$A$3:$A$665,0)),"")</f>
        <v>6.06</v>
      </c>
      <c r="T185" s="27">
        <f>IFERROR(INDEX('Input Statistiche 2025_26'!$H$3:$H$665,MATCH($A185,'Input Statistiche 2025_26'!$A$3:$A$665,0)),"")</f>
        <v>6.23</v>
      </c>
      <c r="U185" s="23" t="str">
        <f>IF(OR('La Mia Rosa'!$O$12="",$D185&lt;&gt;""),"",IF($F185&lt;='La Mia Rosa'!$O$12*'Parametri Modello'!$B$24,"OK",IF($F185&lt;='La Mia Rosa'!$O$12*'Parametri Modello'!$B$25,"Attenzione","Rischio Alto")))</f>
        <v>OK</v>
      </c>
      <c r="V185" s="23">
        <f t="shared" si="19"/>
        <v>45</v>
      </c>
      <c r="W185" s="18">
        <f>'Info Lega'!$B$4-SUMIFS($M$2:$M$492,$D$2:$D$492,'Info Lega'!$B$28)</f>
        <v>1000</v>
      </c>
      <c r="X185" s="18">
        <f>('Info Lega'!$B$5-COUNTIFS($D$2:$D$492,'Info Lega'!$B$28,$B$2:$B$492,"P"))+('Info Lega'!$B$6-COUNTIFS($D$2:$D$492,'Info Lega'!$B$28,$B$2:$B$492,"D"))+('Info Lega'!$B$7-COUNTIFS($D$2:$D$492,'Info Lega'!$B$28,$B$2:$B$492,"C"))+('Info Lega'!$B$8-COUNTIFS($D$2:$D$492,'Info Lega'!$B$28,$B$2:$B$492,"A"))</f>
        <v>25</v>
      </c>
      <c r="Y185" s="18">
        <f>X185*'Parametri Modello'!$B$30</f>
        <v>25</v>
      </c>
      <c r="Z185" s="18">
        <f t="shared" si="20"/>
        <v>975</v>
      </c>
      <c r="AA185" s="18">
        <f t="shared" si="21"/>
        <v>3</v>
      </c>
      <c r="AB185" s="18"/>
      <c r="AC185" s="18" t="str">
        <f>IF($AB185="","",IF($AB185&gt;$AA185,"PASS",IF($AB185&lt;=$AA185*(1-'Parametri Modello'!$B$68),"BID","ATTENZIONE")))</f>
        <v/>
      </c>
      <c r="AD185" s="28">
        <f t="shared" si="22"/>
        <v>58</v>
      </c>
      <c r="AE185" s="5" t="str">
        <f>IFERROR(IF($AF185="Titolare",INDEX('Stato Asta'!$G$9:$G$12,MATCH($B185,'Stato Asta'!$A$9:$A$12,0)),INDEX('Stato Asta'!$P$9:$P$12,MATCH($B185,'Stato Asta'!$A$9:$A$12,0))),"")</f>
        <v>🟢 Riserve abbondanti</v>
      </c>
      <c r="AF185" t="str">
        <f>IFERROR(IF($V185&lt;=INDEX('Parametri Modello'!$C$57:$C$60,MATCH($B185,'Parametri Modello'!$A$57:$A$60,0)),"Titolare","Riserva"),"")</f>
        <v>Riserva</v>
      </c>
      <c r="AG185" t="str">
        <f>IFERROR(INDEX('Pressione Competitiva'!$F$3:$F$6,MATCH($B185,'Pressione Competitiva'!$B$3:$B$6,0)),"")</f>
        <v>🔴 Molto Alta</v>
      </c>
      <c r="AH185" t="str">
        <f t="shared" si="23"/>
        <v/>
      </c>
      <c r="AI185" t="str">
        <f>IFERROR(IF($AH185="","",IF($AH185&gt;=$AA185*'Parametri Modello'!$B$68,"🟢 Opportunita'",IF($AH185&lt;=$AA185*'Parametri Modello'!$B$69,"🔴 Sovrapprezzo","🟡 Prezzo Corretto"))),"")</f>
        <v/>
      </c>
      <c r="AJ185" t="str">
        <f t="shared" si="24"/>
        <v/>
      </c>
      <c r="AK185">
        <f t="shared" si="25"/>
        <v>27</v>
      </c>
      <c r="AL185" t="str">
        <f t="shared" si="26"/>
        <v>D|Buono|27</v>
      </c>
    </row>
    <row r="186" spans="1:38" ht="14.25" customHeight="1" x14ac:dyDescent="0.25">
      <c r="A186" s="18">
        <v>7294</v>
      </c>
      <c r="B186" s="18" t="s">
        <v>88</v>
      </c>
      <c r="C186" s="18" t="s">
        <v>146</v>
      </c>
      <c r="E186" s="23" t="str">
        <f>IF(COUNTIF('Info Strategia'!$D$2:$D$51,$C186)&gt;0,"SI","NO")</f>
        <v>NO</v>
      </c>
      <c r="F186" s="24">
        <f>IFERROR(ROUND(($G186+($H186-$G186)*'Info Strategia'!$B$6)*(1+IF($E186="SI",'Parametri Modello'!$B$7*'Info Strategia'!$B$6,0)),0),"")</f>
        <v>3</v>
      </c>
      <c r="G186" s="24">
        <f>IFERROR(ROUND(MAX(1,(IF($V186&lt;=INDEX('Parametri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2</v>
      </c>
      <c r="H186" s="24">
        <f>IFERROR(ROUND((IF($V186&lt;=INDEX('Parametri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4</v>
      </c>
      <c r="I186" s="23" t="str">
        <f>IFERROR(INDEX('Input Statistiche 2025_26'!$F$3:$F$665,MATCH($A186,'Input Statistiche 2025_26'!$A$3:$A$665,0)),"")</f>
        <v/>
      </c>
      <c r="J186" s="23" t="str">
        <f t="shared" si="18"/>
        <v/>
      </c>
      <c r="K186" s="23" t="str">
        <f>IFERROR(INDEX('Input Statistiche 2025_26'!$I$3:$I$665,MATCH($A186,'Input Statistiche 2025_26'!$A$3:$A$665,0)),"")</f>
        <v/>
      </c>
      <c r="L186" s="23" t="str">
        <f>IFERROR(INDEX('Input Statistiche 2025_26'!$O$3:$O$665,MATCH($A186,'Input Statistiche 2025_26'!$A$3:$A$665,0)),"")</f>
        <v/>
      </c>
      <c r="M186" s="25"/>
      <c r="N186" s="24">
        <f>IFERROR(INDEX('Input Giocatori 2026_27'!$E$3:$E$493,MATCH($A186,'Input Giocatori 2026_27'!$A$3:$A$493,0)),"")</f>
        <v>6</v>
      </c>
      <c r="O186" s="24">
        <f>IFERROR(INDEX('Input Giocatori 2026_27'!$G$3:$G$493,MATCH($A186,'Input Giocatori 2026_27'!$A$3:$A$493,0)),"")</f>
        <v>18</v>
      </c>
      <c r="P186" s="23" t="str">
        <f>IFERROR(IF($O186="","",IF((1-(COUNTIFS($B$2:$B$492,$B186,$O$2:$O$492,"&gt;"&amp;$O186)+1-1)/COUNTIF($B$2:$B$492,$B186))&gt;='Parametri Modello'!$B$63,"Top",IF((1-(COUNTIFS($B$2:$B$492,$B186,$O$2:$O$492,"&gt;"&amp;$O186)+1-1)/COUNTIF($B$2:$B$492,$B186))&gt;='Parametri Modello'!$B$64,"Buono",IF((1-(COUNTIFS($B$2:$B$492,$B186,$O$2:$O$492,"&gt;"&amp;$O186)+1-1)/COUNTIF($B$2:$B$492,$B186))&gt;='Parametri Modello'!$B$65,"Nella Media","Scommessa/Riserva")))),"")</f>
        <v>Buono</v>
      </c>
      <c r="Q186" s="26">
        <f>IF(AND($D186="",$N186&gt;1),SUMPRODUCT(($D$2:$D186="")*($N$2:$N186&gt;1)),"")</f>
        <v>185</v>
      </c>
      <c r="R186" s="26" t="str">
        <f>IF($D186='Info Lega'!$B$28,COUNTIFS($D$2:$D186,'Info Lega'!$B$28),"")</f>
        <v/>
      </c>
      <c r="S186" s="27" t="str">
        <f>IFERROR(INDEX('Input Statistiche 2025_26'!$G$3:$G$665,MATCH($A186,'Input Statistiche 2025_26'!$A$3:$A$665,0)),"")</f>
        <v/>
      </c>
      <c r="T186" s="27" t="str">
        <f>IFERROR(INDEX('Input Statistiche 2025_26'!$H$3:$H$665,MATCH($A186,'Input Statistiche 2025_26'!$A$3:$A$665,0)),"")</f>
        <v/>
      </c>
      <c r="U186" s="23" t="str">
        <f>IF(OR('La Mia Rosa'!$O$12="",$D186&lt;&gt;""),"",IF($F186&lt;='La Mia Rosa'!$O$12*'Parametri Modello'!$B$24,"OK",IF($F186&lt;='La Mia Rosa'!$O$12*'Parametri Modello'!$B$25,"Attenzione","Rischio Alto")))</f>
        <v>OK</v>
      </c>
      <c r="V186" s="23">
        <f t="shared" si="19"/>
        <v>45</v>
      </c>
      <c r="W186" s="18">
        <f>'Info Lega'!$B$4-SUMIFS($M$2:$M$492,$D$2:$D$492,'Info Lega'!$B$28)</f>
        <v>1000</v>
      </c>
      <c r="X186" s="18">
        <f>('Info Lega'!$B$5-COUNTIFS($D$2:$D$492,'Info Lega'!$B$28,$B$2:$B$492,"P"))+('Info Lega'!$B$6-COUNTIFS($D$2:$D$492,'Info Lega'!$B$28,$B$2:$B$492,"D"))+('Info Lega'!$B$7-COUNTIFS($D$2:$D$492,'Info Lega'!$B$28,$B$2:$B$492,"C"))+('Info Lega'!$B$8-COUNTIFS($D$2:$D$492,'Info Lega'!$B$28,$B$2:$B$492,"A"))</f>
        <v>25</v>
      </c>
      <c r="Y186" s="18">
        <f>X186*'Parametri Modello'!$B$30</f>
        <v>25</v>
      </c>
      <c r="Z186" s="18">
        <f t="shared" si="20"/>
        <v>975</v>
      </c>
      <c r="AA186" s="18">
        <f t="shared" si="21"/>
        <v>3</v>
      </c>
      <c r="AB186" s="18"/>
      <c r="AC186" s="18" t="str">
        <f>IF($AB186="","",IF($AB186&gt;$AA186,"PASS",IF($AB186&lt;=$AA186*(1-'Parametri Modello'!$B$68),"BID","ATTENZIONE")))</f>
        <v/>
      </c>
      <c r="AD186" s="28" t="str">
        <f t="shared" si="22"/>
        <v/>
      </c>
      <c r="AE186" s="5" t="str">
        <f>IFERROR(IF($AF186="Titolare",INDEX('Stato Asta'!$G$9:$G$12,MATCH($B186,'Stato Asta'!$A$9:$A$12,0)),INDEX('Stato Asta'!$P$9:$P$12,MATCH($B186,'Stato Asta'!$A$9:$A$12,0))),"")</f>
        <v>🟢 Riserve abbondanti</v>
      </c>
      <c r="AF186" t="str">
        <f>IFERROR(IF($V186&lt;=INDEX('Parametri Modello'!$C$57:$C$60,MATCH($B186,'Parametri Modello'!$A$57:$A$60,0)),"Titolare","Riserva"),"")</f>
        <v>Riserva</v>
      </c>
      <c r="AG186" t="str">
        <f>IFERROR(INDEX('Pressione Competitiva'!$F$3:$F$6,MATCH($B186,'Pressione Competitiva'!$B$3:$B$6,0)),"")</f>
        <v>🔴 Molto Alta</v>
      </c>
      <c r="AH186" t="str">
        <f t="shared" si="23"/>
        <v/>
      </c>
      <c r="AI186" t="str">
        <f>IFERROR(IF($AH186="","",IF($AH186&gt;=$AA186*'Parametri Modello'!$B$68,"🟢 Opportunita'",IF($AH186&lt;=$AA186*'Parametri Modello'!$B$69,"🔴 Sovrapprezzo","🟡 Prezzo Corretto"))),"")</f>
        <v/>
      </c>
      <c r="AJ186" t="str">
        <f t="shared" si="24"/>
        <v/>
      </c>
      <c r="AK186">
        <f t="shared" si="25"/>
        <v>27</v>
      </c>
      <c r="AL186" t="str">
        <f t="shared" si="26"/>
        <v>D|Buono|27</v>
      </c>
    </row>
    <row r="187" spans="1:38" ht="14.25" customHeight="1" x14ac:dyDescent="0.25">
      <c r="A187" s="18">
        <v>4177</v>
      </c>
      <c r="B187" s="18" t="s">
        <v>88</v>
      </c>
      <c r="C187" s="18" t="s">
        <v>150</v>
      </c>
      <c r="E187" s="23" t="str">
        <f>IF(COUNTIF('Info Strategia'!$D$2:$D$51,$C187)&gt;0,"SI","NO")</f>
        <v>NO</v>
      </c>
      <c r="F187" s="24">
        <f>IFERROR(ROUND(($G187+($H187-$G187)*'Info Strategia'!$B$6)*(1+IF($E187="SI",'Parametri Modello'!$B$7*'Info Strategia'!$B$6,0)),0),"")</f>
        <v>3</v>
      </c>
      <c r="G187" s="24">
        <f>IFERROR(ROUND(MAX(1,(IF($V187&lt;=INDEX('Parametri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2</v>
      </c>
      <c r="H187" s="24">
        <f>IFERROR(ROUND((IF($V187&lt;=INDEX('Parametri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4</v>
      </c>
      <c r="I187" s="23">
        <f>IFERROR(INDEX('Input Statistiche 2025_26'!$F$3:$F$665,MATCH($A187,'Input Statistiche 2025_26'!$A$3:$A$665,0)),"")</f>
        <v>1</v>
      </c>
      <c r="J187" s="23">
        <f t="shared" si="18"/>
        <v>37</v>
      </c>
      <c r="K187" s="23">
        <f>IFERROR(INDEX('Input Statistiche 2025_26'!$I$3:$I$665,MATCH($A187,'Input Statistiche 2025_26'!$A$3:$A$665,0)),"")</f>
        <v>0</v>
      </c>
      <c r="L187" s="23">
        <f>IFERROR(INDEX('Input Statistiche 2025_26'!$O$3:$O$665,MATCH($A187,'Input Statistiche 2025_26'!$A$3:$A$665,0)),"")</f>
        <v>0</v>
      </c>
      <c r="M187" s="25"/>
      <c r="N187" s="24">
        <f>IFERROR(INDEX('Input Giocatori 2026_27'!$E$3:$E$493,MATCH($A187,'Input Giocatori 2026_27'!$A$3:$A$493,0)),"")</f>
        <v>6</v>
      </c>
      <c r="O187" s="24">
        <f>IFERROR(INDEX('Input Giocatori 2026_27'!$G$3:$G$493,MATCH($A187,'Input Giocatori 2026_27'!$A$3:$A$493,0)),"")</f>
        <v>18</v>
      </c>
      <c r="P187" s="23" t="str">
        <f>IFERROR(IF($O187="","",IF((1-(COUNTIFS($B$2:$B$492,$B187,$O$2:$O$492,"&gt;"&amp;$O187)+1-1)/COUNTIF($B$2:$B$492,$B187))&gt;='Parametri Modello'!$B$63,"Top",IF((1-(COUNTIFS($B$2:$B$492,$B187,$O$2:$O$492,"&gt;"&amp;$O187)+1-1)/COUNTIF($B$2:$B$492,$B187))&gt;='Parametri Modello'!$B$64,"Buono",IF((1-(COUNTIFS($B$2:$B$492,$B187,$O$2:$O$492,"&gt;"&amp;$O187)+1-1)/COUNTIF($B$2:$B$492,$B187))&gt;='Parametri Modello'!$B$65,"Nella Media","Scommessa/Riserva")))),"")</f>
        <v>Buono</v>
      </c>
      <c r="Q187" s="26">
        <f>IF(AND($D187="",$N187&gt;1),SUMPRODUCT(($D$2:$D187="")*($N$2:$N187&gt;1)),"")</f>
        <v>186</v>
      </c>
      <c r="R187" s="26" t="str">
        <f>IF($D187='Info Lega'!$B$28,COUNTIFS($D$2:$D187,'Info Lega'!$B$28),"")</f>
        <v/>
      </c>
      <c r="S187" s="27">
        <f>IFERROR(INDEX('Input Statistiche 2025_26'!$G$3:$G$665,MATCH($A187,'Input Statistiche 2025_26'!$A$3:$A$665,0)),"")</f>
        <v>6.5</v>
      </c>
      <c r="T187" s="27">
        <f>IFERROR(INDEX('Input Statistiche 2025_26'!$H$3:$H$665,MATCH($A187,'Input Statistiche 2025_26'!$A$3:$A$665,0)),"")</f>
        <v>6.5</v>
      </c>
      <c r="U187" s="23" t="str">
        <f>IF(OR('La Mia Rosa'!$O$12="",$D187&lt;&gt;""),"",IF($F187&lt;='La Mia Rosa'!$O$12*'Parametri Modello'!$B$24,"OK",IF($F187&lt;='La Mia Rosa'!$O$12*'Parametri Modello'!$B$25,"Attenzione","Rischio Alto")))</f>
        <v>OK</v>
      </c>
      <c r="V187" s="23">
        <f t="shared" si="19"/>
        <v>45</v>
      </c>
      <c r="W187" s="18">
        <f>'Info Lega'!$B$4-SUMIFS($M$2:$M$492,$D$2:$D$492,'Info Lega'!$B$28)</f>
        <v>1000</v>
      </c>
      <c r="X187" s="18">
        <f>('Info Lega'!$B$5-COUNTIFS($D$2:$D$492,'Info Lega'!$B$28,$B$2:$B$492,"P"))+('Info Lega'!$B$6-COUNTIFS($D$2:$D$492,'Info Lega'!$B$28,$B$2:$B$492,"D"))+('Info Lega'!$B$7-COUNTIFS($D$2:$D$492,'Info Lega'!$B$28,$B$2:$B$492,"C"))+('Info Lega'!$B$8-COUNTIFS($D$2:$D$492,'Info Lega'!$B$28,$B$2:$B$492,"A"))</f>
        <v>25</v>
      </c>
      <c r="Y187" s="18">
        <f>X187*'Parametri Modello'!$B$30</f>
        <v>25</v>
      </c>
      <c r="Z187" s="18">
        <f t="shared" si="20"/>
        <v>975</v>
      </c>
      <c r="AA187" s="18">
        <f t="shared" si="21"/>
        <v>3</v>
      </c>
      <c r="AB187" s="18"/>
      <c r="AC187" s="18" t="str">
        <f>IF($AB187="","",IF($AB187&gt;$AA187,"PASS",IF($AB187&lt;=$AA187*(1-'Parametri Modello'!$B$68),"BID","ATTENZIONE")))</f>
        <v/>
      </c>
      <c r="AD187" s="28">
        <f t="shared" si="22"/>
        <v>3</v>
      </c>
      <c r="AE187" s="5" t="str">
        <f>IFERROR(IF($AF187="Titolare",INDEX('Stato Asta'!$G$9:$G$12,MATCH($B187,'Stato Asta'!$A$9:$A$12,0)),INDEX('Stato Asta'!$P$9:$P$12,MATCH($B187,'Stato Asta'!$A$9:$A$12,0))),"")</f>
        <v>🟢 Riserve abbondanti</v>
      </c>
      <c r="AF187" t="str">
        <f>IFERROR(IF($V187&lt;=INDEX('Parametri Modello'!$C$57:$C$60,MATCH($B187,'Parametri Modello'!$A$57:$A$60,0)),"Titolare","Riserva"),"")</f>
        <v>Riserva</v>
      </c>
      <c r="AG187" t="str">
        <f>IFERROR(INDEX('Pressione Competitiva'!$F$3:$F$6,MATCH($B187,'Pressione Competitiva'!$B$3:$B$6,0)),"")</f>
        <v>🔴 Molto Alta</v>
      </c>
      <c r="AH187" t="str">
        <f t="shared" si="23"/>
        <v/>
      </c>
      <c r="AI187" t="str">
        <f>IFERROR(IF($AH187="","",IF($AH187&gt;=$AA187*'Parametri Modello'!$B$68,"🟢 Opportunita'",IF($AH187&lt;=$AA187*'Parametri Modello'!$B$69,"🔴 Sovrapprezzo","🟡 Prezzo Corretto"))),"")</f>
        <v/>
      </c>
      <c r="AJ187" t="str">
        <f t="shared" si="24"/>
        <v/>
      </c>
      <c r="AK187">
        <f t="shared" si="25"/>
        <v>27</v>
      </c>
      <c r="AL187" t="str">
        <f t="shared" si="26"/>
        <v>D|Buono|27</v>
      </c>
    </row>
    <row r="188" spans="1:38" ht="14.25" customHeight="1" x14ac:dyDescent="0.25">
      <c r="A188" s="18">
        <v>6663</v>
      </c>
      <c r="B188" s="18" t="s">
        <v>88</v>
      </c>
      <c r="C188" s="18" t="s">
        <v>156</v>
      </c>
      <c r="E188" s="23" t="str">
        <f>IF(COUNTIF('Info Strategia'!$D$2:$D$51,$C188)&gt;0,"SI","NO")</f>
        <v>NO</v>
      </c>
      <c r="F188" s="24">
        <f>IFERROR(ROUND(($G188+($H188-$G188)*'Info Strategia'!$B$6)*(1+IF($E188="SI",'Parametri Modello'!$B$7*'Info Strategia'!$B$6,0)),0),"")</f>
        <v>3</v>
      </c>
      <c r="G188" s="24">
        <f>IFERROR(ROUND(MAX(1,(IF($V188&lt;=INDEX('Parametri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2</v>
      </c>
      <c r="H188" s="24">
        <f>IFERROR(ROUND((IF($V188&lt;=INDEX('Parametri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4</v>
      </c>
      <c r="I188" s="23">
        <f>IFERROR(INDEX('Input Statistiche 2025_26'!$F$3:$F$665,MATCH($A188,'Input Statistiche 2025_26'!$A$3:$A$665,0)),"")</f>
        <v>31</v>
      </c>
      <c r="J188" s="23">
        <f t="shared" si="18"/>
        <v>7</v>
      </c>
      <c r="K188" s="23">
        <f>IFERROR(INDEX('Input Statistiche 2025_26'!$I$3:$I$665,MATCH($A188,'Input Statistiche 2025_26'!$A$3:$A$665,0)),"")</f>
        <v>1</v>
      </c>
      <c r="L188" s="23">
        <f>IFERROR(INDEX('Input Statistiche 2025_26'!$O$3:$O$665,MATCH($A188,'Input Statistiche 2025_26'!$A$3:$A$665,0)),"")</f>
        <v>0</v>
      </c>
      <c r="M188" s="25"/>
      <c r="N188" s="24">
        <f>IFERROR(INDEX('Input Giocatori 2026_27'!$E$3:$E$493,MATCH($A188,'Input Giocatori 2026_27'!$A$3:$A$493,0)),"")</f>
        <v>6</v>
      </c>
      <c r="O188" s="24">
        <f>IFERROR(INDEX('Input Giocatori 2026_27'!$G$3:$G$493,MATCH($A188,'Input Giocatori 2026_27'!$A$3:$A$493,0)),"")</f>
        <v>18</v>
      </c>
      <c r="P188" s="23" t="str">
        <f>IFERROR(IF($O188="","",IF((1-(COUNTIFS($B$2:$B$492,$B188,$O$2:$O$492,"&gt;"&amp;$O188)+1-1)/COUNTIF($B$2:$B$492,$B188))&gt;='Parametri Modello'!$B$63,"Top",IF((1-(COUNTIFS($B$2:$B$492,$B188,$O$2:$O$492,"&gt;"&amp;$O188)+1-1)/COUNTIF($B$2:$B$492,$B188))&gt;='Parametri Modello'!$B$64,"Buono",IF((1-(COUNTIFS($B$2:$B$492,$B188,$O$2:$O$492,"&gt;"&amp;$O188)+1-1)/COUNTIF($B$2:$B$492,$B188))&gt;='Parametri Modello'!$B$65,"Nella Media","Scommessa/Riserva")))),"")</f>
        <v>Buono</v>
      </c>
      <c r="Q188" s="26">
        <f>IF(AND($D188="",$N188&gt;1),SUMPRODUCT(($D$2:$D188="")*($N$2:$N188&gt;1)),"")</f>
        <v>187</v>
      </c>
      <c r="R188" s="26" t="str">
        <f>IF($D188='Info Lega'!$B$28,COUNTIFS($D$2:$D188,'Info Lega'!$B$28),"")</f>
        <v/>
      </c>
      <c r="S188" s="27">
        <f>IFERROR(INDEX('Input Statistiche 2025_26'!$G$3:$G$665,MATCH($A188,'Input Statistiche 2025_26'!$A$3:$A$665,0)),"")</f>
        <v>5.92</v>
      </c>
      <c r="T188" s="27">
        <f>IFERROR(INDEX('Input Statistiche 2025_26'!$H$3:$H$665,MATCH($A188,'Input Statistiche 2025_26'!$A$3:$A$665,0)),"")</f>
        <v>5.92</v>
      </c>
      <c r="U188" s="23" t="str">
        <f>IF(OR('La Mia Rosa'!$O$12="",$D188&lt;&gt;""),"",IF($F188&lt;='La Mia Rosa'!$O$12*'Parametri Modello'!$B$24,"OK",IF($F188&lt;='La Mia Rosa'!$O$12*'Parametri Modello'!$B$25,"Attenzione","Rischio Alto")))</f>
        <v>OK</v>
      </c>
      <c r="V188" s="23">
        <f t="shared" si="19"/>
        <v>45</v>
      </c>
      <c r="W188" s="18">
        <f>'Info Lega'!$B$4-SUMIFS($M$2:$M$492,$D$2:$D$492,'Info Lega'!$B$28)</f>
        <v>1000</v>
      </c>
      <c r="X188" s="18">
        <f>('Info Lega'!$B$5-COUNTIFS($D$2:$D$492,'Info Lega'!$B$28,$B$2:$B$492,"P"))+('Info Lega'!$B$6-COUNTIFS($D$2:$D$492,'Info Lega'!$B$28,$B$2:$B$492,"D"))+('Info Lega'!$B$7-COUNTIFS($D$2:$D$492,'Info Lega'!$B$28,$B$2:$B$492,"C"))+('Info Lega'!$B$8-COUNTIFS($D$2:$D$492,'Info Lega'!$B$28,$B$2:$B$492,"A"))</f>
        <v>25</v>
      </c>
      <c r="Y188" s="18">
        <f>X188*'Parametri Modello'!$B$30</f>
        <v>25</v>
      </c>
      <c r="Z188" s="18">
        <f t="shared" si="20"/>
        <v>975</v>
      </c>
      <c r="AA188" s="18">
        <f t="shared" si="21"/>
        <v>3</v>
      </c>
      <c r="AB188" s="18"/>
      <c r="AC188" s="18" t="str">
        <f>IF($AB188="","",IF($AB188&gt;$AA188,"PASS",IF($AB188&lt;=$AA188*(1-'Parametri Modello'!$B$68),"BID","ATTENZIONE")))</f>
        <v/>
      </c>
      <c r="AD188" s="28">
        <f t="shared" si="22"/>
        <v>64</v>
      </c>
      <c r="AE188" s="5" t="str">
        <f>IFERROR(IF($AF188="Titolare",INDEX('Stato Asta'!$G$9:$G$12,MATCH($B188,'Stato Asta'!$A$9:$A$12,0)),INDEX('Stato Asta'!$P$9:$P$12,MATCH($B188,'Stato Asta'!$A$9:$A$12,0))),"")</f>
        <v>🟢 Riserve abbondanti</v>
      </c>
      <c r="AF188" t="str">
        <f>IFERROR(IF($V188&lt;=INDEX('Parametri Modello'!$C$57:$C$60,MATCH($B188,'Parametri Modello'!$A$57:$A$60,0)),"Titolare","Riserva"),"")</f>
        <v>Riserva</v>
      </c>
      <c r="AG188" t="str">
        <f>IFERROR(INDEX('Pressione Competitiva'!$F$3:$F$6,MATCH($B188,'Pressione Competitiva'!$B$3:$B$6,0)),"")</f>
        <v>🔴 Molto Alta</v>
      </c>
      <c r="AH188" t="str">
        <f t="shared" si="23"/>
        <v/>
      </c>
      <c r="AI188" t="str">
        <f>IFERROR(IF($AH188="","",IF($AH188&gt;=$AA188*'Parametri Modello'!$B$68,"🟢 Opportunita'",IF($AH188&lt;=$AA188*'Parametri Modello'!$B$69,"🔴 Sovrapprezzo","🟡 Prezzo Corretto"))),"")</f>
        <v/>
      </c>
      <c r="AJ188" t="str">
        <f t="shared" si="24"/>
        <v/>
      </c>
      <c r="AK188">
        <f t="shared" si="25"/>
        <v>27</v>
      </c>
      <c r="AL188" t="str">
        <f t="shared" si="26"/>
        <v>D|Buono|27</v>
      </c>
    </row>
    <row r="189" spans="1:38" ht="14.25" customHeight="1" x14ac:dyDescent="0.25">
      <c r="A189" s="18">
        <v>5858</v>
      </c>
      <c r="B189" s="18" t="s">
        <v>264</v>
      </c>
      <c r="C189" s="18" t="s">
        <v>317</v>
      </c>
      <c r="E189" s="23" t="str">
        <f>IF(COUNTIF('Info Strategia'!$D$2:$D$51,$C189)&gt;0,"SI","NO")</f>
        <v>NO</v>
      </c>
      <c r="F189" s="24">
        <f>IFERROR(ROUND(($G189+($H189-$G189)*'Info Strategia'!$B$6)*(1+IF($E189="SI",'Parametri Modello'!$B$7*'Info Strategia'!$B$6,0)),0),"")</f>
        <v>3</v>
      </c>
      <c r="G189" s="24">
        <f>IFERROR(ROUND(MAX(1,(IF($V189&lt;=INDEX('Parametri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2</v>
      </c>
      <c r="H189" s="24">
        <f>IFERROR(ROUND((IF($V189&lt;=INDEX('Parametri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3</v>
      </c>
      <c r="I189" s="23">
        <f>IFERROR(INDEX('Input Statistiche 2025_26'!$F$3:$F$665,MATCH($A189,'Input Statistiche 2025_26'!$A$3:$A$665,0)),"")</f>
        <v>23</v>
      </c>
      <c r="J189" s="23">
        <f t="shared" si="18"/>
        <v>15</v>
      </c>
      <c r="K189" s="23">
        <f>IFERROR(INDEX('Input Statistiche 2025_26'!$I$3:$I$665,MATCH($A189,'Input Statistiche 2025_26'!$A$3:$A$665,0)),"")</f>
        <v>1</v>
      </c>
      <c r="L189" s="23">
        <f>IFERROR(INDEX('Input Statistiche 2025_26'!$O$3:$O$665,MATCH($A189,'Input Statistiche 2025_26'!$A$3:$A$665,0)),"")</f>
        <v>0</v>
      </c>
      <c r="M189" s="25"/>
      <c r="N189" s="24">
        <f>IFERROR(INDEX('Input Giocatori 2026_27'!$E$3:$E$493,MATCH($A189,'Input Giocatori 2026_27'!$A$3:$A$493,0)),"")</f>
        <v>7</v>
      </c>
      <c r="O189" s="24">
        <f>IFERROR(INDEX('Input Giocatori 2026_27'!$G$3:$G$493,MATCH($A189,'Input Giocatori 2026_27'!$A$3:$A$493,0)),"")</f>
        <v>18</v>
      </c>
      <c r="P189" s="23" t="str">
        <f>IFERROR(IF($O189="","",IF((1-(COUNTIFS($B$2:$B$492,$B189,$O$2:$O$492,"&gt;"&amp;$O189)+1-1)/COUNTIF($B$2:$B$492,$B189))&gt;='Parametri Modello'!$B$63,"Top",IF((1-(COUNTIFS($B$2:$B$492,$B189,$O$2:$O$492,"&gt;"&amp;$O189)+1-1)/COUNTIF($B$2:$B$492,$B189))&gt;='Parametri Modello'!$B$64,"Buono",IF((1-(COUNTIFS($B$2:$B$492,$B189,$O$2:$O$492,"&gt;"&amp;$O189)+1-1)/COUNTIF($B$2:$B$492,$B189))&gt;='Parametri Modello'!$B$65,"Nella Media","Scommessa/Riserva")))),"")</f>
        <v>Nella Media</v>
      </c>
      <c r="Q189" s="26">
        <f>IF(AND($D189="",$N189&gt;1),SUMPRODUCT(($D$2:$D189="")*($N$2:$N189&gt;1)),"")</f>
        <v>188</v>
      </c>
      <c r="R189" s="26" t="str">
        <f>IF($D189='Info Lega'!$B$28,COUNTIFS($D$2:$D189,'Info Lega'!$B$28),"")</f>
        <v/>
      </c>
      <c r="S189" s="27">
        <f>IFERROR(INDEX('Input Statistiche 2025_26'!$G$3:$G$665,MATCH($A189,'Input Statistiche 2025_26'!$A$3:$A$665,0)),"")</f>
        <v>5.8</v>
      </c>
      <c r="T189" s="27">
        <f>IFERROR(INDEX('Input Statistiche 2025_26'!$H$3:$H$665,MATCH($A189,'Input Statistiche 2025_26'!$A$3:$A$665,0)),"")</f>
        <v>5.78</v>
      </c>
      <c r="U189" s="23" t="str">
        <f>IF(OR('La Mia Rosa'!$O$12="",$D189&lt;&gt;""),"",IF($F189&lt;='La Mia Rosa'!$O$12*'Parametri Modello'!$B$24,"OK",IF($F189&lt;='La Mia Rosa'!$O$12*'Parametri Modello'!$B$25,"Attenzione","Rischio Alto")))</f>
        <v>OK</v>
      </c>
      <c r="V189" s="23">
        <f t="shared" si="19"/>
        <v>71</v>
      </c>
      <c r="W189" s="18">
        <f>'Info Lega'!$B$4-SUMIFS($M$2:$M$492,$D$2:$D$492,'Info Lega'!$B$28)</f>
        <v>1000</v>
      </c>
      <c r="X189" s="18">
        <f>('Info Lega'!$B$5-COUNTIFS($D$2:$D$492,'Info Lega'!$B$28,$B$2:$B$492,"P"))+('Info Lega'!$B$6-COUNTIFS($D$2:$D$492,'Info Lega'!$B$28,$B$2:$B$492,"D"))+('Info Lega'!$B$7-COUNTIFS($D$2:$D$492,'Info Lega'!$B$28,$B$2:$B$492,"C"))+('Info Lega'!$B$8-COUNTIFS($D$2:$D$492,'Info Lega'!$B$28,$B$2:$B$492,"A"))</f>
        <v>25</v>
      </c>
      <c r="Y189" s="18">
        <f>X189*'Parametri Modello'!$B$30</f>
        <v>25</v>
      </c>
      <c r="Z189" s="18">
        <f t="shared" si="20"/>
        <v>975</v>
      </c>
      <c r="AA189" s="18">
        <f t="shared" si="21"/>
        <v>3</v>
      </c>
      <c r="AB189" s="18"/>
      <c r="AC189" s="18" t="str">
        <f>IF($AB189="","",IF($AB189&gt;$AA189,"PASS",IF($AB189&lt;=$AA189*(1-'Parametri Modello'!$B$68),"BID","ATTENZIONE")))</f>
        <v/>
      </c>
      <c r="AD189" s="28">
        <f t="shared" si="22"/>
        <v>54</v>
      </c>
      <c r="AE189" s="5" t="str">
        <f>IFERROR(IF($AF189="Titolare",INDEX('Stato Asta'!$G$9:$G$12,MATCH($B189,'Stato Asta'!$A$9:$A$12,0)),INDEX('Stato Asta'!$P$9:$P$12,MATCH($B189,'Stato Asta'!$A$9:$A$12,0))),"")</f>
        <v>🟢 Riserve abbondanti</v>
      </c>
      <c r="AF189" t="str">
        <f>IFERROR(IF($V189&lt;=INDEX('Parametri Modello'!$C$57:$C$60,MATCH($B189,'Parametri Modello'!$A$57:$A$60,0)),"Titolare","Riserva"),"")</f>
        <v>Riserva</v>
      </c>
      <c r="AG189" t="str">
        <f>IFERROR(INDEX('Pressione Competitiva'!$F$3:$F$6,MATCH($B189,'Pressione Competitiva'!$B$3:$B$6,0)),"")</f>
        <v>🔴 Molto Alta</v>
      </c>
      <c r="AH189" t="str">
        <f t="shared" si="23"/>
        <v/>
      </c>
      <c r="AI189" t="str">
        <f>IFERROR(IF($AH189="","",IF($AH189&gt;=$AA189*'Parametri Modello'!$B$68,"🟢 Opportunita'",IF($AH189&lt;=$AA189*'Parametri Modello'!$B$69,"🔴 Sovrapprezzo","🟡 Prezzo Corretto"))),"")</f>
        <v/>
      </c>
      <c r="AJ189" t="str">
        <f t="shared" si="24"/>
        <v/>
      </c>
      <c r="AK189">
        <f t="shared" si="25"/>
        <v>16</v>
      </c>
      <c r="AL189" t="str">
        <f t="shared" si="26"/>
        <v>C|Nella Media|16</v>
      </c>
    </row>
    <row r="190" spans="1:38" ht="14.25" customHeight="1" x14ac:dyDescent="0.25">
      <c r="A190" s="18">
        <v>6020</v>
      </c>
      <c r="B190" s="18" t="s">
        <v>264</v>
      </c>
      <c r="C190" s="18" t="s">
        <v>335</v>
      </c>
      <c r="E190" s="23" t="str">
        <f>IF(COUNTIF('Info Strategia'!$D$2:$D$51,$C190)&gt;0,"SI","NO")</f>
        <v>NO</v>
      </c>
      <c r="F190" s="24">
        <f>IFERROR(ROUND(($G190+($H190-$G190)*'Info Strategia'!$B$6)*(1+IF($E190="SI",'Parametri Modello'!$B$7*'Info Strategia'!$B$6,0)),0),"")</f>
        <v>3</v>
      </c>
      <c r="G190" s="24">
        <f>IFERROR(ROUND(MAX(1,(IF($V190&lt;=INDEX('Parametri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2</v>
      </c>
      <c r="H190" s="24">
        <f>IFERROR(ROUND((IF($V190&lt;=INDEX('Parametri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3</v>
      </c>
      <c r="I190" s="23">
        <f>IFERROR(INDEX('Input Statistiche 2025_26'!$F$3:$F$665,MATCH($A190,'Input Statistiche 2025_26'!$A$3:$A$665,0)),"")</f>
        <v>35</v>
      </c>
      <c r="J190" s="23">
        <f t="shared" si="18"/>
        <v>3</v>
      </c>
      <c r="K190" s="23">
        <f>IFERROR(INDEX('Input Statistiche 2025_26'!$I$3:$I$665,MATCH($A190,'Input Statistiche 2025_26'!$A$3:$A$665,0)),"")</f>
        <v>1</v>
      </c>
      <c r="L190" s="23">
        <f>IFERROR(INDEX('Input Statistiche 2025_26'!$O$3:$O$665,MATCH($A190,'Input Statistiche 2025_26'!$A$3:$A$665,0)),"")</f>
        <v>1</v>
      </c>
      <c r="M190" s="25"/>
      <c r="N190" s="24">
        <f>IFERROR(INDEX('Input Giocatori 2026_27'!$E$3:$E$493,MATCH($A190,'Input Giocatori 2026_27'!$A$3:$A$493,0)),"")</f>
        <v>6</v>
      </c>
      <c r="O190" s="24">
        <f>IFERROR(INDEX('Input Giocatori 2026_27'!$G$3:$G$493,MATCH($A190,'Input Giocatori 2026_27'!$A$3:$A$493,0)),"")</f>
        <v>18</v>
      </c>
      <c r="P190" s="23" t="str">
        <f>IFERROR(IF($O190="","",IF((1-(COUNTIFS($B$2:$B$492,$B190,$O$2:$O$492,"&gt;"&amp;$O190)+1-1)/COUNTIF($B$2:$B$492,$B190))&gt;='Parametri Modello'!$B$63,"Top",IF((1-(COUNTIFS($B$2:$B$492,$B190,$O$2:$O$492,"&gt;"&amp;$O190)+1-1)/COUNTIF($B$2:$B$492,$B190))&gt;='Parametri Modello'!$B$64,"Buono",IF((1-(COUNTIFS($B$2:$B$492,$B190,$O$2:$O$492,"&gt;"&amp;$O190)+1-1)/COUNTIF($B$2:$B$492,$B190))&gt;='Parametri Modello'!$B$65,"Nella Media","Scommessa/Riserva")))),"")</f>
        <v>Nella Media</v>
      </c>
      <c r="Q190" s="26">
        <f>IF(AND($D190="",$N190&gt;1),SUMPRODUCT(($D$2:$D190="")*($N$2:$N190&gt;1)),"")</f>
        <v>189</v>
      </c>
      <c r="R190" s="26" t="str">
        <f>IF($D190='Info Lega'!$B$28,COUNTIFS($D$2:$D190,'Info Lega'!$B$28),"")</f>
        <v/>
      </c>
      <c r="S190" s="27">
        <f>IFERROR(INDEX('Input Statistiche 2025_26'!$G$3:$G$665,MATCH($A190,'Input Statistiche 2025_26'!$A$3:$A$665,0)),"")</f>
        <v>5.84</v>
      </c>
      <c r="T190" s="27">
        <f>IFERROR(INDEX('Input Statistiche 2025_26'!$H$3:$H$665,MATCH($A190,'Input Statistiche 2025_26'!$A$3:$A$665,0)),"")</f>
        <v>5.91</v>
      </c>
      <c r="U190" s="23" t="str">
        <f>IF(OR('La Mia Rosa'!$O$12="",$D190&lt;&gt;""),"",IF($F190&lt;='La Mia Rosa'!$O$12*'Parametri Modello'!$B$24,"OK",IF($F190&lt;='La Mia Rosa'!$O$12*'Parametri Modello'!$B$25,"Attenzione","Rischio Alto")))</f>
        <v>OK</v>
      </c>
      <c r="V190" s="23">
        <f t="shared" si="19"/>
        <v>71</v>
      </c>
      <c r="W190" s="18">
        <f>'Info Lega'!$B$4-SUMIFS($M$2:$M$492,$D$2:$D$492,'Info Lega'!$B$28)</f>
        <v>1000</v>
      </c>
      <c r="X190" s="18">
        <f>('Info Lega'!$B$5-COUNTIFS($D$2:$D$492,'Info Lega'!$B$28,$B$2:$B$492,"P"))+('Info Lega'!$B$6-COUNTIFS($D$2:$D$492,'Info Lega'!$B$28,$B$2:$B$492,"D"))+('Info Lega'!$B$7-COUNTIFS($D$2:$D$492,'Info Lega'!$B$28,$B$2:$B$492,"C"))+('Info Lega'!$B$8-COUNTIFS($D$2:$D$492,'Info Lega'!$B$28,$B$2:$B$492,"A"))</f>
        <v>25</v>
      </c>
      <c r="Y190" s="18">
        <f>X190*'Parametri Modello'!$B$30</f>
        <v>25</v>
      </c>
      <c r="Z190" s="18">
        <f t="shared" si="20"/>
        <v>975</v>
      </c>
      <c r="AA190" s="18">
        <f t="shared" si="21"/>
        <v>3</v>
      </c>
      <c r="AB190" s="18"/>
      <c r="AC190" s="18" t="str">
        <f>IF($AB190="","",IF($AB190&gt;$AA190,"PASS",IF($AB190&lt;=$AA190*(1-'Parametri Modello'!$B$68),"BID","ATTENZIONE")))</f>
        <v/>
      </c>
      <c r="AD190" s="28">
        <f t="shared" si="22"/>
        <v>69</v>
      </c>
      <c r="AE190" s="5" t="str">
        <f>IFERROR(IF($AF190="Titolare",INDEX('Stato Asta'!$G$9:$G$12,MATCH($B190,'Stato Asta'!$A$9:$A$12,0)),INDEX('Stato Asta'!$P$9:$P$12,MATCH($B190,'Stato Asta'!$A$9:$A$12,0))),"")</f>
        <v>🟢 Riserve abbondanti</v>
      </c>
      <c r="AF190" t="str">
        <f>IFERROR(IF($V190&lt;=INDEX('Parametri Modello'!$C$57:$C$60,MATCH($B190,'Parametri Modello'!$A$57:$A$60,0)),"Titolare","Riserva"),"")</f>
        <v>Riserva</v>
      </c>
      <c r="AG190" t="str">
        <f>IFERROR(INDEX('Pressione Competitiva'!$F$3:$F$6,MATCH($B190,'Pressione Competitiva'!$B$3:$B$6,0)),"")</f>
        <v>🔴 Molto Alta</v>
      </c>
      <c r="AH190" t="str">
        <f t="shared" si="23"/>
        <v/>
      </c>
      <c r="AI190" t="str">
        <f>IFERROR(IF($AH190="","",IF($AH190&gt;=$AA190*'Parametri Modello'!$B$68,"🟢 Opportunita'",IF($AH190&lt;=$AA190*'Parametri Modello'!$B$69,"🔴 Sovrapprezzo","🟡 Prezzo Corretto"))),"")</f>
        <v/>
      </c>
      <c r="AJ190" t="str">
        <f t="shared" si="24"/>
        <v/>
      </c>
      <c r="AK190">
        <f t="shared" si="25"/>
        <v>16</v>
      </c>
      <c r="AL190" t="str">
        <f t="shared" si="26"/>
        <v>C|Nella Media|16</v>
      </c>
    </row>
    <row r="191" spans="1:38" ht="14.25" customHeight="1" x14ac:dyDescent="0.25">
      <c r="A191" s="18">
        <v>5761</v>
      </c>
      <c r="B191" s="18" t="s">
        <v>264</v>
      </c>
      <c r="C191" s="18" t="s">
        <v>336</v>
      </c>
      <c r="E191" s="23" t="str">
        <f>IF(COUNTIF('Info Strategia'!$D$2:$D$51,$C191)&gt;0,"SI","NO")</f>
        <v>NO</v>
      </c>
      <c r="F191" s="24">
        <f>IFERROR(ROUND(($G191+($H191-$G191)*'Info Strategia'!$B$6)*(1+IF($E191="SI",'Parametri Modello'!$B$7*'Info Strategia'!$B$6,0)),0),"")</f>
        <v>3</v>
      </c>
      <c r="G191" s="24">
        <f>IFERROR(ROUND(MAX(1,(IF($V191&lt;=INDEX('Parametri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2</v>
      </c>
      <c r="H191" s="24">
        <f>IFERROR(ROUND((IF($V191&lt;=INDEX('Parametri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3</v>
      </c>
      <c r="I191" s="23">
        <f>IFERROR(INDEX('Input Statistiche 2025_26'!$F$3:$F$665,MATCH($A191,'Input Statistiche 2025_26'!$A$3:$A$665,0)),"")</f>
        <v>12</v>
      </c>
      <c r="J191" s="23">
        <f t="shared" si="18"/>
        <v>26</v>
      </c>
      <c r="K191" s="23">
        <f>IFERROR(INDEX('Input Statistiche 2025_26'!$I$3:$I$665,MATCH($A191,'Input Statistiche 2025_26'!$A$3:$A$665,0)),"")</f>
        <v>0</v>
      </c>
      <c r="L191" s="23">
        <f>IFERROR(INDEX('Input Statistiche 2025_26'!$O$3:$O$665,MATCH($A191,'Input Statistiche 2025_26'!$A$3:$A$665,0)),"")</f>
        <v>0</v>
      </c>
      <c r="M191" s="25"/>
      <c r="N191" s="24">
        <f>IFERROR(INDEX('Input Giocatori 2026_27'!$E$3:$E$493,MATCH($A191,'Input Giocatori 2026_27'!$A$3:$A$493,0)),"")</f>
        <v>6</v>
      </c>
      <c r="O191" s="24">
        <f>IFERROR(INDEX('Input Giocatori 2026_27'!$G$3:$G$493,MATCH($A191,'Input Giocatori 2026_27'!$A$3:$A$493,0)),"")</f>
        <v>18</v>
      </c>
      <c r="P191" s="23" t="str">
        <f>IFERROR(IF($O191="","",IF((1-(COUNTIFS($B$2:$B$492,$B191,$O$2:$O$492,"&gt;"&amp;$O191)+1-1)/COUNTIF($B$2:$B$492,$B191))&gt;='Parametri Modello'!$B$63,"Top",IF((1-(COUNTIFS($B$2:$B$492,$B191,$O$2:$O$492,"&gt;"&amp;$O191)+1-1)/COUNTIF($B$2:$B$492,$B191))&gt;='Parametri Modello'!$B$64,"Buono",IF((1-(COUNTIFS($B$2:$B$492,$B191,$O$2:$O$492,"&gt;"&amp;$O191)+1-1)/COUNTIF($B$2:$B$492,$B191))&gt;='Parametri Modello'!$B$65,"Nella Media","Scommessa/Riserva")))),"")</f>
        <v>Nella Media</v>
      </c>
      <c r="Q191" s="26">
        <f>IF(AND($D191="",$N191&gt;1),SUMPRODUCT(($D$2:$D191="")*($N$2:$N191&gt;1)),"")</f>
        <v>190</v>
      </c>
      <c r="R191" s="26" t="str">
        <f>IF($D191='Info Lega'!$B$28,COUNTIFS($D$2:$D191,'Info Lega'!$B$28),"")</f>
        <v/>
      </c>
      <c r="S191" s="27">
        <f>IFERROR(INDEX('Input Statistiche 2025_26'!$G$3:$G$665,MATCH($A191,'Input Statistiche 2025_26'!$A$3:$A$665,0)),"")</f>
        <v>5.96</v>
      </c>
      <c r="T191" s="27">
        <f>IFERROR(INDEX('Input Statistiche 2025_26'!$H$3:$H$665,MATCH($A191,'Input Statistiche 2025_26'!$A$3:$A$665,0)),"")</f>
        <v>5.96</v>
      </c>
      <c r="U191" s="23" t="str">
        <f>IF(OR('La Mia Rosa'!$O$12="",$D191&lt;&gt;""),"",IF($F191&lt;='La Mia Rosa'!$O$12*'Parametri Modello'!$B$24,"OK",IF($F191&lt;='La Mia Rosa'!$O$12*'Parametri Modello'!$B$25,"Attenzione","Rischio Alto")))</f>
        <v>OK</v>
      </c>
      <c r="V191" s="23">
        <f t="shared" si="19"/>
        <v>71</v>
      </c>
      <c r="W191" s="18">
        <f>'Info Lega'!$B$4-SUMIFS($M$2:$M$492,$D$2:$D$492,'Info Lega'!$B$28)</f>
        <v>1000</v>
      </c>
      <c r="X191" s="18">
        <f>('Info Lega'!$B$5-COUNTIFS($D$2:$D$492,'Info Lega'!$B$28,$B$2:$B$492,"P"))+('Info Lega'!$B$6-COUNTIFS($D$2:$D$492,'Info Lega'!$B$28,$B$2:$B$492,"D"))+('Info Lega'!$B$7-COUNTIFS($D$2:$D$492,'Info Lega'!$B$28,$B$2:$B$492,"C"))+('Info Lega'!$B$8-COUNTIFS($D$2:$D$492,'Info Lega'!$B$28,$B$2:$B$492,"A"))</f>
        <v>25</v>
      </c>
      <c r="Y191" s="18">
        <f>X191*'Parametri Modello'!$B$30</f>
        <v>25</v>
      </c>
      <c r="Z191" s="18">
        <f t="shared" si="20"/>
        <v>975</v>
      </c>
      <c r="AA191" s="18">
        <f t="shared" si="21"/>
        <v>3</v>
      </c>
      <c r="AB191" s="18"/>
      <c r="AC191" s="18" t="str">
        <f>IF($AB191="","",IF($AB191&gt;$AA191,"PASS",IF($AB191&lt;=$AA191*(1-'Parametri Modello'!$B$68),"BID","ATTENZIONE")))</f>
        <v/>
      </c>
      <c r="AD191" s="28">
        <f t="shared" si="22"/>
        <v>33</v>
      </c>
      <c r="AE191" s="5" t="str">
        <f>IFERROR(IF($AF191="Titolare",INDEX('Stato Asta'!$G$9:$G$12,MATCH($B191,'Stato Asta'!$A$9:$A$12,0)),INDEX('Stato Asta'!$P$9:$P$12,MATCH($B191,'Stato Asta'!$A$9:$A$12,0))),"")</f>
        <v>🟢 Riserve abbondanti</v>
      </c>
      <c r="AF191" t="str">
        <f>IFERROR(IF($V191&lt;=INDEX('Parametri Modello'!$C$57:$C$60,MATCH($B191,'Parametri Modello'!$A$57:$A$60,0)),"Titolare","Riserva"),"")</f>
        <v>Riserva</v>
      </c>
      <c r="AG191" t="str">
        <f>IFERROR(INDEX('Pressione Competitiva'!$F$3:$F$6,MATCH($B191,'Pressione Competitiva'!$B$3:$B$6,0)),"")</f>
        <v>🔴 Molto Alta</v>
      </c>
      <c r="AH191" t="str">
        <f t="shared" si="23"/>
        <v/>
      </c>
      <c r="AI191" t="str">
        <f>IFERROR(IF($AH191="","",IF($AH191&gt;=$AA191*'Parametri Modello'!$B$68,"🟢 Opportunita'",IF($AH191&lt;=$AA191*'Parametri Modello'!$B$69,"🔴 Sovrapprezzo","🟡 Prezzo Corretto"))),"")</f>
        <v/>
      </c>
      <c r="AJ191" t="str">
        <f t="shared" si="24"/>
        <v/>
      </c>
      <c r="AK191">
        <f t="shared" si="25"/>
        <v>16</v>
      </c>
      <c r="AL191" t="str">
        <f t="shared" si="26"/>
        <v>C|Nella Media|16</v>
      </c>
    </row>
    <row r="192" spans="1:38" ht="14.25" customHeight="1" x14ac:dyDescent="0.25">
      <c r="A192" s="18">
        <v>4349</v>
      </c>
      <c r="B192" s="18" t="s">
        <v>264</v>
      </c>
      <c r="C192" s="18" t="s">
        <v>342</v>
      </c>
      <c r="E192" s="23" t="str">
        <f>IF(COUNTIF('Info Strategia'!$D$2:$D$51,$C192)&gt;0,"SI","NO")</f>
        <v>NO</v>
      </c>
      <c r="F192" s="24">
        <f>IFERROR(ROUND(($G192+($H192-$G192)*'Info Strategia'!$B$6)*(1+IF($E192="SI",'Parametri Modello'!$B$7*'Info Strategia'!$B$6,0)),0),"")</f>
        <v>3</v>
      </c>
      <c r="G192" s="24">
        <f>IFERROR(ROUND(MAX(1,(IF($V192&lt;=INDEX('Parametri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2</v>
      </c>
      <c r="H192" s="24">
        <f>IFERROR(ROUND((IF($V192&lt;=INDEX('Parametri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3</v>
      </c>
      <c r="I192" s="23">
        <f>IFERROR(INDEX('Input Statistiche 2025_26'!$F$3:$F$665,MATCH($A192,'Input Statistiche 2025_26'!$A$3:$A$665,0)),"")</f>
        <v>23</v>
      </c>
      <c r="J192" s="23">
        <f t="shared" si="18"/>
        <v>15</v>
      </c>
      <c r="K192" s="23">
        <f>IFERROR(INDEX('Input Statistiche 2025_26'!$I$3:$I$665,MATCH($A192,'Input Statistiche 2025_26'!$A$3:$A$665,0)),"")</f>
        <v>0</v>
      </c>
      <c r="L192" s="23">
        <f>IFERROR(INDEX('Input Statistiche 2025_26'!$O$3:$O$665,MATCH($A192,'Input Statistiche 2025_26'!$A$3:$A$665,0)),"")</f>
        <v>4</v>
      </c>
      <c r="M192" s="25"/>
      <c r="N192" s="24">
        <f>IFERROR(INDEX('Input Giocatori 2026_27'!$E$3:$E$493,MATCH($A192,'Input Giocatori 2026_27'!$A$3:$A$493,0)),"")</f>
        <v>6</v>
      </c>
      <c r="O192" s="24">
        <f>IFERROR(INDEX('Input Giocatori 2026_27'!$G$3:$G$493,MATCH($A192,'Input Giocatori 2026_27'!$A$3:$A$493,0)),"")</f>
        <v>18</v>
      </c>
      <c r="P192" s="23" t="str">
        <f>IFERROR(IF($O192="","",IF((1-(COUNTIFS($B$2:$B$492,$B192,$O$2:$O$492,"&gt;"&amp;$O192)+1-1)/COUNTIF($B$2:$B$492,$B192))&gt;='Parametri Modello'!$B$63,"Top",IF((1-(COUNTIFS($B$2:$B$492,$B192,$O$2:$O$492,"&gt;"&amp;$O192)+1-1)/COUNTIF($B$2:$B$492,$B192))&gt;='Parametri Modello'!$B$64,"Buono",IF((1-(COUNTIFS($B$2:$B$492,$B192,$O$2:$O$492,"&gt;"&amp;$O192)+1-1)/COUNTIF($B$2:$B$492,$B192))&gt;='Parametri Modello'!$B$65,"Nella Media","Scommessa/Riserva")))),"")</f>
        <v>Nella Media</v>
      </c>
      <c r="Q192" s="26">
        <f>IF(AND($D192="",$N192&gt;1),SUMPRODUCT(($D$2:$D192="")*($N$2:$N192&gt;1)),"")</f>
        <v>191</v>
      </c>
      <c r="R192" s="26" t="str">
        <f>IF($D192='Info Lega'!$B$28,COUNTIFS($D$2:$D192,'Info Lega'!$B$28),"")</f>
        <v/>
      </c>
      <c r="S192" s="27">
        <f>IFERROR(INDEX('Input Statistiche 2025_26'!$G$3:$G$665,MATCH($A192,'Input Statistiche 2025_26'!$A$3:$A$665,0)),"")</f>
        <v>5.89</v>
      </c>
      <c r="T192" s="27">
        <f>IFERROR(INDEX('Input Statistiche 2025_26'!$H$3:$H$665,MATCH($A192,'Input Statistiche 2025_26'!$A$3:$A$665,0)),"")</f>
        <v>6.02</v>
      </c>
      <c r="U192" s="23" t="str">
        <f>IF(OR('La Mia Rosa'!$O$12="",$D192&lt;&gt;""),"",IF($F192&lt;='La Mia Rosa'!$O$12*'Parametri Modello'!$B$24,"OK",IF($F192&lt;='La Mia Rosa'!$O$12*'Parametri Modello'!$B$25,"Attenzione","Rischio Alto")))</f>
        <v>OK</v>
      </c>
      <c r="V192" s="23">
        <f t="shared" si="19"/>
        <v>71</v>
      </c>
      <c r="W192" s="18">
        <f>'Info Lega'!$B$4-SUMIFS($M$2:$M$492,$D$2:$D$492,'Info Lega'!$B$28)</f>
        <v>1000</v>
      </c>
      <c r="X192" s="18">
        <f>('Info Lega'!$B$5-COUNTIFS($D$2:$D$492,'Info Lega'!$B$28,$B$2:$B$492,"P"))+('Info Lega'!$B$6-COUNTIFS($D$2:$D$492,'Info Lega'!$B$28,$B$2:$B$492,"D"))+('Info Lega'!$B$7-COUNTIFS($D$2:$D$492,'Info Lega'!$B$28,$B$2:$B$492,"C"))+('Info Lega'!$B$8-COUNTIFS($D$2:$D$492,'Info Lega'!$B$28,$B$2:$B$492,"A"))</f>
        <v>25</v>
      </c>
      <c r="Y192" s="18">
        <f>X192*'Parametri Modello'!$B$30</f>
        <v>25</v>
      </c>
      <c r="Z192" s="18">
        <f t="shared" si="20"/>
        <v>975</v>
      </c>
      <c r="AA192" s="18">
        <f t="shared" si="21"/>
        <v>3</v>
      </c>
      <c r="AB192" s="18"/>
      <c r="AC192" s="18" t="str">
        <f>IF($AB192="","",IF($AB192&gt;$AA192,"PASS",IF($AB192&lt;=$AA192*(1-'Parametri Modello'!$B$68),"BID","ATTENZIONE")))</f>
        <v/>
      </c>
      <c r="AD192" s="28">
        <f t="shared" si="22"/>
        <v>54</v>
      </c>
      <c r="AE192" s="5" t="str">
        <f>IFERROR(IF($AF192="Titolare",INDEX('Stato Asta'!$G$9:$G$12,MATCH($B192,'Stato Asta'!$A$9:$A$12,0)),INDEX('Stato Asta'!$P$9:$P$12,MATCH($B192,'Stato Asta'!$A$9:$A$12,0))),"")</f>
        <v>🟢 Riserve abbondanti</v>
      </c>
      <c r="AF192" t="str">
        <f>IFERROR(IF($V192&lt;=INDEX('Parametri Modello'!$C$57:$C$60,MATCH($B192,'Parametri Modello'!$A$57:$A$60,0)),"Titolare","Riserva"),"")</f>
        <v>Riserva</v>
      </c>
      <c r="AG192" t="str">
        <f>IFERROR(INDEX('Pressione Competitiva'!$F$3:$F$6,MATCH($B192,'Pressione Competitiva'!$B$3:$B$6,0)),"")</f>
        <v>🔴 Molto Alta</v>
      </c>
      <c r="AH192" t="str">
        <f t="shared" si="23"/>
        <v/>
      </c>
      <c r="AI192" t="str">
        <f>IFERROR(IF($AH192="","",IF($AH192&gt;=$AA192*'Parametri Modello'!$B$68,"🟢 Opportunita'",IF($AH192&lt;=$AA192*'Parametri Modello'!$B$69,"🔴 Sovrapprezzo","🟡 Prezzo Corretto"))),"")</f>
        <v/>
      </c>
      <c r="AJ192" t="str">
        <f t="shared" si="24"/>
        <v/>
      </c>
      <c r="AK192">
        <f t="shared" si="25"/>
        <v>16</v>
      </c>
      <c r="AL192" t="str">
        <f t="shared" si="26"/>
        <v>C|Nella Media|16</v>
      </c>
    </row>
    <row r="193" spans="1:38" ht="14.25" customHeight="1" x14ac:dyDescent="0.25">
      <c r="A193" s="18">
        <v>6984</v>
      </c>
      <c r="B193" s="18" t="s">
        <v>264</v>
      </c>
      <c r="C193" s="18" t="s">
        <v>360</v>
      </c>
      <c r="E193" s="23" t="str">
        <f>IF(COUNTIF('Info Strategia'!$D$2:$D$51,$C193)&gt;0,"SI","NO")</f>
        <v>NO</v>
      </c>
      <c r="F193" s="24">
        <f>IFERROR(ROUND(($G193+($H193-$G193)*'Info Strategia'!$B$6)*(1+IF($E193="SI",'Parametri Modello'!$B$7*'Info Strategia'!$B$6,0)),0),"")</f>
        <v>3</v>
      </c>
      <c r="G193" s="24">
        <f>IFERROR(ROUND(MAX(1,(IF($V193&lt;=INDEX('Parametri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2</v>
      </c>
      <c r="H193" s="24">
        <f>IFERROR(ROUND((IF($V193&lt;=INDEX('Parametri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3</v>
      </c>
      <c r="I193" s="23">
        <f>IFERROR(INDEX('Input Statistiche 2025_26'!$F$3:$F$665,MATCH($A193,'Input Statistiche 2025_26'!$A$3:$A$665,0)),"")</f>
        <v>15</v>
      </c>
      <c r="J193" s="23">
        <f t="shared" si="18"/>
        <v>23</v>
      </c>
      <c r="K193" s="23">
        <f>IFERROR(INDEX('Input Statistiche 2025_26'!$I$3:$I$665,MATCH($A193,'Input Statistiche 2025_26'!$A$3:$A$665,0)),"")</f>
        <v>0</v>
      </c>
      <c r="L193" s="23">
        <f>IFERROR(INDEX('Input Statistiche 2025_26'!$O$3:$O$665,MATCH($A193,'Input Statistiche 2025_26'!$A$3:$A$665,0)),"")</f>
        <v>0</v>
      </c>
      <c r="M193" s="25"/>
      <c r="N193" s="24">
        <f>IFERROR(INDEX('Input Giocatori 2026_27'!$E$3:$E$493,MATCH($A193,'Input Giocatori 2026_27'!$A$3:$A$493,0)),"")</f>
        <v>5</v>
      </c>
      <c r="O193" s="24">
        <f>IFERROR(INDEX('Input Giocatori 2026_27'!$G$3:$G$493,MATCH($A193,'Input Giocatori 2026_27'!$A$3:$A$493,0)),"")</f>
        <v>18</v>
      </c>
      <c r="P193" s="23" t="str">
        <f>IFERROR(IF($O193="","",IF((1-(COUNTIFS($B$2:$B$492,$B193,$O$2:$O$492,"&gt;"&amp;$O193)+1-1)/COUNTIF($B$2:$B$492,$B193))&gt;='Parametri Modello'!$B$63,"Top",IF((1-(COUNTIFS($B$2:$B$492,$B193,$O$2:$O$492,"&gt;"&amp;$O193)+1-1)/COUNTIF($B$2:$B$492,$B193))&gt;='Parametri Modello'!$B$64,"Buono",IF((1-(COUNTIFS($B$2:$B$492,$B193,$O$2:$O$492,"&gt;"&amp;$O193)+1-1)/COUNTIF($B$2:$B$492,$B193))&gt;='Parametri Modello'!$B$65,"Nella Media","Scommessa/Riserva")))),"")</f>
        <v>Nella Media</v>
      </c>
      <c r="Q193" s="26">
        <f>IF(AND($D193="",$N193&gt;1),SUMPRODUCT(($D$2:$D193="")*($N$2:$N193&gt;1)),"")</f>
        <v>192</v>
      </c>
      <c r="R193" s="26" t="str">
        <f>IF($D193='Info Lega'!$B$28,COUNTIFS($D$2:$D193,'Info Lega'!$B$28),"")</f>
        <v/>
      </c>
      <c r="S193" s="27">
        <f>IFERROR(INDEX('Input Statistiche 2025_26'!$G$3:$G$665,MATCH($A193,'Input Statistiche 2025_26'!$A$3:$A$665,0)),"")</f>
        <v>5.7</v>
      </c>
      <c r="T193" s="27">
        <f>IFERROR(INDEX('Input Statistiche 2025_26'!$H$3:$H$665,MATCH($A193,'Input Statistiche 2025_26'!$A$3:$A$665,0)),"")</f>
        <v>5.63</v>
      </c>
      <c r="U193" s="23" t="str">
        <f>IF(OR('La Mia Rosa'!$O$12="",$D193&lt;&gt;""),"",IF($F193&lt;='La Mia Rosa'!$O$12*'Parametri Modello'!$B$24,"OK",IF($F193&lt;='La Mia Rosa'!$O$12*'Parametri Modello'!$B$25,"Attenzione","Rischio Alto")))</f>
        <v>OK</v>
      </c>
      <c r="V193" s="23">
        <f t="shared" si="19"/>
        <v>71</v>
      </c>
      <c r="W193" s="18">
        <f>'Info Lega'!$B$4-SUMIFS($M$2:$M$492,$D$2:$D$492,'Info Lega'!$B$28)</f>
        <v>1000</v>
      </c>
      <c r="X193" s="18">
        <f>('Info Lega'!$B$5-COUNTIFS($D$2:$D$492,'Info Lega'!$B$28,$B$2:$B$492,"P"))+('Info Lega'!$B$6-COUNTIFS($D$2:$D$492,'Info Lega'!$B$28,$B$2:$B$492,"D"))+('Info Lega'!$B$7-COUNTIFS($D$2:$D$492,'Info Lega'!$B$28,$B$2:$B$492,"C"))+('Info Lega'!$B$8-COUNTIFS($D$2:$D$492,'Info Lega'!$B$28,$B$2:$B$492,"A"))</f>
        <v>25</v>
      </c>
      <c r="Y193" s="18">
        <f>X193*'Parametri Modello'!$B$30</f>
        <v>25</v>
      </c>
      <c r="Z193" s="18">
        <f t="shared" si="20"/>
        <v>975</v>
      </c>
      <c r="AA193" s="18">
        <f t="shared" si="21"/>
        <v>3</v>
      </c>
      <c r="AB193" s="18"/>
      <c r="AC193" s="18" t="str">
        <f>IF($AB193="","",IF($AB193&gt;$AA193,"PASS",IF($AB193&lt;=$AA193*(1-'Parametri Modello'!$B$68),"BID","ATTENZIONE")))</f>
        <v/>
      </c>
      <c r="AD193" s="28">
        <f t="shared" si="22"/>
        <v>39</v>
      </c>
      <c r="AE193" s="5" t="str">
        <f>IFERROR(IF($AF193="Titolare",INDEX('Stato Asta'!$G$9:$G$12,MATCH($B193,'Stato Asta'!$A$9:$A$12,0)),INDEX('Stato Asta'!$P$9:$P$12,MATCH($B193,'Stato Asta'!$A$9:$A$12,0))),"")</f>
        <v>🟢 Riserve abbondanti</v>
      </c>
      <c r="AF193" t="str">
        <f>IFERROR(IF($V193&lt;=INDEX('Parametri Modello'!$C$57:$C$60,MATCH($B193,'Parametri Modello'!$A$57:$A$60,0)),"Titolare","Riserva"),"")</f>
        <v>Riserva</v>
      </c>
      <c r="AG193" t="str">
        <f>IFERROR(INDEX('Pressione Competitiva'!$F$3:$F$6,MATCH($B193,'Pressione Competitiva'!$B$3:$B$6,0)),"")</f>
        <v>🔴 Molto Alta</v>
      </c>
      <c r="AH193" t="str">
        <f t="shared" si="23"/>
        <v/>
      </c>
      <c r="AI193" t="str">
        <f>IFERROR(IF($AH193="","",IF($AH193&gt;=$AA193*'Parametri Modello'!$B$68,"🟢 Opportunita'",IF($AH193&lt;=$AA193*'Parametri Modello'!$B$69,"🔴 Sovrapprezzo","🟡 Prezzo Corretto"))),"")</f>
        <v/>
      </c>
      <c r="AJ193" t="str">
        <f t="shared" si="24"/>
        <v/>
      </c>
      <c r="AK193">
        <f t="shared" si="25"/>
        <v>16</v>
      </c>
      <c r="AL193" t="str">
        <f t="shared" si="26"/>
        <v>C|Nella Media|16</v>
      </c>
    </row>
    <row r="194" spans="1:38" ht="14.25" customHeight="1" x14ac:dyDescent="0.25">
      <c r="A194" s="18">
        <v>7060</v>
      </c>
      <c r="B194" s="18" t="s">
        <v>264</v>
      </c>
      <c r="C194" s="18" t="s">
        <v>365</v>
      </c>
      <c r="E194" s="23" t="str">
        <f>IF(COUNTIF('Info Strategia'!$D$2:$D$51,$C194)&gt;0,"SI","NO")</f>
        <v>NO</v>
      </c>
      <c r="F194" s="24">
        <f>IFERROR(ROUND(($G194+($H194-$G194)*'Info Strategia'!$B$6)*(1+IF($E194="SI",'Parametri Modello'!$B$7*'Info Strategia'!$B$6,0)),0),"")</f>
        <v>3</v>
      </c>
      <c r="G194" s="24">
        <f>IFERROR(ROUND(MAX(1,(IF($V194&lt;=INDEX('Parametri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2</v>
      </c>
      <c r="H194" s="24">
        <f>IFERROR(ROUND((IF($V194&lt;=INDEX('Parametri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3</v>
      </c>
      <c r="I194" s="23" t="str">
        <f>IFERROR(INDEX('Input Statistiche 2025_26'!$F$3:$F$665,MATCH($A194,'Input Statistiche 2025_26'!$A$3:$A$665,0)),"")</f>
        <v/>
      </c>
      <c r="J194" s="23" t="str">
        <f t="shared" ref="J194:J257" si="27">IFERROR(IF($I194="","",MAX(0,38-$I194)),"")</f>
        <v/>
      </c>
      <c r="K194" s="23" t="str">
        <f>IFERROR(INDEX('Input Statistiche 2025_26'!$I$3:$I$665,MATCH($A194,'Input Statistiche 2025_26'!$A$3:$A$665,0)),"")</f>
        <v/>
      </c>
      <c r="L194" s="23" t="str">
        <f>IFERROR(INDEX('Input Statistiche 2025_26'!$O$3:$O$665,MATCH($A194,'Input Statistiche 2025_26'!$A$3:$A$665,0)),"")</f>
        <v/>
      </c>
      <c r="M194" s="25"/>
      <c r="N194" s="24">
        <f>IFERROR(INDEX('Input Giocatori 2026_27'!$E$3:$E$493,MATCH($A194,'Input Giocatori 2026_27'!$A$3:$A$493,0)),"")</f>
        <v>5</v>
      </c>
      <c r="O194" s="24">
        <f>IFERROR(INDEX('Input Giocatori 2026_27'!$G$3:$G$493,MATCH($A194,'Input Giocatori 2026_27'!$A$3:$A$493,0)),"")</f>
        <v>18</v>
      </c>
      <c r="P194" s="23" t="str">
        <f>IFERROR(IF($O194="","",IF((1-(COUNTIFS($B$2:$B$492,$B194,$O$2:$O$492,"&gt;"&amp;$O194)+1-1)/COUNTIF($B$2:$B$492,$B194))&gt;='Parametri Modello'!$B$63,"Top",IF((1-(COUNTIFS($B$2:$B$492,$B194,$O$2:$O$492,"&gt;"&amp;$O194)+1-1)/COUNTIF($B$2:$B$492,$B194))&gt;='Parametri Modello'!$B$64,"Buono",IF((1-(COUNTIFS($B$2:$B$492,$B194,$O$2:$O$492,"&gt;"&amp;$O194)+1-1)/COUNTIF($B$2:$B$492,$B194))&gt;='Parametri Modello'!$B$65,"Nella Media","Scommessa/Riserva")))),"")</f>
        <v>Nella Media</v>
      </c>
      <c r="Q194" s="26">
        <f>IF(AND($D194="",$N194&gt;1),SUMPRODUCT(($D$2:$D194="")*($N$2:$N194&gt;1)),"")</f>
        <v>193</v>
      </c>
      <c r="R194" s="26" t="str">
        <f>IF($D194='Info Lega'!$B$28,COUNTIFS($D$2:$D194,'Info Lega'!$B$28),"")</f>
        <v/>
      </c>
      <c r="S194" s="27" t="str">
        <f>IFERROR(INDEX('Input Statistiche 2025_26'!$G$3:$G$665,MATCH($A194,'Input Statistiche 2025_26'!$A$3:$A$665,0)),"")</f>
        <v/>
      </c>
      <c r="T194" s="27" t="str">
        <f>IFERROR(INDEX('Input Statistiche 2025_26'!$H$3:$H$665,MATCH($A194,'Input Statistiche 2025_26'!$A$3:$A$665,0)),"")</f>
        <v/>
      </c>
      <c r="U194" s="23" t="str">
        <f>IF(OR('La Mia Rosa'!$O$12="",$D194&lt;&gt;""),"",IF($F194&lt;='La Mia Rosa'!$O$12*'Parametri Modello'!$B$24,"OK",IF($F194&lt;='La Mia Rosa'!$O$12*'Parametri Modello'!$B$25,"Attenzione","Rischio Alto")))</f>
        <v>OK</v>
      </c>
      <c r="V194" s="23">
        <f t="shared" ref="V194:V257" si="28">IFERROR(COUNTIFS($B$2:$B$492,$B194,$O$2:$O$492,"&gt;"&amp;$O194)+1,"")</f>
        <v>71</v>
      </c>
      <c r="W194" s="18">
        <f>'Info Lega'!$B$4-SUMIFS($M$2:$M$492,$D$2:$D$492,'Info Lega'!$B$28)</f>
        <v>1000</v>
      </c>
      <c r="X194" s="18">
        <f>('Info Lega'!$B$5-COUNTIFS($D$2:$D$492,'Info Lega'!$B$28,$B$2:$B$492,"P"))+('Info Lega'!$B$6-COUNTIFS($D$2:$D$492,'Info Lega'!$B$28,$B$2:$B$492,"D"))+('Info Lega'!$B$7-COUNTIFS($D$2:$D$492,'Info Lega'!$B$28,$B$2:$B$492,"C"))+('Info Lega'!$B$8-COUNTIFS($D$2:$D$492,'Info Lega'!$B$28,$B$2:$B$492,"A"))</f>
        <v>25</v>
      </c>
      <c r="Y194" s="18">
        <f>X194*'Parametri Modello'!$B$30</f>
        <v>25</v>
      </c>
      <c r="Z194" s="18">
        <f t="shared" ref="Z194:Z257" si="29">MAX(0,W194-Y194)</f>
        <v>975</v>
      </c>
      <c r="AA194" s="18">
        <f t="shared" ref="AA194:AA257" si="30">MIN(F194,Z194)</f>
        <v>3</v>
      </c>
      <c r="AB194" s="18"/>
      <c r="AC194" s="18" t="str">
        <f>IF($AB194="","",IF($AB194&gt;$AA194,"PASS",IF($AB194&lt;=$AA194*(1-'Parametri Modello'!$B$68),"BID","ATTENZIONE")))</f>
        <v/>
      </c>
      <c r="AD194" s="28" t="str">
        <f t="shared" ref="AD194:AD257" si="31">IF(I194="","",ROUND(100*(1-EXP(-I194/30)),0))</f>
        <v/>
      </c>
      <c r="AE194" s="5" t="str">
        <f>IFERROR(IF($AF194="Titolare",INDEX('Stato Asta'!$G$9:$G$12,MATCH($B194,'Stato Asta'!$A$9:$A$12,0)),INDEX('Stato Asta'!$P$9:$P$12,MATCH($B194,'Stato Asta'!$A$9:$A$12,0))),"")</f>
        <v>🟢 Riserve abbondanti</v>
      </c>
      <c r="AF194" t="str">
        <f>IFERROR(IF($V194&lt;=INDEX('Parametri Modello'!$C$57:$C$60,MATCH($B194,'Parametri Modello'!$A$57:$A$60,0)),"Titolare","Riserva"),"")</f>
        <v>Riserva</v>
      </c>
      <c r="AG194" t="str">
        <f>IFERROR(INDEX('Pressione Competitiva'!$F$3:$F$6,MATCH($B194,'Pressione Competitiva'!$B$3:$B$6,0)),"")</f>
        <v>🔴 Molto Alta</v>
      </c>
      <c r="AH194" t="str">
        <f t="shared" ref="AH194:AH257" si="32">IF($AB194="","",$AA194-$AB194)</f>
        <v/>
      </c>
      <c r="AI194" t="str">
        <f>IFERROR(IF($AH194="","",IF($AH194&gt;=$AA194*'Parametri Modello'!$B$68,"🟢 Opportunita'",IF($AH194&lt;=$AA194*'Parametri Modello'!$B$69,"🔴 Sovrapprezzo","🟡 Prezzo Corretto"))),"")</f>
        <v/>
      </c>
      <c r="AJ194" t="str">
        <f t="shared" ref="AJ194:AJ257" si="33">IF($AB194="","",IF($AC194="PASS","Prezzo sopra la tua Offerta Max Dinamica ("&amp;$AA194&amp;" cr).",IF($AC194="BID","Margine ampio sul tuo tetto (+"&amp;($AA194-$AB194)&amp;" cr).","Margine ridotto: sei vicino al tuo tetto ("&amp;($AA194-$AB194)&amp;" cr residui).")))</f>
        <v/>
      </c>
      <c r="AK194">
        <f t="shared" ref="AK194:AK257" si="34">IF(AND($D194="",$N194&gt;1),COUNTIFS($B$2:$B$492,$B194,$P$2:$P$492,$P194,$D$2:$D$492,"",$N$2:$N$492,"&gt;1",$O$2:$O$492,"&gt;"&amp;$O194)+1,"")</f>
        <v>16</v>
      </c>
      <c r="AL194" t="str">
        <f t="shared" ref="AL194:AL257" si="35">IF($AK194="","",$B194&amp;"|"&amp;$P194&amp;"|"&amp;$AK194)</f>
        <v>C|Nella Media|16</v>
      </c>
    </row>
    <row r="195" spans="1:38" ht="14.25" customHeight="1" x14ac:dyDescent="0.25">
      <c r="A195" s="18">
        <v>6271</v>
      </c>
      <c r="B195" s="18" t="s">
        <v>264</v>
      </c>
      <c r="C195" s="18" t="s">
        <v>387</v>
      </c>
      <c r="E195" s="23" t="str">
        <f>IF(COUNTIF('Info Strategia'!$D$2:$D$51,$C195)&gt;0,"SI","NO")</f>
        <v>NO</v>
      </c>
      <c r="F195" s="24">
        <f>IFERROR(ROUND(($G195+($H195-$G195)*'Info Strategia'!$B$6)*(1+IF($E195="SI",'Parametri Modello'!$B$7*'Info Strategia'!$B$6,0)),0),"")</f>
        <v>3</v>
      </c>
      <c r="G195" s="24">
        <f>IFERROR(ROUND(MAX(1,(IF($V195&lt;=INDEX('Parametri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2</v>
      </c>
      <c r="H195" s="24">
        <f>IFERROR(ROUND((IF($V195&lt;=INDEX('Parametri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3</v>
      </c>
      <c r="I195" s="23">
        <f>IFERROR(INDEX('Input Statistiche 2025_26'!$F$3:$F$665,MATCH($A195,'Input Statistiche 2025_26'!$A$3:$A$665,0)),"")</f>
        <v>21</v>
      </c>
      <c r="J195" s="23">
        <f t="shared" si="27"/>
        <v>17</v>
      </c>
      <c r="K195" s="23">
        <f>IFERROR(INDEX('Input Statistiche 2025_26'!$I$3:$I$665,MATCH($A195,'Input Statistiche 2025_26'!$A$3:$A$665,0)),"")</f>
        <v>1</v>
      </c>
      <c r="L195" s="23">
        <f>IFERROR(INDEX('Input Statistiche 2025_26'!$O$3:$O$665,MATCH($A195,'Input Statistiche 2025_26'!$A$3:$A$665,0)),"")</f>
        <v>2</v>
      </c>
      <c r="M195" s="25"/>
      <c r="N195" s="24">
        <f>IFERROR(INDEX('Input Giocatori 2026_27'!$E$3:$E$493,MATCH($A195,'Input Giocatori 2026_27'!$A$3:$A$493,0)),"")</f>
        <v>4</v>
      </c>
      <c r="O195" s="24">
        <f>IFERROR(INDEX('Input Giocatori 2026_27'!$G$3:$G$493,MATCH($A195,'Input Giocatori 2026_27'!$A$3:$A$493,0)),"")</f>
        <v>18</v>
      </c>
      <c r="P195" s="23" t="str">
        <f>IFERROR(IF($O195="","",IF((1-(COUNTIFS($B$2:$B$492,$B195,$O$2:$O$492,"&gt;"&amp;$O195)+1-1)/COUNTIF($B$2:$B$492,$B195))&gt;='Parametri Modello'!$B$63,"Top",IF((1-(COUNTIFS($B$2:$B$492,$B195,$O$2:$O$492,"&gt;"&amp;$O195)+1-1)/COUNTIF($B$2:$B$492,$B195))&gt;='Parametri Modello'!$B$64,"Buono",IF((1-(COUNTIFS($B$2:$B$492,$B195,$O$2:$O$492,"&gt;"&amp;$O195)+1-1)/COUNTIF($B$2:$B$492,$B195))&gt;='Parametri Modello'!$B$65,"Nella Media","Scommessa/Riserva")))),"")</f>
        <v>Nella Media</v>
      </c>
      <c r="Q195" s="26">
        <f>IF(AND($D195="",$N195&gt;1),SUMPRODUCT(($D$2:$D195="")*($N$2:$N195&gt;1)),"")</f>
        <v>194</v>
      </c>
      <c r="R195" s="26" t="str">
        <f>IF($D195='Info Lega'!$B$28,COUNTIFS($D$2:$D195,'Info Lega'!$B$28),"")</f>
        <v/>
      </c>
      <c r="S195" s="27">
        <f>IFERROR(INDEX('Input Statistiche 2025_26'!$G$3:$G$665,MATCH($A195,'Input Statistiche 2025_26'!$A$3:$A$665,0)),"")</f>
        <v>5.98</v>
      </c>
      <c r="T195" s="27">
        <f>IFERROR(INDEX('Input Statistiche 2025_26'!$H$3:$H$665,MATCH($A195,'Input Statistiche 2025_26'!$A$3:$A$665,0)),"")</f>
        <v>6.1</v>
      </c>
      <c r="U195" s="23" t="str">
        <f>IF(OR('La Mia Rosa'!$O$12="",$D195&lt;&gt;""),"",IF($F195&lt;='La Mia Rosa'!$O$12*'Parametri Modello'!$B$24,"OK",IF($F195&lt;='La Mia Rosa'!$O$12*'Parametri Modello'!$B$25,"Attenzione","Rischio Alto")))</f>
        <v>OK</v>
      </c>
      <c r="V195" s="23">
        <f t="shared" si="28"/>
        <v>71</v>
      </c>
      <c r="W195" s="18">
        <f>'Info Lega'!$B$4-SUMIFS($M$2:$M$492,$D$2:$D$492,'Info Lega'!$B$28)</f>
        <v>1000</v>
      </c>
      <c r="X195" s="18">
        <f>('Info Lega'!$B$5-COUNTIFS($D$2:$D$492,'Info Lega'!$B$28,$B$2:$B$492,"P"))+('Info Lega'!$B$6-COUNTIFS($D$2:$D$492,'Info Lega'!$B$28,$B$2:$B$492,"D"))+('Info Lega'!$B$7-COUNTIFS($D$2:$D$492,'Info Lega'!$B$28,$B$2:$B$492,"C"))+('Info Lega'!$B$8-COUNTIFS($D$2:$D$492,'Info Lega'!$B$28,$B$2:$B$492,"A"))</f>
        <v>25</v>
      </c>
      <c r="Y195" s="18">
        <f>X195*'Parametri Modello'!$B$30</f>
        <v>25</v>
      </c>
      <c r="Z195" s="18">
        <f t="shared" si="29"/>
        <v>975</v>
      </c>
      <c r="AA195" s="18">
        <f t="shared" si="30"/>
        <v>3</v>
      </c>
      <c r="AB195" s="18"/>
      <c r="AC195" s="18" t="str">
        <f>IF($AB195="","",IF($AB195&gt;$AA195,"PASS",IF($AB195&lt;=$AA195*(1-'Parametri Modello'!$B$68),"BID","ATTENZIONE")))</f>
        <v/>
      </c>
      <c r="AD195" s="28">
        <f t="shared" si="31"/>
        <v>50</v>
      </c>
      <c r="AE195" s="5" t="str">
        <f>IFERROR(IF($AF195="Titolare",INDEX('Stato Asta'!$G$9:$G$12,MATCH($B195,'Stato Asta'!$A$9:$A$12,0)),INDEX('Stato Asta'!$P$9:$P$12,MATCH($B195,'Stato Asta'!$A$9:$A$12,0))),"")</f>
        <v>🟢 Riserve abbondanti</v>
      </c>
      <c r="AF195" t="str">
        <f>IFERROR(IF($V195&lt;=INDEX('Parametri Modello'!$C$57:$C$60,MATCH($B195,'Parametri Modello'!$A$57:$A$60,0)),"Titolare","Riserva"),"")</f>
        <v>Riserva</v>
      </c>
      <c r="AG195" t="str">
        <f>IFERROR(INDEX('Pressione Competitiva'!$F$3:$F$6,MATCH($B195,'Pressione Competitiva'!$B$3:$B$6,0)),"")</f>
        <v>🔴 Molto Alta</v>
      </c>
      <c r="AH195" t="str">
        <f t="shared" si="32"/>
        <v/>
      </c>
      <c r="AI195" t="str">
        <f>IFERROR(IF($AH195="","",IF($AH195&gt;=$AA195*'Parametri Modello'!$B$68,"🟢 Opportunita'",IF($AH195&lt;=$AA195*'Parametri Modello'!$B$69,"🔴 Sovrapprezzo","🟡 Prezzo Corretto"))),"")</f>
        <v/>
      </c>
      <c r="AJ195" t="str">
        <f t="shared" si="33"/>
        <v/>
      </c>
      <c r="AK195">
        <f t="shared" si="34"/>
        <v>16</v>
      </c>
      <c r="AL195" t="str">
        <f t="shared" si="35"/>
        <v>C|Nella Media|16</v>
      </c>
    </row>
    <row r="196" spans="1:38" ht="14.25" customHeight="1" x14ac:dyDescent="0.25">
      <c r="A196" s="18">
        <v>7252</v>
      </c>
      <c r="B196" s="18" t="s">
        <v>437</v>
      </c>
      <c r="C196" s="18" t="s">
        <v>485</v>
      </c>
      <c r="E196" s="23" t="str">
        <f>IF(COUNTIF('Info Strategia'!$D$2:$D$51,$C196)&gt;0,"SI","NO")</f>
        <v>NO</v>
      </c>
      <c r="F196" s="24">
        <f>IFERROR(ROUND(($G196+($H196-$G196)*'Info Strategia'!$B$6)*(1+IF($E196="SI",'Parametri Modello'!$B$7*'Info Strategia'!$B$6,0)),0),"")</f>
        <v>6</v>
      </c>
      <c r="G196" s="24">
        <f>IFERROR(ROUND(MAX(1,(IF($V196&lt;=INDEX('Parametri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4</v>
      </c>
      <c r="H196" s="24">
        <f>IFERROR(ROUND((IF($V196&lt;=INDEX('Parametri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7</v>
      </c>
      <c r="I196" s="23">
        <f>IFERROR(INDEX('Input Statistiche 2025_26'!$F$3:$F$665,MATCH($A196,'Input Statistiche 2025_26'!$A$3:$A$665,0)),"")</f>
        <v>30</v>
      </c>
      <c r="J196" s="23">
        <f t="shared" si="27"/>
        <v>8</v>
      </c>
      <c r="K196" s="23">
        <f>IFERROR(INDEX('Input Statistiche 2025_26'!$I$3:$I$665,MATCH($A196,'Input Statistiche 2025_26'!$A$3:$A$665,0)),"")</f>
        <v>4</v>
      </c>
      <c r="L196" s="23">
        <f>IFERROR(INDEX('Input Statistiche 2025_26'!$O$3:$O$665,MATCH($A196,'Input Statistiche 2025_26'!$A$3:$A$665,0)),"")</f>
        <v>0</v>
      </c>
      <c r="M196" s="25"/>
      <c r="N196" s="24">
        <f>IFERROR(INDEX('Input Giocatori 2026_27'!$E$3:$E$493,MATCH($A196,'Input Giocatori 2026_27'!$A$3:$A$493,0)),"")</f>
        <v>7</v>
      </c>
      <c r="O196" s="24">
        <f>IFERROR(INDEX('Input Giocatori 2026_27'!$G$3:$G$493,MATCH($A196,'Input Giocatori 2026_27'!$A$3:$A$493,0)),"")</f>
        <v>18</v>
      </c>
      <c r="P196" s="23" t="str">
        <f>IFERROR(IF($O196="","",IF((1-(COUNTIFS($B$2:$B$492,$B196,$O$2:$O$492,"&gt;"&amp;$O196)+1-1)/COUNTIF($B$2:$B$492,$B196))&gt;='Parametri Modello'!$B$63,"Top",IF((1-(COUNTIFS($B$2:$B$492,$B196,$O$2:$O$492,"&gt;"&amp;$O196)+1-1)/COUNTIF($B$2:$B$492,$B196))&gt;='Parametri Modello'!$B$64,"Buono",IF((1-(COUNTIFS($B$2:$B$492,$B196,$O$2:$O$492,"&gt;"&amp;$O196)+1-1)/COUNTIF($B$2:$B$492,$B196))&gt;='Parametri Modello'!$B$65,"Nella Media","Scommessa/Riserva")))),"")</f>
        <v>Nella Media</v>
      </c>
      <c r="Q196" s="26">
        <f>IF(AND($D196="",$N196&gt;1),SUMPRODUCT(($D$2:$D196="")*($N$2:$N196&gt;1)),"")</f>
        <v>195</v>
      </c>
      <c r="R196" s="26" t="str">
        <f>IF($D196='Info Lega'!$B$28,COUNTIFS($D$2:$D196,'Info Lega'!$B$28),"")</f>
        <v/>
      </c>
      <c r="S196" s="27">
        <f>IFERROR(INDEX('Input Statistiche 2025_26'!$G$3:$G$665,MATCH($A196,'Input Statistiche 2025_26'!$A$3:$A$665,0)),"")</f>
        <v>5.73</v>
      </c>
      <c r="T196" s="27">
        <f>IFERROR(INDEX('Input Statistiche 2025_26'!$H$3:$H$665,MATCH($A196,'Input Statistiche 2025_26'!$A$3:$A$665,0)),"")</f>
        <v>6.12</v>
      </c>
      <c r="U196" s="23" t="str">
        <f>IF(OR('La Mia Rosa'!$O$12="",$D196&lt;&gt;""),"",IF($F196&lt;='La Mia Rosa'!$O$12*'Parametri Modello'!$B$24,"OK",IF($F196&lt;='La Mia Rosa'!$O$12*'Parametri Modello'!$B$25,"Attenzione","Rischio Alto")))</f>
        <v>OK</v>
      </c>
      <c r="V196" s="23">
        <f t="shared" si="28"/>
        <v>51</v>
      </c>
      <c r="W196" s="18">
        <f>'Info Lega'!$B$4-SUMIFS($M$2:$M$492,$D$2:$D$492,'Info Lega'!$B$28)</f>
        <v>1000</v>
      </c>
      <c r="X196" s="18">
        <f>('Info Lega'!$B$5-COUNTIFS($D$2:$D$492,'Info Lega'!$B$28,$B$2:$B$492,"P"))+('Info Lega'!$B$6-COUNTIFS($D$2:$D$492,'Info Lega'!$B$28,$B$2:$B$492,"D"))+('Info Lega'!$B$7-COUNTIFS($D$2:$D$492,'Info Lega'!$B$28,$B$2:$B$492,"C"))+('Info Lega'!$B$8-COUNTIFS($D$2:$D$492,'Info Lega'!$B$28,$B$2:$B$492,"A"))</f>
        <v>25</v>
      </c>
      <c r="Y196" s="18">
        <f>X196*'Parametri Modello'!$B$30</f>
        <v>25</v>
      </c>
      <c r="Z196" s="18">
        <f t="shared" si="29"/>
        <v>975</v>
      </c>
      <c r="AA196" s="18">
        <f t="shared" si="30"/>
        <v>6</v>
      </c>
      <c r="AB196" s="18"/>
      <c r="AC196" s="18" t="str">
        <f>IF($AB196="","",IF($AB196&gt;$AA196,"PASS",IF($AB196&lt;=$AA196*(1-'Parametri Modello'!$B$68),"BID","ATTENZIONE")))</f>
        <v/>
      </c>
      <c r="AD196" s="28">
        <f t="shared" si="31"/>
        <v>63</v>
      </c>
      <c r="AE196" s="5" t="str">
        <f>IFERROR(IF($AF196="Titolare",INDEX('Stato Asta'!$G$9:$G$12,MATCH($B196,'Stato Asta'!$A$9:$A$12,0)),INDEX('Stato Asta'!$P$9:$P$12,MATCH($B196,'Stato Asta'!$A$9:$A$12,0))),"")</f>
        <v>🟢 Riserve abbondanti</v>
      </c>
      <c r="AF196" t="str">
        <f>IFERROR(IF($V196&lt;=INDEX('Parametri Modello'!$C$57:$C$60,MATCH($B196,'Parametri Modello'!$A$57:$A$60,0)),"Titolare","Riserva"),"")</f>
        <v>Riserva</v>
      </c>
      <c r="AG196" t="str">
        <f>IFERROR(INDEX('Pressione Competitiva'!$F$3:$F$6,MATCH($B196,'Pressione Competitiva'!$B$3:$B$6,0)),"")</f>
        <v>🔴 Molto Alta</v>
      </c>
      <c r="AH196" t="str">
        <f t="shared" si="32"/>
        <v/>
      </c>
      <c r="AI196" t="str">
        <f>IFERROR(IF($AH196="","",IF($AH196&gt;=$AA196*'Parametri Modello'!$B$68,"🟢 Opportunita'",IF($AH196&lt;=$AA196*'Parametri Modello'!$B$69,"🔴 Sovrapprezzo","🟡 Prezzo Corretto"))),"")</f>
        <v/>
      </c>
      <c r="AJ196" t="str">
        <f t="shared" si="33"/>
        <v/>
      </c>
      <c r="AK196">
        <f t="shared" si="34"/>
        <v>25</v>
      </c>
      <c r="AL196" t="str">
        <f t="shared" si="35"/>
        <v>A|Nella Media|25</v>
      </c>
    </row>
    <row r="197" spans="1:38" ht="14.25" customHeight="1" x14ac:dyDescent="0.25">
      <c r="A197" s="18">
        <v>608</v>
      </c>
      <c r="B197" s="18" t="s">
        <v>437</v>
      </c>
      <c r="C197" s="18" t="s">
        <v>486</v>
      </c>
      <c r="E197" s="23" t="str">
        <f>IF(COUNTIF('Info Strategia'!$D$2:$D$51,$C197)&gt;0,"SI","NO")</f>
        <v>NO</v>
      </c>
      <c r="F197" s="24">
        <f>IFERROR(ROUND(($G197+($H197-$G197)*'Info Strategia'!$B$6)*(1+IF($E197="SI",'Parametri Modello'!$B$7*'Info Strategia'!$B$6,0)),0),"")</f>
        <v>6</v>
      </c>
      <c r="G197" s="24">
        <f>IFERROR(ROUND(MAX(1,(IF($V197&lt;=INDEX('Parametri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4</v>
      </c>
      <c r="H197" s="24">
        <f>IFERROR(ROUND((IF($V197&lt;=INDEX('Parametri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7</v>
      </c>
      <c r="I197" s="23">
        <f>IFERROR(INDEX('Input Statistiche 2025_26'!$F$3:$F$665,MATCH($A197,'Input Statistiche 2025_26'!$A$3:$A$665,0)),"")</f>
        <v>23</v>
      </c>
      <c r="J197" s="23">
        <f t="shared" si="27"/>
        <v>15</v>
      </c>
      <c r="K197" s="23">
        <f>IFERROR(INDEX('Input Statistiche 2025_26'!$I$3:$I$665,MATCH($A197,'Input Statistiche 2025_26'!$A$3:$A$665,0)),"")</f>
        <v>3</v>
      </c>
      <c r="L197" s="23">
        <f>IFERROR(INDEX('Input Statistiche 2025_26'!$O$3:$O$665,MATCH($A197,'Input Statistiche 2025_26'!$A$3:$A$665,0)),"")</f>
        <v>1</v>
      </c>
      <c r="M197" s="25"/>
      <c r="N197" s="24">
        <f>IFERROR(INDEX('Input Giocatori 2026_27'!$E$3:$E$493,MATCH($A197,'Input Giocatori 2026_27'!$A$3:$A$493,0)),"")</f>
        <v>7</v>
      </c>
      <c r="O197" s="24">
        <f>IFERROR(INDEX('Input Giocatori 2026_27'!$G$3:$G$493,MATCH($A197,'Input Giocatori 2026_27'!$A$3:$A$493,0)),"")</f>
        <v>18</v>
      </c>
      <c r="P197" s="23" t="str">
        <f>IFERROR(IF($O197="","",IF((1-(COUNTIFS($B$2:$B$492,$B197,$O$2:$O$492,"&gt;"&amp;$O197)+1-1)/COUNTIF($B$2:$B$492,$B197))&gt;='Parametri Modello'!$B$63,"Top",IF((1-(COUNTIFS($B$2:$B$492,$B197,$O$2:$O$492,"&gt;"&amp;$O197)+1-1)/COUNTIF($B$2:$B$492,$B197))&gt;='Parametri Modello'!$B$64,"Buono",IF((1-(COUNTIFS($B$2:$B$492,$B197,$O$2:$O$492,"&gt;"&amp;$O197)+1-1)/COUNTIF($B$2:$B$492,$B197))&gt;='Parametri Modello'!$B$65,"Nella Media","Scommessa/Riserva")))),"")</f>
        <v>Nella Media</v>
      </c>
      <c r="Q197" s="26">
        <f>IF(AND($D197="",$N197&gt;1),SUMPRODUCT(($D$2:$D197="")*($N$2:$N197&gt;1)),"")</f>
        <v>196</v>
      </c>
      <c r="R197" s="26" t="str">
        <f>IF($D197='Info Lega'!$B$28,COUNTIFS($D$2:$D197,'Info Lega'!$B$28),"")</f>
        <v/>
      </c>
      <c r="S197" s="27">
        <f>IFERROR(INDEX('Input Statistiche 2025_26'!$G$3:$G$665,MATCH($A197,'Input Statistiche 2025_26'!$A$3:$A$665,0)),"")</f>
        <v>5.83</v>
      </c>
      <c r="T197" s="27">
        <f>IFERROR(INDEX('Input Statistiche 2025_26'!$H$3:$H$665,MATCH($A197,'Input Statistiche 2025_26'!$A$3:$A$665,0)),"")</f>
        <v>6.13</v>
      </c>
      <c r="U197" s="23" t="str">
        <f>IF(OR('La Mia Rosa'!$O$12="",$D197&lt;&gt;""),"",IF($F197&lt;='La Mia Rosa'!$O$12*'Parametri Modello'!$B$24,"OK",IF($F197&lt;='La Mia Rosa'!$O$12*'Parametri Modello'!$B$25,"Attenzione","Rischio Alto")))</f>
        <v>OK</v>
      </c>
      <c r="V197" s="23">
        <f t="shared" si="28"/>
        <v>51</v>
      </c>
      <c r="W197" s="18">
        <f>'Info Lega'!$B$4-SUMIFS($M$2:$M$492,$D$2:$D$492,'Info Lega'!$B$28)</f>
        <v>1000</v>
      </c>
      <c r="X197" s="18">
        <f>('Info Lega'!$B$5-COUNTIFS($D$2:$D$492,'Info Lega'!$B$28,$B$2:$B$492,"P"))+('Info Lega'!$B$6-COUNTIFS($D$2:$D$492,'Info Lega'!$B$28,$B$2:$B$492,"D"))+('Info Lega'!$B$7-COUNTIFS($D$2:$D$492,'Info Lega'!$B$28,$B$2:$B$492,"C"))+('Info Lega'!$B$8-COUNTIFS($D$2:$D$492,'Info Lega'!$B$28,$B$2:$B$492,"A"))</f>
        <v>25</v>
      </c>
      <c r="Y197" s="18">
        <f>X197*'Parametri Modello'!$B$30</f>
        <v>25</v>
      </c>
      <c r="Z197" s="18">
        <f t="shared" si="29"/>
        <v>975</v>
      </c>
      <c r="AA197" s="18">
        <f t="shared" si="30"/>
        <v>6</v>
      </c>
      <c r="AB197" s="18"/>
      <c r="AC197" s="18" t="str">
        <f>IF($AB197="","",IF($AB197&gt;$AA197,"PASS",IF($AB197&lt;=$AA197*(1-'Parametri Modello'!$B$68),"BID","ATTENZIONE")))</f>
        <v/>
      </c>
      <c r="AD197" s="28">
        <f t="shared" si="31"/>
        <v>54</v>
      </c>
      <c r="AE197" s="5" t="str">
        <f>IFERROR(IF($AF197="Titolare",INDEX('Stato Asta'!$G$9:$G$12,MATCH($B197,'Stato Asta'!$A$9:$A$12,0)),INDEX('Stato Asta'!$P$9:$P$12,MATCH($B197,'Stato Asta'!$A$9:$A$12,0))),"")</f>
        <v>🟢 Riserve abbondanti</v>
      </c>
      <c r="AF197" t="str">
        <f>IFERROR(IF($V197&lt;=INDEX('Parametri Modello'!$C$57:$C$60,MATCH($B197,'Parametri Modello'!$A$57:$A$60,0)),"Titolare","Riserva"),"")</f>
        <v>Riserva</v>
      </c>
      <c r="AG197" t="str">
        <f>IFERROR(INDEX('Pressione Competitiva'!$F$3:$F$6,MATCH($B197,'Pressione Competitiva'!$B$3:$B$6,0)),"")</f>
        <v>🔴 Molto Alta</v>
      </c>
      <c r="AH197" t="str">
        <f t="shared" si="32"/>
        <v/>
      </c>
      <c r="AI197" t="str">
        <f>IFERROR(IF($AH197="","",IF($AH197&gt;=$AA197*'Parametri Modello'!$B$68,"🟢 Opportunita'",IF($AH197&lt;=$AA197*'Parametri Modello'!$B$69,"🔴 Sovrapprezzo","🟡 Prezzo Corretto"))),"")</f>
        <v/>
      </c>
      <c r="AJ197" t="str">
        <f t="shared" si="33"/>
        <v/>
      </c>
      <c r="AK197">
        <f t="shared" si="34"/>
        <v>25</v>
      </c>
      <c r="AL197" t="str">
        <f t="shared" si="35"/>
        <v>A|Nella Media|25</v>
      </c>
    </row>
    <row r="198" spans="1:38" ht="14.25" customHeight="1" x14ac:dyDescent="0.25">
      <c r="A198" s="18">
        <v>6519</v>
      </c>
      <c r="B198" s="18" t="s">
        <v>437</v>
      </c>
      <c r="C198" s="18" t="s">
        <v>494</v>
      </c>
      <c r="E198" s="23" t="str">
        <f>IF(COUNTIF('Info Strategia'!$D$2:$D$51,$C198)&gt;0,"SI","NO")</f>
        <v>NO</v>
      </c>
      <c r="F198" s="24">
        <f>IFERROR(ROUND(($G198+($H198-$G198)*'Info Strategia'!$B$6)*(1+IF($E198="SI",'Parametri Modello'!$B$7*'Info Strategia'!$B$6,0)),0),"")</f>
        <v>6</v>
      </c>
      <c r="G198" s="24">
        <f>IFERROR(ROUND(MAX(1,(IF($V198&lt;=INDEX('Parametri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4</v>
      </c>
      <c r="H198" s="24">
        <f>IFERROR(ROUND((IF($V198&lt;=INDEX('Parametri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7</v>
      </c>
      <c r="I198" s="23">
        <f>IFERROR(INDEX('Input Statistiche 2025_26'!$F$3:$F$665,MATCH($A198,'Input Statistiche 2025_26'!$A$3:$A$665,0)),"")</f>
        <v>18</v>
      </c>
      <c r="J198" s="23">
        <f t="shared" si="27"/>
        <v>20</v>
      </c>
      <c r="K198" s="23">
        <f>IFERROR(INDEX('Input Statistiche 2025_26'!$I$3:$I$665,MATCH($A198,'Input Statistiche 2025_26'!$A$3:$A$665,0)),"")</f>
        <v>1</v>
      </c>
      <c r="L198" s="23">
        <f>IFERROR(INDEX('Input Statistiche 2025_26'!$O$3:$O$665,MATCH($A198,'Input Statistiche 2025_26'!$A$3:$A$665,0)),"")</f>
        <v>0</v>
      </c>
      <c r="M198" s="25"/>
      <c r="N198" s="24">
        <f>IFERROR(INDEX('Input Giocatori 2026_27'!$E$3:$E$493,MATCH($A198,'Input Giocatori 2026_27'!$A$3:$A$493,0)),"")</f>
        <v>5</v>
      </c>
      <c r="O198" s="24">
        <f>IFERROR(INDEX('Input Giocatori 2026_27'!$G$3:$G$493,MATCH($A198,'Input Giocatori 2026_27'!$A$3:$A$493,0)),"")</f>
        <v>18</v>
      </c>
      <c r="P198" s="23" t="str">
        <f>IFERROR(IF($O198="","",IF((1-(COUNTIFS($B$2:$B$492,$B198,$O$2:$O$492,"&gt;"&amp;$O198)+1-1)/COUNTIF($B$2:$B$492,$B198))&gt;='Parametri Modello'!$B$63,"Top",IF((1-(COUNTIFS($B$2:$B$492,$B198,$O$2:$O$492,"&gt;"&amp;$O198)+1-1)/COUNTIF($B$2:$B$492,$B198))&gt;='Parametri Modello'!$B$64,"Buono",IF((1-(COUNTIFS($B$2:$B$492,$B198,$O$2:$O$492,"&gt;"&amp;$O198)+1-1)/COUNTIF($B$2:$B$492,$B198))&gt;='Parametri Modello'!$B$65,"Nella Media","Scommessa/Riserva")))),"")</f>
        <v>Nella Media</v>
      </c>
      <c r="Q198" s="26">
        <f>IF(AND($D198="",$N198&gt;1),SUMPRODUCT(($D$2:$D198="")*($N$2:$N198&gt;1)),"")</f>
        <v>197</v>
      </c>
      <c r="R198" s="26" t="str">
        <f>IF($D198='Info Lega'!$B$28,COUNTIFS($D$2:$D198,'Info Lega'!$B$28),"")</f>
        <v/>
      </c>
      <c r="S198" s="27">
        <f>IFERROR(INDEX('Input Statistiche 2025_26'!$G$3:$G$665,MATCH($A198,'Input Statistiche 2025_26'!$A$3:$A$665,0)),"")</f>
        <v>5.67</v>
      </c>
      <c r="T198" s="27">
        <f>IFERROR(INDEX('Input Statistiche 2025_26'!$H$3:$H$665,MATCH($A198,'Input Statistiche 2025_26'!$A$3:$A$665,0)),"")</f>
        <v>5.64</v>
      </c>
      <c r="U198" s="23" t="str">
        <f>IF(OR('La Mia Rosa'!$O$12="",$D198&lt;&gt;""),"",IF($F198&lt;='La Mia Rosa'!$O$12*'Parametri Modello'!$B$24,"OK",IF($F198&lt;='La Mia Rosa'!$O$12*'Parametri Modello'!$B$25,"Attenzione","Rischio Alto")))</f>
        <v>OK</v>
      </c>
      <c r="V198" s="23">
        <f t="shared" si="28"/>
        <v>51</v>
      </c>
      <c r="W198" s="18">
        <f>'Info Lega'!$B$4-SUMIFS($M$2:$M$492,$D$2:$D$492,'Info Lega'!$B$28)</f>
        <v>1000</v>
      </c>
      <c r="X198" s="18">
        <f>('Info Lega'!$B$5-COUNTIFS($D$2:$D$492,'Info Lega'!$B$28,$B$2:$B$492,"P"))+('Info Lega'!$B$6-COUNTIFS($D$2:$D$492,'Info Lega'!$B$28,$B$2:$B$492,"D"))+('Info Lega'!$B$7-COUNTIFS($D$2:$D$492,'Info Lega'!$B$28,$B$2:$B$492,"C"))+('Info Lega'!$B$8-COUNTIFS($D$2:$D$492,'Info Lega'!$B$28,$B$2:$B$492,"A"))</f>
        <v>25</v>
      </c>
      <c r="Y198" s="18">
        <f>X198*'Parametri Modello'!$B$30</f>
        <v>25</v>
      </c>
      <c r="Z198" s="18">
        <f t="shared" si="29"/>
        <v>975</v>
      </c>
      <c r="AA198" s="18">
        <f t="shared" si="30"/>
        <v>6</v>
      </c>
      <c r="AB198" s="18"/>
      <c r="AC198" s="18" t="str">
        <f>IF($AB198="","",IF($AB198&gt;$AA198,"PASS",IF($AB198&lt;=$AA198*(1-'Parametri Modello'!$B$68),"BID","ATTENZIONE")))</f>
        <v/>
      </c>
      <c r="AD198" s="28">
        <f t="shared" si="31"/>
        <v>45</v>
      </c>
      <c r="AE198" s="5" t="str">
        <f>IFERROR(IF($AF198="Titolare",INDEX('Stato Asta'!$G$9:$G$12,MATCH($B198,'Stato Asta'!$A$9:$A$12,0)),INDEX('Stato Asta'!$P$9:$P$12,MATCH($B198,'Stato Asta'!$A$9:$A$12,0))),"")</f>
        <v>🟢 Riserve abbondanti</v>
      </c>
      <c r="AF198" t="str">
        <f>IFERROR(IF($V198&lt;=INDEX('Parametri Modello'!$C$57:$C$60,MATCH($B198,'Parametri Modello'!$A$57:$A$60,0)),"Titolare","Riserva"),"")</f>
        <v>Riserva</v>
      </c>
      <c r="AG198" t="str">
        <f>IFERROR(INDEX('Pressione Competitiva'!$F$3:$F$6,MATCH($B198,'Pressione Competitiva'!$B$3:$B$6,0)),"")</f>
        <v>🔴 Molto Alta</v>
      </c>
      <c r="AH198" t="str">
        <f t="shared" si="32"/>
        <v/>
      </c>
      <c r="AI198" t="str">
        <f>IFERROR(IF($AH198="","",IF($AH198&gt;=$AA198*'Parametri Modello'!$B$68,"🟢 Opportunita'",IF($AH198&lt;=$AA198*'Parametri Modello'!$B$69,"🔴 Sovrapprezzo","🟡 Prezzo Corretto"))),"")</f>
        <v/>
      </c>
      <c r="AJ198" t="str">
        <f t="shared" si="33"/>
        <v/>
      </c>
      <c r="AK198">
        <f t="shared" si="34"/>
        <v>25</v>
      </c>
      <c r="AL198" t="str">
        <f t="shared" si="35"/>
        <v>A|Nella Media|25</v>
      </c>
    </row>
    <row r="199" spans="1:38" ht="14.25" customHeight="1" x14ac:dyDescent="0.25">
      <c r="A199" s="18">
        <v>5882</v>
      </c>
      <c r="B199" s="18" t="s">
        <v>437</v>
      </c>
      <c r="C199" s="18" t="s">
        <v>495</v>
      </c>
      <c r="E199" s="23" t="str">
        <f>IF(COUNTIF('Info Strategia'!$D$2:$D$51,$C199)&gt;0,"SI","NO")</f>
        <v>NO</v>
      </c>
      <c r="F199" s="24">
        <f>IFERROR(ROUND(($G199+($H199-$G199)*'Info Strategia'!$B$6)*(1+IF($E199="SI",'Parametri Modello'!$B$7*'Info Strategia'!$B$6,0)),0),"")</f>
        <v>6</v>
      </c>
      <c r="G199" s="24">
        <f>IFERROR(ROUND(MAX(1,(IF($V199&lt;=INDEX('Parametri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4</v>
      </c>
      <c r="H199" s="24">
        <f>IFERROR(ROUND((IF($V199&lt;=INDEX('Parametri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7</v>
      </c>
      <c r="I199" s="23" t="str">
        <f>IFERROR(INDEX('Input Statistiche 2025_26'!$F$3:$F$665,MATCH($A199,'Input Statistiche 2025_26'!$A$3:$A$665,0)),"")</f>
        <v/>
      </c>
      <c r="J199" s="23" t="str">
        <f t="shared" si="27"/>
        <v/>
      </c>
      <c r="K199" s="23" t="str">
        <f>IFERROR(INDEX('Input Statistiche 2025_26'!$I$3:$I$665,MATCH($A199,'Input Statistiche 2025_26'!$A$3:$A$665,0)),"")</f>
        <v/>
      </c>
      <c r="L199" s="23" t="str">
        <f>IFERROR(INDEX('Input Statistiche 2025_26'!$O$3:$O$665,MATCH($A199,'Input Statistiche 2025_26'!$A$3:$A$665,0)),"")</f>
        <v/>
      </c>
      <c r="M199" s="25"/>
      <c r="N199" s="24">
        <f>IFERROR(INDEX('Input Giocatori 2026_27'!$E$3:$E$493,MATCH($A199,'Input Giocatori 2026_27'!$A$3:$A$493,0)),"")</f>
        <v>5</v>
      </c>
      <c r="O199" s="24">
        <f>IFERROR(INDEX('Input Giocatori 2026_27'!$G$3:$G$493,MATCH($A199,'Input Giocatori 2026_27'!$A$3:$A$493,0)),"")</f>
        <v>18</v>
      </c>
      <c r="P199" s="23" t="str">
        <f>IFERROR(IF($O199="","",IF((1-(COUNTIFS($B$2:$B$492,$B199,$O$2:$O$492,"&gt;"&amp;$O199)+1-1)/COUNTIF($B$2:$B$492,$B199))&gt;='Parametri Modello'!$B$63,"Top",IF((1-(COUNTIFS($B$2:$B$492,$B199,$O$2:$O$492,"&gt;"&amp;$O199)+1-1)/COUNTIF($B$2:$B$492,$B199))&gt;='Parametri Modello'!$B$64,"Buono",IF((1-(COUNTIFS($B$2:$B$492,$B199,$O$2:$O$492,"&gt;"&amp;$O199)+1-1)/COUNTIF($B$2:$B$492,$B199))&gt;='Parametri Modello'!$B$65,"Nella Media","Scommessa/Riserva")))),"")</f>
        <v>Nella Media</v>
      </c>
      <c r="Q199" s="26">
        <f>IF(AND($D199="",$N199&gt;1),SUMPRODUCT(($D$2:$D199="")*($N$2:$N199&gt;1)),"")</f>
        <v>198</v>
      </c>
      <c r="R199" s="26" t="str">
        <f>IF($D199='Info Lega'!$B$28,COUNTIFS($D$2:$D199,'Info Lega'!$B$28),"")</f>
        <v/>
      </c>
      <c r="S199" s="27" t="str">
        <f>IFERROR(INDEX('Input Statistiche 2025_26'!$G$3:$G$665,MATCH($A199,'Input Statistiche 2025_26'!$A$3:$A$665,0)),"")</f>
        <v/>
      </c>
      <c r="T199" s="27" t="str">
        <f>IFERROR(INDEX('Input Statistiche 2025_26'!$H$3:$H$665,MATCH($A199,'Input Statistiche 2025_26'!$A$3:$A$665,0)),"")</f>
        <v/>
      </c>
      <c r="U199" s="23" t="str">
        <f>IF(OR('La Mia Rosa'!$O$12="",$D199&lt;&gt;""),"",IF($F199&lt;='La Mia Rosa'!$O$12*'Parametri Modello'!$B$24,"OK",IF($F199&lt;='La Mia Rosa'!$O$12*'Parametri Modello'!$B$25,"Attenzione","Rischio Alto")))</f>
        <v>OK</v>
      </c>
      <c r="V199" s="23">
        <f t="shared" si="28"/>
        <v>51</v>
      </c>
      <c r="W199" s="18">
        <f>'Info Lega'!$B$4-SUMIFS($M$2:$M$492,$D$2:$D$492,'Info Lega'!$B$28)</f>
        <v>1000</v>
      </c>
      <c r="X199" s="18">
        <f>('Info Lega'!$B$5-COUNTIFS($D$2:$D$492,'Info Lega'!$B$28,$B$2:$B$492,"P"))+('Info Lega'!$B$6-COUNTIFS($D$2:$D$492,'Info Lega'!$B$28,$B$2:$B$492,"D"))+('Info Lega'!$B$7-COUNTIFS($D$2:$D$492,'Info Lega'!$B$28,$B$2:$B$492,"C"))+('Info Lega'!$B$8-COUNTIFS($D$2:$D$492,'Info Lega'!$B$28,$B$2:$B$492,"A"))</f>
        <v>25</v>
      </c>
      <c r="Y199" s="18">
        <f>X199*'Parametri Modello'!$B$30</f>
        <v>25</v>
      </c>
      <c r="Z199" s="18">
        <f t="shared" si="29"/>
        <v>975</v>
      </c>
      <c r="AA199" s="18">
        <f t="shared" si="30"/>
        <v>6</v>
      </c>
      <c r="AB199" s="18"/>
      <c r="AC199" s="18" t="str">
        <f>IF($AB199="","",IF($AB199&gt;$AA199,"PASS",IF($AB199&lt;=$AA199*(1-'Parametri Modello'!$B$68),"BID","ATTENZIONE")))</f>
        <v/>
      </c>
      <c r="AD199" s="28" t="str">
        <f t="shared" si="31"/>
        <v/>
      </c>
      <c r="AE199" s="5" t="str">
        <f>IFERROR(IF($AF199="Titolare",INDEX('Stato Asta'!$G$9:$G$12,MATCH($B199,'Stato Asta'!$A$9:$A$12,0)),INDEX('Stato Asta'!$P$9:$P$12,MATCH($B199,'Stato Asta'!$A$9:$A$12,0))),"")</f>
        <v>🟢 Riserve abbondanti</v>
      </c>
      <c r="AF199" t="str">
        <f>IFERROR(IF($V199&lt;=INDEX('Parametri Modello'!$C$57:$C$60,MATCH($B199,'Parametri Modello'!$A$57:$A$60,0)),"Titolare","Riserva"),"")</f>
        <v>Riserva</v>
      </c>
      <c r="AG199" t="str">
        <f>IFERROR(INDEX('Pressione Competitiva'!$F$3:$F$6,MATCH($B199,'Pressione Competitiva'!$B$3:$B$6,0)),"")</f>
        <v>🔴 Molto Alta</v>
      </c>
      <c r="AH199" t="str">
        <f t="shared" si="32"/>
        <v/>
      </c>
      <c r="AI199" t="str">
        <f>IFERROR(IF($AH199="","",IF($AH199&gt;=$AA199*'Parametri Modello'!$B$68,"🟢 Opportunita'",IF($AH199&lt;=$AA199*'Parametri Modello'!$B$69,"🔴 Sovrapprezzo","🟡 Prezzo Corretto"))),"")</f>
        <v/>
      </c>
      <c r="AJ199" t="str">
        <f t="shared" si="33"/>
        <v/>
      </c>
      <c r="AK199">
        <f t="shared" si="34"/>
        <v>25</v>
      </c>
      <c r="AL199" t="str">
        <f t="shared" si="35"/>
        <v>A|Nella Media|25</v>
      </c>
    </row>
    <row r="200" spans="1:38" ht="14.25" customHeight="1" x14ac:dyDescent="0.25">
      <c r="A200" s="18">
        <v>6989</v>
      </c>
      <c r="B200" s="18" t="s">
        <v>88</v>
      </c>
      <c r="C200" s="18" t="s">
        <v>132</v>
      </c>
      <c r="E200" s="23" t="str">
        <f>IF(COUNTIF('Info Strategia'!$D$2:$D$51,$C200)&gt;0,"SI","NO")</f>
        <v>NO</v>
      </c>
      <c r="F200" s="24">
        <f>IFERROR(ROUND(($G200+($H200-$G200)*'Info Strategia'!$B$6)*(1+IF($E200="SI",'Parametri Modello'!$B$7*'Info Strategia'!$B$6,0)),0),"")</f>
        <v>3</v>
      </c>
      <c r="G200" s="24">
        <f>IFERROR(ROUND(MAX(1,(IF($V200&lt;=INDEX('Parametri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2</v>
      </c>
      <c r="H200" s="24">
        <f>IFERROR(ROUND((IF($V200&lt;=INDEX('Parametri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3</v>
      </c>
      <c r="I200" s="23">
        <f>IFERROR(INDEX('Input Statistiche 2025_26'!$F$3:$F$665,MATCH($A200,'Input Statistiche 2025_26'!$A$3:$A$665,0)),"")</f>
        <v>36</v>
      </c>
      <c r="J200" s="23">
        <f t="shared" si="27"/>
        <v>2</v>
      </c>
      <c r="K200" s="23">
        <f>IFERROR(INDEX('Input Statistiche 2025_26'!$I$3:$I$665,MATCH($A200,'Input Statistiche 2025_26'!$A$3:$A$665,0)),"")</f>
        <v>2</v>
      </c>
      <c r="L200" s="23">
        <f>IFERROR(INDEX('Input Statistiche 2025_26'!$O$3:$O$665,MATCH($A200,'Input Statistiche 2025_26'!$A$3:$A$665,0)),"")</f>
        <v>0</v>
      </c>
      <c r="M200" s="25"/>
      <c r="N200" s="24">
        <f>IFERROR(INDEX('Input Giocatori 2026_27'!$E$3:$E$493,MATCH($A200,'Input Giocatori 2026_27'!$A$3:$A$493,0)),"")</f>
        <v>7</v>
      </c>
      <c r="O200" s="24">
        <f>IFERROR(INDEX('Input Giocatori 2026_27'!$G$3:$G$493,MATCH($A200,'Input Giocatori 2026_27'!$A$3:$A$493,0)),"")</f>
        <v>17</v>
      </c>
      <c r="P200" s="23" t="str">
        <f>IFERROR(IF($O200="","",IF((1-(COUNTIFS($B$2:$B$492,$B200,$O$2:$O$492,"&gt;"&amp;$O200)+1-1)/COUNTIF($B$2:$B$492,$B200))&gt;='Parametri Modello'!$B$63,"Top",IF((1-(COUNTIFS($B$2:$B$492,$B200,$O$2:$O$492,"&gt;"&amp;$O200)+1-1)/COUNTIF($B$2:$B$492,$B200))&gt;='Parametri Modello'!$B$64,"Buono",IF((1-(COUNTIFS($B$2:$B$492,$B200,$O$2:$O$492,"&gt;"&amp;$O200)+1-1)/COUNTIF($B$2:$B$492,$B200))&gt;='Parametri Modello'!$B$65,"Nella Media","Scommessa/Riserva")))),"")</f>
        <v>Buono</v>
      </c>
      <c r="Q200" s="26">
        <f>IF(AND($D200="",$N200&gt;1),SUMPRODUCT(($D$2:$D200="")*($N$2:$N200&gt;1)),"")</f>
        <v>199</v>
      </c>
      <c r="R200" s="26" t="str">
        <f>IF($D200='Info Lega'!$B$28,COUNTIFS($D$2:$D200,'Info Lega'!$B$28),"")</f>
        <v/>
      </c>
      <c r="S200" s="27">
        <f>IFERROR(INDEX('Input Statistiche 2025_26'!$G$3:$G$665,MATCH($A200,'Input Statistiche 2025_26'!$A$3:$A$665,0)),"")</f>
        <v>6</v>
      </c>
      <c r="T200" s="27">
        <f>IFERROR(INDEX('Input Statistiche 2025_26'!$H$3:$H$665,MATCH($A200,'Input Statistiche 2025_26'!$A$3:$A$665,0)),"")</f>
        <v>6.01</v>
      </c>
      <c r="U200" s="23" t="str">
        <f>IF(OR('La Mia Rosa'!$O$12="",$D200&lt;&gt;""),"",IF($F200&lt;='La Mia Rosa'!$O$12*'Parametri Modello'!$B$24,"OK",IF($F200&lt;='La Mia Rosa'!$O$12*'Parametri Modello'!$B$25,"Attenzione","Rischio Alto")))</f>
        <v>OK</v>
      </c>
      <c r="V200" s="23">
        <f t="shared" si="28"/>
        <v>53</v>
      </c>
      <c r="W200" s="18">
        <f>'Info Lega'!$B$4-SUMIFS($M$2:$M$492,$D$2:$D$492,'Info Lega'!$B$28)</f>
        <v>1000</v>
      </c>
      <c r="X200" s="18">
        <f>('Info Lega'!$B$5-COUNTIFS($D$2:$D$492,'Info Lega'!$B$28,$B$2:$B$492,"P"))+('Info Lega'!$B$6-COUNTIFS($D$2:$D$492,'Info Lega'!$B$28,$B$2:$B$492,"D"))+('Info Lega'!$B$7-COUNTIFS($D$2:$D$492,'Info Lega'!$B$28,$B$2:$B$492,"C"))+('Info Lega'!$B$8-COUNTIFS($D$2:$D$492,'Info Lega'!$B$28,$B$2:$B$492,"A"))</f>
        <v>25</v>
      </c>
      <c r="Y200" s="18">
        <f>X200*'Parametri Modello'!$B$30</f>
        <v>25</v>
      </c>
      <c r="Z200" s="18">
        <f t="shared" si="29"/>
        <v>975</v>
      </c>
      <c r="AA200" s="18">
        <f t="shared" si="30"/>
        <v>3</v>
      </c>
      <c r="AB200" s="18"/>
      <c r="AC200" s="18" t="str">
        <f>IF($AB200="","",IF($AB200&gt;$AA200,"PASS",IF($AB200&lt;=$AA200*(1-'Parametri Modello'!$B$68),"BID","ATTENZIONE")))</f>
        <v/>
      </c>
      <c r="AD200" s="28">
        <f t="shared" si="31"/>
        <v>70</v>
      </c>
      <c r="AE200" s="5" t="str">
        <f>IFERROR(IF($AF200="Titolare",INDEX('Stato Asta'!$G$9:$G$12,MATCH($B200,'Stato Asta'!$A$9:$A$12,0)),INDEX('Stato Asta'!$P$9:$P$12,MATCH($B200,'Stato Asta'!$A$9:$A$12,0))),"")</f>
        <v>🟢 Riserve abbondanti</v>
      </c>
      <c r="AF200" t="str">
        <f>IFERROR(IF($V200&lt;=INDEX('Parametri Modello'!$C$57:$C$60,MATCH($B200,'Parametri Modello'!$A$57:$A$60,0)),"Titolare","Riserva"),"")</f>
        <v>Riserva</v>
      </c>
      <c r="AG200" t="str">
        <f>IFERROR(INDEX('Pressione Competitiva'!$F$3:$F$6,MATCH($B200,'Pressione Competitiva'!$B$3:$B$6,0)),"")</f>
        <v>🔴 Molto Alta</v>
      </c>
      <c r="AH200" t="str">
        <f t="shared" si="32"/>
        <v/>
      </c>
      <c r="AI200" t="str">
        <f>IFERROR(IF($AH200="","",IF($AH200&gt;=$AA200*'Parametri Modello'!$B$68,"🟢 Opportunita'",IF($AH200&lt;=$AA200*'Parametri Modello'!$B$69,"🔴 Sovrapprezzo","🟡 Prezzo Corretto"))),"")</f>
        <v/>
      </c>
      <c r="AJ200" t="str">
        <f t="shared" si="33"/>
        <v/>
      </c>
      <c r="AK200">
        <f t="shared" si="34"/>
        <v>35</v>
      </c>
      <c r="AL200" t="str">
        <f t="shared" si="35"/>
        <v>D|Buono|35</v>
      </c>
    </row>
    <row r="201" spans="1:38" ht="14.25" customHeight="1" x14ac:dyDescent="0.25">
      <c r="A201" s="18">
        <v>7219</v>
      </c>
      <c r="B201" s="18" t="s">
        <v>88</v>
      </c>
      <c r="C201" s="18" t="s">
        <v>142</v>
      </c>
      <c r="E201" s="23" t="str">
        <f>IF(COUNTIF('Info Strategia'!$D$2:$D$51,$C201)&gt;0,"SI","NO")</f>
        <v>NO</v>
      </c>
      <c r="F201" s="24">
        <f>IFERROR(ROUND(($G201+($H201-$G201)*'Info Strategia'!$B$6)*(1+IF($E201="SI",'Parametri Modello'!$B$7*'Info Strategia'!$B$6,0)),0),"")</f>
        <v>3</v>
      </c>
      <c r="G201" s="24">
        <f>IFERROR(ROUND(MAX(1,(IF($V201&lt;=INDEX('Parametri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2</v>
      </c>
      <c r="H201" s="24">
        <f>IFERROR(ROUND((IF($V201&lt;=INDEX('Parametri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3</v>
      </c>
      <c r="I201" s="23">
        <f>IFERROR(INDEX('Input Statistiche 2025_26'!$F$3:$F$665,MATCH($A201,'Input Statistiche 2025_26'!$A$3:$A$665,0)),"")</f>
        <v>22</v>
      </c>
      <c r="J201" s="23">
        <f t="shared" si="27"/>
        <v>16</v>
      </c>
      <c r="K201" s="23">
        <f>IFERROR(INDEX('Input Statistiche 2025_26'!$I$3:$I$665,MATCH($A201,'Input Statistiche 2025_26'!$A$3:$A$665,0)),"")</f>
        <v>0</v>
      </c>
      <c r="L201" s="23">
        <f>IFERROR(INDEX('Input Statistiche 2025_26'!$O$3:$O$665,MATCH($A201,'Input Statistiche 2025_26'!$A$3:$A$665,0)),"")</f>
        <v>3</v>
      </c>
      <c r="M201" s="25"/>
      <c r="N201" s="24">
        <f>IFERROR(INDEX('Input Giocatori 2026_27'!$E$3:$E$493,MATCH($A201,'Input Giocatori 2026_27'!$A$3:$A$493,0)),"")</f>
        <v>6</v>
      </c>
      <c r="O201" s="24">
        <f>IFERROR(INDEX('Input Giocatori 2026_27'!$G$3:$G$493,MATCH($A201,'Input Giocatori 2026_27'!$A$3:$A$493,0)),"")</f>
        <v>17</v>
      </c>
      <c r="P201" s="23" t="str">
        <f>IFERROR(IF($O201="","",IF((1-(COUNTIFS($B$2:$B$492,$B201,$O$2:$O$492,"&gt;"&amp;$O201)+1-1)/COUNTIF($B$2:$B$492,$B201))&gt;='Parametri Modello'!$B$63,"Top",IF((1-(COUNTIFS($B$2:$B$492,$B201,$O$2:$O$492,"&gt;"&amp;$O201)+1-1)/COUNTIF($B$2:$B$492,$B201))&gt;='Parametri Modello'!$B$64,"Buono",IF((1-(COUNTIFS($B$2:$B$492,$B201,$O$2:$O$492,"&gt;"&amp;$O201)+1-1)/COUNTIF($B$2:$B$492,$B201))&gt;='Parametri Modello'!$B$65,"Nella Media","Scommessa/Riserva")))),"")</f>
        <v>Buono</v>
      </c>
      <c r="Q201" s="26">
        <f>IF(AND($D201="",$N201&gt;1),SUMPRODUCT(($D$2:$D201="")*($N$2:$N201&gt;1)),"")</f>
        <v>200</v>
      </c>
      <c r="R201" s="26" t="str">
        <f>IF($D201='Info Lega'!$B$28,COUNTIFS($D$2:$D201,'Info Lega'!$B$28),"")</f>
        <v/>
      </c>
      <c r="S201" s="27">
        <f>IFERROR(INDEX('Input Statistiche 2025_26'!$G$3:$G$665,MATCH($A201,'Input Statistiche 2025_26'!$A$3:$A$665,0)),"")</f>
        <v>6.09</v>
      </c>
      <c r="T201" s="27">
        <f>IFERROR(INDEX('Input Statistiche 2025_26'!$H$3:$H$665,MATCH($A201,'Input Statistiche 2025_26'!$A$3:$A$665,0)),"")</f>
        <v>6.16</v>
      </c>
      <c r="U201" s="23" t="str">
        <f>IF(OR('La Mia Rosa'!$O$12="",$D201&lt;&gt;""),"",IF($F201&lt;='La Mia Rosa'!$O$12*'Parametri Modello'!$B$24,"OK",IF($F201&lt;='La Mia Rosa'!$O$12*'Parametri Modello'!$B$25,"Attenzione","Rischio Alto")))</f>
        <v>OK</v>
      </c>
      <c r="V201" s="23">
        <f t="shared" si="28"/>
        <v>53</v>
      </c>
      <c r="W201" s="18">
        <f>'Info Lega'!$B$4-SUMIFS($M$2:$M$492,$D$2:$D$492,'Info Lega'!$B$28)</f>
        <v>1000</v>
      </c>
      <c r="X201" s="18">
        <f>('Info Lega'!$B$5-COUNTIFS($D$2:$D$492,'Info Lega'!$B$28,$B$2:$B$492,"P"))+('Info Lega'!$B$6-COUNTIFS($D$2:$D$492,'Info Lega'!$B$28,$B$2:$B$492,"D"))+('Info Lega'!$B$7-COUNTIFS($D$2:$D$492,'Info Lega'!$B$28,$B$2:$B$492,"C"))+('Info Lega'!$B$8-COUNTIFS($D$2:$D$492,'Info Lega'!$B$28,$B$2:$B$492,"A"))</f>
        <v>25</v>
      </c>
      <c r="Y201" s="18">
        <f>X201*'Parametri Modello'!$B$30</f>
        <v>25</v>
      </c>
      <c r="Z201" s="18">
        <f t="shared" si="29"/>
        <v>975</v>
      </c>
      <c r="AA201" s="18">
        <f t="shared" si="30"/>
        <v>3</v>
      </c>
      <c r="AB201" s="18"/>
      <c r="AC201" s="18" t="str">
        <f>IF($AB201="","",IF($AB201&gt;$AA201,"PASS",IF($AB201&lt;=$AA201*(1-'Parametri Modello'!$B$68),"BID","ATTENZIONE")))</f>
        <v/>
      </c>
      <c r="AD201" s="28">
        <f t="shared" si="31"/>
        <v>52</v>
      </c>
      <c r="AE201" s="5" t="str">
        <f>IFERROR(IF($AF201="Titolare",INDEX('Stato Asta'!$G$9:$G$12,MATCH($B201,'Stato Asta'!$A$9:$A$12,0)),INDEX('Stato Asta'!$P$9:$P$12,MATCH($B201,'Stato Asta'!$A$9:$A$12,0))),"")</f>
        <v>🟢 Riserve abbondanti</v>
      </c>
      <c r="AF201" t="str">
        <f>IFERROR(IF($V201&lt;=INDEX('Parametri Modello'!$C$57:$C$60,MATCH($B201,'Parametri Modello'!$A$57:$A$60,0)),"Titolare","Riserva"),"")</f>
        <v>Riserva</v>
      </c>
      <c r="AG201" t="str">
        <f>IFERROR(INDEX('Pressione Competitiva'!$F$3:$F$6,MATCH($B201,'Pressione Competitiva'!$B$3:$B$6,0)),"")</f>
        <v>🔴 Molto Alta</v>
      </c>
      <c r="AH201" t="str">
        <f t="shared" si="32"/>
        <v/>
      </c>
      <c r="AI201" t="str">
        <f>IFERROR(IF($AH201="","",IF($AH201&gt;=$AA201*'Parametri Modello'!$B$68,"🟢 Opportunita'",IF($AH201&lt;=$AA201*'Parametri Modello'!$B$69,"🔴 Sovrapprezzo","🟡 Prezzo Corretto"))),"")</f>
        <v/>
      </c>
      <c r="AJ201" t="str">
        <f t="shared" si="33"/>
        <v/>
      </c>
      <c r="AK201">
        <f t="shared" si="34"/>
        <v>35</v>
      </c>
      <c r="AL201" t="str">
        <f t="shared" si="35"/>
        <v>D|Buono|35</v>
      </c>
    </row>
    <row r="202" spans="1:38" ht="14.25" customHeight="1" x14ac:dyDescent="0.25">
      <c r="A202" s="18">
        <v>5620</v>
      </c>
      <c r="B202" s="18" t="s">
        <v>88</v>
      </c>
      <c r="C202" s="18" t="s">
        <v>151</v>
      </c>
      <c r="E202" s="23" t="str">
        <f>IF(COUNTIF('Info Strategia'!$D$2:$D$51,$C202)&gt;0,"SI","NO")</f>
        <v>NO</v>
      </c>
      <c r="F202" s="24">
        <f>IFERROR(ROUND(($G202+($H202-$G202)*'Info Strategia'!$B$6)*(1+IF($E202="SI",'Parametri Modello'!$B$7*'Info Strategia'!$B$6,0)),0),"")</f>
        <v>3</v>
      </c>
      <c r="G202" s="24">
        <f>IFERROR(ROUND(MAX(1,(IF($V202&lt;=INDEX('Parametri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2</v>
      </c>
      <c r="H202" s="24">
        <f>IFERROR(ROUND((IF($V202&lt;=INDEX('Parametri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3</v>
      </c>
      <c r="I202" s="23">
        <f>IFERROR(INDEX('Input Statistiche 2025_26'!$F$3:$F$665,MATCH($A202,'Input Statistiche 2025_26'!$A$3:$A$665,0)),"")</f>
        <v>22</v>
      </c>
      <c r="J202" s="23">
        <f t="shared" si="27"/>
        <v>16</v>
      </c>
      <c r="K202" s="23">
        <f>IFERROR(INDEX('Input Statistiche 2025_26'!$I$3:$I$665,MATCH($A202,'Input Statistiche 2025_26'!$A$3:$A$665,0)),"")</f>
        <v>0</v>
      </c>
      <c r="L202" s="23">
        <f>IFERROR(INDEX('Input Statistiche 2025_26'!$O$3:$O$665,MATCH($A202,'Input Statistiche 2025_26'!$A$3:$A$665,0)),"")</f>
        <v>0</v>
      </c>
      <c r="M202" s="25"/>
      <c r="N202" s="24">
        <f>IFERROR(INDEX('Input Giocatori 2026_27'!$E$3:$E$493,MATCH($A202,'Input Giocatori 2026_27'!$A$3:$A$493,0)),"")</f>
        <v>6</v>
      </c>
      <c r="O202" s="24">
        <f>IFERROR(INDEX('Input Giocatori 2026_27'!$G$3:$G$493,MATCH($A202,'Input Giocatori 2026_27'!$A$3:$A$493,0)),"")</f>
        <v>17</v>
      </c>
      <c r="P202" s="23" t="str">
        <f>IFERROR(IF($O202="","",IF((1-(COUNTIFS($B$2:$B$492,$B202,$O$2:$O$492,"&gt;"&amp;$O202)+1-1)/COUNTIF($B$2:$B$492,$B202))&gt;='Parametri Modello'!$B$63,"Top",IF((1-(COUNTIFS($B$2:$B$492,$B202,$O$2:$O$492,"&gt;"&amp;$O202)+1-1)/COUNTIF($B$2:$B$492,$B202))&gt;='Parametri Modello'!$B$64,"Buono",IF((1-(COUNTIFS($B$2:$B$492,$B202,$O$2:$O$492,"&gt;"&amp;$O202)+1-1)/COUNTIF($B$2:$B$492,$B202))&gt;='Parametri Modello'!$B$65,"Nella Media","Scommessa/Riserva")))),"")</f>
        <v>Buono</v>
      </c>
      <c r="Q202" s="26">
        <f>IF(AND($D202="",$N202&gt;1),SUMPRODUCT(($D$2:$D202="")*($N$2:$N202&gt;1)),"")</f>
        <v>201</v>
      </c>
      <c r="R202" s="26" t="str">
        <f>IF($D202='Info Lega'!$B$28,COUNTIFS($D$2:$D202,'Info Lega'!$B$28),"")</f>
        <v/>
      </c>
      <c r="S202" s="27">
        <f>IFERROR(INDEX('Input Statistiche 2025_26'!$G$3:$G$665,MATCH($A202,'Input Statistiche 2025_26'!$A$3:$A$665,0)),"")</f>
        <v>5.91</v>
      </c>
      <c r="T202" s="27">
        <f>IFERROR(INDEX('Input Statistiche 2025_26'!$H$3:$H$665,MATCH($A202,'Input Statistiche 2025_26'!$A$3:$A$665,0)),"")</f>
        <v>5.8</v>
      </c>
      <c r="U202" s="23" t="str">
        <f>IF(OR('La Mia Rosa'!$O$12="",$D202&lt;&gt;""),"",IF($F202&lt;='La Mia Rosa'!$O$12*'Parametri Modello'!$B$24,"OK",IF($F202&lt;='La Mia Rosa'!$O$12*'Parametri Modello'!$B$25,"Attenzione","Rischio Alto")))</f>
        <v>OK</v>
      </c>
      <c r="V202" s="23">
        <f t="shared" si="28"/>
        <v>53</v>
      </c>
      <c r="W202" s="18">
        <f>'Info Lega'!$B$4-SUMIFS($M$2:$M$492,$D$2:$D$492,'Info Lega'!$B$28)</f>
        <v>1000</v>
      </c>
      <c r="X202" s="18">
        <f>('Info Lega'!$B$5-COUNTIFS($D$2:$D$492,'Info Lega'!$B$28,$B$2:$B$492,"P"))+('Info Lega'!$B$6-COUNTIFS($D$2:$D$492,'Info Lega'!$B$28,$B$2:$B$492,"D"))+('Info Lega'!$B$7-COUNTIFS($D$2:$D$492,'Info Lega'!$B$28,$B$2:$B$492,"C"))+('Info Lega'!$B$8-COUNTIFS($D$2:$D$492,'Info Lega'!$B$28,$B$2:$B$492,"A"))</f>
        <v>25</v>
      </c>
      <c r="Y202" s="18">
        <f>X202*'Parametri Modello'!$B$30</f>
        <v>25</v>
      </c>
      <c r="Z202" s="18">
        <f t="shared" si="29"/>
        <v>975</v>
      </c>
      <c r="AA202" s="18">
        <f t="shared" si="30"/>
        <v>3</v>
      </c>
      <c r="AB202" s="18"/>
      <c r="AC202" s="18" t="str">
        <f>IF($AB202="","",IF($AB202&gt;$AA202,"PASS",IF($AB202&lt;=$AA202*(1-'Parametri Modello'!$B$68),"BID","ATTENZIONE")))</f>
        <v/>
      </c>
      <c r="AD202" s="28">
        <f t="shared" si="31"/>
        <v>52</v>
      </c>
      <c r="AE202" s="5" t="str">
        <f>IFERROR(IF($AF202="Titolare",INDEX('Stato Asta'!$G$9:$G$12,MATCH($B202,'Stato Asta'!$A$9:$A$12,0)),INDEX('Stato Asta'!$P$9:$P$12,MATCH($B202,'Stato Asta'!$A$9:$A$12,0))),"")</f>
        <v>🟢 Riserve abbondanti</v>
      </c>
      <c r="AF202" t="str">
        <f>IFERROR(IF($V202&lt;=INDEX('Parametri Modello'!$C$57:$C$60,MATCH($B202,'Parametri Modello'!$A$57:$A$60,0)),"Titolare","Riserva"),"")</f>
        <v>Riserva</v>
      </c>
      <c r="AG202" t="str">
        <f>IFERROR(INDEX('Pressione Competitiva'!$F$3:$F$6,MATCH($B202,'Pressione Competitiva'!$B$3:$B$6,0)),"")</f>
        <v>🔴 Molto Alta</v>
      </c>
      <c r="AH202" t="str">
        <f t="shared" si="32"/>
        <v/>
      </c>
      <c r="AI202" t="str">
        <f>IFERROR(IF($AH202="","",IF($AH202&gt;=$AA202*'Parametri Modello'!$B$68,"🟢 Opportunita'",IF($AH202&lt;=$AA202*'Parametri Modello'!$B$69,"🔴 Sovrapprezzo","🟡 Prezzo Corretto"))),"")</f>
        <v/>
      </c>
      <c r="AJ202" t="str">
        <f t="shared" si="33"/>
        <v/>
      </c>
      <c r="AK202">
        <f t="shared" si="34"/>
        <v>35</v>
      </c>
      <c r="AL202" t="str">
        <f t="shared" si="35"/>
        <v>D|Buono|35</v>
      </c>
    </row>
    <row r="203" spans="1:38" ht="14.25" customHeight="1" x14ac:dyDescent="0.25">
      <c r="A203" s="18">
        <v>6190</v>
      </c>
      <c r="B203" s="18" t="s">
        <v>264</v>
      </c>
      <c r="C203" s="18" t="s">
        <v>361</v>
      </c>
      <c r="E203" s="23" t="str">
        <f>IF(COUNTIF('Info Strategia'!$D$2:$D$51,$C203)&gt;0,"SI","NO")</f>
        <v>NO</v>
      </c>
      <c r="F203" s="24">
        <f>IFERROR(ROUND(($G203+($H203-$G203)*'Info Strategia'!$B$6)*(1+IF($E203="SI",'Parametri Modello'!$B$7*'Info Strategia'!$B$6,0)),0),"")</f>
        <v>3</v>
      </c>
      <c r="G203" s="24">
        <f>IFERROR(ROUND(MAX(1,(IF($V203&lt;=INDEX('Parametri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2</v>
      </c>
      <c r="H203" s="24">
        <f>IFERROR(ROUND((IF($V203&lt;=INDEX('Parametri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3</v>
      </c>
      <c r="I203" s="23">
        <f>IFERROR(INDEX('Input Statistiche 2025_26'!$F$3:$F$665,MATCH($A203,'Input Statistiche 2025_26'!$A$3:$A$665,0)),"")</f>
        <v>22</v>
      </c>
      <c r="J203" s="23">
        <f t="shared" si="27"/>
        <v>16</v>
      </c>
      <c r="K203" s="23">
        <f>IFERROR(INDEX('Input Statistiche 2025_26'!$I$3:$I$665,MATCH($A203,'Input Statistiche 2025_26'!$A$3:$A$665,0)),"")</f>
        <v>2</v>
      </c>
      <c r="L203" s="23">
        <f>IFERROR(INDEX('Input Statistiche 2025_26'!$O$3:$O$665,MATCH($A203,'Input Statistiche 2025_26'!$A$3:$A$665,0)),"")</f>
        <v>4</v>
      </c>
      <c r="M203" s="25"/>
      <c r="N203" s="24">
        <f>IFERROR(INDEX('Input Giocatori 2026_27'!$E$3:$E$493,MATCH($A203,'Input Giocatori 2026_27'!$A$3:$A$493,0)),"")</f>
        <v>5</v>
      </c>
      <c r="O203" s="24">
        <f>IFERROR(INDEX('Input Giocatori 2026_27'!$G$3:$G$493,MATCH($A203,'Input Giocatori 2026_27'!$A$3:$A$493,0)),"")</f>
        <v>17</v>
      </c>
      <c r="P203" s="23" t="str">
        <f>IFERROR(IF($O203="","",IF((1-(COUNTIFS($B$2:$B$492,$B203,$O$2:$O$492,"&gt;"&amp;$O203)+1-1)/COUNTIF($B$2:$B$492,$B203))&gt;='Parametri Modello'!$B$63,"Top",IF((1-(COUNTIFS($B$2:$B$492,$B203,$O$2:$O$492,"&gt;"&amp;$O203)+1-1)/COUNTIF($B$2:$B$492,$B203))&gt;='Parametri Modello'!$B$64,"Buono",IF((1-(COUNTIFS($B$2:$B$492,$B203,$O$2:$O$492,"&gt;"&amp;$O203)+1-1)/COUNTIF($B$2:$B$492,$B203))&gt;='Parametri Modello'!$B$65,"Nella Media","Scommessa/Riserva")))),"")</f>
        <v>Nella Media</v>
      </c>
      <c r="Q203" s="26">
        <f>IF(AND($D203="",$N203&gt;1),SUMPRODUCT(($D$2:$D203="")*($N$2:$N203&gt;1)),"")</f>
        <v>202</v>
      </c>
      <c r="R203" s="26" t="str">
        <f>IF($D203='Info Lega'!$B$28,COUNTIFS($D$2:$D203,'Info Lega'!$B$28),"")</f>
        <v/>
      </c>
      <c r="S203" s="27">
        <f>IFERROR(INDEX('Input Statistiche 2025_26'!$G$3:$G$665,MATCH($A203,'Input Statistiche 2025_26'!$A$3:$A$665,0)),"")</f>
        <v>6.09</v>
      </c>
      <c r="T203" s="27">
        <f>IFERROR(INDEX('Input Statistiche 2025_26'!$H$3:$H$665,MATCH($A203,'Input Statistiche 2025_26'!$A$3:$A$665,0)),"")</f>
        <v>6.48</v>
      </c>
      <c r="U203" s="23" t="str">
        <f>IF(OR('La Mia Rosa'!$O$12="",$D203&lt;&gt;""),"",IF($F203&lt;='La Mia Rosa'!$O$12*'Parametri Modello'!$B$24,"OK",IF($F203&lt;='La Mia Rosa'!$O$12*'Parametri Modello'!$B$25,"Attenzione","Rischio Alto")))</f>
        <v>OK</v>
      </c>
      <c r="V203" s="23">
        <f t="shared" si="28"/>
        <v>78</v>
      </c>
      <c r="W203" s="18">
        <f>'Info Lega'!$B$4-SUMIFS($M$2:$M$492,$D$2:$D$492,'Info Lega'!$B$28)</f>
        <v>1000</v>
      </c>
      <c r="X203" s="18">
        <f>('Info Lega'!$B$5-COUNTIFS($D$2:$D$492,'Info Lega'!$B$28,$B$2:$B$492,"P"))+('Info Lega'!$B$6-COUNTIFS($D$2:$D$492,'Info Lega'!$B$28,$B$2:$B$492,"D"))+('Info Lega'!$B$7-COUNTIFS($D$2:$D$492,'Info Lega'!$B$28,$B$2:$B$492,"C"))+('Info Lega'!$B$8-COUNTIFS($D$2:$D$492,'Info Lega'!$B$28,$B$2:$B$492,"A"))</f>
        <v>25</v>
      </c>
      <c r="Y203" s="18">
        <f>X203*'Parametri Modello'!$B$30</f>
        <v>25</v>
      </c>
      <c r="Z203" s="18">
        <f t="shared" si="29"/>
        <v>975</v>
      </c>
      <c r="AA203" s="18">
        <f t="shared" si="30"/>
        <v>3</v>
      </c>
      <c r="AB203" s="18"/>
      <c r="AC203" s="18" t="str">
        <f>IF($AB203="","",IF($AB203&gt;$AA203,"PASS",IF($AB203&lt;=$AA203*(1-'Parametri Modello'!$B$68),"BID","ATTENZIONE")))</f>
        <v/>
      </c>
      <c r="AD203" s="28">
        <f t="shared" si="31"/>
        <v>52</v>
      </c>
      <c r="AE203" s="5" t="str">
        <f>IFERROR(IF($AF203="Titolare",INDEX('Stato Asta'!$G$9:$G$12,MATCH($B203,'Stato Asta'!$A$9:$A$12,0)),INDEX('Stato Asta'!$P$9:$P$12,MATCH($B203,'Stato Asta'!$A$9:$A$12,0))),"")</f>
        <v>🟢 Riserve abbondanti</v>
      </c>
      <c r="AF203" t="str">
        <f>IFERROR(IF($V203&lt;=INDEX('Parametri Modello'!$C$57:$C$60,MATCH($B203,'Parametri Modello'!$A$57:$A$60,0)),"Titolare","Riserva"),"")</f>
        <v>Riserva</v>
      </c>
      <c r="AG203" t="str">
        <f>IFERROR(INDEX('Pressione Competitiva'!$F$3:$F$6,MATCH($B203,'Pressione Competitiva'!$B$3:$B$6,0)),"")</f>
        <v>🔴 Molto Alta</v>
      </c>
      <c r="AH203" t="str">
        <f t="shared" si="32"/>
        <v/>
      </c>
      <c r="AI203" t="str">
        <f>IFERROR(IF($AH203="","",IF($AH203&gt;=$AA203*'Parametri Modello'!$B$68,"🟢 Opportunita'",IF($AH203&lt;=$AA203*'Parametri Modello'!$B$69,"🔴 Sovrapprezzo","🟡 Prezzo Corretto"))),"")</f>
        <v/>
      </c>
      <c r="AJ203" t="str">
        <f t="shared" si="33"/>
        <v/>
      </c>
      <c r="AK203">
        <f t="shared" si="34"/>
        <v>23</v>
      </c>
      <c r="AL203" t="str">
        <f t="shared" si="35"/>
        <v>C|Nella Media|23</v>
      </c>
    </row>
    <row r="204" spans="1:38" ht="14.25" customHeight="1" x14ac:dyDescent="0.25">
      <c r="A204" s="18">
        <v>6556</v>
      </c>
      <c r="B204" s="18" t="s">
        <v>437</v>
      </c>
      <c r="C204" s="18" t="s">
        <v>490</v>
      </c>
      <c r="E204" s="23" t="str">
        <f>IF(COUNTIF('Info Strategia'!$D$2:$D$51,$C204)&gt;0,"SI","NO")</f>
        <v>NO</v>
      </c>
      <c r="F204" s="24">
        <f>IFERROR(ROUND(($G204+($H204-$G204)*'Info Strategia'!$B$6)*(1+IF($E204="SI",'Parametri Modello'!$B$7*'Info Strategia'!$B$6,0)),0),"")</f>
        <v>5</v>
      </c>
      <c r="G204" s="24">
        <f>IFERROR(ROUND(MAX(1,(IF($V204&lt;=INDEX('Parametri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3</v>
      </c>
      <c r="H204" s="24">
        <f>IFERROR(ROUND((IF($V204&lt;=INDEX('Parametri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6</v>
      </c>
      <c r="I204" s="23">
        <f>IFERROR(INDEX('Input Statistiche 2025_26'!$F$3:$F$665,MATCH($A204,'Input Statistiche 2025_26'!$A$3:$A$665,0)),"")</f>
        <v>23</v>
      </c>
      <c r="J204" s="23">
        <f t="shared" si="27"/>
        <v>15</v>
      </c>
      <c r="K204" s="23">
        <f>IFERROR(INDEX('Input Statistiche 2025_26'!$I$3:$I$665,MATCH($A204,'Input Statistiche 2025_26'!$A$3:$A$665,0)),"")</f>
        <v>4</v>
      </c>
      <c r="L204" s="23">
        <f>IFERROR(INDEX('Input Statistiche 2025_26'!$O$3:$O$665,MATCH($A204,'Input Statistiche 2025_26'!$A$3:$A$665,0)),"")</f>
        <v>2</v>
      </c>
      <c r="M204" s="25"/>
      <c r="N204" s="24">
        <f>IFERROR(INDEX('Input Giocatori 2026_27'!$E$3:$E$493,MATCH($A204,'Input Giocatori 2026_27'!$A$3:$A$493,0)),"")</f>
        <v>6</v>
      </c>
      <c r="O204" s="24">
        <f>IFERROR(INDEX('Input Giocatori 2026_27'!$G$3:$G$493,MATCH($A204,'Input Giocatori 2026_27'!$A$3:$A$493,0)),"")</f>
        <v>17</v>
      </c>
      <c r="P204" s="23" t="str">
        <f>IFERROR(IF($O204="","",IF((1-(COUNTIFS($B$2:$B$492,$B204,$O$2:$O$492,"&gt;"&amp;$O204)+1-1)/COUNTIF($B$2:$B$492,$B204))&gt;='Parametri Modello'!$B$63,"Top",IF((1-(COUNTIFS($B$2:$B$492,$B204,$O$2:$O$492,"&gt;"&amp;$O204)+1-1)/COUNTIF($B$2:$B$492,$B204))&gt;='Parametri Modello'!$B$64,"Buono",IF((1-(COUNTIFS($B$2:$B$492,$B204,$O$2:$O$492,"&gt;"&amp;$O204)+1-1)/COUNTIF($B$2:$B$492,$B204))&gt;='Parametri Modello'!$B$65,"Nella Media","Scommessa/Riserva")))),"")</f>
        <v>Scommessa/Riserva</v>
      </c>
      <c r="Q204" s="26">
        <f>IF(AND($D204="",$N204&gt;1),SUMPRODUCT(($D$2:$D204="")*($N$2:$N204&gt;1)),"")</f>
        <v>203</v>
      </c>
      <c r="R204" s="26" t="str">
        <f>IF($D204='Info Lega'!$B$28,COUNTIFS($D$2:$D204,'Info Lega'!$B$28),"")</f>
        <v/>
      </c>
      <c r="S204" s="27">
        <f>IFERROR(INDEX('Input Statistiche 2025_26'!$G$3:$G$665,MATCH($A204,'Input Statistiche 2025_26'!$A$3:$A$665,0)),"")</f>
        <v>6.02</v>
      </c>
      <c r="T204" s="27">
        <f>IFERROR(INDEX('Input Statistiche 2025_26'!$H$3:$H$665,MATCH($A204,'Input Statistiche 2025_26'!$A$3:$A$665,0)),"")</f>
        <v>6.5</v>
      </c>
      <c r="U204" s="23" t="str">
        <f>IF(OR('La Mia Rosa'!$O$12="",$D204&lt;&gt;""),"",IF($F204&lt;='La Mia Rosa'!$O$12*'Parametri Modello'!$B$24,"OK",IF($F204&lt;='La Mia Rosa'!$O$12*'Parametri Modello'!$B$25,"Attenzione","Rischio Alto")))</f>
        <v>OK</v>
      </c>
      <c r="V204" s="23">
        <f t="shared" si="28"/>
        <v>55</v>
      </c>
      <c r="W204" s="18">
        <f>'Info Lega'!$B$4-SUMIFS($M$2:$M$492,$D$2:$D$492,'Info Lega'!$B$28)</f>
        <v>1000</v>
      </c>
      <c r="X204" s="18">
        <f>('Info Lega'!$B$5-COUNTIFS($D$2:$D$492,'Info Lega'!$B$28,$B$2:$B$492,"P"))+('Info Lega'!$B$6-COUNTIFS($D$2:$D$492,'Info Lega'!$B$28,$B$2:$B$492,"D"))+('Info Lega'!$B$7-COUNTIFS($D$2:$D$492,'Info Lega'!$B$28,$B$2:$B$492,"C"))+('Info Lega'!$B$8-COUNTIFS($D$2:$D$492,'Info Lega'!$B$28,$B$2:$B$492,"A"))</f>
        <v>25</v>
      </c>
      <c r="Y204" s="18">
        <f>X204*'Parametri Modello'!$B$30</f>
        <v>25</v>
      </c>
      <c r="Z204" s="18">
        <f t="shared" si="29"/>
        <v>975</v>
      </c>
      <c r="AA204" s="18">
        <f t="shared" si="30"/>
        <v>5</v>
      </c>
      <c r="AB204" s="18"/>
      <c r="AC204" s="18" t="str">
        <f>IF($AB204="","",IF($AB204&gt;$AA204,"PASS",IF($AB204&lt;=$AA204*(1-'Parametri Modello'!$B$68),"BID","ATTENZIONE")))</f>
        <v/>
      </c>
      <c r="AD204" s="28">
        <f t="shared" si="31"/>
        <v>54</v>
      </c>
      <c r="AE204" s="5" t="str">
        <f>IFERROR(IF($AF204="Titolare",INDEX('Stato Asta'!$G$9:$G$12,MATCH($B204,'Stato Asta'!$A$9:$A$12,0)),INDEX('Stato Asta'!$P$9:$P$12,MATCH($B204,'Stato Asta'!$A$9:$A$12,0))),"")</f>
        <v>🟢 Riserve abbondanti</v>
      </c>
      <c r="AF204" t="str">
        <f>IFERROR(IF($V204&lt;=INDEX('Parametri Modello'!$C$57:$C$60,MATCH($B204,'Parametri Modello'!$A$57:$A$60,0)),"Titolare","Riserva"),"")</f>
        <v>Riserva</v>
      </c>
      <c r="AG204" t="str">
        <f>IFERROR(INDEX('Pressione Competitiva'!$F$3:$F$6,MATCH($B204,'Pressione Competitiva'!$B$3:$B$6,0)),"")</f>
        <v>🔴 Molto Alta</v>
      </c>
      <c r="AH204" t="str">
        <f t="shared" si="32"/>
        <v/>
      </c>
      <c r="AI204" t="str">
        <f>IFERROR(IF($AH204="","",IF($AH204&gt;=$AA204*'Parametri Modello'!$B$68,"🟢 Opportunita'",IF($AH204&lt;=$AA204*'Parametri Modello'!$B$69,"🔴 Sovrapprezzo","🟡 Prezzo Corretto"))),"")</f>
        <v/>
      </c>
      <c r="AJ204" t="str">
        <f t="shared" si="33"/>
        <v/>
      </c>
      <c r="AK204">
        <f t="shared" si="34"/>
        <v>1</v>
      </c>
      <c r="AL204" t="str">
        <f t="shared" si="35"/>
        <v>A|Scommessa/Riserva|1</v>
      </c>
    </row>
    <row r="205" spans="1:38" ht="14.25" customHeight="1" x14ac:dyDescent="0.25">
      <c r="A205" s="18">
        <v>6046</v>
      </c>
      <c r="B205" s="18" t="s">
        <v>88</v>
      </c>
      <c r="C205" s="18" t="s">
        <v>111</v>
      </c>
      <c r="E205" s="23" t="str">
        <f>IF(COUNTIF('Info Strategia'!$D$2:$D$51,$C205)&gt;0,"SI","NO")</f>
        <v>NO</v>
      </c>
      <c r="F205" s="24">
        <f>IFERROR(ROUND(($G205+($H205-$G205)*'Info Strategia'!$B$6)*(1+IF($E205="SI",'Parametri Modello'!$B$7*'Info Strategia'!$B$6,0)),0),"")</f>
        <v>3</v>
      </c>
      <c r="G205" s="24">
        <f>IFERROR(ROUND(MAX(1,(IF($V205&lt;=INDEX('Parametri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2</v>
      </c>
      <c r="H205" s="24">
        <f>IFERROR(ROUND((IF($V205&lt;=INDEX('Parametri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3</v>
      </c>
      <c r="I205" s="23">
        <f>IFERROR(INDEX('Input Statistiche 2025_26'!$F$3:$F$665,MATCH($A205,'Input Statistiche 2025_26'!$A$3:$A$665,0)),"")</f>
        <v>28</v>
      </c>
      <c r="J205" s="23">
        <f t="shared" si="27"/>
        <v>10</v>
      </c>
      <c r="K205" s="23">
        <f>IFERROR(INDEX('Input Statistiche 2025_26'!$I$3:$I$665,MATCH($A205,'Input Statistiche 2025_26'!$A$3:$A$665,0)),"")</f>
        <v>1</v>
      </c>
      <c r="L205" s="23">
        <f>IFERROR(INDEX('Input Statistiche 2025_26'!$O$3:$O$665,MATCH($A205,'Input Statistiche 2025_26'!$A$3:$A$665,0)),"")</f>
        <v>0</v>
      </c>
      <c r="M205" s="25"/>
      <c r="N205" s="24">
        <f>IFERROR(INDEX('Input Giocatori 2026_27'!$E$3:$E$493,MATCH($A205,'Input Giocatori 2026_27'!$A$3:$A$493,0)),"")</f>
        <v>8</v>
      </c>
      <c r="O205" s="24">
        <f>IFERROR(INDEX('Input Giocatori 2026_27'!$G$3:$G$493,MATCH($A205,'Input Giocatori 2026_27'!$A$3:$A$493,0)),"")</f>
        <v>16</v>
      </c>
      <c r="P205" s="23" t="str">
        <f>IFERROR(IF($O205="","",IF((1-(COUNTIFS($B$2:$B$492,$B205,$O$2:$O$492,"&gt;"&amp;$O205)+1-1)/COUNTIF($B$2:$B$492,$B205))&gt;='Parametri Modello'!$B$63,"Top",IF((1-(COUNTIFS($B$2:$B$492,$B205,$O$2:$O$492,"&gt;"&amp;$O205)+1-1)/COUNTIF($B$2:$B$492,$B205))&gt;='Parametri Modello'!$B$64,"Buono",IF((1-(COUNTIFS($B$2:$B$492,$B205,$O$2:$O$492,"&gt;"&amp;$O205)+1-1)/COUNTIF($B$2:$B$492,$B205))&gt;='Parametri Modello'!$B$65,"Nella Media","Scommessa/Riserva")))),"")</f>
        <v>Nella Media</v>
      </c>
      <c r="Q205" s="26">
        <f>IF(AND($D205="",$N205&gt;1),SUMPRODUCT(($D$2:$D205="")*($N$2:$N205&gt;1)),"")</f>
        <v>204</v>
      </c>
      <c r="R205" s="26" t="str">
        <f>IF($D205='Info Lega'!$B$28,COUNTIFS($D$2:$D205,'Info Lega'!$B$28),"")</f>
        <v/>
      </c>
      <c r="S205" s="27">
        <f>IFERROR(INDEX('Input Statistiche 2025_26'!$G$3:$G$665,MATCH($A205,'Input Statistiche 2025_26'!$A$3:$A$665,0)),"")</f>
        <v>5.91</v>
      </c>
      <c r="T205" s="27">
        <f>IFERROR(INDEX('Input Statistiche 2025_26'!$H$3:$H$665,MATCH($A205,'Input Statistiche 2025_26'!$A$3:$A$665,0)),"")</f>
        <v>5.86</v>
      </c>
      <c r="U205" s="23" t="str">
        <f>IF(OR('La Mia Rosa'!$O$12="",$D205&lt;&gt;""),"",IF($F205&lt;='La Mia Rosa'!$O$12*'Parametri Modello'!$B$24,"OK",IF($F205&lt;='La Mia Rosa'!$O$12*'Parametri Modello'!$B$25,"Attenzione","Rischio Alto")))</f>
        <v>OK</v>
      </c>
      <c r="V205" s="23">
        <f t="shared" si="28"/>
        <v>56</v>
      </c>
      <c r="W205" s="18">
        <f>'Info Lega'!$B$4-SUMIFS($M$2:$M$492,$D$2:$D$492,'Info Lega'!$B$28)</f>
        <v>1000</v>
      </c>
      <c r="X205" s="18">
        <f>('Info Lega'!$B$5-COUNTIFS($D$2:$D$492,'Info Lega'!$B$28,$B$2:$B$492,"P"))+('Info Lega'!$B$6-COUNTIFS($D$2:$D$492,'Info Lega'!$B$28,$B$2:$B$492,"D"))+('Info Lega'!$B$7-COUNTIFS($D$2:$D$492,'Info Lega'!$B$28,$B$2:$B$492,"C"))+('Info Lega'!$B$8-COUNTIFS($D$2:$D$492,'Info Lega'!$B$28,$B$2:$B$492,"A"))</f>
        <v>25</v>
      </c>
      <c r="Y205" s="18">
        <f>X205*'Parametri Modello'!$B$30</f>
        <v>25</v>
      </c>
      <c r="Z205" s="18">
        <f t="shared" si="29"/>
        <v>975</v>
      </c>
      <c r="AA205" s="18">
        <f t="shared" si="30"/>
        <v>3</v>
      </c>
      <c r="AB205" s="18"/>
      <c r="AC205" s="18" t="str">
        <f>IF($AB205="","",IF($AB205&gt;$AA205,"PASS",IF($AB205&lt;=$AA205*(1-'Parametri Modello'!$B$68),"BID","ATTENZIONE")))</f>
        <v/>
      </c>
      <c r="AD205" s="28">
        <f t="shared" si="31"/>
        <v>61</v>
      </c>
      <c r="AE205" s="5" t="str">
        <f>IFERROR(IF($AF205="Titolare",INDEX('Stato Asta'!$G$9:$G$12,MATCH($B205,'Stato Asta'!$A$9:$A$12,0)),INDEX('Stato Asta'!$P$9:$P$12,MATCH($B205,'Stato Asta'!$A$9:$A$12,0))),"")</f>
        <v>🟢 Riserve abbondanti</v>
      </c>
      <c r="AF205" t="str">
        <f>IFERROR(IF($V205&lt;=INDEX('Parametri Modello'!$C$57:$C$60,MATCH($B205,'Parametri Modello'!$A$57:$A$60,0)),"Titolare","Riserva"),"")</f>
        <v>Riserva</v>
      </c>
      <c r="AG205" t="str">
        <f>IFERROR(INDEX('Pressione Competitiva'!$F$3:$F$6,MATCH($B205,'Pressione Competitiva'!$B$3:$B$6,0)),"")</f>
        <v>🔴 Molto Alta</v>
      </c>
      <c r="AH205" t="str">
        <f t="shared" si="32"/>
        <v/>
      </c>
      <c r="AI205" t="str">
        <f>IFERROR(IF($AH205="","",IF($AH205&gt;=$AA205*'Parametri Modello'!$B$68,"🟢 Opportunita'",IF($AH205&lt;=$AA205*'Parametri Modello'!$B$69,"🔴 Sovrapprezzo","🟡 Prezzo Corretto"))),"")</f>
        <v/>
      </c>
      <c r="AJ205" t="str">
        <f t="shared" si="33"/>
        <v/>
      </c>
      <c r="AK205">
        <f t="shared" si="34"/>
        <v>1</v>
      </c>
      <c r="AL205" t="str">
        <f t="shared" si="35"/>
        <v>D|Nella Media|1</v>
      </c>
    </row>
    <row r="206" spans="1:38" ht="14.25" customHeight="1" x14ac:dyDescent="0.25">
      <c r="A206" s="18">
        <v>787</v>
      </c>
      <c r="B206" s="18" t="s">
        <v>88</v>
      </c>
      <c r="C206" s="18" t="s">
        <v>126</v>
      </c>
      <c r="E206" s="23" t="str">
        <f>IF(COUNTIF('Info Strategia'!$D$2:$D$51,$C206)&gt;0,"SI","NO")</f>
        <v>NO</v>
      </c>
      <c r="F206" s="24">
        <f>IFERROR(ROUND(($G206+($H206-$G206)*'Info Strategia'!$B$6)*(1+IF($E206="SI",'Parametri Modello'!$B$7*'Info Strategia'!$B$6,0)),0),"")</f>
        <v>3</v>
      </c>
      <c r="G206" s="24">
        <f>IFERROR(ROUND(MAX(1,(IF($V206&lt;=INDEX('Parametri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2</v>
      </c>
      <c r="H206" s="24">
        <f>IFERROR(ROUND((IF($V206&lt;=INDEX('Parametri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3</v>
      </c>
      <c r="I206" s="23">
        <f>IFERROR(INDEX('Input Statistiche 2025_26'!$F$3:$F$665,MATCH($A206,'Input Statistiche 2025_26'!$A$3:$A$665,0)),"")</f>
        <v>33</v>
      </c>
      <c r="J206" s="23">
        <f t="shared" si="27"/>
        <v>5</v>
      </c>
      <c r="K206" s="23">
        <f>IFERROR(INDEX('Input Statistiche 2025_26'!$I$3:$I$665,MATCH($A206,'Input Statistiche 2025_26'!$A$3:$A$665,0)),"")</f>
        <v>0</v>
      </c>
      <c r="L206" s="23">
        <f>IFERROR(INDEX('Input Statistiche 2025_26'!$O$3:$O$665,MATCH($A206,'Input Statistiche 2025_26'!$A$3:$A$665,0)),"")</f>
        <v>0</v>
      </c>
      <c r="M206" s="25"/>
      <c r="N206" s="24">
        <f>IFERROR(INDEX('Input Giocatori 2026_27'!$E$3:$E$493,MATCH($A206,'Input Giocatori 2026_27'!$A$3:$A$493,0)),"")</f>
        <v>7</v>
      </c>
      <c r="O206" s="24">
        <f>IFERROR(INDEX('Input Giocatori 2026_27'!$G$3:$G$493,MATCH($A206,'Input Giocatori 2026_27'!$A$3:$A$493,0)),"")</f>
        <v>16</v>
      </c>
      <c r="P206" s="23" t="str">
        <f>IFERROR(IF($O206="","",IF((1-(COUNTIFS($B$2:$B$492,$B206,$O$2:$O$492,"&gt;"&amp;$O206)+1-1)/COUNTIF($B$2:$B$492,$B206))&gt;='Parametri Modello'!$B$63,"Top",IF((1-(COUNTIFS($B$2:$B$492,$B206,$O$2:$O$492,"&gt;"&amp;$O206)+1-1)/COUNTIF($B$2:$B$492,$B206))&gt;='Parametri Modello'!$B$64,"Buono",IF((1-(COUNTIFS($B$2:$B$492,$B206,$O$2:$O$492,"&gt;"&amp;$O206)+1-1)/COUNTIF($B$2:$B$492,$B206))&gt;='Parametri Modello'!$B$65,"Nella Media","Scommessa/Riserva")))),"")</f>
        <v>Nella Media</v>
      </c>
      <c r="Q206" s="26">
        <f>IF(AND($D206="",$N206&gt;1),SUMPRODUCT(($D$2:$D206="")*($N$2:$N206&gt;1)),"")</f>
        <v>205</v>
      </c>
      <c r="R206" s="26" t="str">
        <f>IF($D206='Info Lega'!$B$28,COUNTIFS($D$2:$D206,'Info Lega'!$B$28),"")</f>
        <v/>
      </c>
      <c r="S206" s="27">
        <f>IFERROR(INDEX('Input Statistiche 2025_26'!$G$3:$G$665,MATCH($A206,'Input Statistiche 2025_26'!$A$3:$A$665,0)),"")</f>
        <v>5.86</v>
      </c>
      <c r="T206" s="27">
        <f>IFERROR(INDEX('Input Statistiche 2025_26'!$H$3:$H$665,MATCH($A206,'Input Statistiche 2025_26'!$A$3:$A$665,0)),"")</f>
        <v>5.8</v>
      </c>
      <c r="U206" s="23" t="str">
        <f>IF(OR('La Mia Rosa'!$O$12="",$D206&lt;&gt;""),"",IF($F206&lt;='La Mia Rosa'!$O$12*'Parametri Modello'!$B$24,"OK",IF($F206&lt;='La Mia Rosa'!$O$12*'Parametri Modello'!$B$25,"Attenzione","Rischio Alto")))</f>
        <v>OK</v>
      </c>
      <c r="V206" s="23">
        <f t="shared" si="28"/>
        <v>56</v>
      </c>
      <c r="W206" s="18">
        <f>'Info Lega'!$B$4-SUMIFS($M$2:$M$492,$D$2:$D$492,'Info Lega'!$B$28)</f>
        <v>1000</v>
      </c>
      <c r="X206" s="18">
        <f>('Info Lega'!$B$5-COUNTIFS($D$2:$D$492,'Info Lega'!$B$28,$B$2:$B$492,"P"))+('Info Lega'!$B$6-COUNTIFS($D$2:$D$492,'Info Lega'!$B$28,$B$2:$B$492,"D"))+('Info Lega'!$B$7-COUNTIFS($D$2:$D$492,'Info Lega'!$B$28,$B$2:$B$492,"C"))+('Info Lega'!$B$8-COUNTIFS($D$2:$D$492,'Info Lega'!$B$28,$B$2:$B$492,"A"))</f>
        <v>25</v>
      </c>
      <c r="Y206" s="18">
        <f>X206*'Parametri Modello'!$B$30</f>
        <v>25</v>
      </c>
      <c r="Z206" s="18">
        <f t="shared" si="29"/>
        <v>975</v>
      </c>
      <c r="AA206" s="18">
        <f t="shared" si="30"/>
        <v>3</v>
      </c>
      <c r="AB206" s="18"/>
      <c r="AC206" s="18" t="str">
        <f>IF($AB206="","",IF($AB206&gt;$AA206,"PASS",IF($AB206&lt;=$AA206*(1-'Parametri Modello'!$B$68),"BID","ATTENZIONE")))</f>
        <v/>
      </c>
      <c r="AD206" s="28">
        <f t="shared" si="31"/>
        <v>67</v>
      </c>
      <c r="AE206" s="5" t="str">
        <f>IFERROR(IF($AF206="Titolare",INDEX('Stato Asta'!$G$9:$G$12,MATCH($B206,'Stato Asta'!$A$9:$A$12,0)),INDEX('Stato Asta'!$P$9:$P$12,MATCH($B206,'Stato Asta'!$A$9:$A$12,0))),"")</f>
        <v>🟢 Riserve abbondanti</v>
      </c>
      <c r="AF206" t="str">
        <f>IFERROR(IF($V206&lt;=INDEX('Parametri Modello'!$C$57:$C$60,MATCH($B206,'Parametri Modello'!$A$57:$A$60,0)),"Titolare","Riserva"),"")</f>
        <v>Riserva</v>
      </c>
      <c r="AG206" t="str">
        <f>IFERROR(INDEX('Pressione Competitiva'!$F$3:$F$6,MATCH($B206,'Pressione Competitiva'!$B$3:$B$6,0)),"")</f>
        <v>🔴 Molto Alta</v>
      </c>
      <c r="AH206" t="str">
        <f t="shared" si="32"/>
        <v/>
      </c>
      <c r="AI206" t="str">
        <f>IFERROR(IF($AH206="","",IF($AH206&gt;=$AA206*'Parametri Modello'!$B$68,"🟢 Opportunita'",IF($AH206&lt;=$AA206*'Parametri Modello'!$B$69,"🔴 Sovrapprezzo","🟡 Prezzo Corretto"))),"")</f>
        <v/>
      </c>
      <c r="AJ206" t="str">
        <f t="shared" si="33"/>
        <v/>
      </c>
      <c r="AK206">
        <f t="shared" si="34"/>
        <v>1</v>
      </c>
      <c r="AL206" t="str">
        <f t="shared" si="35"/>
        <v>D|Nella Media|1</v>
      </c>
    </row>
    <row r="207" spans="1:38" ht="14.25" customHeight="1" x14ac:dyDescent="0.25">
      <c r="A207" s="18">
        <v>6916</v>
      </c>
      <c r="B207" s="18" t="s">
        <v>88</v>
      </c>
      <c r="C207" s="18" t="s">
        <v>140</v>
      </c>
      <c r="E207" s="23" t="str">
        <f>IF(COUNTIF('Info Strategia'!$D$2:$D$51,$C207)&gt;0,"SI","NO")</f>
        <v>NO</v>
      </c>
      <c r="F207" s="24">
        <f>IFERROR(ROUND(($G207+($H207-$G207)*'Info Strategia'!$B$6)*(1+IF($E207="SI",'Parametri Modello'!$B$7*'Info Strategia'!$B$6,0)),0),"")</f>
        <v>3</v>
      </c>
      <c r="G207" s="24">
        <f>IFERROR(ROUND(MAX(1,(IF($V207&lt;=INDEX('Parametri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2</v>
      </c>
      <c r="H207" s="24">
        <f>IFERROR(ROUND((IF($V207&lt;=INDEX('Parametri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3</v>
      </c>
      <c r="I207" s="23">
        <f>IFERROR(INDEX('Input Statistiche 2025_26'!$F$3:$F$665,MATCH($A207,'Input Statistiche 2025_26'!$A$3:$A$665,0)),"")</f>
        <v>21</v>
      </c>
      <c r="J207" s="23">
        <f t="shared" si="27"/>
        <v>17</v>
      </c>
      <c r="K207" s="23">
        <f>IFERROR(INDEX('Input Statistiche 2025_26'!$I$3:$I$665,MATCH($A207,'Input Statistiche 2025_26'!$A$3:$A$665,0)),"")</f>
        <v>0</v>
      </c>
      <c r="L207" s="23">
        <f>IFERROR(INDEX('Input Statistiche 2025_26'!$O$3:$O$665,MATCH($A207,'Input Statistiche 2025_26'!$A$3:$A$665,0)),"")</f>
        <v>0</v>
      </c>
      <c r="M207" s="25"/>
      <c r="N207" s="24">
        <f>IFERROR(INDEX('Input Giocatori 2026_27'!$E$3:$E$493,MATCH($A207,'Input Giocatori 2026_27'!$A$3:$A$493,0)),"")</f>
        <v>6</v>
      </c>
      <c r="O207" s="24">
        <f>IFERROR(INDEX('Input Giocatori 2026_27'!$G$3:$G$493,MATCH($A207,'Input Giocatori 2026_27'!$A$3:$A$493,0)),"")</f>
        <v>16</v>
      </c>
      <c r="P207" s="23" t="str">
        <f>IFERROR(IF($O207="","",IF((1-(COUNTIFS($B$2:$B$492,$B207,$O$2:$O$492,"&gt;"&amp;$O207)+1-1)/COUNTIF($B$2:$B$492,$B207))&gt;='Parametri Modello'!$B$63,"Top",IF((1-(COUNTIFS($B$2:$B$492,$B207,$O$2:$O$492,"&gt;"&amp;$O207)+1-1)/COUNTIF($B$2:$B$492,$B207))&gt;='Parametri Modello'!$B$64,"Buono",IF((1-(COUNTIFS($B$2:$B$492,$B207,$O$2:$O$492,"&gt;"&amp;$O207)+1-1)/COUNTIF($B$2:$B$492,$B207))&gt;='Parametri Modello'!$B$65,"Nella Media","Scommessa/Riserva")))),"")</f>
        <v>Nella Media</v>
      </c>
      <c r="Q207" s="26">
        <f>IF(AND($D207="",$N207&gt;1),SUMPRODUCT(($D$2:$D207="")*($N$2:$N207&gt;1)),"")</f>
        <v>206</v>
      </c>
      <c r="R207" s="26" t="str">
        <f>IF($D207='Info Lega'!$B$28,COUNTIFS($D$2:$D207,'Info Lega'!$B$28),"")</f>
        <v/>
      </c>
      <c r="S207" s="27">
        <f>IFERROR(INDEX('Input Statistiche 2025_26'!$G$3:$G$665,MATCH($A207,'Input Statistiche 2025_26'!$A$3:$A$665,0)),"")</f>
        <v>5.79</v>
      </c>
      <c r="T207" s="27">
        <f>IFERROR(INDEX('Input Statistiche 2025_26'!$H$3:$H$665,MATCH($A207,'Input Statistiche 2025_26'!$A$3:$A$665,0)),"")</f>
        <v>5.69</v>
      </c>
      <c r="U207" s="23" t="str">
        <f>IF(OR('La Mia Rosa'!$O$12="",$D207&lt;&gt;""),"",IF($F207&lt;='La Mia Rosa'!$O$12*'Parametri Modello'!$B$24,"OK",IF($F207&lt;='La Mia Rosa'!$O$12*'Parametri Modello'!$B$25,"Attenzione","Rischio Alto")))</f>
        <v>OK</v>
      </c>
      <c r="V207" s="23">
        <f t="shared" si="28"/>
        <v>56</v>
      </c>
      <c r="W207" s="18">
        <f>'Info Lega'!$B$4-SUMIFS($M$2:$M$492,$D$2:$D$492,'Info Lega'!$B$28)</f>
        <v>1000</v>
      </c>
      <c r="X207" s="18">
        <f>('Info Lega'!$B$5-COUNTIFS($D$2:$D$492,'Info Lega'!$B$28,$B$2:$B$492,"P"))+('Info Lega'!$B$6-COUNTIFS($D$2:$D$492,'Info Lega'!$B$28,$B$2:$B$492,"D"))+('Info Lega'!$B$7-COUNTIFS($D$2:$D$492,'Info Lega'!$B$28,$B$2:$B$492,"C"))+('Info Lega'!$B$8-COUNTIFS($D$2:$D$492,'Info Lega'!$B$28,$B$2:$B$492,"A"))</f>
        <v>25</v>
      </c>
      <c r="Y207" s="18">
        <f>X207*'Parametri Modello'!$B$30</f>
        <v>25</v>
      </c>
      <c r="Z207" s="18">
        <f t="shared" si="29"/>
        <v>975</v>
      </c>
      <c r="AA207" s="18">
        <f t="shared" si="30"/>
        <v>3</v>
      </c>
      <c r="AB207" s="18"/>
      <c r="AC207" s="18" t="str">
        <f>IF($AB207="","",IF($AB207&gt;$AA207,"PASS",IF($AB207&lt;=$AA207*(1-'Parametri Modello'!$B$68),"BID","ATTENZIONE")))</f>
        <v/>
      </c>
      <c r="AD207" s="28">
        <f t="shared" si="31"/>
        <v>50</v>
      </c>
      <c r="AE207" s="5" t="str">
        <f>IFERROR(IF($AF207="Titolare",INDEX('Stato Asta'!$G$9:$G$12,MATCH($B207,'Stato Asta'!$A$9:$A$12,0)),INDEX('Stato Asta'!$P$9:$P$12,MATCH($B207,'Stato Asta'!$A$9:$A$12,0))),"")</f>
        <v>🟢 Riserve abbondanti</v>
      </c>
      <c r="AF207" t="str">
        <f>IFERROR(IF($V207&lt;=INDEX('Parametri Modello'!$C$57:$C$60,MATCH($B207,'Parametri Modello'!$A$57:$A$60,0)),"Titolare","Riserva"),"")</f>
        <v>Riserva</v>
      </c>
      <c r="AG207" t="str">
        <f>IFERROR(INDEX('Pressione Competitiva'!$F$3:$F$6,MATCH($B207,'Pressione Competitiva'!$B$3:$B$6,0)),"")</f>
        <v>🔴 Molto Alta</v>
      </c>
      <c r="AH207" t="str">
        <f t="shared" si="32"/>
        <v/>
      </c>
      <c r="AI207" t="str">
        <f>IFERROR(IF($AH207="","",IF($AH207&gt;=$AA207*'Parametri Modello'!$B$68,"🟢 Opportunita'",IF($AH207&lt;=$AA207*'Parametri Modello'!$B$69,"🔴 Sovrapprezzo","🟡 Prezzo Corretto"))),"")</f>
        <v/>
      </c>
      <c r="AJ207" t="str">
        <f t="shared" si="33"/>
        <v/>
      </c>
      <c r="AK207">
        <f t="shared" si="34"/>
        <v>1</v>
      </c>
      <c r="AL207" t="str">
        <f t="shared" si="35"/>
        <v>D|Nella Media|1</v>
      </c>
    </row>
    <row r="208" spans="1:38" ht="14.25" customHeight="1" x14ac:dyDescent="0.25">
      <c r="A208" s="18">
        <v>6202</v>
      </c>
      <c r="B208" s="18" t="s">
        <v>88</v>
      </c>
      <c r="C208" s="18" t="s">
        <v>155</v>
      </c>
      <c r="E208" s="23" t="str">
        <f>IF(COUNTIF('Info Strategia'!$D$2:$D$51,$C208)&gt;0,"SI","NO")</f>
        <v>NO</v>
      </c>
      <c r="F208" s="24">
        <f>IFERROR(ROUND(($G208+($H208-$G208)*'Info Strategia'!$B$6)*(1+IF($E208="SI",'Parametri Modello'!$B$7*'Info Strategia'!$B$6,0)),0),"")</f>
        <v>3</v>
      </c>
      <c r="G208" s="24">
        <f>IFERROR(ROUND(MAX(1,(IF($V208&lt;=INDEX('Parametri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2</v>
      </c>
      <c r="H208" s="24">
        <f>IFERROR(ROUND((IF($V208&lt;=INDEX('Parametri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3</v>
      </c>
      <c r="I208" s="23">
        <f>IFERROR(INDEX('Input Statistiche 2025_26'!$F$3:$F$665,MATCH($A208,'Input Statistiche 2025_26'!$A$3:$A$665,0)),"")</f>
        <v>22</v>
      </c>
      <c r="J208" s="23">
        <f t="shared" si="27"/>
        <v>16</v>
      </c>
      <c r="K208" s="23">
        <f>IFERROR(INDEX('Input Statistiche 2025_26'!$I$3:$I$665,MATCH($A208,'Input Statistiche 2025_26'!$A$3:$A$665,0)),"")</f>
        <v>2</v>
      </c>
      <c r="L208" s="23">
        <f>IFERROR(INDEX('Input Statistiche 2025_26'!$O$3:$O$665,MATCH($A208,'Input Statistiche 2025_26'!$A$3:$A$665,0)),"")</f>
        <v>0</v>
      </c>
      <c r="M208" s="25"/>
      <c r="N208" s="24">
        <f>IFERROR(INDEX('Input Giocatori 2026_27'!$E$3:$E$493,MATCH($A208,'Input Giocatori 2026_27'!$A$3:$A$493,0)),"")</f>
        <v>6</v>
      </c>
      <c r="O208" s="24">
        <f>IFERROR(INDEX('Input Giocatori 2026_27'!$G$3:$G$493,MATCH($A208,'Input Giocatori 2026_27'!$A$3:$A$493,0)),"")</f>
        <v>16</v>
      </c>
      <c r="P208" s="23" t="str">
        <f>IFERROR(IF($O208="","",IF((1-(COUNTIFS($B$2:$B$492,$B208,$O$2:$O$492,"&gt;"&amp;$O208)+1-1)/COUNTIF($B$2:$B$492,$B208))&gt;='Parametri Modello'!$B$63,"Top",IF((1-(COUNTIFS($B$2:$B$492,$B208,$O$2:$O$492,"&gt;"&amp;$O208)+1-1)/COUNTIF($B$2:$B$492,$B208))&gt;='Parametri Modello'!$B$64,"Buono",IF((1-(COUNTIFS($B$2:$B$492,$B208,$O$2:$O$492,"&gt;"&amp;$O208)+1-1)/COUNTIF($B$2:$B$492,$B208))&gt;='Parametri Modello'!$B$65,"Nella Media","Scommessa/Riserva")))),"")</f>
        <v>Nella Media</v>
      </c>
      <c r="Q208" s="26">
        <f>IF(AND($D208="",$N208&gt;1),SUMPRODUCT(($D$2:$D208="")*($N$2:$N208&gt;1)),"")</f>
        <v>207</v>
      </c>
      <c r="R208" s="26" t="str">
        <f>IF($D208='Info Lega'!$B$28,COUNTIFS($D$2:$D208,'Info Lega'!$B$28),"")</f>
        <v/>
      </c>
      <c r="S208" s="27">
        <f>IFERROR(INDEX('Input Statistiche 2025_26'!$G$3:$G$665,MATCH($A208,'Input Statistiche 2025_26'!$A$3:$A$665,0)),"")</f>
        <v>5.93</v>
      </c>
      <c r="T208" s="27">
        <f>IFERROR(INDEX('Input Statistiche 2025_26'!$H$3:$H$665,MATCH($A208,'Input Statistiche 2025_26'!$A$3:$A$665,0)),"")</f>
        <v>6.16</v>
      </c>
      <c r="U208" s="23" t="str">
        <f>IF(OR('La Mia Rosa'!$O$12="",$D208&lt;&gt;""),"",IF($F208&lt;='La Mia Rosa'!$O$12*'Parametri Modello'!$B$24,"OK",IF($F208&lt;='La Mia Rosa'!$O$12*'Parametri Modello'!$B$25,"Attenzione","Rischio Alto")))</f>
        <v>OK</v>
      </c>
      <c r="V208" s="23">
        <f t="shared" si="28"/>
        <v>56</v>
      </c>
      <c r="W208" s="18">
        <f>'Info Lega'!$B$4-SUMIFS($M$2:$M$492,$D$2:$D$492,'Info Lega'!$B$28)</f>
        <v>1000</v>
      </c>
      <c r="X208" s="18">
        <f>('Info Lega'!$B$5-COUNTIFS($D$2:$D$492,'Info Lega'!$B$28,$B$2:$B$492,"P"))+('Info Lega'!$B$6-COUNTIFS($D$2:$D$492,'Info Lega'!$B$28,$B$2:$B$492,"D"))+('Info Lega'!$B$7-COUNTIFS($D$2:$D$492,'Info Lega'!$B$28,$B$2:$B$492,"C"))+('Info Lega'!$B$8-COUNTIFS($D$2:$D$492,'Info Lega'!$B$28,$B$2:$B$492,"A"))</f>
        <v>25</v>
      </c>
      <c r="Y208" s="18">
        <f>X208*'Parametri Modello'!$B$30</f>
        <v>25</v>
      </c>
      <c r="Z208" s="18">
        <f t="shared" si="29"/>
        <v>975</v>
      </c>
      <c r="AA208" s="18">
        <f t="shared" si="30"/>
        <v>3</v>
      </c>
      <c r="AB208" s="18"/>
      <c r="AC208" s="18" t="str">
        <f>IF($AB208="","",IF($AB208&gt;$AA208,"PASS",IF($AB208&lt;=$AA208*(1-'Parametri Modello'!$B$68),"BID","ATTENZIONE")))</f>
        <v/>
      </c>
      <c r="AD208" s="28">
        <f t="shared" si="31"/>
        <v>52</v>
      </c>
      <c r="AE208" s="5" t="str">
        <f>IFERROR(IF($AF208="Titolare",INDEX('Stato Asta'!$G$9:$G$12,MATCH($B208,'Stato Asta'!$A$9:$A$12,0)),INDEX('Stato Asta'!$P$9:$P$12,MATCH($B208,'Stato Asta'!$A$9:$A$12,0))),"")</f>
        <v>🟢 Riserve abbondanti</v>
      </c>
      <c r="AF208" t="str">
        <f>IFERROR(IF($V208&lt;=INDEX('Parametri Modello'!$C$57:$C$60,MATCH($B208,'Parametri Modello'!$A$57:$A$60,0)),"Titolare","Riserva"),"")</f>
        <v>Riserva</v>
      </c>
      <c r="AG208" t="str">
        <f>IFERROR(INDEX('Pressione Competitiva'!$F$3:$F$6,MATCH($B208,'Pressione Competitiva'!$B$3:$B$6,0)),"")</f>
        <v>🔴 Molto Alta</v>
      </c>
      <c r="AH208" t="str">
        <f t="shared" si="32"/>
        <v/>
      </c>
      <c r="AI208" t="str">
        <f>IFERROR(IF($AH208="","",IF($AH208&gt;=$AA208*'Parametri Modello'!$B$68,"🟢 Opportunita'",IF($AH208&lt;=$AA208*'Parametri Modello'!$B$69,"🔴 Sovrapprezzo","🟡 Prezzo Corretto"))),"")</f>
        <v/>
      </c>
      <c r="AJ208" t="str">
        <f t="shared" si="33"/>
        <v/>
      </c>
      <c r="AK208">
        <f t="shared" si="34"/>
        <v>1</v>
      </c>
      <c r="AL208" t="str">
        <f t="shared" si="35"/>
        <v>D|Nella Media|1</v>
      </c>
    </row>
    <row r="209" spans="1:38" ht="14.25" customHeight="1" x14ac:dyDescent="0.25">
      <c r="A209" s="18">
        <v>6986</v>
      </c>
      <c r="B209" s="18" t="s">
        <v>88</v>
      </c>
      <c r="C209" s="18" t="s">
        <v>175</v>
      </c>
      <c r="E209" s="23" t="str">
        <f>IF(COUNTIF('Info Strategia'!$D$2:$D$51,$C209)&gt;0,"SI","NO")</f>
        <v>NO</v>
      </c>
      <c r="F209" s="24">
        <f>IFERROR(ROUND(($G209+($H209-$G209)*'Info Strategia'!$B$6)*(1+IF($E209="SI",'Parametri Modello'!$B$7*'Info Strategia'!$B$6,0)),0),"")</f>
        <v>3</v>
      </c>
      <c r="G209" s="24">
        <f>IFERROR(ROUND(MAX(1,(IF($V209&lt;=INDEX('Parametri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2</v>
      </c>
      <c r="H209" s="24">
        <f>IFERROR(ROUND((IF($V209&lt;=INDEX('Parametri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3</v>
      </c>
      <c r="I209" s="23">
        <f>IFERROR(INDEX('Input Statistiche 2025_26'!$F$3:$F$665,MATCH($A209,'Input Statistiche 2025_26'!$A$3:$A$665,0)),"")</f>
        <v>19</v>
      </c>
      <c r="J209" s="23">
        <f t="shared" si="27"/>
        <v>19</v>
      </c>
      <c r="K209" s="23">
        <f>IFERROR(INDEX('Input Statistiche 2025_26'!$I$3:$I$665,MATCH($A209,'Input Statistiche 2025_26'!$A$3:$A$665,0)),"")</f>
        <v>1</v>
      </c>
      <c r="L209" s="23">
        <f>IFERROR(INDEX('Input Statistiche 2025_26'!$O$3:$O$665,MATCH($A209,'Input Statistiche 2025_26'!$A$3:$A$665,0)),"")</f>
        <v>4</v>
      </c>
      <c r="M209" s="25"/>
      <c r="N209" s="24">
        <f>IFERROR(INDEX('Input Giocatori 2026_27'!$E$3:$E$493,MATCH($A209,'Input Giocatori 2026_27'!$A$3:$A$493,0)),"")</f>
        <v>5</v>
      </c>
      <c r="O209" s="24">
        <f>IFERROR(INDEX('Input Giocatori 2026_27'!$G$3:$G$493,MATCH($A209,'Input Giocatori 2026_27'!$A$3:$A$493,0)),"")</f>
        <v>16</v>
      </c>
      <c r="P209" s="23" t="str">
        <f>IFERROR(IF($O209="","",IF((1-(COUNTIFS($B$2:$B$492,$B209,$O$2:$O$492,"&gt;"&amp;$O209)+1-1)/COUNTIF($B$2:$B$492,$B209))&gt;='Parametri Modello'!$B$63,"Top",IF((1-(COUNTIFS($B$2:$B$492,$B209,$O$2:$O$492,"&gt;"&amp;$O209)+1-1)/COUNTIF($B$2:$B$492,$B209))&gt;='Parametri Modello'!$B$64,"Buono",IF((1-(COUNTIFS($B$2:$B$492,$B209,$O$2:$O$492,"&gt;"&amp;$O209)+1-1)/COUNTIF($B$2:$B$492,$B209))&gt;='Parametri Modello'!$B$65,"Nella Media","Scommessa/Riserva")))),"")</f>
        <v>Nella Media</v>
      </c>
      <c r="Q209" s="26">
        <f>IF(AND($D209="",$N209&gt;1),SUMPRODUCT(($D$2:$D209="")*($N$2:$N209&gt;1)),"")</f>
        <v>208</v>
      </c>
      <c r="R209" s="26" t="str">
        <f>IF($D209='Info Lega'!$B$28,COUNTIFS($D$2:$D209,'Info Lega'!$B$28),"")</f>
        <v/>
      </c>
      <c r="S209" s="27">
        <f>IFERROR(INDEX('Input Statistiche 2025_26'!$G$3:$G$665,MATCH($A209,'Input Statistiche 2025_26'!$A$3:$A$665,0)),"")</f>
        <v>6.16</v>
      </c>
      <c r="T209" s="27">
        <f>IFERROR(INDEX('Input Statistiche 2025_26'!$H$3:$H$665,MATCH($A209,'Input Statistiche 2025_26'!$A$3:$A$665,0)),"")</f>
        <v>6.5</v>
      </c>
      <c r="U209" s="23" t="str">
        <f>IF(OR('La Mia Rosa'!$O$12="",$D209&lt;&gt;""),"",IF($F209&lt;='La Mia Rosa'!$O$12*'Parametri Modello'!$B$24,"OK",IF($F209&lt;='La Mia Rosa'!$O$12*'Parametri Modello'!$B$25,"Attenzione","Rischio Alto")))</f>
        <v>OK</v>
      </c>
      <c r="V209" s="23">
        <f t="shared" si="28"/>
        <v>56</v>
      </c>
      <c r="W209" s="18">
        <f>'Info Lega'!$B$4-SUMIFS($M$2:$M$492,$D$2:$D$492,'Info Lega'!$B$28)</f>
        <v>1000</v>
      </c>
      <c r="X209" s="18">
        <f>('Info Lega'!$B$5-COUNTIFS($D$2:$D$492,'Info Lega'!$B$28,$B$2:$B$492,"P"))+('Info Lega'!$B$6-COUNTIFS($D$2:$D$492,'Info Lega'!$B$28,$B$2:$B$492,"D"))+('Info Lega'!$B$7-COUNTIFS($D$2:$D$492,'Info Lega'!$B$28,$B$2:$B$492,"C"))+('Info Lega'!$B$8-COUNTIFS($D$2:$D$492,'Info Lega'!$B$28,$B$2:$B$492,"A"))</f>
        <v>25</v>
      </c>
      <c r="Y209" s="18">
        <f>X209*'Parametri Modello'!$B$30</f>
        <v>25</v>
      </c>
      <c r="Z209" s="18">
        <f t="shared" si="29"/>
        <v>975</v>
      </c>
      <c r="AA209" s="18">
        <f t="shared" si="30"/>
        <v>3</v>
      </c>
      <c r="AB209" s="18"/>
      <c r="AC209" s="18" t="str">
        <f>IF($AB209="","",IF($AB209&gt;$AA209,"PASS",IF($AB209&lt;=$AA209*(1-'Parametri Modello'!$B$68),"BID","ATTENZIONE")))</f>
        <v/>
      </c>
      <c r="AD209" s="28">
        <f t="shared" si="31"/>
        <v>47</v>
      </c>
      <c r="AE209" s="5" t="str">
        <f>IFERROR(IF($AF209="Titolare",INDEX('Stato Asta'!$G$9:$G$12,MATCH($B209,'Stato Asta'!$A$9:$A$12,0)),INDEX('Stato Asta'!$P$9:$P$12,MATCH($B209,'Stato Asta'!$A$9:$A$12,0))),"")</f>
        <v>🟢 Riserve abbondanti</v>
      </c>
      <c r="AF209" t="str">
        <f>IFERROR(IF($V209&lt;=INDEX('Parametri Modello'!$C$57:$C$60,MATCH($B209,'Parametri Modello'!$A$57:$A$60,0)),"Titolare","Riserva"),"")</f>
        <v>Riserva</v>
      </c>
      <c r="AG209" t="str">
        <f>IFERROR(INDEX('Pressione Competitiva'!$F$3:$F$6,MATCH($B209,'Pressione Competitiva'!$B$3:$B$6,0)),"")</f>
        <v>🔴 Molto Alta</v>
      </c>
      <c r="AH209" t="str">
        <f t="shared" si="32"/>
        <v/>
      </c>
      <c r="AI209" t="str">
        <f>IFERROR(IF($AH209="","",IF($AH209&gt;=$AA209*'Parametri Modello'!$B$68,"🟢 Opportunita'",IF($AH209&lt;=$AA209*'Parametri Modello'!$B$69,"🔴 Sovrapprezzo","🟡 Prezzo Corretto"))),"")</f>
        <v/>
      </c>
      <c r="AJ209" t="str">
        <f t="shared" si="33"/>
        <v/>
      </c>
      <c r="AK209">
        <f t="shared" si="34"/>
        <v>1</v>
      </c>
      <c r="AL209" t="str">
        <f t="shared" si="35"/>
        <v>D|Nella Media|1</v>
      </c>
    </row>
    <row r="210" spans="1:38" ht="14.25" customHeight="1" x14ac:dyDescent="0.25">
      <c r="A210" s="18">
        <v>4459</v>
      </c>
      <c r="B210" s="18" t="s">
        <v>264</v>
      </c>
      <c r="C210" s="18" t="s">
        <v>337</v>
      </c>
      <c r="E210" s="23" t="str">
        <f>IF(COUNTIF('Info Strategia'!$D$2:$D$51,$C210)&gt;0,"SI","NO")</f>
        <v>NO</v>
      </c>
      <c r="F210" s="24">
        <f>IFERROR(ROUND(($G210+($H210-$G210)*'Info Strategia'!$B$6)*(1+IF($E210="SI",'Parametri Modello'!$B$7*'Info Strategia'!$B$6,0)),0),"")</f>
        <v>2</v>
      </c>
      <c r="G210" s="24">
        <f>IFERROR(ROUND(MAX(1,(IF($V210&lt;=INDEX('Parametri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1</v>
      </c>
      <c r="H210" s="24">
        <f>IFERROR(ROUND((IF($V210&lt;=INDEX('Parametri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2</v>
      </c>
      <c r="I210" s="23">
        <f>IFERROR(INDEX('Input Statistiche 2025_26'!$F$3:$F$665,MATCH($A210,'Input Statistiche 2025_26'!$A$3:$A$665,0)),"")</f>
        <v>11</v>
      </c>
      <c r="J210" s="23">
        <f t="shared" si="27"/>
        <v>27</v>
      </c>
      <c r="K210" s="23">
        <f>IFERROR(INDEX('Input Statistiche 2025_26'!$I$3:$I$665,MATCH($A210,'Input Statistiche 2025_26'!$A$3:$A$665,0)),"")</f>
        <v>0</v>
      </c>
      <c r="L210" s="23">
        <f>IFERROR(INDEX('Input Statistiche 2025_26'!$O$3:$O$665,MATCH($A210,'Input Statistiche 2025_26'!$A$3:$A$665,0)),"")</f>
        <v>1</v>
      </c>
      <c r="M210" s="25"/>
      <c r="N210" s="24">
        <f>IFERROR(INDEX('Input Giocatori 2026_27'!$E$3:$E$493,MATCH($A210,'Input Giocatori 2026_27'!$A$3:$A$493,0)),"")</f>
        <v>6</v>
      </c>
      <c r="O210" s="24">
        <f>IFERROR(INDEX('Input Giocatori 2026_27'!$G$3:$G$493,MATCH($A210,'Input Giocatori 2026_27'!$A$3:$A$493,0)),"")</f>
        <v>16</v>
      </c>
      <c r="P210" s="23" t="str">
        <f>IFERROR(IF($O210="","",IF((1-(COUNTIFS($B$2:$B$492,$B210,$O$2:$O$492,"&gt;"&amp;$O210)+1-1)/COUNTIF($B$2:$B$492,$B210))&gt;='Parametri Modello'!$B$63,"Top",IF((1-(COUNTIFS($B$2:$B$492,$B210,$O$2:$O$492,"&gt;"&amp;$O210)+1-1)/COUNTIF($B$2:$B$492,$B210))&gt;='Parametri Modello'!$B$64,"Buono",IF((1-(COUNTIFS($B$2:$B$492,$B210,$O$2:$O$492,"&gt;"&amp;$O210)+1-1)/COUNTIF($B$2:$B$492,$B210))&gt;='Parametri Modello'!$B$65,"Nella Media","Scommessa/Riserva")))),"")</f>
        <v>Nella Media</v>
      </c>
      <c r="Q210" s="26">
        <f>IF(AND($D210="",$N210&gt;1),SUMPRODUCT(($D$2:$D210="")*($N$2:$N210&gt;1)),"")</f>
        <v>209</v>
      </c>
      <c r="R210" s="26" t="str">
        <f>IF($D210='Info Lega'!$B$28,COUNTIFS($D$2:$D210,'Info Lega'!$B$28),"")</f>
        <v/>
      </c>
      <c r="S210" s="27">
        <f>IFERROR(INDEX('Input Statistiche 2025_26'!$G$3:$G$665,MATCH($A210,'Input Statistiche 2025_26'!$A$3:$A$665,0)),"")</f>
        <v>5.73</v>
      </c>
      <c r="T210" s="27">
        <f>IFERROR(INDEX('Input Statistiche 2025_26'!$H$3:$H$665,MATCH($A210,'Input Statistiche 2025_26'!$A$3:$A$665,0)),"")</f>
        <v>5.64</v>
      </c>
      <c r="U210" s="23" t="str">
        <f>IF(OR('La Mia Rosa'!$O$12="",$D210&lt;&gt;""),"",IF($F210&lt;='La Mia Rosa'!$O$12*'Parametri Modello'!$B$24,"OK",IF($F210&lt;='La Mia Rosa'!$O$12*'Parametri Modello'!$B$25,"Attenzione","Rischio Alto")))</f>
        <v>OK</v>
      </c>
      <c r="V210" s="23">
        <f t="shared" si="28"/>
        <v>79</v>
      </c>
      <c r="W210" s="18">
        <f>'Info Lega'!$B$4-SUMIFS($M$2:$M$492,$D$2:$D$492,'Info Lega'!$B$28)</f>
        <v>1000</v>
      </c>
      <c r="X210" s="18">
        <f>('Info Lega'!$B$5-COUNTIFS($D$2:$D$492,'Info Lega'!$B$28,$B$2:$B$492,"P"))+('Info Lega'!$B$6-COUNTIFS($D$2:$D$492,'Info Lega'!$B$28,$B$2:$B$492,"D"))+('Info Lega'!$B$7-COUNTIFS($D$2:$D$492,'Info Lega'!$B$28,$B$2:$B$492,"C"))+('Info Lega'!$B$8-COUNTIFS($D$2:$D$492,'Info Lega'!$B$28,$B$2:$B$492,"A"))</f>
        <v>25</v>
      </c>
      <c r="Y210" s="18">
        <f>X210*'Parametri Modello'!$B$30</f>
        <v>25</v>
      </c>
      <c r="Z210" s="18">
        <f t="shared" si="29"/>
        <v>975</v>
      </c>
      <c r="AA210" s="18">
        <f t="shared" si="30"/>
        <v>2</v>
      </c>
      <c r="AB210" s="18"/>
      <c r="AC210" s="18" t="str">
        <f>IF($AB210="","",IF($AB210&gt;$AA210,"PASS",IF($AB210&lt;=$AA210*(1-'Parametri Modello'!$B$68),"BID","ATTENZIONE")))</f>
        <v/>
      </c>
      <c r="AD210" s="28">
        <f t="shared" si="31"/>
        <v>31</v>
      </c>
      <c r="AE210" s="5" t="str">
        <f>IFERROR(IF($AF210="Titolare",INDEX('Stato Asta'!$G$9:$G$12,MATCH($B210,'Stato Asta'!$A$9:$A$12,0)),INDEX('Stato Asta'!$P$9:$P$12,MATCH($B210,'Stato Asta'!$A$9:$A$12,0))),"")</f>
        <v>🟢 Riserve abbondanti</v>
      </c>
      <c r="AF210" t="str">
        <f>IFERROR(IF($V210&lt;=INDEX('Parametri Modello'!$C$57:$C$60,MATCH($B210,'Parametri Modello'!$A$57:$A$60,0)),"Titolare","Riserva"),"")</f>
        <v>Riserva</v>
      </c>
      <c r="AG210" t="str">
        <f>IFERROR(INDEX('Pressione Competitiva'!$F$3:$F$6,MATCH($B210,'Pressione Competitiva'!$B$3:$B$6,0)),"")</f>
        <v>🔴 Molto Alta</v>
      </c>
      <c r="AH210" t="str">
        <f t="shared" si="32"/>
        <v/>
      </c>
      <c r="AI210" t="str">
        <f>IFERROR(IF($AH210="","",IF($AH210&gt;=$AA210*'Parametri Modello'!$B$68,"🟢 Opportunita'",IF($AH210&lt;=$AA210*'Parametri Modello'!$B$69,"🔴 Sovrapprezzo","🟡 Prezzo Corretto"))),"")</f>
        <v/>
      </c>
      <c r="AJ210" t="str">
        <f t="shared" si="33"/>
        <v/>
      </c>
      <c r="AK210">
        <f t="shared" si="34"/>
        <v>24</v>
      </c>
      <c r="AL210" t="str">
        <f t="shared" si="35"/>
        <v>C|Nella Media|24</v>
      </c>
    </row>
    <row r="211" spans="1:38" ht="14.25" customHeight="1" x14ac:dyDescent="0.25">
      <c r="A211" s="18">
        <v>6593</v>
      </c>
      <c r="B211" s="18" t="s">
        <v>264</v>
      </c>
      <c r="C211" s="18" t="s">
        <v>341</v>
      </c>
      <c r="E211" s="23" t="str">
        <f>IF(COUNTIF('Info Strategia'!$D$2:$D$51,$C211)&gt;0,"SI","NO")</f>
        <v>NO</v>
      </c>
      <c r="F211" s="24">
        <f>IFERROR(ROUND(($G211+($H211-$G211)*'Info Strategia'!$B$6)*(1+IF($E211="SI",'Parametri Modello'!$B$7*'Info Strategia'!$B$6,0)),0),"")</f>
        <v>2</v>
      </c>
      <c r="G211" s="24">
        <f>IFERROR(ROUND(MAX(1,(IF($V211&lt;=INDEX('Parametri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1</v>
      </c>
      <c r="H211" s="24">
        <f>IFERROR(ROUND((IF($V211&lt;=INDEX('Parametri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2</v>
      </c>
      <c r="I211" s="23">
        <f>IFERROR(INDEX('Input Statistiche 2025_26'!$F$3:$F$665,MATCH($A211,'Input Statistiche 2025_26'!$A$3:$A$665,0)),"")</f>
        <v>23</v>
      </c>
      <c r="J211" s="23">
        <f t="shared" si="27"/>
        <v>15</v>
      </c>
      <c r="K211" s="23">
        <f>IFERROR(INDEX('Input Statistiche 2025_26'!$I$3:$I$665,MATCH($A211,'Input Statistiche 2025_26'!$A$3:$A$665,0)),"")</f>
        <v>0</v>
      </c>
      <c r="L211" s="23">
        <f>IFERROR(INDEX('Input Statistiche 2025_26'!$O$3:$O$665,MATCH($A211,'Input Statistiche 2025_26'!$A$3:$A$665,0)),"")</f>
        <v>1</v>
      </c>
      <c r="M211" s="25"/>
      <c r="N211" s="24">
        <f>IFERROR(INDEX('Input Giocatori 2026_27'!$E$3:$E$493,MATCH($A211,'Input Giocatori 2026_27'!$A$3:$A$493,0)),"")</f>
        <v>6</v>
      </c>
      <c r="O211" s="24">
        <f>IFERROR(INDEX('Input Giocatori 2026_27'!$G$3:$G$493,MATCH($A211,'Input Giocatori 2026_27'!$A$3:$A$493,0)),"")</f>
        <v>16</v>
      </c>
      <c r="P211" s="23" t="str">
        <f>IFERROR(IF($O211="","",IF((1-(COUNTIFS($B$2:$B$492,$B211,$O$2:$O$492,"&gt;"&amp;$O211)+1-1)/COUNTIF($B$2:$B$492,$B211))&gt;='Parametri Modello'!$B$63,"Top",IF((1-(COUNTIFS($B$2:$B$492,$B211,$O$2:$O$492,"&gt;"&amp;$O211)+1-1)/COUNTIF($B$2:$B$492,$B211))&gt;='Parametri Modello'!$B$64,"Buono",IF((1-(COUNTIFS($B$2:$B$492,$B211,$O$2:$O$492,"&gt;"&amp;$O211)+1-1)/COUNTIF($B$2:$B$492,$B211))&gt;='Parametri Modello'!$B$65,"Nella Media","Scommessa/Riserva")))),"")</f>
        <v>Nella Media</v>
      </c>
      <c r="Q211" s="26">
        <f>IF(AND($D211="",$N211&gt;1),SUMPRODUCT(($D$2:$D211="")*($N$2:$N211&gt;1)),"")</f>
        <v>210</v>
      </c>
      <c r="R211" s="26" t="str">
        <f>IF($D211='Info Lega'!$B$28,COUNTIFS($D$2:$D211,'Info Lega'!$B$28),"")</f>
        <v/>
      </c>
      <c r="S211" s="27">
        <f>IFERROR(INDEX('Input Statistiche 2025_26'!$G$3:$G$665,MATCH($A211,'Input Statistiche 2025_26'!$A$3:$A$665,0)),"")</f>
        <v>5.8</v>
      </c>
      <c r="T211" s="27">
        <f>IFERROR(INDEX('Input Statistiche 2025_26'!$H$3:$H$665,MATCH($A211,'Input Statistiche 2025_26'!$A$3:$A$665,0)),"")</f>
        <v>5.8</v>
      </c>
      <c r="U211" s="23" t="str">
        <f>IF(OR('La Mia Rosa'!$O$12="",$D211&lt;&gt;""),"",IF($F211&lt;='La Mia Rosa'!$O$12*'Parametri Modello'!$B$24,"OK",IF($F211&lt;='La Mia Rosa'!$O$12*'Parametri Modello'!$B$25,"Attenzione","Rischio Alto")))</f>
        <v>OK</v>
      </c>
      <c r="V211" s="23">
        <f t="shared" si="28"/>
        <v>79</v>
      </c>
      <c r="W211" s="18">
        <f>'Info Lega'!$B$4-SUMIFS($M$2:$M$492,$D$2:$D$492,'Info Lega'!$B$28)</f>
        <v>1000</v>
      </c>
      <c r="X211" s="18">
        <f>('Info Lega'!$B$5-COUNTIFS($D$2:$D$492,'Info Lega'!$B$28,$B$2:$B$492,"P"))+('Info Lega'!$B$6-COUNTIFS($D$2:$D$492,'Info Lega'!$B$28,$B$2:$B$492,"D"))+('Info Lega'!$B$7-COUNTIFS($D$2:$D$492,'Info Lega'!$B$28,$B$2:$B$492,"C"))+('Info Lega'!$B$8-COUNTIFS($D$2:$D$492,'Info Lega'!$B$28,$B$2:$B$492,"A"))</f>
        <v>25</v>
      </c>
      <c r="Y211" s="18">
        <f>X211*'Parametri Modello'!$B$30</f>
        <v>25</v>
      </c>
      <c r="Z211" s="18">
        <f t="shared" si="29"/>
        <v>975</v>
      </c>
      <c r="AA211" s="18">
        <f t="shared" si="30"/>
        <v>2</v>
      </c>
      <c r="AB211" s="18"/>
      <c r="AC211" s="18" t="str">
        <f>IF($AB211="","",IF($AB211&gt;$AA211,"PASS",IF($AB211&lt;=$AA211*(1-'Parametri Modello'!$B$68),"BID","ATTENZIONE")))</f>
        <v/>
      </c>
      <c r="AD211" s="28">
        <f t="shared" si="31"/>
        <v>54</v>
      </c>
      <c r="AE211" s="5" t="str">
        <f>IFERROR(IF($AF211="Titolare",INDEX('Stato Asta'!$G$9:$G$12,MATCH($B211,'Stato Asta'!$A$9:$A$12,0)),INDEX('Stato Asta'!$P$9:$P$12,MATCH($B211,'Stato Asta'!$A$9:$A$12,0))),"")</f>
        <v>🟢 Riserve abbondanti</v>
      </c>
      <c r="AF211" t="str">
        <f>IFERROR(IF($V211&lt;=INDEX('Parametri Modello'!$C$57:$C$60,MATCH($B211,'Parametri Modello'!$A$57:$A$60,0)),"Titolare","Riserva"),"")</f>
        <v>Riserva</v>
      </c>
      <c r="AG211" t="str">
        <f>IFERROR(INDEX('Pressione Competitiva'!$F$3:$F$6,MATCH($B211,'Pressione Competitiva'!$B$3:$B$6,0)),"")</f>
        <v>🔴 Molto Alta</v>
      </c>
      <c r="AH211" t="str">
        <f t="shared" si="32"/>
        <v/>
      </c>
      <c r="AI211" t="str">
        <f>IFERROR(IF($AH211="","",IF($AH211&gt;=$AA211*'Parametri Modello'!$B$68,"🟢 Opportunita'",IF($AH211&lt;=$AA211*'Parametri Modello'!$B$69,"🔴 Sovrapprezzo","🟡 Prezzo Corretto"))),"")</f>
        <v/>
      </c>
      <c r="AJ211" t="str">
        <f t="shared" si="33"/>
        <v/>
      </c>
      <c r="AK211">
        <f t="shared" si="34"/>
        <v>24</v>
      </c>
      <c r="AL211" t="str">
        <f t="shared" si="35"/>
        <v>C|Nella Media|24</v>
      </c>
    </row>
    <row r="212" spans="1:38" ht="14.25" customHeight="1" x14ac:dyDescent="0.25">
      <c r="A212" s="18">
        <v>6015</v>
      </c>
      <c r="B212" s="18" t="s">
        <v>264</v>
      </c>
      <c r="C212" s="18" t="s">
        <v>356</v>
      </c>
      <c r="E212" s="23" t="str">
        <f>IF(COUNTIF('Info Strategia'!$D$2:$D$51,$C212)&gt;0,"SI","NO")</f>
        <v>NO</v>
      </c>
      <c r="F212" s="24">
        <f>IFERROR(ROUND(($G212+($H212-$G212)*'Info Strategia'!$B$6)*(1+IF($E212="SI",'Parametri Modello'!$B$7*'Info Strategia'!$B$6,0)),0),"")</f>
        <v>2</v>
      </c>
      <c r="G212" s="24">
        <f>IFERROR(ROUND(MAX(1,(IF($V212&lt;=INDEX('Parametri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1</v>
      </c>
      <c r="H212" s="24">
        <f>IFERROR(ROUND((IF($V212&lt;=INDEX('Parametri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2</v>
      </c>
      <c r="I212" s="23">
        <f>IFERROR(INDEX('Input Statistiche 2025_26'!$F$3:$F$665,MATCH($A212,'Input Statistiche 2025_26'!$A$3:$A$665,0)),"")</f>
        <v>12</v>
      </c>
      <c r="J212" s="23">
        <f t="shared" si="27"/>
        <v>26</v>
      </c>
      <c r="K212" s="23">
        <f>IFERROR(INDEX('Input Statistiche 2025_26'!$I$3:$I$665,MATCH($A212,'Input Statistiche 2025_26'!$A$3:$A$665,0)),"")</f>
        <v>2</v>
      </c>
      <c r="L212" s="23">
        <f>IFERROR(INDEX('Input Statistiche 2025_26'!$O$3:$O$665,MATCH($A212,'Input Statistiche 2025_26'!$A$3:$A$665,0)),"")</f>
        <v>3</v>
      </c>
      <c r="M212" s="25"/>
      <c r="N212" s="24">
        <f>IFERROR(INDEX('Input Giocatori 2026_27'!$E$3:$E$493,MATCH($A212,'Input Giocatori 2026_27'!$A$3:$A$493,0)),"")</f>
        <v>5</v>
      </c>
      <c r="O212" s="24">
        <f>IFERROR(INDEX('Input Giocatori 2026_27'!$G$3:$G$493,MATCH($A212,'Input Giocatori 2026_27'!$A$3:$A$493,0)),"")</f>
        <v>16</v>
      </c>
      <c r="P212" s="23" t="str">
        <f>IFERROR(IF($O212="","",IF((1-(COUNTIFS($B$2:$B$492,$B212,$O$2:$O$492,"&gt;"&amp;$O212)+1-1)/COUNTIF($B$2:$B$492,$B212))&gt;='Parametri Modello'!$B$63,"Top",IF((1-(COUNTIFS($B$2:$B$492,$B212,$O$2:$O$492,"&gt;"&amp;$O212)+1-1)/COUNTIF($B$2:$B$492,$B212))&gt;='Parametri Modello'!$B$64,"Buono",IF((1-(COUNTIFS($B$2:$B$492,$B212,$O$2:$O$492,"&gt;"&amp;$O212)+1-1)/COUNTIF($B$2:$B$492,$B212))&gt;='Parametri Modello'!$B$65,"Nella Media","Scommessa/Riserva")))),"")</f>
        <v>Nella Media</v>
      </c>
      <c r="Q212" s="26">
        <f>IF(AND($D212="",$N212&gt;1),SUMPRODUCT(($D$2:$D212="")*($N$2:$N212&gt;1)),"")</f>
        <v>211</v>
      </c>
      <c r="R212" s="26" t="str">
        <f>IF($D212='Info Lega'!$B$28,COUNTIFS($D$2:$D212,'Info Lega'!$B$28),"")</f>
        <v/>
      </c>
      <c r="S212" s="27">
        <f>IFERROR(INDEX('Input Statistiche 2025_26'!$G$3:$G$665,MATCH($A212,'Input Statistiche 2025_26'!$A$3:$A$665,0)),"")</f>
        <v>6.17</v>
      </c>
      <c r="T212" s="27">
        <f>IFERROR(INDEX('Input Statistiche 2025_26'!$H$3:$H$665,MATCH($A212,'Input Statistiche 2025_26'!$A$3:$A$665,0)),"")</f>
        <v>6.92</v>
      </c>
      <c r="U212" s="23" t="str">
        <f>IF(OR('La Mia Rosa'!$O$12="",$D212&lt;&gt;""),"",IF($F212&lt;='La Mia Rosa'!$O$12*'Parametri Modello'!$B$24,"OK",IF($F212&lt;='La Mia Rosa'!$O$12*'Parametri Modello'!$B$25,"Attenzione","Rischio Alto")))</f>
        <v>OK</v>
      </c>
      <c r="V212" s="23">
        <f t="shared" si="28"/>
        <v>79</v>
      </c>
      <c r="W212" s="18">
        <f>'Info Lega'!$B$4-SUMIFS($M$2:$M$492,$D$2:$D$492,'Info Lega'!$B$28)</f>
        <v>1000</v>
      </c>
      <c r="X212" s="18">
        <f>('Info Lega'!$B$5-COUNTIFS($D$2:$D$492,'Info Lega'!$B$28,$B$2:$B$492,"P"))+('Info Lega'!$B$6-COUNTIFS($D$2:$D$492,'Info Lega'!$B$28,$B$2:$B$492,"D"))+('Info Lega'!$B$7-COUNTIFS($D$2:$D$492,'Info Lega'!$B$28,$B$2:$B$492,"C"))+('Info Lega'!$B$8-COUNTIFS($D$2:$D$492,'Info Lega'!$B$28,$B$2:$B$492,"A"))</f>
        <v>25</v>
      </c>
      <c r="Y212" s="18">
        <f>X212*'Parametri Modello'!$B$30</f>
        <v>25</v>
      </c>
      <c r="Z212" s="18">
        <f t="shared" si="29"/>
        <v>975</v>
      </c>
      <c r="AA212" s="18">
        <f t="shared" si="30"/>
        <v>2</v>
      </c>
      <c r="AB212" s="18"/>
      <c r="AC212" s="18" t="str">
        <f>IF($AB212="","",IF($AB212&gt;$AA212,"PASS",IF($AB212&lt;=$AA212*(1-'Parametri Modello'!$B$68),"BID","ATTENZIONE")))</f>
        <v/>
      </c>
      <c r="AD212" s="28">
        <f t="shared" si="31"/>
        <v>33</v>
      </c>
      <c r="AE212" s="5" t="str">
        <f>IFERROR(IF($AF212="Titolare",INDEX('Stato Asta'!$G$9:$G$12,MATCH($B212,'Stato Asta'!$A$9:$A$12,0)),INDEX('Stato Asta'!$P$9:$P$12,MATCH($B212,'Stato Asta'!$A$9:$A$12,0))),"")</f>
        <v>🟢 Riserve abbondanti</v>
      </c>
      <c r="AF212" t="str">
        <f>IFERROR(IF($V212&lt;=INDEX('Parametri Modello'!$C$57:$C$60,MATCH($B212,'Parametri Modello'!$A$57:$A$60,0)),"Titolare","Riserva"),"")</f>
        <v>Riserva</v>
      </c>
      <c r="AG212" t="str">
        <f>IFERROR(INDEX('Pressione Competitiva'!$F$3:$F$6,MATCH($B212,'Pressione Competitiva'!$B$3:$B$6,0)),"")</f>
        <v>🔴 Molto Alta</v>
      </c>
      <c r="AH212" t="str">
        <f t="shared" si="32"/>
        <v/>
      </c>
      <c r="AI212" t="str">
        <f>IFERROR(IF($AH212="","",IF($AH212&gt;=$AA212*'Parametri Modello'!$B$68,"🟢 Opportunita'",IF($AH212&lt;=$AA212*'Parametri Modello'!$B$69,"🔴 Sovrapprezzo","🟡 Prezzo Corretto"))),"")</f>
        <v/>
      </c>
      <c r="AJ212" t="str">
        <f t="shared" si="33"/>
        <v/>
      </c>
      <c r="AK212">
        <f t="shared" si="34"/>
        <v>24</v>
      </c>
      <c r="AL212" t="str">
        <f t="shared" si="35"/>
        <v>C|Nella Media|24</v>
      </c>
    </row>
    <row r="213" spans="1:38" ht="14.25" customHeight="1" x14ac:dyDescent="0.25">
      <c r="A213" s="18">
        <v>7036</v>
      </c>
      <c r="B213" s="18" t="s">
        <v>264</v>
      </c>
      <c r="C213" s="18" t="s">
        <v>364</v>
      </c>
      <c r="E213" s="23" t="str">
        <f>IF(COUNTIF('Info Strategia'!$D$2:$D$51,$C213)&gt;0,"SI","NO")</f>
        <v>NO</v>
      </c>
      <c r="F213" s="24">
        <f>IFERROR(ROUND(($G213+($H213-$G213)*'Info Strategia'!$B$6)*(1+IF($E213="SI",'Parametri Modello'!$B$7*'Info Strategia'!$B$6,0)),0),"")</f>
        <v>2</v>
      </c>
      <c r="G213" s="24">
        <f>IFERROR(ROUND(MAX(1,(IF($V213&lt;=INDEX('Parametri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1</v>
      </c>
      <c r="H213" s="24">
        <f>IFERROR(ROUND((IF($V213&lt;=INDEX('Parametri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2</v>
      </c>
      <c r="I213" s="23">
        <f>IFERROR(INDEX('Input Statistiche 2025_26'!$F$3:$F$665,MATCH($A213,'Input Statistiche 2025_26'!$A$3:$A$665,0)),"")</f>
        <v>3</v>
      </c>
      <c r="J213" s="23">
        <f t="shared" si="27"/>
        <v>35</v>
      </c>
      <c r="K213" s="23">
        <f>IFERROR(INDEX('Input Statistiche 2025_26'!$I$3:$I$665,MATCH($A213,'Input Statistiche 2025_26'!$A$3:$A$665,0)),"")</f>
        <v>0</v>
      </c>
      <c r="L213" s="23">
        <f>IFERROR(INDEX('Input Statistiche 2025_26'!$O$3:$O$665,MATCH($A213,'Input Statistiche 2025_26'!$A$3:$A$665,0)),"")</f>
        <v>0</v>
      </c>
      <c r="M213" s="25"/>
      <c r="N213" s="24">
        <f>IFERROR(INDEX('Input Giocatori 2026_27'!$E$3:$E$493,MATCH($A213,'Input Giocatori 2026_27'!$A$3:$A$493,0)),"")</f>
        <v>5</v>
      </c>
      <c r="O213" s="24">
        <f>IFERROR(INDEX('Input Giocatori 2026_27'!$G$3:$G$493,MATCH($A213,'Input Giocatori 2026_27'!$A$3:$A$493,0)),"")</f>
        <v>16</v>
      </c>
      <c r="P213" s="23" t="str">
        <f>IFERROR(IF($O213="","",IF((1-(COUNTIFS($B$2:$B$492,$B213,$O$2:$O$492,"&gt;"&amp;$O213)+1-1)/COUNTIF($B$2:$B$492,$B213))&gt;='Parametri Modello'!$B$63,"Top",IF((1-(COUNTIFS($B$2:$B$492,$B213,$O$2:$O$492,"&gt;"&amp;$O213)+1-1)/COUNTIF($B$2:$B$492,$B213))&gt;='Parametri Modello'!$B$64,"Buono",IF((1-(COUNTIFS($B$2:$B$492,$B213,$O$2:$O$492,"&gt;"&amp;$O213)+1-1)/COUNTIF($B$2:$B$492,$B213))&gt;='Parametri Modello'!$B$65,"Nella Media","Scommessa/Riserva")))),"")</f>
        <v>Nella Media</v>
      </c>
      <c r="Q213" s="26">
        <f>IF(AND($D213="",$N213&gt;1),SUMPRODUCT(($D$2:$D213="")*($N$2:$N213&gt;1)),"")</f>
        <v>212</v>
      </c>
      <c r="R213" s="26" t="str">
        <f>IF($D213='Info Lega'!$B$28,COUNTIFS($D$2:$D213,'Info Lega'!$B$28),"")</f>
        <v/>
      </c>
      <c r="S213" s="27">
        <f>IFERROR(INDEX('Input Statistiche 2025_26'!$G$3:$G$665,MATCH($A213,'Input Statistiche 2025_26'!$A$3:$A$665,0)),"")</f>
        <v>6.17</v>
      </c>
      <c r="T213" s="27">
        <f>IFERROR(INDEX('Input Statistiche 2025_26'!$H$3:$H$665,MATCH($A213,'Input Statistiche 2025_26'!$A$3:$A$665,0)),"")</f>
        <v>6.17</v>
      </c>
      <c r="U213" s="23" t="str">
        <f>IF(OR('La Mia Rosa'!$O$12="",$D213&lt;&gt;""),"",IF($F213&lt;='La Mia Rosa'!$O$12*'Parametri Modello'!$B$24,"OK",IF($F213&lt;='La Mia Rosa'!$O$12*'Parametri Modello'!$B$25,"Attenzione","Rischio Alto")))</f>
        <v>OK</v>
      </c>
      <c r="V213" s="23">
        <f t="shared" si="28"/>
        <v>79</v>
      </c>
      <c r="W213" s="18">
        <f>'Info Lega'!$B$4-SUMIFS($M$2:$M$492,$D$2:$D$492,'Info Lega'!$B$28)</f>
        <v>1000</v>
      </c>
      <c r="X213" s="18">
        <f>('Info Lega'!$B$5-COUNTIFS($D$2:$D$492,'Info Lega'!$B$28,$B$2:$B$492,"P"))+('Info Lega'!$B$6-COUNTIFS($D$2:$D$492,'Info Lega'!$B$28,$B$2:$B$492,"D"))+('Info Lega'!$B$7-COUNTIFS($D$2:$D$492,'Info Lega'!$B$28,$B$2:$B$492,"C"))+('Info Lega'!$B$8-COUNTIFS($D$2:$D$492,'Info Lega'!$B$28,$B$2:$B$492,"A"))</f>
        <v>25</v>
      </c>
      <c r="Y213" s="18">
        <f>X213*'Parametri Modello'!$B$30</f>
        <v>25</v>
      </c>
      <c r="Z213" s="18">
        <f t="shared" si="29"/>
        <v>975</v>
      </c>
      <c r="AA213" s="18">
        <f t="shared" si="30"/>
        <v>2</v>
      </c>
      <c r="AB213" s="18"/>
      <c r="AC213" s="18" t="str">
        <f>IF($AB213="","",IF($AB213&gt;$AA213,"PASS",IF($AB213&lt;=$AA213*(1-'Parametri Modello'!$B$68),"BID","ATTENZIONE")))</f>
        <v/>
      </c>
      <c r="AD213" s="28">
        <f t="shared" si="31"/>
        <v>10</v>
      </c>
      <c r="AE213" s="5" t="str">
        <f>IFERROR(IF($AF213="Titolare",INDEX('Stato Asta'!$G$9:$G$12,MATCH($B213,'Stato Asta'!$A$9:$A$12,0)),INDEX('Stato Asta'!$P$9:$P$12,MATCH($B213,'Stato Asta'!$A$9:$A$12,0))),"")</f>
        <v>🟢 Riserve abbondanti</v>
      </c>
      <c r="AF213" t="str">
        <f>IFERROR(IF($V213&lt;=INDEX('Parametri Modello'!$C$57:$C$60,MATCH($B213,'Parametri Modello'!$A$57:$A$60,0)),"Titolare","Riserva"),"")</f>
        <v>Riserva</v>
      </c>
      <c r="AG213" t="str">
        <f>IFERROR(INDEX('Pressione Competitiva'!$F$3:$F$6,MATCH($B213,'Pressione Competitiva'!$B$3:$B$6,0)),"")</f>
        <v>🔴 Molto Alta</v>
      </c>
      <c r="AH213" t="str">
        <f t="shared" si="32"/>
        <v/>
      </c>
      <c r="AI213" t="str">
        <f>IFERROR(IF($AH213="","",IF($AH213&gt;=$AA213*'Parametri Modello'!$B$68,"🟢 Opportunita'",IF($AH213&lt;=$AA213*'Parametri Modello'!$B$69,"🔴 Sovrapprezzo","🟡 Prezzo Corretto"))),"")</f>
        <v/>
      </c>
      <c r="AJ213" t="str">
        <f t="shared" si="33"/>
        <v/>
      </c>
      <c r="AK213">
        <f t="shared" si="34"/>
        <v>24</v>
      </c>
      <c r="AL213" t="str">
        <f t="shared" si="35"/>
        <v>C|Nella Media|24</v>
      </c>
    </row>
    <row r="214" spans="1:38" ht="14.25" customHeight="1" x14ac:dyDescent="0.25">
      <c r="A214" s="18">
        <v>5918</v>
      </c>
      <c r="B214" s="18" t="s">
        <v>437</v>
      </c>
      <c r="C214" s="18" t="s">
        <v>487</v>
      </c>
      <c r="E214" s="23" t="str">
        <f>IF(COUNTIF('Info Strategia'!$D$2:$D$51,$C214)&gt;0,"SI","NO")</f>
        <v>NO</v>
      </c>
      <c r="F214" s="24">
        <f>IFERROR(ROUND(($G214+($H214-$G214)*'Info Strategia'!$B$6)*(1+IF($E214="SI",'Parametri Modello'!$B$7*'Info Strategia'!$B$6,0)),0),"")</f>
        <v>5</v>
      </c>
      <c r="G214" s="24">
        <f>IFERROR(ROUND(MAX(1,(IF($V214&lt;=INDEX('Parametri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3</v>
      </c>
      <c r="H214" s="24">
        <f>IFERROR(ROUND((IF($V214&lt;=INDEX('Parametri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6</v>
      </c>
      <c r="I214" s="23">
        <f>IFERROR(INDEX('Input Statistiche 2025_26'!$F$3:$F$665,MATCH($A214,'Input Statistiche 2025_26'!$A$3:$A$665,0)),"")</f>
        <v>21</v>
      </c>
      <c r="J214" s="23">
        <f t="shared" si="27"/>
        <v>17</v>
      </c>
      <c r="K214" s="23">
        <f>IFERROR(INDEX('Input Statistiche 2025_26'!$I$3:$I$665,MATCH($A214,'Input Statistiche 2025_26'!$A$3:$A$665,0)),"")</f>
        <v>2</v>
      </c>
      <c r="L214" s="23">
        <f>IFERROR(INDEX('Input Statistiche 2025_26'!$O$3:$O$665,MATCH($A214,'Input Statistiche 2025_26'!$A$3:$A$665,0)),"")</f>
        <v>1</v>
      </c>
      <c r="M214" s="25"/>
      <c r="N214" s="24">
        <f>IFERROR(INDEX('Input Giocatori 2026_27'!$E$3:$E$493,MATCH($A214,'Input Giocatori 2026_27'!$A$3:$A$493,0)),"")</f>
        <v>6</v>
      </c>
      <c r="O214" s="24">
        <f>IFERROR(INDEX('Input Giocatori 2026_27'!$G$3:$G$493,MATCH($A214,'Input Giocatori 2026_27'!$A$3:$A$493,0)),"")</f>
        <v>16</v>
      </c>
      <c r="P214" s="23" t="str">
        <f>IFERROR(IF($O214="","",IF((1-(COUNTIFS($B$2:$B$492,$B214,$O$2:$O$492,"&gt;"&amp;$O214)+1-1)/COUNTIF($B$2:$B$492,$B214))&gt;='Parametri Modello'!$B$63,"Top",IF((1-(COUNTIFS($B$2:$B$492,$B214,$O$2:$O$492,"&gt;"&amp;$O214)+1-1)/COUNTIF($B$2:$B$492,$B214))&gt;='Parametri Modello'!$B$64,"Buono",IF((1-(COUNTIFS($B$2:$B$492,$B214,$O$2:$O$492,"&gt;"&amp;$O214)+1-1)/COUNTIF($B$2:$B$492,$B214))&gt;='Parametri Modello'!$B$65,"Nella Media","Scommessa/Riserva")))),"")</f>
        <v>Scommessa/Riserva</v>
      </c>
      <c r="Q214" s="26">
        <f>IF(AND($D214="",$N214&gt;1),SUMPRODUCT(($D$2:$D214="")*($N$2:$N214&gt;1)),"")</f>
        <v>213</v>
      </c>
      <c r="R214" s="26" t="str">
        <f>IF($D214='Info Lega'!$B$28,COUNTIFS($D$2:$D214,'Info Lega'!$B$28),"")</f>
        <v/>
      </c>
      <c r="S214" s="27">
        <f>IFERROR(INDEX('Input Statistiche 2025_26'!$G$3:$G$665,MATCH($A214,'Input Statistiche 2025_26'!$A$3:$A$665,0)),"")</f>
        <v>6</v>
      </c>
      <c r="T214" s="27">
        <f>IFERROR(INDEX('Input Statistiche 2025_26'!$H$3:$H$665,MATCH($A214,'Input Statistiche 2025_26'!$A$3:$A$665,0)),"")</f>
        <v>6.24</v>
      </c>
      <c r="U214" s="23" t="str">
        <f>IF(OR('La Mia Rosa'!$O$12="",$D214&lt;&gt;""),"",IF($F214&lt;='La Mia Rosa'!$O$12*'Parametri Modello'!$B$24,"OK",IF($F214&lt;='La Mia Rosa'!$O$12*'Parametri Modello'!$B$25,"Attenzione","Rischio Alto")))</f>
        <v>OK</v>
      </c>
      <c r="V214" s="23">
        <f t="shared" si="28"/>
        <v>56</v>
      </c>
      <c r="W214" s="18">
        <f>'Info Lega'!$B$4-SUMIFS($M$2:$M$492,$D$2:$D$492,'Info Lega'!$B$28)</f>
        <v>1000</v>
      </c>
      <c r="X214" s="18">
        <f>('Info Lega'!$B$5-COUNTIFS($D$2:$D$492,'Info Lega'!$B$28,$B$2:$B$492,"P"))+('Info Lega'!$B$6-COUNTIFS($D$2:$D$492,'Info Lega'!$B$28,$B$2:$B$492,"D"))+('Info Lega'!$B$7-COUNTIFS($D$2:$D$492,'Info Lega'!$B$28,$B$2:$B$492,"C"))+('Info Lega'!$B$8-COUNTIFS($D$2:$D$492,'Info Lega'!$B$28,$B$2:$B$492,"A"))</f>
        <v>25</v>
      </c>
      <c r="Y214" s="18">
        <f>X214*'Parametri Modello'!$B$30</f>
        <v>25</v>
      </c>
      <c r="Z214" s="18">
        <f t="shared" si="29"/>
        <v>975</v>
      </c>
      <c r="AA214" s="18">
        <f t="shared" si="30"/>
        <v>5</v>
      </c>
      <c r="AB214" s="18"/>
      <c r="AC214" s="18" t="str">
        <f>IF($AB214="","",IF($AB214&gt;$AA214,"PASS",IF($AB214&lt;=$AA214*(1-'Parametri Modello'!$B$68),"BID","ATTENZIONE")))</f>
        <v/>
      </c>
      <c r="AD214" s="28">
        <f t="shared" si="31"/>
        <v>50</v>
      </c>
      <c r="AE214" s="5" t="str">
        <f>IFERROR(IF($AF214="Titolare",INDEX('Stato Asta'!$G$9:$G$12,MATCH($B214,'Stato Asta'!$A$9:$A$12,0)),INDEX('Stato Asta'!$P$9:$P$12,MATCH($B214,'Stato Asta'!$A$9:$A$12,0))),"")</f>
        <v>🟢 Riserve abbondanti</v>
      </c>
      <c r="AF214" t="str">
        <f>IFERROR(IF($V214&lt;=INDEX('Parametri Modello'!$C$57:$C$60,MATCH($B214,'Parametri Modello'!$A$57:$A$60,0)),"Titolare","Riserva"),"")</f>
        <v>Riserva</v>
      </c>
      <c r="AG214" t="str">
        <f>IFERROR(INDEX('Pressione Competitiva'!$F$3:$F$6,MATCH($B214,'Pressione Competitiva'!$B$3:$B$6,0)),"")</f>
        <v>🔴 Molto Alta</v>
      </c>
      <c r="AH214" t="str">
        <f t="shared" si="32"/>
        <v/>
      </c>
      <c r="AI214" t="str">
        <f>IFERROR(IF($AH214="","",IF($AH214&gt;=$AA214*'Parametri Modello'!$B$68,"🟢 Opportunita'",IF($AH214&lt;=$AA214*'Parametri Modello'!$B$69,"🔴 Sovrapprezzo","🟡 Prezzo Corretto"))),"")</f>
        <v/>
      </c>
      <c r="AJ214" t="str">
        <f t="shared" si="33"/>
        <v/>
      </c>
      <c r="AK214">
        <f t="shared" si="34"/>
        <v>2</v>
      </c>
      <c r="AL214" t="str">
        <f t="shared" si="35"/>
        <v>A|Scommessa/Riserva|2</v>
      </c>
    </row>
    <row r="215" spans="1:38" ht="14.25" customHeight="1" x14ac:dyDescent="0.25">
      <c r="A215" s="18">
        <v>4236</v>
      </c>
      <c r="B215" s="18" t="s">
        <v>8</v>
      </c>
      <c r="C215" s="18" t="s">
        <v>40</v>
      </c>
      <c r="E215" s="23" t="str">
        <f>IF(COUNTIF('Info Strategia'!$D$2:$D$51,$C215)&gt;0,"SI","NO")</f>
        <v>NO</v>
      </c>
      <c r="F215" s="24">
        <f>IFERROR(ROUND(($G215+($H215-$G215)*'Info Strategia'!$B$6)*(1+IF($E215="SI",'Parametri Modello'!$B$7*'Info Strategia'!$B$6,0)),0),"")</f>
        <v>5</v>
      </c>
      <c r="G215" s="24">
        <f>IFERROR(ROUND(MAX(1,(IF($V215&lt;=INDEX('Parametri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4</v>
      </c>
      <c r="H215" s="24">
        <f>IFERROR(ROUND((IF($V215&lt;=INDEX('Parametri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6</v>
      </c>
      <c r="I215" s="23">
        <f>IFERROR(INDEX('Input Statistiche 2025_26'!$F$3:$F$665,MATCH($A215,'Input Statistiche 2025_26'!$A$3:$A$665,0)),"")</f>
        <v>32</v>
      </c>
      <c r="J215" s="23">
        <f t="shared" si="27"/>
        <v>6</v>
      </c>
      <c r="K215" s="23">
        <f>IFERROR(INDEX('Input Statistiche 2025_26'!$I$3:$I$665,MATCH($A215,'Input Statistiche 2025_26'!$A$3:$A$665,0)),"")</f>
        <v>0</v>
      </c>
      <c r="L215" s="23">
        <f>IFERROR(INDEX('Input Statistiche 2025_26'!$O$3:$O$665,MATCH($A215,'Input Statistiche 2025_26'!$A$3:$A$665,0)),"")</f>
        <v>0</v>
      </c>
      <c r="M215" s="25"/>
      <c r="N215" s="24">
        <f>IFERROR(INDEX('Input Giocatori 2026_27'!$E$3:$E$493,MATCH($A215,'Input Giocatori 2026_27'!$A$3:$A$493,0)),"")</f>
        <v>7</v>
      </c>
      <c r="O215" s="24">
        <f>IFERROR(INDEX('Input Giocatori 2026_27'!$G$3:$G$493,MATCH($A215,'Input Giocatori 2026_27'!$A$3:$A$493,0)),"")</f>
        <v>15</v>
      </c>
      <c r="P215" s="23" t="str">
        <f>IFERROR(IF($O215="","",IF((1-(COUNTIFS($B$2:$B$492,$B215,$O$2:$O$492,"&gt;"&amp;$O215)+1-1)/COUNTIF($B$2:$B$492,$B215))&gt;='Parametri Modello'!$B$63,"Top",IF((1-(COUNTIFS($B$2:$B$492,$B215,$O$2:$O$492,"&gt;"&amp;$O215)+1-1)/COUNTIF($B$2:$B$492,$B215))&gt;='Parametri Modello'!$B$64,"Buono",IF((1-(COUNTIFS($B$2:$B$492,$B215,$O$2:$O$492,"&gt;"&amp;$O215)+1-1)/COUNTIF($B$2:$B$492,$B215))&gt;='Parametri Modello'!$B$65,"Nella Media","Scommessa/Riserva")))),"")</f>
        <v>Buono</v>
      </c>
      <c r="Q215" s="26">
        <f>IF(AND($D215="",$N215&gt;1),SUMPRODUCT(($D$2:$D215="")*($N$2:$N215&gt;1)),"")</f>
        <v>214</v>
      </c>
      <c r="R215" s="26" t="str">
        <f>IF($D215='Info Lega'!$B$28,COUNTIFS($D$2:$D215,'Info Lega'!$B$28),"")</f>
        <v/>
      </c>
      <c r="S215" s="27">
        <f>IFERROR(INDEX('Input Statistiche 2025_26'!$G$3:$G$665,MATCH($A215,'Input Statistiche 2025_26'!$A$3:$A$665,0)),"")</f>
        <v>6.08</v>
      </c>
      <c r="T215" s="27">
        <f>IFERROR(INDEX('Input Statistiche 2025_26'!$H$3:$H$665,MATCH($A215,'Input Statistiche 2025_26'!$A$3:$A$665,0)),"")</f>
        <v>4.7699999999999996</v>
      </c>
      <c r="U215" s="23" t="str">
        <f>IF(OR('La Mia Rosa'!$O$12="",$D215&lt;&gt;""),"",IF($F215&lt;='La Mia Rosa'!$O$12*'Parametri Modello'!$B$24,"OK",IF($F215&lt;='La Mia Rosa'!$O$12*'Parametri Modello'!$B$25,"Attenzione","Rischio Alto")))</f>
        <v>OK</v>
      </c>
      <c r="V215" s="23">
        <f t="shared" si="28"/>
        <v>16</v>
      </c>
      <c r="W215" s="18">
        <f>'Info Lega'!$B$4-SUMIFS($M$2:$M$492,$D$2:$D$492,'Info Lega'!$B$28)</f>
        <v>1000</v>
      </c>
      <c r="X215" s="18">
        <f>('Info Lega'!$B$5-COUNTIFS($D$2:$D$492,'Info Lega'!$B$28,$B$2:$B$492,"P"))+('Info Lega'!$B$6-COUNTIFS($D$2:$D$492,'Info Lega'!$B$28,$B$2:$B$492,"D"))+('Info Lega'!$B$7-COUNTIFS($D$2:$D$492,'Info Lega'!$B$28,$B$2:$B$492,"C"))+('Info Lega'!$B$8-COUNTIFS($D$2:$D$492,'Info Lega'!$B$28,$B$2:$B$492,"A"))</f>
        <v>25</v>
      </c>
      <c r="Y215" s="18">
        <f>X215*'Parametri Modello'!$B$30</f>
        <v>25</v>
      </c>
      <c r="Z215" s="18">
        <f t="shared" si="29"/>
        <v>975</v>
      </c>
      <c r="AA215" s="18">
        <f t="shared" si="30"/>
        <v>5</v>
      </c>
      <c r="AB215" s="18"/>
      <c r="AC215" s="18" t="str">
        <f>IF($AB215="","",IF($AB215&gt;$AA215,"PASS",IF($AB215&lt;=$AA215*(1-'Parametri Modello'!$B$68),"BID","ATTENZIONE")))</f>
        <v/>
      </c>
      <c r="AD215" s="28">
        <f t="shared" si="31"/>
        <v>66</v>
      </c>
      <c r="AE215" s="5" t="str">
        <f>IFERROR(IF($AF215="Titolare",INDEX('Stato Asta'!$G$9:$G$12,MATCH($B215,'Stato Asta'!$A$9:$A$12,0)),INDEX('Stato Asta'!$P$9:$P$12,MATCH($B215,'Stato Asta'!$A$9:$A$12,0))),"")</f>
        <v>🔴 Riserve scarse</v>
      </c>
      <c r="AF215" t="str">
        <f>IFERROR(IF($V215&lt;=INDEX('Parametri Modello'!$C$57:$C$60,MATCH($B215,'Parametri Modello'!$A$57:$A$60,0)),"Titolare","Riserva"),"")</f>
        <v>Riserva</v>
      </c>
      <c r="AG215" t="str">
        <f>IFERROR(INDEX('Pressione Competitiva'!$F$3:$F$6,MATCH($B215,'Pressione Competitiva'!$B$3:$B$6,0)),"")</f>
        <v>🔴 Molto Alta</v>
      </c>
      <c r="AH215" t="str">
        <f t="shared" si="32"/>
        <v/>
      </c>
      <c r="AI215" t="str">
        <f>IFERROR(IF($AH215="","",IF($AH215&gt;=$AA215*'Parametri Modello'!$B$68,"🟢 Opportunita'",IF($AH215&lt;=$AA215*'Parametri Modello'!$B$69,"🔴 Sovrapprezzo","🟡 Prezzo Corretto"))),"")</f>
        <v/>
      </c>
      <c r="AJ215" t="str">
        <f t="shared" si="33"/>
        <v/>
      </c>
      <c r="AK215">
        <f t="shared" si="34"/>
        <v>9</v>
      </c>
      <c r="AL215" t="str">
        <f t="shared" si="35"/>
        <v>P|Buono|9</v>
      </c>
    </row>
    <row r="216" spans="1:38" ht="14.25" customHeight="1" x14ac:dyDescent="0.25">
      <c r="A216" s="18">
        <v>6485</v>
      </c>
      <c r="B216" s="18" t="s">
        <v>88</v>
      </c>
      <c r="C216" s="18" t="s">
        <v>139</v>
      </c>
      <c r="E216" s="23" t="str">
        <f>IF(COUNTIF('Info Strategia'!$D$2:$D$51,$C216)&gt;0,"SI","NO")</f>
        <v>NO</v>
      </c>
      <c r="F216" s="24">
        <f>IFERROR(ROUND(($G216+($H216-$G216)*'Info Strategia'!$B$6)*(1+IF($E216="SI",'Parametri Modello'!$B$7*'Info Strategia'!$B$6,0)),0),"")</f>
        <v>3</v>
      </c>
      <c r="G216" s="24">
        <f>IFERROR(ROUND(MAX(1,(IF($V216&lt;=INDEX('Parametri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2</v>
      </c>
      <c r="H216" s="24">
        <f>IFERROR(ROUND((IF($V216&lt;=INDEX('Parametri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3</v>
      </c>
      <c r="I216" s="23">
        <f>IFERROR(INDEX('Input Statistiche 2025_26'!$F$3:$F$665,MATCH($A216,'Input Statistiche 2025_26'!$A$3:$A$665,0)),"")</f>
        <v>28</v>
      </c>
      <c r="J216" s="23">
        <f t="shared" si="27"/>
        <v>10</v>
      </c>
      <c r="K216" s="23">
        <f>IFERROR(INDEX('Input Statistiche 2025_26'!$I$3:$I$665,MATCH($A216,'Input Statistiche 2025_26'!$A$3:$A$665,0)),"")</f>
        <v>3</v>
      </c>
      <c r="L216" s="23">
        <f>IFERROR(INDEX('Input Statistiche 2025_26'!$O$3:$O$665,MATCH($A216,'Input Statistiche 2025_26'!$A$3:$A$665,0)),"")</f>
        <v>0</v>
      </c>
      <c r="M216" s="25"/>
      <c r="N216" s="24">
        <f>IFERROR(INDEX('Input Giocatori 2026_27'!$E$3:$E$493,MATCH($A216,'Input Giocatori 2026_27'!$A$3:$A$493,0)),"")</f>
        <v>7</v>
      </c>
      <c r="O216" s="24">
        <f>IFERROR(INDEX('Input Giocatori 2026_27'!$G$3:$G$493,MATCH($A216,'Input Giocatori 2026_27'!$A$3:$A$493,0)),"")</f>
        <v>15</v>
      </c>
      <c r="P216" s="23" t="str">
        <f>IFERROR(IF($O216="","",IF((1-(COUNTIFS($B$2:$B$492,$B216,$O$2:$O$492,"&gt;"&amp;$O216)+1-1)/COUNTIF($B$2:$B$492,$B216))&gt;='Parametri Modello'!$B$63,"Top",IF((1-(COUNTIFS($B$2:$B$492,$B216,$O$2:$O$492,"&gt;"&amp;$O216)+1-1)/COUNTIF($B$2:$B$492,$B216))&gt;='Parametri Modello'!$B$64,"Buono",IF((1-(COUNTIFS($B$2:$B$492,$B216,$O$2:$O$492,"&gt;"&amp;$O216)+1-1)/COUNTIF($B$2:$B$492,$B216))&gt;='Parametri Modello'!$B$65,"Nella Media","Scommessa/Riserva")))),"")</f>
        <v>Nella Media</v>
      </c>
      <c r="Q216" s="26">
        <f>IF(AND($D216="",$N216&gt;1),SUMPRODUCT(($D$2:$D216="")*($N$2:$N216&gt;1)),"")</f>
        <v>215</v>
      </c>
      <c r="R216" s="26" t="str">
        <f>IF($D216='Info Lega'!$B$28,COUNTIFS($D$2:$D216,'Info Lega'!$B$28),"")</f>
        <v/>
      </c>
      <c r="S216" s="27">
        <f>IFERROR(INDEX('Input Statistiche 2025_26'!$G$3:$G$665,MATCH($A216,'Input Statistiche 2025_26'!$A$3:$A$665,0)),"")</f>
        <v>5.98</v>
      </c>
      <c r="T216" s="27">
        <f>IFERROR(INDEX('Input Statistiche 2025_26'!$H$3:$H$665,MATCH($A216,'Input Statistiche 2025_26'!$A$3:$A$665,0)),"")</f>
        <v>6.23</v>
      </c>
      <c r="U216" s="23" t="str">
        <f>IF(OR('La Mia Rosa'!$O$12="",$D216&lt;&gt;""),"",IF($F216&lt;='La Mia Rosa'!$O$12*'Parametri Modello'!$B$24,"OK",IF($F216&lt;='La Mia Rosa'!$O$12*'Parametri Modello'!$B$25,"Attenzione","Rischio Alto")))</f>
        <v>OK</v>
      </c>
      <c r="V216" s="23">
        <f t="shared" si="28"/>
        <v>61</v>
      </c>
      <c r="W216" s="18">
        <f>'Info Lega'!$B$4-SUMIFS($M$2:$M$492,$D$2:$D$492,'Info Lega'!$B$28)</f>
        <v>1000</v>
      </c>
      <c r="X216" s="18">
        <f>('Info Lega'!$B$5-COUNTIFS($D$2:$D$492,'Info Lega'!$B$28,$B$2:$B$492,"P"))+('Info Lega'!$B$6-COUNTIFS($D$2:$D$492,'Info Lega'!$B$28,$B$2:$B$492,"D"))+('Info Lega'!$B$7-COUNTIFS($D$2:$D$492,'Info Lega'!$B$28,$B$2:$B$492,"C"))+('Info Lega'!$B$8-COUNTIFS($D$2:$D$492,'Info Lega'!$B$28,$B$2:$B$492,"A"))</f>
        <v>25</v>
      </c>
      <c r="Y216" s="18">
        <f>X216*'Parametri Modello'!$B$30</f>
        <v>25</v>
      </c>
      <c r="Z216" s="18">
        <f t="shared" si="29"/>
        <v>975</v>
      </c>
      <c r="AA216" s="18">
        <f t="shared" si="30"/>
        <v>3</v>
      </c>
      <c r="AB216" s="18"/>
      <c r="AC216" s="18" t="str">
        <f>IF($AB216="","",IF($AB216&gt;$AA216,"PASS",IF($AB216&lt;=$AA216*(1-'Parametri Modello'!$B$68),"BID","ATTENZIONE")))</f>
        <v/>
      </c>
      <c r="AD216" s="28">
        <f t="shared" si="31"/>
        <v>61</v>
      </c>
      <c r="AE216" s="5" t="str">
        <f>IFERROR(IF($AF216="Titolare",INDEX('Stato Asta'!$G$9:$G$12,MATCH($B216,'Stato Asta'!$A$9:$A$12,0)),INDEX('Stato Asta'!$P$9:$P$12,MATCH($B216,'Stato Asta'!$A$9:$A$12,0))),"")</f>
        <v>🟢 Riserve abbondanti</v>
      </c>
      <c r="AF216" t="str">
        <f>IFERROR(IF($V216&lt;=INDEX('Parametri Modello'!$C$57:$C$60,MATCH($B216,'Parametri Modello'!$A$57:$A$60,0)),"Titolare","Riserva"),"")</f>
        <v>Riserva</v>
      </c>
      <c r="AG216" t="str">
        <f>IFERROR(INDEX('Pressione Competitiva'!$F$3:$F$6,MATCH($B216,'Pressione Competitiva'!$B$3:$B$6,0)),"")</f>
        <v>🔴 Molto Alta</v>
      </c>
      <c r="AH216" t="str">
        <f t="shared" si="32"/>
        <v/>
      </c>
      <c r="AI216" t="str">
        <f>IFERROR(IF($AH216="","",IF($AH216&gt;=$AA216*'Parametri Modello'!$B$68,"🟢 Opportunita'",IF($AH216&lt;=$AA216*'Parametri Modello'!$B$69,"🔴 Sovrapprezzo","🟡 Prezzo Corretto"))),"")</f>
        <v/>
      </c>
      <c r="AJ216" t="str">
        <f t="shared" si="33"/>
        <v/>
      </c>
      <c r="AK216">
        <f t="shared" si="34"/>
        <v>6</v>
      </c>
      <c r="AL216" t="str">
        <f t="shared" si="35"/>
        <v>D|Nella Media|6</v>
      </c>
    </row>
    <row r="217" spans="1:38" ht="14.25" customHeight="1" x14ac:dyDescent="0.25">
      <c r="A217" s="18">
        <v>4887</v>
      </c>
      <c r="B217" s="18" t="s">
        <v>88</v>
      </c>
      <c r="C217" s="18" t="s">
        <v>141</v>
      </c>
      <c r="E217" s="23" t="str">
        <f>IF(COUNTIF('Info Strategia'!$D$2:$D$51,$C217)&gt;0,"SI","NO")</f>
        <v>NO</v>
      </c>
      <c r="F217" s="24">
        <f>IFERROR(ROUND(($G217+($H217-$G217)*'Info Strategia'!$B$6)*(1+IF($E217="SI",'Parametri Modello'!$B$7*'Info Strategia'!$B$6,0)),0),"")</f>
        <v>3</v>
      </c>
      <c r="G217" s="24">
        <f>IFERROR(ROUND(MAX(1,(IF($V217&lt;=INDEX('Parametri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2</v>
      </c>
      <c r="H217" s="24">
        <f>IFERROR(ROUND((IF($V217&lt;=INDEX('Parametri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3</v>
      </c>
      <c r="I217" s="23">
        <f>IFERROR(INDEX('Input Statistiche 2025_26'!$F$3:$F$665,MATCH($A217,'Input Statistiche 2025_26'!$A$3:$A$665,0)),"")</f>
        <v>22</v>
      </c>
      <c r="J217" s="23">
        <f t="shared" si="27"/>
        <v>16</v>
      </c>
      <c r="K217" s="23">
        <f>IFERROR(INDEX('Input Statistiche 2025_26'!$I$3:$I$665,MATCH($A217,'Input Statistiche 2025_26'!$A$3:$A$665,0)),"")</f>
        <v>0</v>
      </c>
      <c r="L217" s="23">
        <f>IFERROR(INDEX('Input Statistiche 2025_26'!$O$3:$O$665,MATCH($A217,'Input Statistiche 2025_26'!$A$3:$A$665,0)),"")</f>
        <v>1</v>
      </c>
      <c r="M217" s="25"/>
      <c r="N217" s="24">
        <f>IFERROR(INDEX('Input Giocatori 2026_27'!$E$3:$E$493,MATCH($A217,'Input Giocatori 2026_27'!$A$3:$A$493,0)),"")</f>
        <v>6</v>
      </c>
      <c r="O217" s="24">
        <f>IFERROR(INDEX('Input Giocatori 2026_27'!$G$3:$G$493,MATCH($A217,'Input Giocatori 2026_27'!$A$3:$A$493,0)),"")</f>
        <v>15</v>
      </c>
      <c r="P217" s="23" t="str">
        <f>IFERROR(IF($O217="","",IF((1-(COUNTIFS($B$2:$B$492,$B217,$O$2:$O$492,"&gt;"&amp;$O217)+1-1)/COUNTIF($B$2:$B$492,$B217))&gt;='Parametri Modello'!$B$63,"Top",IF((1-(COUNTIFS($B$2:$B$492,$B217,$O$2:$O$492,"&gt;"&amp;$O217)+1-1)/COUNTIF($B$2:$B$492,$B217))&gt;='Parametri Modello'!$B$64,"Buono",IF((1-(COUNTIFS($B$2:$B$492,$B217,$O$2:$O$492,"&gt;"&amp;$O217)+1-1)/COUNTIF($B$2:$B$492,$B217))&gt;='Parametri Modello'!$B$65,"Nella Media","Scommessa/Riserva")))),"")</f>
        <v>Nella Media</v>
      </c>
      <c r="Q217" s="26">
        <f>IF(AND($D217="",$N217&gt;1),SUMPRODUCT(($D$2:$D217="")*($N$2:$N217&gt;1)),"")</f>
        <v>216</v>
      </c>
      <c r="R217" s="26" t="str">
        <f>IF($D217='Info Lega'!$B$28,COUNTIFS($D$2:$D217,'Info Lega'!$B$28),"")</f>
        <v/>
      </c>
      <c r="S217" s="27">
        <f>IFERROR(INDEX('Input Statistiche 2025_26'!$G$3:$G$665,MATCH($A217,'Input Statistiche 2025_26'!$A$3:$A$665,0)),"")</f>
        <v>5.82</v>
      </c>
      <c r="T217" s="27">
        <f>IFERROR(INDEX('Input Statistiche 2025_26'!$H$3:$H$665,MATCH($A217,'Input Statistiche 2025_26'!$A$3:$A$665,0)),"")</f>
        <v>5.82</v>
      </c>
      <c r="U217" s="23" t="str">
        <f>IF(OR('La Mia Rosa'!$O$12="",$D217&lt;&gt;""),"",IF($F217&lt;='La Mia Rosa'!$O$12*'Parametri Modello'!$B$24,"OK",IF($F217&lt;='La Mia Rosa'!$O$12*'Parametri Modello'!$B$25,"Attenzione","Rischio Alto")))</f>
        <v>OK</v>
      </c>
      <c r="V217" s="23">
        <f t="shared" si="28"/>
        <v>61</v>
      </c>
      <c r="W217" s="18">
        <f>'Info Lega'!$B$4-SUMIFS($M$2:$M$492,$D$2:$D$492,'Info Lega'!$B$28)</f>
        <v>1000</v>
      </c>
      <c r="X217" s="18">
        <f>('Info Lega'!$B$5-COUNTIFS($D$2:$D$492,'Info Lega'!$B$28,$B$2:$B$492,"P"))+('Info Lega'!$B$6-COUNTIFS($D$2:$D$492,'Info Lega'!$B$28,$B$2:$B$492,"D"))+('Info Lega'!$B$7-COUNTIFS($D$2:$D$492,'Info Lega'!$B$28,$B$2:$B$492,"C"))+('Info Lega'!$B$8-COUNTIFS($D$2:$D$492,'Info Lega'!$B$28,$B$2:$B$492,"A"))</f>
        <v>25</v>
      </c>
      <c r="Y217" s="18">
        <f>X217*'Parametri Modello'!$B$30</f>
        <v>25</v>
      </c>
      <c r="Z217" s="18">
        <f t="shared" si="29"/>
        <v>975</v>
      </c>
      <c r="AA217" s="18">
        <f t="shared" si="30"/>
        <v>3</v>
      </c>
      <c r="AB217" s="18"/>
      <c r="AC217" s="18" t="str">
        <f>IF($AB217="","",IF($AB217&gt;$AA217,"PASS",IF($AB217&lt;=$AA217*(1-'Parametri Modello'!$B$68),"BID","ATTENZIONE")))</f>
        <v/>
      </c>
      <c r="AD217" s="28">
        <f t="shared" si="31"/>
        <v>52</v>
      </c>
      <c r="AE217" s="5" t="str">
        <f>IFERROR(IF($AF217="Titolare",INDEX('Stato Asta'!$G$9:$G$12,MATCH($B217,'Stato Asta'!$A$9:$A$12,0)),INDEX('Stato Asta'!$P$9:$P$12,MATCH($B217,'Stato Asta'!$A$9:$A$12,0))),"")</f>
        <v>🟢 Riserve abbondanti</v>
      </c>
      <c r="AF217" t="str">
        <f>IFERROR(IF($V217&lt;=INDEX('Parametri Modello'!$C$57:$C$60,MATCH($B217,'Parametri Modello'!$A$57:$A$60,0)),"Titolare","Riserva"),"")</f>
        <v>Riserva</v>
      </c>
      <c r="AG217" t="str">
        <f>IFERROR(INDEX('Pressione Competitiva'!$F$3:$F$6,MATCH($B217,'Pressione Competitiva'!$B$3:$B$6,0)),"")</f>
        <v>🔴 Molto Alta</v>
      </c>
      <c r="AH217" t="str">
        <f t="shared" si="32"/>
        <v/>
      </c>
      <c r="AI217" t="str">
        <f>IFERROR(IF($AH217="","",IF($AH217&gt;=$AA217*'Parametri Modello'!$B$68,"🟢 Opportunita'",IF($AH217&lt;=$AA217*'Parametri Modello'!$B$69,"🔴 Sovrapprezzo","🟡 Prezzo Corretto"))),"")</f>
        <v/>
      </c>
      <c r="AJ217" t="str">
        <f t="shared" si="33"/>
        <v/>
      </c>
      <c r="AK217">
        <f t="shared" si="34"/>
        <v>6</v>
      </c>
      <c r="AL217" t="str">
        <f t="shared" si="35"/>
        <v>D|Nella Media|6</v>
      </c>
    </row>
    <row r="218" spans="1:38" ht="14.25" customHeight="1" x14ac:dyDescent="0.25">
      <c r="A218" s="18">
        <v>7212</v>
      </c>
      <c r="B218" s="18" t="s">
        <v>88</v>
      </c>
      <c r="C218" s="18" t="s">
        <v>143</v>
      </c>
      <c r="E218" s="23" t="str">
        <f>IF(COUNTIF('Info Strategia'!$D$2:$D$51,$C218)&gt;0,"SI","NO")</f>
        <v>NO</v>
      </c>
      <c r="F218" s="24">
        <f>IFERROR(ROUND(($G218+($H218-$G218)*'Info Strategia'!$B$6)*(1+IF($E218="SI",'Parametri Modello'!$B$7*'Info Strategia'!$B$6,0)),0),"")</f>
        <v>3</v>
      </c>
      <c r="G218" s="24">
        <f>IFERROR(ROUND(MAX(1,(IF($V218&lt;=INDEX('Parametri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2</v>
      </c>
      <c r="H218" s="24">
        <f>IFERROR(ROUND((IF($V218&lt;=INDEX('Parametri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3</v>
      </c>
      <c r="I218" s="23">
        <f>IFERROR(INDEX('Input Statistiche 2025_26'!$F$3:$F$665,MATCH($A218,'Input Statistiche 2025_26'!$A$3:$A$665,0)),"")</f>
        <v>25</v>
      </c>
      <c r="J218" s="23">
        <f t="shared" si="27"/>
        <v>13</v>
      </c>
      <c r="K218" s="23">
        <f>IFERROR(INDEX('Input Statistiche 2025_26'!$I$3:$I$665,MATCH($A218,'Input Statistiche 2025_26'!$A$3:$A$665,0)),"")</f>
        <v>0</v>
      </c>
      <c r="L218" s="23">
        <f>IFERROR(INDEX('Input Statistiche 2025_26'!$O$3:$O$665,MATCH($A218,'Input Statistiche 2025_26'!$A$3:$A$665,0)),"")</f>
        <v>0</v>
      </c>
      <c r="M218" s="25"/>
      <c r="N218" s="24">
        <f>IFERROR(INDEX('Input Giocatori 2026_27'!$E$3:$E$493,MATCH($A218,'Input Giocatori 2026_27'!$A$3:$A$493,0)),"")</f>
        <v>6</v>
      </c>
      <c r="O218" s="24">
        <f>IFERROR(INDEX('Input Giocatori 2026_27'!$G$3:$G$493,MATCH($A218,'Input Giocatori 2026_27'!$A$3:$A$493,0)),"")</f>
        <v>15</v>
      </c>
      <c r="P218" s="23" t="str">
        <f>IFERROR(IF($O218="","",IF((1-(COUNTIFS($B$2:$B$492,$B218,$O$2:$O$492,"&gt;"&amp;$O218)+1-1)/COUNTIF($B$2:$B$492,$B218))&gt;='Parametri Modello'!$B$63,"Top",IF((1-(COUNTIFS($B$2:$B$492,$B218,$O$2:$O$492,"&gt;"&amp;$O218)+1-1)/COUNTIF($B$2:$B$492,$B218))&gt;='Parametri Modello'!$B$64,"Buono",IF((1-(COUNTIFS($B$2:$B$492,$B218,$O$2:$O$492,"&gt;"&amp;$O218)+1-1)/COUNTIF($B$2:$B$492,$B218))&gt;='Parametri Modello'!$B$65,"Nella Media","Scommessa/Riserva")))),"")</f>
        <v>Nella Media</v>
      </c>
      <c r="Q218" s="26">
        <f>IF(AND($D218="",$N218&gt;1),SUMPRODUCT(($D$2:$D218="")*($N$2:$N218&gt;1)),"")</f>
        <v>217</v>
      </c>
      <c r="R218" s="26" t="str">
        <f>IF($D218='Info Lega'!$B$28,COUNTIFS($D$2:$D218,'Info Lega'!$B$28),"")</f>
        <v/>
      </c>
      <c r="S218" s="27">
        <f>IFERROR(INDEX('Input Statistiche 2025_26'!$G$3:$G$665,MATCH($A218,'Input Statistiche 2025_26'!$A$3:$A$665,0)),"")</f>
        <v>5.84</v>
      </c>
      <c r="T218" s="27">
        <f>IFERROR(INDEX('Input Statistiche 2025_26'!$H$3:$H$665,MATCH($A218,'Input Statistiche 2025_26'!$A$3:$A$665,0)),"")</f>
        <v>5.8</v>
      </c>
      <c r="U218" s="23" t="str">
        <f>IF(OR('La Mia Rosa'!$O$12="",$D218&lt;&gt;""),"",IF($F218&lt;='La Mia Rosa'!$O$12*'Parametri Modello'!$B$24,"OK",IF($F218&lt;='La Mia Rosa'!$O$12*'Parametri Modello'!$B$25,"Attenzione","Rischio Alto")))</f>
        <v>OK</v>
      </c>
      <c r="V218" s="23">
        <f t="shared" si="28"/>
        <v>61</v>
      </c>
      <c r="W218" s="18">
        <f>'Info Lega'!$B$4-SUMIFS($M$2:$M$492,$D$2:$D$492,'Info Lega'!$B$28)</f>
        <v>1000</v>
      </c>
      <c r="X218" s="18">
        <f>('Info Lega'!$B$5-COUNTIFS($D$2:$D$492,'Info Lega'!$B$28,$B$2:$B$492,"P"))+('Info Lega'!$B$6-COUNTIFS($D$2:$D$492,'Info Lega'!$B$28,$B$2:$B$492,"D"))+('Info Lega'!$B$7-COUNTIFS($D$2:$D$492,'Info Lega'!$B$28,$B$2:$B$492,"C"))+('Info Lega'!$B$8-COUNTIFS($D$2:$D$492,'Info Lega'!$B$28,$B$2:$B$492,"A"))</f>
        <v>25</v>
      </c>
      <c r="Y218" s="18">
        <f>X218*'Parametri Modello'!$B$30</f>
        <v>25</v>
      </c>
      <c r="Z218" s="18">
        <f t="shared" si="29"/>
        <v>975</v>
      </c>
      <c r="AA218" s="18">
        <f t="shared" si="30"/>
        <v>3</v>
      </c>
      <c r="AB218" s="18"/>
      <c r="AC218" s="18" t="str">
        <f>IF($AB218="","",IF($AB218&gt;$AA218,"PASS",IF($AB218&lt;=$AA218*(1-'Parametri Modello'!$B$68),"BID","ATTENZIONE")))</f>
        <v/>
      </c>
      <c r="AD218" s="28">
        <f t="shared" si="31"/>
        <v>57</v>
      </c>
      <c r="AE218" s="5" t="str">
        <f>IFERROR(IF($AF218="Titolare",INDEX('Stato Asta'!$G$9:$G$12,MATCH($B218,'Stato Asta'!$A$9:$A$12,0)),INDEX('Stato Asta'!$P$9:$P$12,MATCH($B218,'Stato Asta'!$A$9:$A$12,0))),"")</f>
        <v>🟢 Riserve abbondanti</v>
      </c>
      <c r="AF218" t="str">
        <f>IFERROR(IF($V218&lt;=INDEX('Parametri Modello'!$C$57:$C$60,MATCH($B218,'Parametri Modello'!$A$57:$A$60,0)),"Titolare","Riserva"),"")</f>
        <v>Riserva</v>
      </c>
      <c r="AG218" t="str">
        <f>IFERROR(INDEX('Pressione Competitiva'!$F$3:$F$6,MATCH($B218,'Pressione Competitiva'!$B$3:$B$6,0)),"")</f>
        <v>🔴 Molto Alta</v>
      </c>
      <c r="AH218" t="str">
        <f t="shared" si="32"/>
        <v/>
      </c>
      <c r="AI218" t="str">
        <f>IFERROR(IF($AH218="","",IF($AH218&gt;=$AA218*'Parametri Modello'!$B$68,"🟢 Opportunita'",IF($AH218&lt;=$AA218*'Parametri Modello'!$B$69,"🔴 Sovrapprezzo","🟡 Prezzo Corretto"))),"")</f>
        <v/>
      </c>
      <c r="AJ218" t="str">
        <f t="shared" si="33"/>
        <v/>
      </c>
      <c r="AK218">
        <f t="shared" si="34"/>
        <v>6</v>
      </c>
      <c r="AL218" t="str">
        <f t="shared" si="35"/>
        <v>D|Nella Media|6</v>
      </c>
    </row>
    <row r="219" spans="1:38" ht="14.25" customHeight="1" x14ac:dyDescent="0.25">
      <c r="A219" s="18">
        <v>7485</v>
      </c>
      <c r="B219" s="18" t="s">
        <v>88</v>
      </c>
      <c r="C219" s="18" t="s">
        <v>154</v>
      </c>
      <c r="E219" s="23" t="str">
        <f>IF(COUNTIF('Info Strategia'!$D$2:$D$51,$C219)&gt;0,"SI","NO")</f>
        <v>NO</v>
      </c>
      <c r="F219" s="24">
        <f>IFERROR(ROUND(($G219+($H219-$G219)*'Info Strategia'!$B$6)*(1+IF($E219="SI",'Parametri Modello'!$B$7*'Info Strategia'!$B$6,0)),0),"")</f>
        <v>3</v>
      </c>
      <c r="G219" s="24">
        <f>IFERROR(ROUND(MAX(1,(IF($V219&lt;=INDEX('Parametri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2</v>
      </c>
      <c r="H219" s="24">
        <f>IFERROR(ROUND((IF($V219&lt;=INDEX('Parametri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3</v>
      </c>
      <c r="I219" s="23" t="str">
        <f>IFERROR(INDEX('Input Statistiche 2025_26'!$F$3:$F$665,MATCH($A219,'Input Statistiche 2025_26'!$A$3:$A$665,0)),"")</f>
        <v/>
      </c>
      <c r="J219" s="23" t="str">
        <f t="shared" si="27"/>
        <v/>
      </c>
      <c r="K219" s="23" t="str">
        <f>IFERROR(INDEX('Input Statistiche 2025_26'!$I$3:$I$665,MATCH($A219,'Input Statistiche 2025_26'!$A$3:$A$665,0)),"")</f>
        <v/>
      </c>
      <c r="L219" s="23" t="str">
        <f>IFERROR(INDEX('Input Statistiche 2025_26'!$O$3:$O$665,MATCH($A219,'Input Statistiche 2025_26'!$A$3:$A$665,0)),"")</f>
        <v/>
      </c>
      <c r="M219" s="25"/>
      <c r="N219" s="24">
        <f>IFERROR(INDEX('Input Giocatori 2026_27'!$E$3:$E$493,MATCH($A219,'Input Giocatori 2026_27'!$A$3:$A$493,0)),"")</f>
        <v>6</v>
      </c>
      <c r="O219" s="24">
        <f>IFERROR(INDEX('Input Giocatori 2026_27'!$G$3:$G$493,MATCH($A219,'Input Giocatori 2026_27'!$A$3:$A$493,0)),"")</f>
        <v>15</v>
      </c>
      <c r="P219" s="23" t="str">
        <f>IFERROR(IF($O219="","",IF((1-(COUNTIFS($B$2:$B$492,$B219,$O$2:$O$492,"&gt;"&amp;$O219)+1-1)/COUNTIF($B$2:$B$492,$B219))&gt;='Parametri Modello'!$B$63,"Top",IF((1-(COUNTIFS($B$2:$B$492,$B219,$O$2:$O$492,"&gt;"&amp;$O219)+1-1)/COUNTIF($B$2:$B$492,$B219))&gt;='Parametri Modello'!$B$64,"Buono",IF((1-(COUNTIFS($B$2:$B$492,$B219,$O$2:$O$492,"&gt;"&amp;$O219)+1-1)/COUNTIF($B$2:$B$492,$B219))&gt;='Parametri Modello'!$B$65,"Nella Media","Scommessa/Riserva")))),"")</f>
        <v>Nella Media</v>
      </c>
      <c r="Q219" s="26">
        <f>IF(AND($D219="",$N219&gt;1),SUMPRODUCT(($D$2:$D219="")*($N$2:$N219&gt;1)),"")</f>
        <v>218</v>
      </c>
      <c r="R219" s="26" t="str">
        <f>IF($D219='Info Lega'!$B$28,COUNTIFS($D$2:$D219,'Info Lega'!$B$28),"")</f>
        <v/>
      </c>
      <c r="S219" s="27" t="str">
        <f>IFERROR(INDEX('Input Statistiche 2025_26'!$G$3:$G$665,MATCH($A219,'Input Statistiche 2025_26'!$A$3:$A$665,0)),"")</f>
        <v/>
      </c>
      <c r="T219" s="27" t="str">
        <f>IFERROR(INDEX('Input Statistiche 2025_26'!$H$3:$H$665,MATCH($A219,'Input Statistiche 2025_26'!$A$3:$A$665,0)),"")</f>
        <v/>
      </c>
      <c r="U219" s="23" t="str">
        <f>IF(OR('La Mia Rosa'!$O$12="",$D219&lt;&gt;""),"",IF($F219&lt;='La Mia Rosa'!$O$12*'Parametri Modello'!$B$24,"OK",IF($F219&lt;='La Mia Rosa'!$O$12*'Parametri Modello'!$B$25,"Attenzione","Rischio Alto")))</f>
        <v>OK</v>
      </c>
      <c r="V219" s="23">
        <f t="shared" si="28"/>
        <v>61</v>
      </c>
      <c r="W219" s="18">
        <f>'Info Lega'!$B$4-SUMIFS($M$2:$M$492,$D$2:$D$492,'Info Lega'!$B$28)</f>
        <v>1000</v>
      </c>
      <c r="X219" s="18">
        <f>('Info Lega'!$B$5-COUNTIFS($D$2:$D$492,'Info Lega'!$B$28,$B$2:$B$492,"P"))+('Info Lega'!$B$6-COUNTIFS($D$2:$D$492,'Info Lega'!$B$28,$B$2:$B$492,"D"))+('Info Lega'!$B$7-COUNTIFS($D$2:$D$492,'Info Lega'!$B$28,$B$2:$B$492,"C"))+('Info Lega'!$B$8-COUNTIFS($D$2:$D$492,'Info Lega'!$B$28,$B$2:$B$492,"A"))</f>
        <v>25</v>
      </c>
      <c r="Y219" s="18">
        <f>X219*'Parametri Modello'!$B$30</f>
        <v>25</v>
      </c>
      <c r="Z219" s="18">
        <f t="shared" si="29"/>
        <v>975</v>
      </c>
      <c r="AA219" s="18">
        <f t="shared" si="30"/>
        <v>3</v>
      </c>
      <c r="AB219" s="18"/>
      <c r="AC219" s="18" t="str">
        <f>IF($AB219="","",IF($AB219&gt;$AA219,"PASS",IF($AB219&lt;=$AA219*(1-'Parametri Modello'!$B$68),"BID","ATTENZIONE")))</f>
        <v/>
      </c>
      <c r="AD219" s="28" t="str">
        <f t="shared" si="31"/>
        <v/>
      </c>
      <c r="AE219" s="5" t="str">
        <f>IFERROR(IF($AF219="Titolare",INDEX('Stato Asta'!$G$9:$G$12,MATCH($B219,'Stato Asta'!$A$9:$A$12,0)),INDEX('Stato Asta'!$P$9:$P$12,MATCH($B219,'Stato Asta'!$A$9:$A$12,0))),"")</f>
        <v>🟢 Riserve abbondanti</v>
      </c>
      <c r="AF219" t="str">
        <f>IFERROR(IF($V219&lt;=INDEX('Parametri Modello'!$C$57:$C$60,MATCH($B219,'Parametri Modello'!$A$57:$A$60,0)),"Titolare","Riserva"),"")</f>
        <v>Riserva</v>
      </c>
      <c r="AG219" t="str">
        <f>IFERROR(INDEX('Pressione Competitiva'!$F$3:$F$6,MATCH($B219,'Pressione Competitiva'!$B$3:$B$6,0)),"")</f>
        <v>🔴 Molto Alta</v>
      </c>
      <c r="AH219" t="str">
        <f t="shared" si="32"/>
        <v/>
      </c>
      <c r="AI219" t="str">
        <f>IFERROR(IF($AH219="","",IF($AH219&gt;=$AA219*'Parametri Modello'!$B$68,"🟢 Opportunita'",IF($AH219&lt;=$AA219*'Parametri Modello'!$B$69,"🔴 Sovrapprezzo","🟡 Prezzo Corretto"))),"")</f>
        <v/>
      </c>
      <c r="AJ219" t="str">
        <f t="shared" si="33"/>
        <v/>
      </c>
      <c r="AK219">
        <f t="shared" si="34"/>
        <v>6</v>
      </c>
      <c r="AL219" t="str">
        <f t="shared" si="35"/>
        <v>D|Nella Media|6</v>
      </c>
    </row>
    <row r="220" spans="1:38" ht="14.25" customHeight="1" x14ac:dyDescent="0.25">
      <c r="A220" s="18">
        <v>2593</v>
      </c>
      <c r="B220" s="18" t="s">
        <v>88</v>
      </c>
      <c r="C220" s="18" t="s">
        <v>169</v>
      </c>
      <c r="E220" s="23" t="str">
        <f>IF(COUNTIF('Info Strategia'!$D$2:$D$51,$C220)&gt;0,"SI","NO")</f>
        <v>NO</v>
      </c>
      <c r="F220" s="24">
        <f>IFERROR(ROUND(($G220+($H220-$G220)*'Info Strategia'!$B$6)*(1+IF($E220="SI",'Parametri Modello'!$B$7*'Info Strategia'!$B$6,0)),0),"")</f>
        <v>3</v>
      </c>
      <c r="G220" s="24">
        <f>IFERROR(ROUND(MAX(1,(IF($V220&lt;=INDEX('Parametri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2</v>
      </c>
      <c r="H220" s="24">
        <f>IFERROR(ROUND((IF($V220&lt;=INDEX('Parametri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3</v>
      </c>
      <c r="I220" s="23">
        <f>IFERROR(INDEX('Input Statistiche 2025_26'!$F$3:$F$665,MATCH($A220,'Input Statistiche 2025_26'!$A$3:$A$665,0)),"")</f>
        <v>29</v>
      </c>
      <c r="J220" s="23">
        <f t="shared" si="27"/>
        <v>9</v>
      </c>
      <c r="K220" s="23">
        <f>IFERROR(INDEX('Input Statistiche 2025_26'!$I$3:$I$665,MATCH($A220,'Input Statistiche 2025_26'!$A$3:$A$665,0)),"")</f>
        <v>1</v>
      </c>
      <c r="L220" s="23">
        <f>IFERROR(INDEX('Input Statistiche 2025_26'!$O$3:$O$665,MATCH($A220,'Input Statistiche 2025_26'!$A$3:$A$665,0)),"")</f>
        <v>5</v>
      </c>
      <c r="M220" s="25"/>
      <c r="N220" s="24">
        <f>IFERROR(INDEX('Input Giocatori 2026_27'!$E$3:$E$493,MATCH($A220,'Input Giocatori 2026_27'!$A$3:$A$493,0)),"")</f>
        <v>5</v>
      </c>
      <c r="O220" s="24">
        <f>IFERROR(INDEX('Input Giocatori 2026_27'!$G$3:$G$493,MATCH($A220,'Input Giocatori 2026_27'!$A$3:$A$493,0)),"")</f>
        <v>15</v>
      </c>
      <c r="P220" s="23" t="str">
        <f>IFERROR(IF($O220="","",IF((1-(COUNTIFS($B$2:$B$492,$B220,$O$2:$O$492,"&gt;"&amp;$O220)+1-1)/COUNTIF($B$2:$B$492,$B220))&gt;='Parametri Modello'!$B$63,"Top",IF((1-(COUNTIFS($B$2:$B$492,$B220,$O$2:$O$492,"&gt;"&amp;$O220)+1-1)/COUNTIF($B$2:$B$492,$B220))&gt;='Parametri Modello'!$B$64,"Buono",IF((1-(COUNTIFS($B$2:$B$492,$B220,$O$2:$O$492,"&gt;"&amp;$O220)+1-1)/COUNTIF($B$2:$B$492,$B220))&gt;='Parametri Modello'!$B$65,"Nella Media","Scommessa/Riserva")))),"")</f>
        <v>Nella Media</v>
      </c>
      <c r="Q220" s="26">
        <f>IF(AND($D220="",$N220&gt;1),SUMPRODUCT(($D$2:$D220="")*($N$2:$N220&gt;1)),"")</f>
        <v>219</v>
      </c>
      <c r="R220" s="26" t="str">
        <f>IF($D220='Info Lega'!$B$28,COUNTIFS($D$2:$D220,'Info Lega'!$B$28),"")</f>
        <v/>
      </c>
      <c r="S220" s="27">
        <f>IFERROR(INDEX('Input Statistiche 2025_26'!$G$3:$G$665,MATCH($A220,'Input Statistiche 2025_26'!$A$3:$A$665,0)),"")</f>
        <v>5.97</v>
      </c>
      <c r="T220" s="27">
        <f>IFERROR(INDEX('Input Statistiche 2025_26'!$H$3:$H$665,MATCH($A220,'Input Statistiche 2025_26'!$A$3:$A$665,0)),"")</f>
        <v>6.1</v>
      </c>
      <c r="U220" s="23" t="str">
        <f>IF(OR('La Mia Rosa'!$O$12="",$D220&lt;&gt;""),"",IF($F220&lt;='La Mia Rosa'!$O$12*'Parametri Modello'!$B$24,"OK",IF($F220&lt;='La Mia Rosa'!$O$12*'Parametri Modello'!$B$25,"Attenzione","Rischio Alto")))</f>
        <v>OK</v>
      </c>
      <c r="V220" s="23">
        <f t="shared" si="28"/>
        <v>61</v>
      </c>
      <c r="W220" s="18">
        <f>'Info Lega'!$B$4-SUMIFS($M$2:$M$492,$D$2:$D$492,'Info Lega'!$B$28)</f>
        <v>1000</v>
      </c>
      <c r="X220" s="18">
        <f>('Info Lega'!$B$5-COUNTIFS($D$2:$D$492,'Info Lega'!$B$28,$B$2:$B$492,"P"))+('Info Lega'!$B$6-COUNTIFS($D$2:$D$492,'Info Lega'!$B$28,$B$2:$B$492,"D"))+('Info Lega'!$B$7-COUNTIFS($D$2:$D$492,'Info Lega'!$B$28,$B$2:$B$492,"C"))+('Info Lega'!$B$8-COUNTIFS($D$2:$D$492,'Info Lega'!$B$28,$B$2:$B$492,"A"))</f>
        <v>25</v>
      </c>
      <c r="Y220" s="18">
        <f>X220*'Parametri Modello'!$B$30</f>
        <v>25</v>
      </c>
      <c r="Z220" s="18">
        <f t="shared" si="29"/>
        <v>975</v>
      </c>
      <c r="AA220" s="18">
        <f t="shared" si="30"/>
        <v>3</v>
      </c>
      <c r="AB220" s="18"/>
      <c r="AC220" s="18" t="str">
        <f>IF($AB220="","",IF($AB220&gt;$AA220,"PASS",IF($AB220&lt;=$AA220*(1-'Parametri Modello'!$B$68),"BID","ATTENZIONE")))</f>
        <v/>
      </c>
      <c r="AD220" s="28">
        <f t="shared" si="31"/>
        <v>62</v>
      </c>
      <c r="AE220" s="5" t="str">
        <f>IFERROR(IF($AF220="Titolare",INDEX('Stato Asta'!$G$9:$G$12,MATCH($B220,'Stato Asta'!$A$9:$A$12,0)),INDEX('Stato Asta'!$P$9:$P$12,MATCH($B220,'Stato Asta'!$A$9:$A$12,0))),"")</f>
        <v>🟢 Riserve abbondanti</v>
      </c>
      <c r="AF220" t="str">
        <f>IFERROR(IF($V220&lt;=INDEX('Parametri Modello'!$C$57:$C$60,MATCH($B220,'Parametri Modello'!$A$57:$A$60,0)),"Titolare","Riserva"),"")</f>
        <v>Riserva</v>
      </c>
      <c r="AG220" t="str">
        <f>IFERROR(INDEX('Pressione Competitiva'!$F$3:$F$6,MATCH($B220,'Pressione Competitiva'!$B$3:$B$6,0)),"")</f>
        <v>🔴 Molto Alta</v>
      </c>
      <c r="AH220" t="str">
        <f t="shared" si="32"/>
        <v/>
      </c>
      <c r="AI220" t="str">
        <f>IFERROR(IF($AH220="","",IF($AH220&gt;=$AA220*'Parametri Modello'!$B$68,"🟢 Opportunita'",IF($AH220&lt;=$AA220*'Parametri Modello'!$B$69,"🔴 Sovrapprezzo","🟡 Prezzo Corretto"))),"")</f>
        <v/>
      </c>
      <c r="AJ220" t="str">
        <f t="shared" si="33"/>
        <v/>
      </c>
      <c r="AK220">
        <f t="shared" si="34"/>
        <v>6</v>
      </c>
      <c r="AL220" t="str">
        <f t="shared" si="35"/>
        <v>D|Nella Media|6</v>
      </c>
    </row>
    <row r="221" spans="1:38" ht="14.25" customHeight="1" x14ac:dyDescent="0.25">
      <c r="A221" s="18">
        <v>4817</v>
      </c>
      <c r="B221" s="18" t="s">
        <v>88</v>
      </c>
      <c r="C221" s="18" t="s">
        <v>171</v>
      </c>
      <c r="E221" s="23" t="str">
        <f>IF(COUNTIF('Info Strategia'!$D$2:$D$51,$C221)&gt;0,"SI","NO")</f>
        <v>NO</v>
      </c>
      <c r="F221" s="24">
        <f>IFERROR(ROUND(($G221+($H221-$G221)*'Info Strategia'!$B$6)*(1+IF($E221="SI",'Parametri Modello'!$B$7*'Info Strategia'!$B$6,0)),0),"")</f>
        <v>3</v>
      </c>
      <c r="G221" s="24">
        <f>IFERROR(ROUND(MAX(1,(IF($V221&lt;=INDEX('Parametri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2</v>
      </c>
      <c r="H221" s="24">
        <f>IFERROR(ROUND((IF($V221&lt;=INDEX('Parametri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3</v>
      </c>
      <c r="I221" s="23" t="str">
        <f>IFERROR(INDEX('Input Statistiche 2025_26'!$F$3:$F$665,MATCH($A221,'Input Statistiche 2025_26'!$A$3:$A$665,0)),"")</f>
        <v/>
      </c>
      <c r="J221" s="23" t="str">
        <f t="shared" si="27"/>
        <v/>
      </c>
      <c r="K221" s="23" t="str">
        <f>IFERROR(INDEX('Input Statistiche 2025_26'!$I$3:$I$665,MATCH($A221,'Input Statistiche 2025_26'!$A$3:$A$665,0)),"")</f>
        <v/>
      </c>
      <c r="L221" s="23" t="str">
        <f>IFERROR(INDEX('Input Statistiche 2025_26'!$O$3:$O$665,MATCH($A221,'Input Statistiche 2025_26'!$A$3:$A$665,0)),"")</f>
        <v/>
      </c>
      <c r="M221" s="25"/>
      <c r="N221" s="24">
        <f>IFERROR(INDEX('Input Giocatori 2026_27'!$E$3:$E$493,MATCH($A221,'Input Giocatori 2026_27'!$A$3:$A$493,0)),"")</f>
        <v>5</v>
      </c>
      <c r="O221" s="24">
        <f>IFERROR(INDEX('Input Giocatori 2026_27'!$G$3:$G$493,MATCH($A221,'Input Giocatori 2026_27'!$A$3:$A$493,0)),"")</f>
        <v>15</v>
      </c>
      <c r="P221" s="23" t="str">
        <f>IFERROR(IF($O221="","",IF((1-(COUNTIFS($B$2:$B$492,$B221,$O$2:$O$492,"&gt;"&amp;$O221)+1-1)/COUNTIF($B$2:$B$492,$B221))&gt;='Parametri Modello'!$B$63,"Top",IF((1-(COUNTIFS($B$2:$B$492,$B221,$O$2:$O$492,"&gt;"&amp;$O221)+1-1)/COUNTIF($B$2:$B$492,$B221))&gt;='Parametri Modello'!$B$64,"Buono",IF((1-(COUNTIFS($B$2:$B$492,$B221,$O$2:$O$492,"&gt;"&amp;$O221)+1-1)/COUNTIF($B$2:$B$492,$B221))&gt;='Parametri Modello'!$B$65,"Nella Media","Scommessa/Riserva")))),"")</f>
        <v>Nella Media</v>
      </c>
      <c r="Q221" s="26">
        <f>IF(AND($D221="",$N221&gt;1),SUMPRODUCT(($D$2:$D221="")*($N$2:$N221&gt;1)),"")</f>
        <v>220</v>
      </c>
      <c r="R221" s="26" t="str">
        <f>IF($D221='Info Lega'!$B$28,COUNTIFS($D$2:$D221,'Info Lega'!$B$28),"")</f>
        <v/>
      </c>
      <c r="S221" s="27" t="str">
        <f>IFERROR(INDEX('Input Statistiche 2025_26'!$G$3:$G$665,MATCH($A221,'Input Statistiche 2025_26'!$A$3:$A$665,0)),"")</f>
        <v/>
      </c>
      <c r="T221" s="27" t="str">
        <f>IFERROR(INDEX('Input Statistiche 2025_26'!$H$3:$H$665,MATCH($A221,'Input Statistiche 2025_26'!$A$3:$A$665,0)),"")</f>
        <v/>
      </c>
      <c r="U221" s="23" t="str">
        <f>IF(OR('La Mia Rosa'!$O$12="",$D221&lt;&gt;""),"",IF($F221&lt;='La Mia Rosa'!$O$12*'Parametri Modello'!$B$24,"OK",IF($F221&lt;='La Mia Rosa'!$O$12*'Parametri Modello'!$B$25,"Attenzione","Rischio Alto")))</f>
        <v>OK</v>
      </c>
      <c r="V221" s="23">
        <f t="shared" si="28"/>
        <v>61</v>
      </c>
      <c r="W221" s="18">
        <f>'Info Lega'!$B$4-SUMIFS($M$2:$M$492,$D$2:$D$492,'Info Lega'!$B$28)</f>
        <v>1000</v>
      </c>
      <c r="X221" s="18">
        <f>('Info Lega'!$B$5-COUNTIFS($D$2:$D$492,'Info Lega'!$B$28,$B$2:$B$492,"P"))+('Info Lega'!$B$6-COUNTIFS($D$2:$D$492,'Info Lega'!$B$28,$B$2:$B$492,"D"))+('Info Lega'!$B$7-COUNTIFS($D$2:$D$492,'Info Lega'!$B$28,$B$2:$B$492,"C"))+('Info Lega'!$B$8-COUNTIFS($D$2:$D$492,'Info Lega'!$B$28,$B$2:$B$492,"A"))</f>
        <v>25</v>
      </c>
      <c r="Y221" s="18">
        <f>X221*'Parametri Modello'!$B$30</f>
        <v>25</v>
      </c>
      <c r="Z221" s="18">
        <f t="shared" si="29"/>
        <v>975</v>
      </c>
      <c r="AA221" s="18">
        <f t="shared" si="30"/>
        <v>3</v>
      </c>
      <c r="AB221" s="18"/>
      <c r="AC221" s="18" t="str">
        <f>IF($AB221="","",IF($AB221&gt;$AA221,"PASS",IF($AB221&lt;=$AA221*(1-'Parametri Modello'!$B$68),"BID","ATTENZIONE")))</f>
        <v/>
      </c>
      <c r="AD221" s="28" t="str">
        <f t="shared" si="31"/>
        <v/>
      </c>
      <c r="AE221" s="5" t="str">
        <f>IFERROR(IF($AF221="Titolare",INDEX('Stato Asta'!$G$9:$G$12,MATCH($B221,'Stato Asta'!$A$9:$A$12,0)),INDEX('Stato Asta'!$P$9:$P$12,MATCH($B221,'Stato Asta'!$A$9:$A$12,0))),"")</f>
        <v>🟢 Riserve abbondanti</v>
      </c>
      <c r="AF221" t="str">
        <f>IFERROR(IF($V221&lt;=INDEX('Parametri Modello'!$C$57:$C$60,MATCH($B221,'Parametri Modello'!$A$57:$A$60,0)),"Titolare","Riserva"),"")</f>
        <v>Riserva</v>
      </c>
      <c r="AG221" t="str">
        <f>IFERROR(INDEX('Pressione Competitiva'!$F$3:$F$6,MATCH($B221,'Pressione Competitiva'!$B$3:$B$6,0)),"")</f>
        <v>🔴 Molto Alta</v>
      </c>
      <c r="AH221" t="str">
        <f t="shared" si="32"/>
        <v/>
      </c>
      <c r="AI221" t="str">
        <f>IFERROR(IF($AH221="","",IF($AH221&gt;=$AA221*'Parametri Modello'!$B$68,"🟢 Opportunita'",IF($AH221&lt;=$AA221*'Parametri Modello'!$B$69,"🔴 Sovrapprezzo","🟡 Prezzo Corretto"))),"")</f>
        <v/>
      </c>
      <c r="AJ221" t="str">
        <f t="shared" si="33"/>
        <v/>
      </c>
      <c r="AK221">
        <f t="shared" si="34"/>
        <v>6</v>
      </c>
      <c r="AL221" t="str">
        <f t="shared" si="35"/>
        <v>D|Nella Media|6</v>
      </c>
    </row>
    <row r="222" spans="1:38" ht="14.25" customHeight="1" x14ac:dyDescent="0.25">
      <c r="A222" s="18">
        <v>6898</v>
      </c>
      <c r="B222" s="18" t="s">
        <v>264</v>
      </c>
      <c r="C222" s="18" t="s">
        <v>359</v>
      </c>
      <c r="E222" s="23" t="str">
        <f>IF(COUNTIF('Info Strategia'!$D$2:$D$51,$C222)&gt;0,"SI","NO")</f>
        <v>NO</v>
      </c>
      <c r="F222" s="24">
        <f>IFERROR(ROUND(($G222+($H222-$G222)*'Info Strategia'!$B$6)*(1+IF($E222="SI",'Parametri Modello'!$B$7*'Info Strategia'!$B$6,0)),0),"")</f>
        <v>2</v>
      </c>
      <c r="G222" s="24">
        <f>IFERROR(ROUND(MAX(1,(IF($V222&lt;=INDEX('Parametri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1</v>
      </c>
      <c r="H222" s="24">
        <f>IFERROR(ROUND((IF($V222&lt;=INDEX('Parametri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2</v>
      </c>
      <c r="I222" s="23">
        <f>IFERROR(INDEX('Input Statistiche 2025_26'!$F$3:$F$665,MATCH($A222,'Input Statistiche 2025_26'!$A$3:$A$665,0)),"")</f>
        <v>36</v>
      </c>
      <c r="J222" s="23">
        <f t="shared" si="27"/>
        <v>2</v>
      </c>
      <c r="K222" s="23">
        <f>IFERROR(INDEX('Input Statistiche 2025_26'!$I$3:$I$665,MATCH($A222,'Input Statistiche 2025_26'!$A$3:$A$665,0)),"")</f>
        <v>1</v>
      </c>
      <c r="L222" s="23">
        <f>IFERROR(INDEX('Input Statistiche 2025_26'!$O$3:$O$665,MATCH($A222,'Input Statistiche 2025_26'!$A$3:$A$665,0)),"")</f>
        <v>1</v>
      </c>
      <c r="M222" s="25"/>
      <c r="N222" s="24">
        <f>IFERROR(INDEX('Input Giocatori 2026_27'!$E$3:$E$493,MATCH($A222,'Input Giocatori 2026_27'!$A$3:$A$493,0)),"")</f>
        <v>5</v>
      </c>
      <c r="O222" s="24">
        <f>IFERROR(INDEX('Input Giocatori 2026_27'!$G$3:$G$493,MATCH($A222,'Input Giocatori 2026_27'!$A$3:$A$493,0)),"")</f>
        <v>15</v>
      </c>
      <c r="P222" s="23" t="str">
        <f>IFERROR(IF($O222="","",IF((1-(COUNTIFS($B$2:$B$492,$B222,$O$2:$O$492,"&gt;"&amp;$O222)+1-1)/COUNTIF($B$2:$B$492,$B222))&gt;='Parametri Modello'!$B$63,"Top",IF((1-(COUNTIFS($B$2:$B$492,$B222,$O$2:$O$492,"&gt;"&amp;$O222)+1-1)/COUNTIF($B$2:$B$492,$B222))&gt;='Parametri Modello'!$B$64,"Buono",IF((1-(COUNTIFS($B$2:$B$492,$B222,$O$2:$O$492,"&gt;"&amp;$O222)+1-1)/COUNTIF($B$2:$B$492,$B222))&gt;='Parametri Modello'!$B$65,"Nella Media","Scommessa/Riserva")))),"")</f>
        <v>Nella Media</v>
      </c>
      <c r="Q222" s="26">
        <f>IF(AND($D222="",$N222&gt;1),SUMPRODUCT(($D$2:$D222="")*($N$2:$N222&gt;1)),"")</f>
        <v>221</v>
      </c>
      <c r="R222" s="26" t="str">
        <f>IF($D222='Info Lega'!$B$28,COUNTIFS($D$2:$D222,'Info Lega'!$B$28),"")</f>
        <v/>
      </c>
      <c r="S222" s="27">
        <f>IFERROR(INDEX('Input Statistiche 2025_26'!$G$3:$G$665,MATCH($A222,'Input Statistiche 2025_26'!$A$3:$A$665,0)),"")</f>
        <v>6.01</v>
      </c>
      <c r="T222" s="27">
        <f>IFERROR(INDEX('Input Statistiche 2025_26'!$H$3:$H$665,MATCH($A222,'Input Statistiche 2025_26'!$A$3:$A$665,0)),"")</f>
        <v>6.06</v>
      </c>
      <c r="U222" s="23" t="str">
        <f>IF(OR('La Mia Rosa'!$O$12="",$D222&lt;&gt;""),"",IF($F222&lt;='La Mia Rosa'!$O$12*'Parametri Modello'!$B$24,"OK",IF($F222&lt;='La Mia Rosa'!$O$12*'Parametri Modello'!$B$25,"Attenzione","Rischio Alto")))</f>
        <v>OK</v>
      </c>
      <c r="V222" s="23">
        <f t="shared" si="28"/>
        <v>83</v>
      </c>
      <c r="W222" s="18">
        <f>'Info Lega'!$B$4-SUMIFS($M$2:$M$492,$D$2:$D$492,'Info Lega'!$B$28)</f>
        <v>1000</v>
      </c>
      <c r="X222" s="18">
        <f>('Info Lega'!$B$5-COUNTIFS($D$2:$D$492,'Info Lega'!$B$28,$B$2:$B$492,"P"))+('Info Lega'!$B$6-COUNTIFS($D$2:$D$492,'Info Lega'!$B$28,$B$2:$B$492,"D"))+('Info Lega'!$B$7-COUNTIFS($D$2:$D$492,'Info Lega'!$B$28,$B$2:$B$492,"C"))+('Info Lega'!$B$8-COUNTIFS($D$2:$D$492,'Info Lega'!$B$28,$B$2:$B$492,"A"))</f>
        <v>25</v>
      </c>
      <c r="Y222" s="18">
        <f>X222*'Parametri Modello'!$B$30</f>
        <v>25</v>
      </c>
      <c r="Z222" s="18">
        <f t="shared" si="29"/>
        <v>975</v>
      </c>
      <c r="AA222" s="18">
        <f t="shared" si="30"/>
        <v>2</v>
      </c>
      <c r="AB222" s="18"/>
      <c r="AC222" s="18" t="str">
        <f>IF($AB222="","",IF($AB222&gt;$AA222,"PASS",IF($AB222&lt;=$AA222*(1-'Parametri Modello'!$B$68),"BID","ATTENZIONE")))</f>
        <v/>
      </c>
      <c r="AD222" s="28">
        <f t="shared" si="31"/>
        <v>70</v>
      </c>
      <c r="AE222" s="5" t="str">
        <f>IFERROR(IF($AF222="Titolare",INDEX('Stato Asta'!$G$9:$G$12,MATCH($B222,'Stato Asta'!$A$9:$A$12,0)),INDEX('Stato Asta'!$P$9:$P$12,MATCH($B222,'Stato Asta'!$A$9:$A$12,0))),"")</f>
        <v>🟢 Riserve abbondanti</v>
      </c>
      <c r="AF222" t="str">
        <f>IFERROR(IF($V222&lt;=INDEX('Parametri Modello'!$C$57:$C$60,MATCH($B222,'Parametri Modello'!$A$57:$A$60,0)),"Titolare","Riserva"),"")</f>
        <v>Riserva</v>
      </c>
      <c r="AG222" t="str">
        <f>IFERROR(INDEX('Pressione Competitiva'!$F$3:$F$6,MATCH($B222,'Pressione Competitiva'!$B$3:$B$6,0)),"")</f>
        <v>🔴 Molto Alta</v>
      </c>
      <c r="AH222" t="str">
        <f t="shared" si="32"/>
        <v/>
      </c>
      <c r="AI222" t="str">
        <f>IFERROR(IF($AH222="","",IF($AH222&gt;=$AA222*'Parametri Modello'!$B$68,"🟢 Opportunita'",IF($AH222&lt;=$AA222*'Parametri Modello'!$B$69,"🔴 Sovrapprezzo","🟡 Prezzo Corretto"))),"")</f>
        <v/>
      </c>
      <c r="AJ222" t="str">
        <f t="shared" si="33"/>
        <v/>
      </c>
      <c r="AK222">
        <f t="shared" si="34"/>
        <v>28</v>
      </c>
      <c r="AL222" t="str">
        <f t="shared" si="35"/>
        <v>C|Nella Media|28</v>
      </c>
    </row>
    <row r="223" spans="1:38" ht="14.25" customHeight="1" x14ac:dyDescent="0.25">
      <c r="A223" s="18">
        <v>2528</v>
      </c>
      <c r="B223" s="18" t="s">
        <v>264</v>
      </c>
      <c r="C223" s="18" t="s">
        <v>362</v>
      </c>
      <c r="E223" s="23" t="str">
        <f>IF(COUNTIF('Info Strategia'!$D$2:$D$51,$C223)&gt;0,"SI","NO")</f>
        <v>NO</v>
      </c>
      <c r="F223" s="24">
        <f>IFERROR(ROUND(($G223+($H223-$G223)*'Info Strategia'!$B$6)*(1+IF($E223="SI",'Parametri Modello'!$B$7*'Info Strategia'!$B$6,0)),0),"")</f>
        <v>2</v>
      </c>
      <c r="G223" s="24">
        <f>IFERROR(ROUND(MAX(1,(IF($V223&lt;=INDEX('Parametri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1</v>
      </c>
      <c r="H223" s="24">
        <f>IFERROR(ROUND((IF($V223&lt;=INDEX('Parametri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2</v>
      </c>
      <c r="I223" s="23">
        <f>IFERROR(INDEX('Input Statistiche 2025_26'!$F$3:$F$665,MATCH($A223,'Input Statistiche 2025_26'!$A$3:$A$665,0)),"")</f>
        <v>34</v>
      </c>
      <c r="J223" s="23">
        <f t="shared" si="27"/>
        <v>4</v>
      </c>
      <c r="K223" s="23">
        <f>IFERROR(INDEX('Input Statistiche 2025_26'!$I$3:$I$665,MATCH($A223,'Input Statistiche 2025_26'!$A$3:$A$665,0)),"")</f>
        <v>1</v>
      </c>
      <c r="L223" s="23">
        <f>IFERROR(INDEX('Input Statistiche 2025_26'!$O$3:$O$665,MATCH($A223,'Input Statistiche 2025_26'!$A$3:$A$665,0)),"")</f>
        <v>1</v>
      </c>
      <c r="M223" s="25"/>
      <c r="N223" s="24">
        <f>IFERROR(INDEX('Input Giocatori 2026_27'!$E$3:$E$493,MATCH($A223,'Input Giocatori 2026_27'!$A$3:$A$493,0)),"")</f>
        <v>5</v>
      </c>
      <c r="O223" s="24">
        <f>IFERROR(INDEX('Input Giocatori 2026_27'!$G$3:$G$493,MATCH($A223,'Input Giocatori 2026_27'!$A$3:$A$493,0)),"")</f>
        <v>15</v>
      </c>
      <c r="P223" s="23" t="str">
        <f>IFERROR(IF($O223="","",IF((1-(COUNTIFS($B$2:$B$492,$B223,$O$2:$O$492,"&gt;"&amp;$O223)+1-1)/COUNTIF($B$2:$B$492,$B223))&gt;='Parametri Modello'!$B$63,"Top",IF((1-(COUNTIFS($B$2:$B$492,$B223,$O$2:$O$492,"&gt;"&amp;$O223)+1-1)/COUNTIF($B$2:$B$492,$B223))&gt;='Parametri Modello'!$B$64,"Buono",IF((1-(COUNTIFS($B$2:$B$492,$B223,$O$2:$O$492,"&gt;"&amp;$O223)+1-1)/COUNTIF($B$2:$B$492,$B223))&gt;='Parametri Modello'!$B$65,"Nella Media","Scommessa/Riserva")))),"")</f>
        <v>Nella Media</v>
      </c>
      <c r="Q223" s="26">
        <f>IF(AND($D223="",$N223&gt;1),SUMPRODUCT(($D$2:$D223="")*($N$2:$N223&gt;1)),"")</f>
        <v>222</v>
      </c>
      <c r="R223" s="26" t="str">
        <f>IF($D223='Info Lega'!$B$28,COUNTIFS($D$2:$D223,'Info Lega'!$B$28),"")</f>
        <v/>
      </c>
      <c r="S223" s="27">
        <f>IFERROR(INDEX('Input Statistiche 2025_26'!$G$3:$G$665,MATCH($A223,'Input Statistiche 2025_26'!$A$3:$A$665,0)),"")</f>
        <v>5.96</v>
      </c>
      <c r="T223" s="27">
        <f>IFERROR(INDEX('Input Statistiche 2025_26'!$H$3:$H$665,MATCH($A223,'Input Statistiche 2025_26'!$A$3:$A$665,0)),"")</f>
        <v>5.96</v>
      </c>
      <c r="U223" s="23" t="str">
        <f>IF(OR('La Mia Rosa'!$O$12="",$D223&lt;&gt;""),"",IF($F223&lt;='La Mia Rosa'!$O$12*'Parametri Modello'!$B$24,"OK",IF($F223&lt;='La Mia Rosa'!$O$12*'Parametri Modello'!$B$25,"Attenzione","Rischio Alto")))</f>
        <v>OK</v>
      </c>
      <c r="V223" s="23">
        <f t="shared" si="28"/>
        <v>83</v>
      </c>
      <c r="W223" s="18">
        <f>'Info Lega'!$B$4-SUMIFS($M$2:$M$492,$D$2:$D$492,'Info Lega'!$B$28)</f>
        <v>1000</v>
      </c>
      <c r="X223" s="18">
        <f>('Info Lega'!$B$5-COUNTIFS($D$2:$D$492,'Info Lega'!$B$28,$B$2:$B$492,"P"))+('Info Lega'!$B$6-COUNTIFS($D$2:$D$492,'Info Lega'!$B$28,$B$2:$B$492,"D"))+('Info Lega'!$B$7-COUNTIFS($D$2:$D$492,'Info Lega'!$B$28,$B$2:$B$492,"C"))+('Info Lega'!$B$8-COUNTIFS($D$2:$D$492,'Info Lega'!$B$28,$B$2:$B$492,"A"))</f>
        <v>25</v>
      </c>
      <c r="Y223" s="18">
        <f>X223*'Parametri Modello'!$B$30</f>
        <v>25</v>
      </c>
      <c r="Z223" s="18">
        <f t="shared" si="29"/>
        <v>975</v>
      </c>
      <c r="AA223" s="18">
        <f t="shared" si="30"/>
        <v>2</v>
      </c>
      <c r="AB223" s="18"/>
      <c r="AC223" s="18" t="str">
        <f>IF($AB223="","",IF($AB223&gt;$AA223,"PASS",IF($AB223&lt;=$AA223*(1-'Parametri Modello'!$B$68),"BID","ATTENZIONE")))</f>
        <v/>
      </c>
      <c r="AD223" s="28">
        <f t="shared" si="31"/>
        <v>68</v>
      </c>
      <c r="AE223" s="5" t="str">
        <f>IFERROR(IF($AF223="Titolare",INDEX('Stato Asta'!$G$9:$G$12,MATCH($B223,'Stato Asta'!$A$9:$A$12,0)),INDEX('Stato Asta'!$P$9:$P$12,MATCH($B223,'Stato Asta'!$A$9:$A$12,0))),"")</f>
        <v>🟢 Riserve abbondanti</v>
      </c>
      <c r="AF223" t="str">
        <f>IFERROR(IF($V223&lt;=INDEX('Parametri Modello'!$C$57:$C$60,MATCH($B223,'Parametri Modello'!$A$57:$A$60,0)),"Titolare","Riserva"),"")</f>
        <v>Riserva</v>
      </c>
      <c r="AG223" t="str">
        <f>IFERROR(INDEX('Pressione Competitiva'!$F$3:$F$6,MATCH($B223,'Pressione Competitiva'!$B$3:$B$6,0)),"")</f>
        <v>🔴 Molto Alta</v>
      </c>
      <c r="AH223" t="str">
        <f t="shared" si="32"/>
        <v/>
      </c>
      <c r="AI223" t="str">
        <f>IFERROR(IF($AH223="","",IF($AH223&gt;=$AA223*'Parametri Modello'!$B$68,"🟢 Opportunita'",IF($AH223&lt;=$AA223*'Parametri Modello'!$B$69,"🔴 Sovrapprezzo","🟡 Prezzo Corretto"))),"")</f>
        <v/>
      </c>
      <c r="AJ223" t="str">
        <f t="shared" si="33"/>
        <v/>
      </c>
      <c r="AK223">
        <f t="shared" si="34"/>
        <v>28</v>
      </c>
      <c r="AL223" t="str">
        <f t="shared" si="35"/>
        <v>C|Nella Media|28</v>
      </c>
    </row>
    <row r="224" spans="1:38" ht="14.25" customHeight="1" x14ac:dyDescent="0.25">
      <c r="A224" s="18">
        <v>7198</v>
      </c>
      <c r="B224" s="18" t="s">
        <v>264</v>
      </c>
      <c r="C224" s="18" t="s">
        <v>367</v>
      </c>
      <c r="E224" s="23" t="str">
        <f>IF(COUNTIF('Info Strategia'!$D$2:$D$51,$C224)&gt;0,"SI","NO")</f>
        <v>NO</v>
      </c>
      <c r="F224" s="24">
        <f>IFERROR(ROUND(($G224+($H224-$G224)*'Info Strategia'!$B$6)*(1+IF($E224="SI",'Parametri Modello'!$B$7*'Info Strategia'!$B$6,0)),0),"")</f>
        <v>2</v>
      </c>
      <c r="G224" s="24">
        <f>IFERROR(ROUND(MAX(1,(IF($V224&lt;=INDEX('Parametri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1</v>
      </c>
      <c r="H224" s="24">
        <f>IFERROR(ROUND((IF($V224&lt;=INDEX('Parametri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2</v>
      </c>
      <c r="I224" s="23">
        <f>IFERROR(INDEX('Input Statistiche 2025_26'!$F$3:$F$665,MATCH($A224,'Input Statistiche 2025_26'!$A$3:$A$665,0)),"")</f>
        <v>30</v>
      </c>
      <c r="J224" s="23">
        <f t="shared" si="27"/>
        <v>8</v>
      </c>
      <c r="K224" s="23">
        <f>IFERROR(INDEX('Input Statistiche 2025_26'!$I$3:$I$665,MATCH($A224,'Input Statistiche 2025_26'!$A$3:$A$665,0)),"")</f>
        <v>1</v>
      </c>
      <c r="L224" s="23">
        <f>IFERROR(INDEX('Input Statistiche 2025_26'!$O$3:$O$665,MATCH($A224,'Input Statistiche 2025_26'!$A$3:$A$665,0)),"")</f>
        <v>0</v>
      </c>
      <c r="M224" s="25"/>
      <c r="N224" s="24">
        <f>IFERROR(INDEX('Input Giocatori 2026_27'!$E$3:$E$493,MATCH($A224,'Input Giocatori 2026_27'!$A$3:$A$493,0)),"")</f>
        <v>5</v>
      </c>
      <c r="O224" s="24">
        <f>IFERROR(INDEX('Input Giocatori 2026_27'!$G$3:$G$493,MATCH($A224,'Input Giocatori 2026_27'!$A$3:$A$493,0)),"")</f>
        <v>15</v>
      </c>
      <c r="P224" s="23" t="str">
        <f>IFERROR(IF($O224="","",IF((1-(COUNTIFS($B$2:$B$492,$B224,$O$2:$O$492,"&gt;"&amp;$O224)+1-1)/COUNTIF($B$2:$B$492,$B224))&gt;='Parametri Modello'!$B$63,"Top",IF((1-(COUNTIFS($B$2:$B$492,$B224,$O$2:$O$492,"&gt;"&amp;$O224)+1-1)/COUNTIF($B$2:$B$492,$B224))&gt;='Parametri Modello'!$B$64,"Buono",IF((1-(COUNTIFS($B$2:$B$492,$B224,$O$2:$O$492,"&gt;"&amp;$O224)+1-1)/COUNTIF($B$2:$B$492,$B224))&gt;='Parametri Modello'!$B$65,"Nella Media","Scommessa/Riserva")))),"")</f>
        <v>Nella Media</v>
      </c>
      <c r="Q224" s="26">
        <f>IF(AND($D224="",$N224&gt;1),SUMPRODUCT(($D$2:$D224="")*($N$2:$N224&gt;1)),"")</f>
        <v>223</v>
      </c>
      <c r="R224" s="26" t="str">
        <f>IF($D224='Info Lega'!$B$28,COUNTIFS($D$2:$D224,'Info Lega'!$B$28),"")</f>
        <v/>
      </c>
      <c r="S224" s="27">
        <f>IFERROR(INDEX('Input Statistiche 2025_26'!$G$3:$G$665,MATCH($A224,'Input Statistiche 2025_26'!$A$3:$A$665,0)),"")</f>
        <v>5.88</v>
      </c>
      <c r="T224" s="27">
        <f>IFERROR(INDEX('Input Statistiche 2025_26'!$H$3:$H$665,MATCH($A224,'Input Statistiche 2025_26'!$A$3:$A$665,0)),"")</f>
        <v>5.95</v>
      </c>
      <c r="U224" s="23" t="str">
        <f>IF(OR('La Mia Rosa'!$O$12="",$D224&lt;&gt;""),"",IF($F224&lt;='La Mia Rosa'!$O$12*'Parametri Modello'!$B$24,"OK",IF($F224&lt;='La Mia Rosa'!$O$12*'Parametri Modello'!$B$25,"Attenzione","Rischio Alto")))</f>
        <v>OK</v>
      </c>
      <c r="V224" s="23">
        <f t="shared" si="28"/>
        <v>83</v>
      </c>
      <c r="W224" s="18">
        <f>'Info Lega'!$B$4-SUMIFS($M$2:$M$492,$D$2:$D$492,'Info Lega'!$B$28)</f>
        <v>1000</v>
      </c>
      <c r="X224" s="18">
        <f>('Info Lega'!$B$5-COUNTIFS($D$2:$D$492,'Info Lega'!$B$28,$B$2:$B$492,"P"))+('Info Lega'!$B$6-COUNTIFS($D$2:$D$492,'Info Lega'!$B$28,$B$2:$B$492,"D"))+('Info Lega'!$B$7-COUNTIFS($D$2:$D$492,'Info Lega'!$B$28,$B$2:$B$492,"C"))+('Info Lega'!$B$8-COUNTIFS($D$2:$D$492,'Info Lega'!$B$28,$B$2:$B$492,"A"))</f>
        <v>25</v>
      </c>
      <c r="Y224" s="18">
        <f>X224*'Parametri Modello'!$B$30</f>
        <v>25</v>
      </c>
      <c r="Z224" s="18">
        <f t="shared" si="29"/>
        <v>975</v>
      </c>
      <c r="AA224" s="18">
        <f t="shared" si="30"/>
        <v>2</v>
      </c>
      <c r="AB224" s="18"/>
      <c r="AC224" s="18" t="str">
        <f>IF($AB224="","",IF($AB224&gt;$AA224,"PASS",IF($AB224&lt;=$AA224*(1-'Parametri Modello'!$B$68),"BID","ATTENZIONE")))</f>
        <v/>
      </c>
      <c r="AD224" s="28">
        <f t="shared" si="31"/>
        <v>63</v>
      </c>
      <c r="AE224" s="5" t="str">
        <f>IFERROR(IF($AF224="Titolare",INDEX('Stato Asta'!$G$9:$G$12,MATCH($B224,'Stato Asta'!$A$9:$A$12,0)),INDEX('Stato Asta'!$P$9:$P$12,MATCH($B224,'Stato Asta'!$A$9:$A$12,0))),"")</f>
        <v>🟢 Riserve abbondanti</v>
      </c>
      <c r="AF224" t="str">
        <f>IFERROR(IF($V224&lt;=INDEX('Parametri Modello'!$C$57:$C$60,MATCH($B224,'Parametri Modello'!$A$57:$A$60,0)),"Titolare","Riserva"),"")</f>
        <v>Riserva</v>
      </c>
      <c r="AG224" t="str">
        <f>IFERROR(INDEX('Pressione Competitiva'!$F$3:$F$6,MATCH($B224,'Pressione Competitiva'!$B$3:$B$6,0)),"")</f>
        <v>🔴 Molto Alta</v>
      </c>
      <c r="AH224" t="str">
        <f t="shared" si="32"/>
        <v/>
      </c>
      <c r="AI224" t="str">
        <f>IFERROR(IF($AH224="","",IF($AH224&gt;=$AA224*'Parametri Modello'!$B$68,"🟢 Opportunita'",IF($AH224&lt;=$AA224*'Parametri Modello'!$B$69,"🔴 Sovrapprezzo","🟡 Prezzo Corretto"))),"")</f>
        <v/>
      </c>
      <c r="AJ224" t="str">
        <f t="shared" si="33"/>
        <v/>
      </c>
      <c r="AK224">
        <f t="shared" si="34"/>
        <v>28</v>
      </c>
      <c r="AL224" t="str">
        <f t="shared" si="35"/>
        <v>C|Nella Media|28</v>
      </c>
    </row>
    <row r="225" spans="1:38" ht="14.25" customHeight="1" x14ac:dyDescent="0.25">
      <c r="A225" s="18">
        <v>6204</v>
      </c>
      <c r="B225" s="18" t="s">
        <v>437</v>
      </c>
      <c r="C225" s="18" t="s">
        <v>501</v>
      </c>
      <c r="E225" s="23" t="str">
        <f>IF(COUNTIF('Info Strategia'!$D$2:$D$51,$C225)&gt;0,"SI","NO")</f>
        <v>NO</v>
      </c>
      <c r="F225" s="24">
        <f>IFERROR(ROUND(($G225+($H225-$G225)*'Info Strategia'!$B$6)*(1+IF($E225="SI",'Parametri Modello'!$B$7*'Info Strategia'!$B$6,0)),0),"")</f>
        <v>5</v>
      </c>
      <c r="G225" s="24">
        <f>IFERROR(ROUND(MAX(1,(IF($V225&lt;=INDEX('Parametri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3</v>
      </c>
      <c r="H225" s="24">
        <f>IFERROR(ROUND((IF($V225&lt;=INDEX('Parametri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6</v>
      </c>
      <c r="I225" s="23" t="str">
        <f>IFERROR(INDEX('Input Statistiche 2025_26'!$F$3:$F$665,MATCH($A225,'Input Statistiche 2025_26'!$A$3:$A$665,0)),"")</f>
        <v/>
      </c>
      <c r="J225" s="23" t="str">
        <f t="shared" si="27"/>
        <v/>
      </c>
      <c r="K225" s="23" t="str">
        <f>IFERROR(INDEX('Input Statistiche 2025_26'!$I$3:$I$665,MATCH($A225,'Input Statistiche 2025_26'!$A$3:$A$665,0)),"")</f>
        <v/>
      </c>
      <c r="L225" s="23" t="str">
        <f>IFERROR(INDEX('Input Statistiche 2025_26'!$O$3:$O$665,MATCH($A225,'Input Statistiche 2025_26'!$A$3:$A$665,0)),"")</f>
        <v/>
      </c>
      <c r="M225" s="25"/>
      <c r="N225" s="24">
        <f>IFERROR(INDEX('Input Giocatori 2026_27'!$E$3:$E$493,MATCH($A225,'Input Giocatori 2026_27'!$A$3:$A$493,0)),"")</f>
        <v>4</v>
      </c>
      <c r="O225" s="24">
        <f>IFERROR(INDEX('Input Giocatori 2026_27'!$G$3:$G$493,MATCH($A225,'Input Giocatori 2026_27'!$A$3:$A$493,0)),"")</f>
        <v>15</v>
      </c>
      <c r="P225" s="23" t="str">
        <f>IFERROR(IF($O225="","",IF((1-(COUNTIFS($B$2:$B$492,$B225,$O$2:$O$492,"&gt;"&amp;$O225)+1-1)/COUNTIF($B$2:$B$492,$B225))&gt;='Parametri Modello'!$B$63,"Top",IF((1-(COUNTIFS($B$2:$B$492,$B225,$O$2:$O$492,"&gt;"&amp;$O225)+1-1)/COUNTIF($B$2:$B$492,$B225))&gt;='Parametri Modello'!$B$64,"Buono",IF((1-(COUNTIFS($B$2:$B$492,$B225,$O$2:$O$492,"&gt;"&amp;$O225)+1-1)/COUNTIF($B$2:$B$492,$B225))&gt;='Parametri Modello'!$B$65,"Nella Media","Scommessa/Riserva")))),"")</f>
        <v>Scommessa/Riserva</v>
      </c>
      <c r="Q225" s="26">
        <f>IF(AND($D225="",$N225&gt;1),SUMPRODUCT(($D$2:$D225="")*($N$2:$N225&gt;1)),"")</f>
        <v>224</v>
      </c>
      <c r="R225" s="26" t="str">
        <f>IF($D225='Info Lega'!$B$28,COUNTIFS($D$2:$D225,'Info Lega'!$B$28),"")</f>
        <v/>
      </c>
      <c r="S225" s="27" t="str">
        <f>IFERROR(INDEX('Input Statistiche 2025_26'!$G$3:$G$665,MATCH($A225,'Input Statistiche 2025_26'!$A$3:$A$665,0)),"")</f>
        <v/>
      </c>
      <c r="T225" s="27" t="str">
        <f>IFERROR(INDEX('Input Statistiche 2025_26'!$H$3:$H$665,MATCH($A225,'Input Statistiche 2025_26'!$A$3:$A$665,0)),"")</f>
        <v/>
      </c>
      <c r="U225" s="23" t="str">
        <f>IF(OR('La Mia Rosa'!$O$12="",$D225&lt;&gt;""),"",IF($F225&lt;='La Mia Rosa'!$O$12*'Parametri Modello'!$B$24,"OK",IF($F225&lt;='La Mia Rosa'!$O$12*'Parametri Modello'!$B$25,"Attenzione","Rischio Alto")))</f>
        <v>OK</v>
      </c>
      <c r="V225" s="23">
        <f t="shared" si="28"/>
        <v>57</v>
      </c>
      <c r="W225" s="18">
        <f>'Info Lega'!$B$4-SUMIFS($M$2:$M$492,$D$2:$D$492,'Info Lega'!$B$28)</f>
        <v>1000</v>
      </c>
      <c r="X225" s="18">
        <f>('Info Lega'!$B$5-COUNTIFS($D$2:$D$492,'Info Lega'!$B$28,$B$2:$B$492,"P"))+('Info Lega'!$B$6-COUNTIFS($D$2:$D$492,'Info Lega'!$B$28,$B$2:$B$492,"D"))+('Info Lega'!$B$7-COUNTIFS($D$2:$D$492,'Info Lega'!$B$28,$B$2:$B$492,"C"))+('Info Lega'!$B$8-COUNTIFS($D$2:$D$492,'Info Lega'!$B$28,$B$2:$B$492,"A"))</f>
        <v>25</v>
      </c>
      <c r="Y225" s="18">
        <f>X225*'Parametri Modello'!$B$30</f>
        <v>25</v>
      </c>
      <c r="Z225" s="18">
        <f t="shared" si="29"/>
        <v>975</v>
      </c>
      <c r="AA225" s="18">
        <f t="shared" si="30"/>
        <v>5</v>
      </c>
      <c r="AB225" s="18"/>
      <c r="AC225" s="18" t="str">
        <f>IF($AB225="","",IF($AB225&gt;$AA225,"PASS",IF($AB225&lt;=$AA225*(1-'Parametri Modello'!$B$68),"BID","ATTENZIONE")))</f>
        <v/>
      </c>
      <c r="AD225" s="28" t="str">
        <f t="shared" si="31"/>
        <v/>
      </c>
      <c r="AE225" s="5" t="str">
        <f>IFERROR(IF($AF225="Titolare",INDEX('Stato Asta'!$G$9:$G$12,MATCH($B225,'Stato Asta'!$A$9:$A$12,0)),INDEX('Stato Asta'!$P$9:$P$12,MATCH($B225,'Stato Asta'!$A$9:$A$12,0))),"")</f>
        <v>🟢 Riserve abbondanti</v>
      </c>
      <c r="AF225" t="str">
        <f>IFERROR(IF($V225&lt;=INDEX('Parametri Modello'!$C$57:$C$60,MATCH($B225,'Parametri Modello'!$A$57:$A$60,0)),"Titolare","Riserva"),"")</f>
        <v>Riserva</v>
      </c>
      <c r="AG225" t="str">
        <f>IFERROR(INDEX('Pressione Competitiva'!$F$3:$F$6,MATCH($B225,'Pressione Competitiva'!$B$3:$B$6,0)),"")</f>
        <v>🔴 Molto Alta</v>
      </c>
      <c r="AH225" t="str">
        <f t="shared" si="32"/>
        <v/>
      </c>
      <c r="AI225" t="str">
        <f>IFERROR(IF($AH225="","",IF($AH225&gt;=$AA225*'Parametri Modello'!$B$68,"🟢 Opportunita'",IF($AH225&lt;=$AA225*'Parametri Modello'!$B$69,"🔴 Sovrapprezzo","🟡 Prezzo Corretto"))),"")</f>
        <v/>
      </c>
      <c r="AJ225" t="str">
        <f t="shared" si="33"/>
        <v/>
      </c>
      <c r="AK225">
        <f t="shared" si="34"/>
        <v>3</v>
      </c>
      <c r="AL225" t="str">
        <f t="shared" si="35"/>
        <v>A|Scommessa/Riserva|3</v>
      </c>
    </row>
    <row r="226" spans="1:38" ht="14.25" customHeight="1" x14ac:dyDescent="0.25">
      <c r="A226" s="18">
        <v>6248</v>
      </c>
      <c r="B226" s="18" t="s">
        <v>8</v>
      </c>
      <c r="C226" s="18" t="s">
        <v>43</v>
      </c>
      <c r="E226" s="23" t="str">
        <f>IF(COUNTIF('Info Strategia'!$D$2:$D$51,$C226)&gt;0,"SI","NO")</f>
        <v>NO</v>
      </c>
      <c r="F226" s="24">
        <f>IFERROR(ROUND(($G226+($H226-$G226)*'Info Strategia'!$B$6)*(1+IF($E226="SI",'Parametri Modello'!$B$7*'Info Strategia'!$B$6,0)),0),"")</f>
        <v>5</v>
      </c>
      <c r="G226" s="24">
        <f>IFERROR(ROUND(MAX(1,(IF($V226&lt;=INDEX('Parametri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4</v>
      </c>
      <c r="H226" s="24">
        <f>IFERROR(ROUND((IF($V226&lt;=INDEX('Parametri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5</v>
      </c>
      <c r="I226" s="23" t="str">
        <f>IFERROR(INDEX('Input Statistiche 2025_26'!$F$3:$F$665,MATCH($A226,'Input Statistiche 2025_26'!$A$3:$A$665,0)),"")</f>
        <v/>
      </c>
      <c r="J226" s="23" t="str">
        <f t="shared" si="27"/>
        <v/>
      </c>
      <c r="K226" s="23" t="str">
        <f>IFERROR(INDEX('Input Statistiche 2025_26'!$I$3:$I$665,MATCH($A226,'Input Statistiche 2025_26'!$A$3:$A$665,0)),"")</f>
        <v/>
      </c>
      <c r="L226" s="23" t="str">
        <f>IFERROR(INDEX('Input Statistiche 2025_26'!$O$3:$O$665,MATCH($A226,'Input Statistiche 2025_26'!$A$3:$A$665,0)),"")</f>
        <v/>
      </c>
      <c r="M226" s="25"/>
      <c r="N226" s="24">
        <f>IFERROR(INDEX('Input Giocatori 2026_27'!$E$3:$E$493,MATCH($A226,'Input Giocatori 2026_27'!$A$3:$A$493,0)),"")</f>
        <v>6</v>
      </c>
      <c r="O226" s="24">
        <f>IFERROR(INDEX('Input Giocatori 2026_27'!$G$3:$G$493,MATCH($A226,'Input Giocatori 2026_27'!$A$3:$A$493,0)),"")</f>
        <v>14</v>
      </c>
      <c r="P226" s="23" t="str">
        <f>IFERROR(IF($O226="","",IF((1-(COUNTIFS($B$2:$B$492,$B226,$O$2:$O$492,"&gt;"&amp;$O226)+1-1)/COUNTIF($B$2:$B$492,$B226))&gt;='Parametri Modello'!$B$63,"Top",IF((1-(COUNTIFS($B$2:$B$492,$B226,$O$2:$O$492,"&gt;"&amp;$O226)+1-1)/COUNTIF($B$2:$B$492,$B226))&gt;='Parametri Modello'!$B$64,"Buono",IF((1-(COUNTIFS($B$2:$B$492,$B226,$O$2:$O$492,"&gt;"&amp;$O226)+1-1)/COUNTIF($B$2:$B$492,$B226))&gt;='Parametri Modello'!$B$65,"Nella Media","Scommessa/Riserva")))),"")</f>
        <v>Buono</v>
      </c>
      <c r="Q226" s="26">
        <f>IF(AND($D226="",$N226&gt;1),SUMPRODUCT(($D$2:$D226="")*($N$2:$N226&gt;1)),"")</f>
        <v>225</v>
      </c>
      <c r="R226" s="26" t="str">
        <f>IF($D226='Info Lega'!$B$28,COUNTIFS($D$2:$D226,'Info Lega'!$B$28),"")</f>
        <v/>
      </c>
      <c r="S226" s="27" t="str">
        <f>IFERROR(INDEX('Input Statistiche 2025_26'!$G$3:$G$665,MATCH($A226,'Input Statistiche 2025_26'!$A$3:$A$665,0)),"")</f>
        <v/>
      </c>
      <c r="T226" s="27" t="str">
        <f>IFERROR(INDEX('Input Statistiche 2025_26'!$H$3:$H$665,MATCH($A226,'Input Statistiche 2025_26'!$A$3:$A$665,0)),"")</f>
        <v/>
      </c>
      <c r="U226" s="23" t="str">
        <f>IF(OR('La Mia Rosa'!$O$12="",$D226&lt;&gt;""),"",IF($F226&lt;='La Mia Rosa'!$O$12*'Parametri Modello'!$B$24,"OK",IF($F226&lt;='La Mia Rosa'!$O$12*'Parametri Modello'!$B$25,"Attenzione","Rischio Alto")))</f>
        <v>OK</v>
      </c>
      <c r="V226" s="23">
        <f t="shared" si="28"/>
        <v>17</v>
      </c>
      <c r="W226" s="18">
        <f>'Info Lega'!$B$4-SUMIFS($M$2:$M$492,$D$2:$D$492,'Info Lega'!$B$28)</f>
        <v>1000</v>
      </c>
      <c r="X226" s="18">
        <f>('Info Lega'!$B$5-COUNTIFS($D$2:$D$492,'Info Lega'!$B$28,$B$2:$B$492,"P"))+('Info Lega'!$B$6-COUNTIFS($D$2:$D$492,'Info Lega'!$B$28,$B$2:$B$492,"D"))+('Info Lega'!$B$7-COUNTIFS($D$2:$D$492,'Info Lega'!$B$28,$B$2:$B$492,"C"))+('Info Lega'!$B$8-COUNTIFS($D$2:$D$492,'Info Lega'!$B$28,$B$2:$B$492,"A"))</f>
        <v>25</v>
      </c>
      <c r="Y226" s="18">
        <f>X226*'Parametri Modello'!$B$30</f>
        <v>25</v>
      </c>
      <c r="Z226" s="18">
        <f t="shared" si="29"/>
        <v>975</v>
      </c>
      <c r="AA226" s="18">
        <f t="shared" si="30"/>
        <v>5</v>
      </c>
      <c r="AB226" s="18"/>
      <c r="AC226" s="18" t="str">
        <f>IF($AB226="","",IF($AB226&gt;$AA226,"PASS",IF($AB226&lt;=$AA226*(1-'Parametri Modello'!$B$68),"BID","ATTENZIONE")))</f>
        <v/>
      </c>
      <c r="AD226" s="28" t="str">
        <f t="shared" si="31"/>
        <v/>
      </c>
      <c r="AE226" s="5" t="str">
        <f>IFERROR(IF($AF226="Titolare",INDEX('Stato Asta'!$G$9:$G$12,MATCH($B226,'Stato Asta'!$A$9:$A$12,0)),INDEX('Stato Asta'!$P$9:$P$12,MATCH($B226,'Stato Asta'!$A$9:$A$12,0))),"")</f>
        <v>🔴 Riserve scarse</v>
      </c>
      <c r="AF226" t="str">
        <f>IFERROR(IF($V226&lt;=INDEX('Parametri Modello'!$C$57:$C$60,MATCH($B226,'Parametri Modello'!$A$57:$A$60,0)),"Titolare","Riserva"),"")</f>
        <v>Riserva</v>
      </c>
      <c r="AG226" t="str">
        <f>IFERROR(INDEX('Pressione Competitiva'!$F$3:$F$6,MATCH($B226,'Pressione Competitiva'!$B$3:$B$6,0)),"")</f>
        <v>🔴 Molto Alta</v>
      </c>
      <c r="AH226" t="str">
        <f t="shared" si="32"/>
        <v/>
      </c>
      <c r="AI226" t="str">
        <f>IFERROR(IF($AH226="","",IF($AH226&gt;=$AA226*'Parametri Modello'!$B$68,"🟢 Opportunita'",IF($AH226&lt;=$AA226*'Parametri Modello'!$B$69,"🔴 Sovrapprezzo","🟡 Prezzo Corretto"))),"")</f>
        <v/>
      </c>
      <c r="AJ226" t="str">
        <f t="shared" si="33"/>
        <v/>
      </c>
      <c r="AK226">
        <f t="shared" si="34"/>
        <v>10</v>
      </c>
      <c r="AL226" t="str">
        <f t="shared" si="35"/>
        <v>P|Buono|10</v>
      </c>
    </row>
    <row r="227" spans="1:38" ht="14.25" customHeight="1" x14ac:dyDescent="0.25">
      <c r="A227" s="18">
        <v>5701</v>
      </c>
      <c r="B227" s="18" t="s">
        <v>88</v>
      </c>
      <c r="C227" s="18" t="s">
        <v>127</v>
      </c>
      <c r="E227" s="23" t="str">
        <f>IF(COUNTIF('Info Strategia'!$D$2:$D$51,$C227)&gt;0,"SI","NO")</f>
        <v>NO</v>
      </c>
      <c r="F227" s="24">
        <f>IFERROR(ROUND(($G227+($H227-$G227)*'Info Strategia'!$B$6)*(1+IF($E227="SI",'Parametri Modello'!$B$7*'Info Strategia'!$B$6,0)),0),"")</f>
        <v>3</v>
      </c>
      <c r="G227" s="24">
        <f>IFERROR(ROUND(MAX(1,(IF($V227&lt;=INDEX('Parametri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2</v>
      </c>
      <c r="H227" s="24">
        <f>IFERROR(ROUND((IF($V227&lt;=INDEX('Parametri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3</v>
      </c>
      <c r="I227" s="23">
        <f>IFERROR(INDEX('Input Statistiche 2025_26'!$F$3:$F$665,MATCH($A227,'Input Statistiche 2025_26'!$A$3:$A$665,0)),"")</f>
        <v>34</v>
      </c>
      <c r="J227" s="23">
        <f t="shared" si="27"/>
        <v>4</v>
      </c>
      <c r="K227" s="23">
        <f>IFERROR(INDEX('Input Statistiche 2025_26'!$I$3:$I$665,MATCH($A227,'Input Statistiche 2025_26'!$A$3:$A$665,0)),"")</f>
        <v>0</v>
      </c>
      <c r="L227" s="23">
        <f>IFERROR(INDEX('Input Statistiche 2025_26'!$O$3:$O$665,MATCH($A227,'Input Statistiche 2025_26'!$A$3:$A$665,0)),"")</f>
        <v>3</v>
      </c>
      <c r="M227" s="25"/>
      <c r="N227" s="24">
        <f>IFERROR(INDEX('Input Giocatori 2026_27'!$E$3:$E$493,MATCH($A227,'Input Giocatori 2026_27'!$A$3:$A$493,0)),"")</f>
        <v>7</v>
      </c>
      <c r="O227" s="24">
        <f>IFERROR(INDEX('Input Giocatori 2026_27'!$G$3:$G$493,MATCH($A227,'Input Giocatori 2026_27'!$A$3:$A$493,0)),"")</f>
        <v>14</v>
      </c>
      <c r="P227" s="23" t="str">
        <f>IFERROR(IF($O227="","",IF((1-(COUNTIFS($B$2:$B$492,$B227,$O$2:$O$492,"&gt;"&amp;$O227)+1-1)/COUNTIF($B$2:$B$492,$B227))&gt;='Parametri Modello'!$B$63,"Top",IF((1-(COUNTIFS($B$2:$B$492,$B227,$O$2:$O$492,"&gt;"&amp;$O227)+1-1)/COUNTIF($B$2:$B$492,$B227))&gt;='Parametri Modello'!$B$64,"Buono",IF((1-(COUNTIFS($B$2:$B$492,$B227,$O$2:$O$492,"&gt;"&amp;$O227)+1-1)/COUNTIF($B$2:$B$492,$B227))&gt;='Parametri Modello'!$B$65,"Nella Media","Scommessa/Riserva")))),"")</f>
        <v>Nella Media</v>
      </c>
      <c r="Q227" s="26">
        <f>IF(AND($D227="",$N227&gt;1),SUMPRODUCT(($D$2:$D227="")*($N$2:$N227&gt;1)),"")</f>
        <v>226</v>
      </c>
      <c r="R227" s="26" t="str">
        <f>IF($D227='Info Lega'!$B$28,COUNTIFS($D$2:$D227,'Info Lega'!$B$28),"")</f>
        <v/>
      </c>
      <c r="S227" s="27">
        <f>IFERROR(INDEX('Input Statistiche 2025_26'!$G$3:$G$665,MATCH($A227,'Input Statistiche 2025_26'!$A$3:$A$665,0)),"")</f>
        <v>5.88</v>
      </c>
      <c r="T227" s="27">
        <f>IFERROR(INDEX('Input Statistiche 2025_26'!$H$3:$H$665,MATCH($A227,'Input Statistiche 2025_26'!$A$3:$A$665,0)),"")</f>
        <v>5.82</v>
      </c>
      <c r="U227" s="23" t="str">
        <f>IF(OR('La Mia Rosa'!$O$12="",$D227&lt;&gt;""),"",IF($F227&lt;='La Mia Rosa'!$O$12*'Parametri Modello'!$B$24,"OK",IF($F227&lt;='La Mia Rosa'!$O$12*'Parametri Modello'!$B$25,"Attenzione","Rischio Alto")))</f>
        <v>OK</v>
      </c>
      <c r="V227" s="23">
        <f t="shared" si="28"/>
        <v>67</v>
      </c>
      <c r="W227" s="18">
        <f>'Info Lega'!$B$4-SUMIFS($M$2:$M$492,$D$2:$D$492,'Info Lega'!$B$28)</f>
        <v>1000</v>
      </c>
      <c r="X227" s="18">
        <f>('Info Lega'!$B$5-COUNTIFS($D$2:$D$492,'Info Lega'!$B$28,$B$2:$B$492,"P"))+('Info Lega'!$B$6-COUNTIFS($D$2:$D$492,'Info Lega'!$B$28,$B$2:$B$492,"D"))+('Info Lega'!$B$7-COUNTIFS($D$2:$D$492,'Info Lega'!$B$28,$B$2:$B$492,"C"))+('Info Lega'!$B$8-COUNTIFS($D$2:$D$492,'Info Lega'!$B$28,$B$2:$B$492,"A"))</f>
        <v>25</v>
      </c>
      <c r="Y227" s="18">
        <f>X227*'Parametri Modello'!$B$30</f>
        <v>25</v>
      </c>
      <c r="Z227" s="18">
        <f t="shared" si="29"/>
        <v>975</v>
      </c>
      <c r="AA227" s="18">
        <f t="shared" si="30"/>
        <v>3</v>
      </c>
      <c r="AB227" s="18"/>
      <c r="AC227" s="18" t="str">
        <f>IF($AB227="","",IF($AB227&gt;$AA227,"PASS",IF($AB227&lt;=$AA227*(1-'Parametri Modello'!$B$68),"BID","ATTENZIONE")))</f>
        <v/>
      </c>
      <c r="AD227" s="28">
        <f t="shared" si="31"/>
        <v>68</v>
      </c>
      <c r="AE227" s="5" t="str">
        <f>IFERROR(IF($AF227="Titolare",INDEX('Stato Asta'!$G$9:$G$12,MATCH($B227,'Stato Asta'!$A$9:$A$12,0)),INDEX('Stato Asta'!$P$9:$P$12,MATCH($B227,'Stato Asta'!$A$9:$A$12,0))),"")</f>
        <v>🟢 Riserve abbondanti</v>
      </c>
      <c r="AF227" t="str">
        <f>IFERROR(IF($V227&lt;=INDEX('Parametri Modello'!$C$57:$C$60,MATCH($B227,'Parametri Modello'!$A$57:$A$60,0)),"Titolare","Riserva"),"")</f>
        <v>Riserva</v>
      </c>
      <c r="AG227" t="str">
        <f>IFERROR(INDEX('Pressione Competitiva'!$F$3:$F$6,MATCH($B227,'Pressione Competitiva'!$B$3:$B$6,0)),"")</f>
        <v>🔴 Molto Alta</v>
      </c>
      <c r="AH227" t="str">
        <f t="shared" si="32"/>
        <v/>
      </c>
      <c r="AI227" t="str">
        <f>IFERROR(IF($AH227="","",IF($AH227&gt;=$AA227*'Parametri Modello'!$B$68,"🟢 Opportunita'",IF($AH227&lt;=$AA227*'Parametri Modello'!$B$69,"🔴 Sovrapprezzo","🟡 Prezzo Corretto"))),"")</f>
        <v/>
      </c>
      <c r="AJ227" t="str">
        <f t="shared" si="33"/>
        <v/>
      </c>
      <c r="AK227">
        <f t="shared" si="34"/>
        <v>12</v>
      </c>
      <c r="AL227" t="str">
        <f t="shared" si="35"/>
        <v>D|Nella Media|12</v>
      </c>
    </row>
    <row r="228" spans="1:38" ht="14.25" customHeight="1" x14ac:dyDescent="0.25">
      <c r="A228" s="18">
        <v>4952</v>
      </c>
      <c r="B228" s="18" t="s">
        <v>88</v>
      </c>
      <c r="C228" s="18" t="s">
        <v>148</v>
      </c>
      <c r="E228" s="23" t="str">
        <f>IF(COUNTIF('Info Strategia'!$D$2:$D$51,$C228)&gt;0,"SI","NO")</f>
        <v>NO</v>
      </c>
      <c r="F228" s="24">
        <f>IFERROR(ROUND(($G228+($H228-$G228)*'Info Strategia'!$B$6)*(1+IF($E228="SI",'Parametri Modello'!$B$7*'Info Strategia'!$B$6,0)),0),"")</f>
        <v>3</v>
      </c>
      <c r="G228" s="24">
        <f>IFERROR(ROUND(MAX(1,(IF($V228&lt;=INDEX('Parametri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2</v>
      </c>
      <c r="H228" s="24">
        <f>IFERROR(ROUND((IF($V228&lt;=INDEX('Parametri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3</v>
      </c>
      <c r="I228" s="23" t="str">
        <f>IFERROR(INDEX('Input Statistiche 2025_26'!$F$3:$F$665,MATCH($A228,'Input Statistiche 2025_26'!$A$3:$A$665,0)),"")</f>
        <v/>
      </c>
      <c r="J228" s="23" t="str">
        <f t="shared" si="27"/>
        <v/>
      </c>
      <c r="K228" s="23" t="str">
        <f>IFERROR(INDEX('Input Statistiche 2025_26'!$I$3:$I$665,MATCH($A228,'Input Statistiche 2025_26'!$A$3:$A$665,0)),"")</f>
        <v/>
      </c>
      <c r="L228" s="23" t="str">
        <f>IFERROR(INDEX('Input Statistiche 2025_26'!$O$3:$O$665,MATCH($A228,'Input Statistiche 2025_26'!$A$3:$A$665,0)),"")</f>
        <v/>
      </c>
      <c r="M228" s="25"/>
      <c r="N228" s="24">
        <f>IFERROR(INDEX('Input Giocatori 2026_27'!$E$3:$E$493,MATCH($A228,'Input Giocatori 2026_27'!$A$3:$A$493,0)),"")</f>
        <v>6</v>
      </c>
      <c r="O228" s="24">
        <f>IFERROR(INDEX('Input Giocatori 2026_27'!$G$3:$G$493,MATCH($A228,'Input Giocatori 2026_27'!$A$3:$A$493,0)),"")</f>
        <v>14</v>
      </c>
      <c r="P228" s="23" t="str">
        <f>IFERROR(IF($O228="","",IF((1-(COUNTIFS($B$2:$B$492,$B228,$O$2:$O$492,"&gt;"&amp;$O228)+1-1)/COUNTIF($B$2:$B$492,$B228))&gt;='Parametri Modello'!$B$63,"Top",IF((1-(COUNTIFS($B$2:$B$492,$B228,$O$2:$O$492,"&gt;"&amp;$O228)+1-1)/COUNTIF($B$2:$B$492,$B228))&gt;='Parametri Modello'!$B$64,"Buono",IF((1-(COUNTIFS($B$2:$B$492,$B228,$O$2:$O$492,"&gt;"&amp;$O228)+1-1)/COUNTIF($B$2:$B$492,$B228))&gt;='Parametri Modello'!$B$65,"Nella Media","Scommessa/Riserva")))),"")</f>
        <v>Nella Media</v>
      </c>
      <c r="Q228" s="26">
        <f>IF(AND($D228="",$N228&gt;1),SUMPRODUCT(($D$2:$D228="")*($N$2:$N228&gt;1)),"")</f>
        <v>227</v>
      </c>
      <c r="R228" s="26" t="str">
        <f>IF($D228='Info Lega'!$B$28,COUNTIFS($D$2:$D228,'Info Lega'!$B$28),"")</f>
        <v/>
      </c>
      <c r="S228" s="27" t="str">
        <f>IFERROR(INDEX('Input Statistiche 2025_26'!$G$3:$G$665,MATCH($A228,'Input Statistiche 2025_26'!$A$3:$A$665,0)),"")</f>
        <v/>
      </c>
      <c r="T228" s="27" t="str">
        <f>IFERROR(INDEX('Input Statistiche 2025_26'!$H$3:$H$665,MATCH($A228,'Input Statistiche 2025_26'!$A$3:$A$665,0)),"")</f>
        <v/>
      </c>
      <c r="U228" s="23" t="str">
        <f>IF(OR('La Mia Rosa'!$O$12="",$D228&lt;&gt;""),"",IF($F228&lt;='La Mia Rosa'!$O$12*'Parametri Modello'!$B$24,"OK",IF($F228&lt;='La Mia Rosa'!$O$12*'Parametri Modello'!$B$25,"Attenzione","Rischio Alto")))</f>
        <v>OK</v>
      </c>
      <c r="V228" s="23">
        <f t="shared" si="28"/>
        <v>67</v>
      </c>
      <c r="W228" s="18">
        <f>'Info Lega'!$B$4-SUMIFS($M$2:$M$492,$D$2:$D$492,'Info Lega'!$B$28)</f>
        <v>1000</v>
      </c>
      <c r="X228" s="18">
        <f>('Info Lega'!$B$5-COUNTIFS($D$2:$D$492,'Info Lega'!$B$28,$B$2:$B$492,"P"))+('Info Lega'!$B$6-COUNTIFS($D$2:$D$492,'Info Lega'!$B$28,$B$2:$B$492,"D"))+('Info Lega'!$B$7-COUNTIFS($D$2:$D$492,'Info Lega'!$B$28,$B$2:$B$492,"C"))+('Info Lega'!$B$8-COUNTIFS($D$2:$D$492,'Info Lega'!$B$28,$B$2:$B$492,"A"))</f>
        <v>25</v>
      </c>
      <c r="Y228" s="18">
        <f>X228*'Parametri Modello'!$B$30</f>
        <v>25</v>
      </c>
      <c r="Z228" s="18">
        <f t="shared" si="29"/>
        <v>975</v>
      </c>
      <c r="AA228" s="18">
        <f t="shared" si="30"/>
        <v>3</v>
      </c>
      <c r="AB228" s="18"/>
      <c r="AC228" s="18" t="str">
        <f>IF($AB228="","",IF($AB228&gt;$AA228,"PASS",IF($AB228&lt;=$AA228*(1-'Parametri Modello'!$B$68),"BID","ATTENZIONE")))</f>
        <v/>
      </c>
      <c r="AD228" s="28" t="str">
        <f t="shared" si="31"/>
        <v/>
      </c>
      <c r="AE228" s="5" t="str">
        <f>IFERROR(IF($AF228="Titolare",INDEX('Stato Asta'!$G$9:$G$12,MATCH($B228,'Stato Asta'!$A$9:$A$12,0)),INDEX('Stato Asta'!$P$9:$P$12,MATCH($B228,'Stato Asta'!$A$9:$A$12,0))),"")</f>
        <v>🟢 Riserve abbondanti</v>
      </c>
      <c r="AF228" t="str">
        <f>IFERROR(IF($V228&lt;=INDEX('Parametri Modello'!$C$57:$C$60,MATCH($B228,'Parametri Modello'!$A$57:$A$60,0)),"Titolare","Riserva"),"")</f>
        <v>Riserva</v>
      </c>
      <c r="AG228" t="str">
        <f>IFERROR(INDEX('Pressione Competitiva'!$F$3:$F$6,MATCH($B228,'Pressione Competitiva'!$B$3:$B$6,0)),"")</f>
        <v>🔴 Molto Alta</v>
      </c>
      <c r="AH228" t="str">
        <f t="shared" si="32"/>
        <v/>
      </c>
      <c r="AI228" t="str">
        <f>IFERROR(IF($AH228="","",IF($AH228&gt;=$AA228*'Parametri Modello'!$B$68,"🟢 Opportunita'",IF($AH228&lt;=$AA228*'Parametri Modello'!$B$69,"🔴 Sovrapprezzo","🟡 Prezzo Corretto"))),"")</f>
        <v/>
      </c>
      <c r="AJ228" t="str">
        <f t="shared" si="33"/>
        <v/>
      </c>
      <c r="AK228">
        <f t="shared" si="34"/>
        <v>12</v>
      </c>
      <c r="AL228" t="str">
        <f t="shared" si="35"/>
        <v>D|Nella Media|12</v>
      </c>
    </row>
    <row r="229" spans="1:38" ht="14.25" customHeight="1" x14ac:dyDescent="0.25">
      <c r="A229" s="18">
        <v>5298</v>
      </c>
      <c r="B229" s="18" t="s">
        <v>264</v>
      </c>
      <c r="C229" s="18" t="s">
        <v>329</v>
      </c>
      <c r="E229" s="23" t="str">
        <f>IF(COUNTIF('Info Strategia'!$D$2:$D$51,$C229)&gt;0,"SI","NO")</f>
        <v>NO</v>
      </c>
      <c r="F229" s="24">
        <f>IFERROR(ROUND(($G229+($H229-$G229)*'Info Strategia'!$B$6)*(1+IF($E229="SI",'Parametri Modello'!$B$7*'Info Strategia'!$B$6,0)),0),"")</f>
        <v>2</v>
      </c>
      <c r="G229" s="24">
        <f>IFERROR(ROUND(MAX(1,(IF($V229&lt;=INDEX('Parametri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1</v>
      </c>
      <c r="H229" s="24">
        <f>IFERROR(ROUND((IF($V229&lt;=INDEX('Parametri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2</v>
      </c>
      <c r="I229" s="23">
        <f>IFERROR(INDEX('Input Statistiche 2025_26'!$F$3:$F$665,MATCH($A229,'Input Statistiche 2025_26'!$A$3:$A$665,0)),"")</f>
        <v>23</v>
      </c>
      <c r="J229" s="23">
        <f t="shared" si="27"/>
        <v>15</v>
      </c>
      <c r="K229" s="23">
        <f>IFERROR(INDEX('Input Statistiche 2025_26'!$I$3:$I$665,MATCH($A229,'Input Statistiche 2025_26'!$A$3:$A$665,0)),"")</f>
        <v>3</v>
      </c>
      <c r="L229" s="23">
        <f>IFERROR(INDEX('Input Statistiche 2025_26'!$O$3:$O$665,MATCH($A229,'Input Statistiche 2025_26'!$A$3:$A$665,0)),"")</f>
        <v>1</v>
      </c>
      <c r="M229" s="25"/>
      <c r="N229" s="24">
        <f>IFERROR(INDEX('Input Giocatori 2026_27'!$E$3:$E$493,MATCH($A229,'Input Giocatori 2026_27'!$A$3:$A$493,0)),"")</f>
        <v>6</v>
      </c>
      <c r="O229" s="24">
        <f>IFERROR(INDEX('Input Giocatori 2026_27'!$G$3:$G$493,MATCH($A229,'Input Giocatori 2026_27'!$A$3:$A$493,0)),"")</f>
        <v>14</v>
      </c>
      <c r="P229" s="23" t="str">
        <f>IFERROR(IF($O229="","",IF((1-(COUNTIFS($B$2:$B$492,$B229,$O$2:$O$492,"&gt;"&amp;$O229)+1-1)/COUNTIF($B$2:$B$492,$B229))&gt;='Parametri Modello'!$B$63,"Top",IF((1-(COUNTIFS($B$2:$B$492,$B229,$O$2:$O$492,"&gt;"&amp;$O229)+1-1)/COUNTIF($B$2:$B$492,$B229))&gt;='Parametri Modello'!$B$64,"Buono",IF((1-(COUNTIFS($B$2:$B$492,$B229,$O$2:$O$492,"&gt;"&amp;$O229)+1-1)/COUNTIF($B$2:$B$492,$B229))&gt;='Parametri Modello'!$B$65,"Nella Media","Scommessa/Riserva")))),"")</f>
        <v>Nella Media</v>
      </c>
      <c r="Q229" s="26">
        <f>IF(AND($D229="",$N229&gt;1),SUMPRODUCT(($D$2:$D229="")*($N$2:$N229&gt;1)),"")</f>
        <v>228</v>
      </c>
      <c r="R229" s="26" t="str">
        <f>IF($D229='Info Lega'!$B$28,COUNTIFS($D$2:$D229,'Info Lega'!$B$28),"")</f>
        <v/>
      </c>
      <c r="S229" s="27">
        <f>IFERROR(INDEX('Input Statistiche 2025_26'!$G$3:$G$665,MATCH($A229,'Input Statistiche 2025_26'!$A$3:$A$665,0)),"")</f>
        <v>5.83</v>
      </c>
      <c r="T229" s="27">
        <f>IFERROR(INDEX('Input Statistiche 2025_26'!$H$3:$H$665,MATCH($A229,'Input Statistiche 2025_26'!$A$3:$A$665,0)),"")</f>
        <v>6.17</v>
      </c>
      <c r="U229" s="23" t="str">
        <f>IF(OR('La Mia Rosa'!$O$12="",$D229&lt;&gt;""),"",IF($F229&lt;='La Mia Rosa'!$O$12*'Parametri Modello'!$B$24,"OK",IF($F229&lt;='La Mia Rosa'!$O$12*'Parametri Modello'!$B$25,"Attenzione","Rischio Alto")))</f>
        <v>OK</v>
      </c>
      <c r="V229" s="23">
        <f t="shared" si="28"/>
        <v>86</v>
      </c>
      <c r="W229" s="18">
        <f>'Info Lega'!$B$4-SUMIFS($M$2:$M$492,$D$2:$D$492,'Info Lega'!$B$28)</f>
        <v>1000</v>
      </c>
      <c r="X229" s="18">
        <f>('Info Lega'!$B$5-COUNTIFS($D$2:$D$492,'Info Lega'!$B$28,$B$2:$B$492,"P"))+('Info Lega'!$B$6-COUNTIFS($D$2:$D$492,'Info Lega'!$B$28,$B$2:$B$492,"D"))+('Info Lega'!$B$7-COUNTIFS($D$2:$D$492,'Info Lega'!$B$28,$B$2:$B$492,"C"))+('Info Lega'!$B$8-COUNTIFS($D$2:$D$492,'Info Lega'!$B$28,$B$2:$B$492,"A"))</f>
        <v>25</v>
      </c>
      <c r="Y229" s="18">
        <f>X229*'Parametri Modello'!$B$30</f>
        <v>25</v>
      </c>
      <c r="Z229" s="18">
        <f t="shared" si="29"/>
        <v>975</v>
      </c>
      <c r="AA229" s="18">
        <f t="shared" si="30"/>
        <v>2</v>
      </c>
      <c r="AB229" s="18"/>
      <c r="AC229" s="18" t="str">
        <f>IF($AB229="","",IF($AB229&gt;$AA229,"PASS",IF($AB229&lt;=$AA229*(1-'Parametri Modello'!$B$68),"BID","ATTENZIONE")))</f>
        <v/>
      </c>
      <c r="AD229" s="28">
        <f t="shared" si="31"/>
        <v>54</v>
      </c>
      <c r="AE229" s="5" t="str">
        <f>IFERROR(IF($AF229="Titolare",INDEX('Stato Asta'!$G$9:$G$12,MATCH($B229,'Stato Asta'!$A$9:$A$12,0)),INDEX('Stato Asta'!$P$9:$P$12,MATCH($B229,'Stato Asta'!$A$9:$A$12,0))),"")</f>
        <v>🟢 Riserve abbondanti</v>
      </c>
      <c r="AF229" t="str">
        <f>IFERROR(IF($V229&lt;=INDEX('Parametri Modello'!$C$57:$C$60,MATCH($B229,'Parametri Modello'!$A$57:$A$60,0)),"Titolare","Riserva"),"")</f>
        <v>Riserva</v>
      </c>
      <c r="AG229" t="str">
        <f>IFERROR(INDEX('Pressione Competitiva'!$F$3:$F$6,MATCH($B229,'Pressione Competitiva'!$B$3:$B$6,0)),"")</f>
        <v>🔴 Molto Alta</v>
      </c>
      <c r="AH229" t="str">
        <f t="shared" si="32"/>
        <v/>
      </c>
      <c r="AI229" t="str">
        <f>IFERROR(IF($AH229="","",IF($AH229&gt;=$AA229*'Parametri Modello'!$B$68,"🟢 Opportunita'",IF($AH229&lt;=$AA229*'Parametri Modello'!$B$69,"🔴 Sovrapprezzo","🟡 Prezzo Corretto"))),"")</f>
        <v/>
      </c>
      <c r="AJ229" t="str">
        <f t="shared" si="33"/>
        <v/>
      </c>
      <c r="AK229">
        <f t="shared" si="34"/>
        <v>31</v>
      </c>
      <c r="AL229" t="str">
        <f t="shared" si="35"/>
        <v>C|Nella Media|31</v>
      </c>
    </row>
    <row r="230" spans="1:38" ht="14.25" customHeight="1" x14ac:dyDescent="0.25">
      <c r="A230" s="18">
        <v>4260</v>
      </c>
      <c r="B230" s="18" t="s">
        <v>264</v>
      </c>
      <c r="C230" s="18" t="s">
        <v>331</v>
      </c>
      <c r="E230" s="23" t="str">
        <f>IF(COUNTIF('Info Strategia'!$D$2:$D$51,$C230)&gt;0,"SI","NO")</f>
        <v>NO</v>
      </c>
      <c r="F230" s="24">
        <f>IFERROR(ROUND(($G230+($H230-$G230)*'Info Strategia'!$B$6)*(1+IF($E230="SI",'Parametri Modello'!$B$7*'Info Strategia'!$B$6,0)),0),"")</f>
        <v>2</v>
      </c>
      <c r="G230" s="24">
        <f>IFERROR(ROUND(MAX(1,(IF($V230&lt;=INDEX('Parametri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1</v>
      </c>
      <c r="H230" s="24">
        <f>IFERROR(ROUND((IF($V230&lt;=INDEX('Parametri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2</v>
      </c>
      <c r="I230" s="23" t="str">
        <f>IFERROR(INDEX('Input Statistiche 2025_26'!$F$3:$F$665,MATCH($A230,'Input Statistiche 2025_26'!$A$3:$A$665,0)),"")</f>
        <v/>
      </c>
      <c r="J230" s="23" t="str">
        <f t="shared" si="27"/>
        <v/>
      </c>
      <c r="K230" s="23" t="str">
        <f>IFERROR(INDEX('Input Statistiche 2025_26'!$I$3:$I$665,MATCH($A230,'Input Statistiche 2025_26'!$A$3:$A$665,0)),"")</f>
        <v/>
      </c>
      <c r="L230" s="23" t="str">
        <f>IFERROR(INDEX('Input Statistiche 2025_26'!$O$3:$O$665,MATCH($A230,'Input Statistiche 2025_26'!$A$3:$A$665,0)),"")</f>
        <v/>
      </c>
      <c r="M230" s="25"/>
      <c r="N230" s="24">
        <f>IFERROR(INDEX('Input Giocatori 2026_27'!$E$3:$E$493,MATCH($A230,'Input Giocatori 2026_27'!$A$3:$A$493,0)),"")</f>
        <v>6</v>
      </c>
      <c r="O230" s="24">
        <f>IFERROR(INDEX('Input Giocatori 2026_27'!$G$3:$G$493,MATCH($A230,'Input Giocatori 2026_27'!$A$3:$A$493,0)),"")</f>
        <v>14</v>
      </c>
      <c r="P230" s="23" t="str">
        <f>IFERROR(IF($O230="","",IF((1-(COUNTIFS($B$2:$B$492,$B230,$O$2:$O$492,"&gt;"&amp;$O230)+1-1)/COUNTIF($B$2:$B$492,$B230))&gt;='Parametri Modello'!$B$63,"Top",IF((1-(COUNTIFS($B$2:$B$492,$B230,$O$2:$O$492,"&gt;"&amp;$O230)+1-1)/COUNTIF($B$2:$B$492,$B230))&gt;='Parametri Modello'!$B$64,"Buono",IF((1-(COUNTIFS($B$2:$B$492,$B230,$O$2:$O$492,"&gt;"&amp;$O230)+1-1)/COUNTIF($B$2:$B$492,$B230))&gt;='Parametri Modello'!$B$65,"Nella Media","Scommessa/Riserva")))),"")</f>
        <v>Nella Media</v>
      </c>
      <c r="Q230" s="26">
        <f>IF(AND($D230="",$N230&gt;1),SUMPRODUCT(($D$2:$D230="")*($N$2:$N230&gt;1)),"")</f>
        <v>229</v>
      </c>
      <c r="R230" s="26" t="str">
        <f>IF($D230='Info Lega'!$B$28,COUNTIFS($D$2:$D230,'Info Lega'!$B$28),"")</f>
        <v/>
      </c>
      <c r="S230" s="27" t="str">
        <f>IFERROR(INDEX('Input Statistiche 2025_26'!$G$3:$G$665,MATCH($A230,'Input Statistiche 2025_26'!$A$3:$A$665,0)),"")</f>
        <v/>
      </c>
      <c r="T230" s="27" t="str">
        <f>IFERROR(INDEX('Input Statistiche 2025_26'!$H$3:$H$665,MATCH($A230,'Input Statistiche 2025_26'!$A$3:$A$665,0)),"")</f>
        <v/>
      </c>
      <c r="U230" s="23" t="str">
        <f>IF(OR('La Mia Rosa'!$O$12="",$D230&lt;&gt;""),"",IF($F230&lt;='La Mia Rosa'!$O$12*'Parametri Modello'!$B$24,"OK",IF($F230&lt;='La Mia Rosa'!$O$12*'Parametri Modello'!$B$25,"Attenzione","Rischio Alto")))</f>
        <v>OK</v>
      </c>
      <c r="V230" s="23">
        <f t="shared" si="28"/>
        <v>86</v>
      </c>
      <c r="W230" s="18">
        <f>'Info Lega'!$B$4-SUMIFS($M$2:$M$492,$D$2:$D$492,'Info Lega'!$B$28)</f>
        <v>1000</v>
      </c>
      <c r="X230" s="18">
        <f>('Info Lega'!$B$5-COUNTIFS($D$2:$D$492,'Info Lega'!$B$28,$B$2:$B$492,"P"))+('Info Lega'!$B$6-COUNTIFS($D$2:$D$492,'Info Lega'!$B$28,$B$2:$B$492,"D"))+('Info Lega'!$B$7-COUNTIFS($D$2:$D$492,'Info Lega'!$B$28,$B$2:$B$492,"C"))+('Info Lega'!$B$8-COUNTIFS($D$2:$D$492,'Info Lega'!$B$28,$B$2:$B$492,"A"))</f>
        <v>25</v>
      </c>
      <c r="Y230" s="18">
        <f>X230*'Parametri Modello'!$B$30</f>
        <v>25</v>
      </c>
      <c r="Z230" s="18">
        <f t="shared" si="29"/>
        <v>975</v>
      </c>
      <c r="AA230" s="18">
        <f t="shared" si="30"/>
        <v>2</v>
      </c>
      <c r="AB230" s="18"/>
      <c r="AC230" s="18" t="str">
        <f>IF($AB230="","",IF($AB230&gt;$AA230,"PASS",IF($AB230&lt;=$AA230*(1-'Parametri Modello'!$B$68),"BID","ATTENZIONE")))</f>
        <v/>
      </c>
      <c r="AD230" s="28" t="str">
        <f t="shared" si="31"/>
        <v/>
      </c>
      <c r="AE230" s="5" t="str">
        <f>IFERROR(IF($AF230="Titolare",INDEX('Stato Asta'!$G$9:$G$12,MATCH($B230,'Stato Asta'!$A$9:$A$12,0)),INDEX('Stato Asta'!$P$9:$P$12,MATCH($B230,'Stato Asta'!$A$9:$A$12,0))),"")</f>
        <v>🟢 Riserve abbondanti</v>
      </c>
      <c r="AF230" t="str">
        <f>IFERROR(IF($V230&lt;=INDEX('Parametri Modello'!$C$57:$C$60,MATCH($B230,'Parametri Modello'!$A$57:$A$60,0)),"Titolare","Riserva"),"")</f>
        <v>Riserva</v>
      </c>
      <c r="AG230" t="str">
        <f>IFERROR(INDEX('Pressione Competitiva'!$F$3:$F$6,MATCH($B230,'Pressione Competitiva'!$B$3:$B$6,0)),"")</f>
        <v>🔴 Molto Alta</v>
      </c>
      <c r="AH230" t="str">
        <f t="shared" si="32"/>
        <v/>
      </c>
      <c r="AI230" t="str">
        <f>IFERROR(IF($AH230="","",IF($AH230&gt;=$AA230*'Parametri Modello'!$B$68,"🟢 Opportunita'",IF($AH230&lt;=$AA230*'Parametri Modello'!$B$69,"🔴 Sovrapprezzo","🟡 Prezzo Corretto"))),"")</f>
        <v/>
      </c>
      <c r="AJ230" t="str">
        <f t="shared" si="33"/>
        <v/>
      </c>
      <c r="AK230">
        <f t="shared" si="34"/>
        <v>31</v>
      </c>
      <c r="AL230" t="str">
        <f t="shared" si="35"/>
        <v>C|Nella Media|31</v>
      </c>
    </row>
    <row r="231" spans="1:38" ht="14.25" customHeight="1" x14ac:dyDescent="0.25">
      <c r="A231" s="18">
        <v>5504</v>
      </c>
      <c r="B231" s="18" t="s">
        <v>264</v>
      </c>
      <c r="C231" s="18" t="s">
        <v>338</v>
      </c>
      <c r="E231" s="23" t="str">
        <f>IF(COUNTIF('Info Strategia'!$D$2:$D$51,$C231)&gt;0,"SI","NO")</f>
        <v>NO</v>
      </c>
      <c r="F231" s="24">
        <f>IFERROR(ROUND(($G231+($H231-$G231)*'Info Strategia'!$B$6)*(1+IF($E231="SI",'Parametri Modello'!$B$7*'Info Strategia'!$B$6,0)),0),"")</f>
        <v>2</v>
      </c>
      <c r="G231" s="24">
        <f>IFERROR(ROUND(MAX(1,(IF($V231&lt;=INDEX('Parametri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1</v>
      </c>
      <c r="H231" s="24">
        <f>IFERROR(ROUND((IF($V231&lt;=INDEX('Parametri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2</v>
      </c>
      <c r="I231" s="23">
        <f>IFERROR(INDEX('Input Statistiche 2025_26'!$F$3:$F$665,MATCH($A231,'Input Statistiche 2025_26'!$A$3:$A$665,0)),"")</f>
        <v>33</v>
      </c>
      <c r="J231" s="23">
        <f t="shared" si="27"/>
        <v>5</v>
      </c>
      <c r="K231" s="23">
        <f>IFERROR(INDEX('Input Statistiche 2025_26'!$I$3:$I$665,MATCH($A231,'Input Statistiche 2025_26'!$A$3:$A$665,0)),"")</f>
        <v>3</v>
      </c>
      <c r="L231" s="23">
        <f>IFERROR(INDEX('Input Statistiche 2025_26'!$O$3:$O$665,MATCH($A231,'Input Statistiche 2025_26'!$A$3:$A$665,0)),"")</f>
        <v>1</v>
      </c>
      <c r="M231" s="25"/>
      <c r="N231" s="24">
        <f>IFERROR(INDEX('Input Giocatori 2026_27'!$E$3:$E$493,MATCH($A231,'Input Giocatori 2026_27'!$A$3:$A$493,0)),"")</f>
        <v>6</v>
      </c>
      <c r="O231" s="24">
        <f>IFERROR(INDEX('Input Giocatori 2026_27'!$G$3:$G$493,MATCH($A231,'Input Giocatori 2026_27'!$A$3:$A$493,0)),"")</f>
        <v>14</v>
      </c>
      <c r="P231" s="23" t="str">
        <f>IFERROR(IF($O231="","",IF((1-(COUNTIFS($B$2:$B$492,$B231,$O$2:$O$492,"&gt;"&amp;$O231)+1-1)/COUNTIF($B$2:$B$492,$B231))&gt;='Parametri Modello'!$B$63,"Top",IF((1-(COUNTIFS($B$2:$B$492,$B231,$O$2:$O$492,"&gt;"&amp;$O231)+1-1)/COUNTIF($B$2:$B$492,$B231))&gt;='Parametri Modello'!$B$64,"Buono",IF((1-(COUNTIFS($B$2:$B$492,$B231,$O$2:$O$492,"&gt;"&amp;$O231)+1-1)/COUNTIF($B$2:$B$492,$B231))&gt;='Parametri Modello'!$B$65,"Nella Media","Scommessa/Riserva")))),"")</f>
        <v>Nella Media</v>
      </c>
      <c r="Q231" s="26">
        <f>IF(AND($D231="",$N231&gt;1),SUMPRODUCT(($D$2:$D231="")*($N$2:$N231&gt;1)),"")</f>
        <v>230</v>
      </c>
      <c r="R231" s="26" t="str">
        <f>IF($D231='Info Lega'!$B$28,COUNTIFS($D$2:$D231,'Info Lega'!$B$28),"")</f>
        <v/>
      </c>
      <c r="S231" s="27">
        <f>IFERROR(INDEX('Input Statistiche 2025_26'!$G$3:$G$665,MATCH($A231,'Input Statistiche 2025_26'!$A$3:$A$665,0)),"")</f>
        <v>6.05</v>
      </c>
      <c r="T231" s="27">
        <f>IFERROR(INDEX('Input Statistiche 2025_26'!$H$3:$H$665,MATCH($A231,'Input Statistiche 2025_26'!$A$3:$A$665,0)),"")</f>
        <v>6.29</v>
      </c>
      <c r="U231" s="23" t="str">
        <f>IF(OR('La Mia Rosa'!$O$12="",$D231&lt;&gt;""),"",IF($F231&lt;='La Mia Rosa'!$O$12*'Parametri Modello'!$B$24,"OK",IF($F231&lt;='La Mia Rosa'!$O$12*'Parametri Modello'!$B$25,"Attenzione","Rischio Alto")))</f>
        <v>OK</v>
      </c>
      <c r="V231" s="23">
        <f t="shared" si="28"/>
        <v>86</v>
      </c>
      <c r="W231" s="18">
        <f>'Info Lega'!$B$4-SUMIFS($M$2:$M$492,$D$2:$D$492,'Info Lega'!$B$28)</f>
        <v>1000</v>
      </c>
      <c r="X231" s="18">
        <f>('Info Lega'!$B$5-COUNTIFS($D$2:$D$492,'Info Lega'!$B$28,$B$2:$B$492,"P"))+('Info Lega'!$B$6-COUNTIFS($D$2:$D$492,'Info Lega'!$B$28,$B$2:$B$492,"D"))+('Info Lega'!$B$7-COUNTIFS($D$2:$D$492,'Info Lega'!$B$28,$B$2:$B$492,"C"))+('Info Lega'!$B$8-COUNTIFS($D$2:$D$492,'Info Lega'!$B$28,$B$2:$B$492,"A"))</f>
        <v>25</v>
      </c>
      <c r="Y231" s="18">
        <f>X231*'Parametri Modello'!$B$30</f>
        <v>25</v>
      </c>
      <c r="Z231" s="18">
        <f t="shared" si="29"/>
        <v>975</v>
      </c>
      <c r="AA231" s="18">
        <f t="shared" si="30"/>
        <v>2</v>
      </c>
      <c r="AB231" s="18"/>
      <c r="AC231" s="18" t="str">
        <f>IF($AB231="","",IF($AB231&gt;$AA231,"PASS",IF($AB231&lt;=$AA231*(1-'Parametri Modello'!$B$68),"BID","ATTENZIONE")))</f>
        <v/>
      </c>
      <c r="AD231" s="28">
        <f t="shared" si="31"/>
        <v>67</v>
      </c>
      <c r="AE231" s="5" t="str">
        <f>IFERROR(IF($AF231="Titolare",INDEX('Stato Asta'!$G$9:$G$12,MATCH($B231,'Stato Asta'!$A$9:$A$12,0)),INDEX('Stato Asta'!$P$9:$P$12,MATCH($B231,'Stato Asta'!$A$9:$A$12,0))),"")</f>
        <v>🟢 Riserve abbondanti</v>
      </c>
      <c r="AF231" t="str">
        <f>IFERROR(IF($V231&lt;=INDEX('Parametri Modello'!$C$57:$C$60,MATCH($B231,'Parametri Modello'!$A$57:$A$60,0)),"Titolare","Riserva"),"")</f>
        <v>Riserva</v>
      </c>
      <c r="AG231" t="str">
        <f>IFERROR(INDEX('Pressione Competitiva'!$F$3:$F$6,MATCH($B231,'Pressione Competitiva'!$B$3:$B$6,0)),"")</f>
        <v>🔴 Molto Alta</v>
      </c>
      <c r="AH231" t="str">
        <f t="shared" si="32"/>
        <v/>
      </c>
      <c r="AI231" t="str">
        <f>IFERROR(IF($AH231="","",IF($AH231&gt;=$AA231*'Parametri Modello'!$B$68,"🟢 Opportunita'",IF($AH231&lt;=$AA231*'Parametri Modello'!$B$69,"🔴 Sovrapprezzo","🟡 Prezzo Corretto"))),"")</f>
        <v/>
      </c>
      <c r="AJ231" t="str">
        <f t="shared" si="33"/>
        <v/>
      </c>
      <c r="AK231">
        <f t="shared" si="34"/>
        <v>31</v>
      </c>
      <c r="AL231" t="str">
        <f t="shared" si="35"/>
        <v>C|Nella Media|31</v>
      </c>
    </row>
    <row r="232" spans="1:38" ht="14.25" customHeight="1" x14ac:dyDescent="0.25">
      <c r="A232" s="18">
        <v>7412</v>
      </c>
      <c r="B232" s="18" t="s">
        <v>264</v>
      </c>
      <c r="C232" s="18" t="s">
        <v>348</v>
      </c>
      <c r="E232" s="23" t="str">
        <f>IF(COUNTIF('Info Strategia'!$D$2:$D$51,$C232)&gt;0,"SI","NO")</f>
        <v>NO</v>
      </c>
      <c r="F232" s="24">
        <f>IFERROR(ROUND(($G232+($H232-$G232)*'Info Strategia'!$B$6)*(1+IF($E232="SI",'Parametri Modello'!$B$7*'Info Strategia'!$B$6,0)),0),"")</f>
        <v>2</v>
      </c>
      <c r="G232" s="24">
        <f>IFERROR(ROUND(MAX(1,(IF($V232&lt;=INDEX('Parametri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1</v>
      </c>
      <c r="H232" s="24">
        <f>IFERROR(ROUND((IF($V232&lt;=INDEX('Parametri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2</v>
      </c>
      <c r="I232" s="23" t="str">
        <f>IFERROR(INDEX('Input Statistiche 2025_26'!$F$3:$F$665,MATCH($A232,'Input Statistiche 2025_26'!$A$3:$A$665,0)),"")</f>
        <v/>
      </c>
      <c r="J232" s="23" t="str">
        <f t="shared" si="27"/>
        <v/>
      </c>
      <c r="K232" s="23" t="str">
        <f>IFERROR(INDEX('Input Statistiche 2025_26'!$I$3:$I$665,MATCH($A232,'Input Statistiche 2025_26'!$A$3:$A$665,0)),"")</f>
        <v/>
      </c>
      <c r="L232" s="23" t="str">
        <f>IFERROR(INDEX('Input Statistiche 2025_26'!$O$3:$O$665,MATCH($A232,'Input Statistiche 2025_26'!$A$3:$A$665,0)),"")</f>
        <v/>
      </c>
      <c r="M232" s="25"/>
      <c r="N232" s="24">
        <f>IFERROR(INDEX('Input Giocatori 2026_27'!$E$3:$E$493,MATCH($A232,'Input Giocatori 2026_27'!$A$3:$A$493,0)),"")</f>
        <v>5</v>
      </c>
      <c r="O232" s="24">
        <f>IFERROR(INDEX('Input Giocatori 2026_27'!$G$3:$G$493,MATCH($A232,'Input Giocatori 2026_27'!$A$3:$A$493,0)),"")</f>
        <v>14</v>
      </c>
      <c r="P232" s="23" t="str">
        <f>IFERROR(IF($O232="","",IF((1-(COUNTIFS($B$2:$B$492,$B232,$O$2:$O$492,"&gt;"&amp;$O232)+1-1)/COUNTIF($B$2:$B$492,$B232))&gt;='Parametri Modello'!$B$63,"Top",IF((1-(COUNTIFS($B$2:$B$492,$B232,$O$2:$O$492,"&gt;"&amp;$O232)+1-1)/COUNTIF($B$2:$B$492,$B232))&gt;='Parametri Modello'!$B$64,"Buono",IF((1-(COUNTIFS($B$2:$B$492,$B232,$O$2:$O$492,"&gt;"&amp;$O232)+1-1)/COUNTIF($B$2:$B$492,$B232))&gt;='Parametri Modello'!$B$65,"Nella Media","Scommessa/Riserva")))),"")</f>
        <v>Nella Media</v>
      </c>
      <c r="Q232" s="26">
        <f>IF(AND($D232="",$N232&gt;1),SUMPRODUCT(($D$2:$D232="")*($N$2:$N232&gt;1)),"")</f>
        <v>231</v>
      </c>
      <c r="R232" s="26" t="str">
        <f>IF($D232='Info Lega'!$B$28,COUNTIFS($D$2:$D232,'Info Lega'!$B$28),"")</f>
        <v/>
      </c>
      <c r="S232" s="27" t="str">
        <f>IFERROR(INDEX('Input Statistiche 2025_26'!$G$3:$G$665,MATCH($A232,'Input Statistiche 2025_26'!$A$3:$A$665,0)),"")</f>
        <v/>
      </c>
      <c r="T232" s="27" t="str">
        <f>IFERROR(INDEX('Input Statistiche 2025_26'!$H$3:$H$665,MATCH($A232,'Input Statistiche 2025_26'!$A$3:$A$665,0)),"")</f>
        <v/>
      </c>
      <c r="U232" s="23" t="str">
        <f>IF(OR('La Mia Rosa'!$O$12="",$D232&lt;&gt;""),"",IF($F232&lt;='La Mia Rosa'!$O$12*'Parametri Modello'!$B$24,"OK",IF($F232&lt;='La Mia Rosa'!$O$12*'Parametri Modello'!$B$25,"Attenzione","Rischio Alto")))</f>
        <v>OK</v>
      </c>
      <c r="V232" s="23">
        <f t="shared" si="28"/>
        <v>86</v>
      </c>
      <c r="W232" s="18">
        <f>'Info Lega'!$B$4-SUMIFS($M$2:$M$492,$D$2:$D$492,'Info Lega'!$B$28)</f>
        <v>1000</v>
      </c>
      <c r="X232" s="18">
        <f>('Info Lega'!$B$5-COUNTIFS($D$2:$D$492,'Info Lega'!$B$28,$B$2:$B$492,"P"))+('Info Lega'!$B$6-COUNTIFS($D$2:$D$492,'Info Lega'!$B$28,$B$2:$B$492,"D"))+('Info Lega'!$B$7-COUNTIFS($D$2:$D$492,'Info Lega'!$B$28,$B$2:$B$492,"C"))+('Info Lega'!$B$8-COUNTIFS($D$2:$D$492,'Info Lega'!$B$28,$B$2:$B$492,"A"))</f>
        <v>25</v>
      </c>
      <c r="Y232" s="18">
        <f>X232*'Parametri Modello'!$B$30</f>
        <v>25</v>
      </c>
      <c r="Z232" s="18">
        <f t="shared" si="29"/>
        <v>975</v>
      </c>
      <c r="AA232" s="18">
        <f t="shared" si="30"/>
        <v>2</v>
      </c>
      <c r="AB232" s="18"/>
      <c r="AC232" s="18" t="str">
        <f>IF($AB232="","",IF($AB232&gt;$AA232,"PASS",IF($AB232&lt;=$AA232*(1-'Parametri Modello'!$B$68),"BID","ATTENZIONE")))</f>
        <v/>
      </c>
      <c r="AD232" s="28" t="str">
        <f t="shared" si="31"/>
        <v/>
      </c>
      <c r="AE232" s="5" t="str">
        <f>IFERROR(IF($AF232="Titolare",INDEX('Stato Asta'!$G$9:$G$12,MATCH($B232,'Stato Asta'!$A$9:$A$12,0)),INDEX('Stato Asta'!$P$9:$P$12,MATCH($B232,'Stato Asta'!$A$9:$A$12,0))),"")</f>
        <v>🟢 Riserve abbondanti</v>
      </c>
      <c r="AF232" t="str">
        <f>IFERROR(IF($V232&lt;=INDEX('Parametri Modello'!$C$57:$C$60,MATCH($B232,'Parametri Modello'!$A$57:$A$60,0)),"Titolare","Riserva"),"")</f>
        <v>Riserva</v>
      </c>
      <c r="AG232" t="str">
        <f>IFERROR(INDEX('Pressione Competitiva'!$F$3:$F$6,MATCH($B232,'Pressione Competitiva'!$B$3:$B$6,0)),"")</f>
        <v>🔴 Molto Alta</v>
      </c>
      <c r="AH232" t="str">
        <f t="shared" si="32"/>
        <v/>
      </c>
      <c r="AI232" t="str">
        <f>IFERROR(IF($AH232="","",IF($AH232&gt;=$AA232*'Parametri Modello'!$B$68,"🟢 Opportunita'",IF($AH232&lt;=$AA232*'Parametri Modello'!$B$69,"🔴 Sovrapprezzo","🟡 Prezzo Corretto"))),"")</f>
        <v/>
      </c>
      <c r="AJ232" t="str">
        <f t="shared" si="33"/>
        <v/>
      </c>
      <c r="AK232">
        <f t="shared" si="34"/>
        <v>31</v>
      </c>
      <c r="AL232" t="str">
        <f t="shared" si="35"/>
        <v>C|Nella Media|31</v>
      </c>
    </row>
    <row r="233" spans="1:38" ht="14.25" customHeight="1" x14ac:dyDescent="0.25">
      <c r="A233" s="18">
        <v>7409</v>
      </c>
      <c r="B233" s="18" t="s">
        <v>264</v>
      </c>
      <c r="C233" s="18" t="s">
        <v>351</v>
      </c>
      <c r="E233" s="23" t="str">
        <f>IF(COUNTIF('Info Strategia'!$D$2:$D$51,$C233)&gt;0,"SI","NO")</f>
        <v>NO</v>
      </c>
      <c r="F233" s="24">
        <f>IFERROR(ROUND(($G233+($H233-$G233)*'Info Strategia'!$B$6)*(1+IF($E233="SI",'Parametri Modello'!$B$7*'Info Strategia'!$B$6,0)),0),"")</f>
        <v>2</v>
      </c>
      <c r="G233" s="24">
        <f>IFERROR(ROUND(MAX(1,(IF($V233&lt;=INDEX('Parametri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1</v>
      </c>
      <c r="H233" s="24">
        <f>IFERROR(ROUND((IF($V233&lt;=INDEX('Parametri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2</v>
      </c>
      <c r="I233" s="23" t="str">
        <f>IFERROR(INDEX('Input Statistiche 2025_26'!$F$3:$F$665,MATCH($A233,'Input Statistiche 2025_26'!$A$3:$A$665,0)),"")</f>
        <v/>
      </c>
      <c r="J233" s="23" t="str">
        <f t="shared" si="27"/>
        <v/>
      </c>
      <c r="K233" s="23" t="str">
        <f>IFERROR(INDEX('Input Statistiche 2025_26'!$I$3:$I$665,MATCH($A233,'Input Statistiche 2025_26'!$A$3:$A$665,0)),"")</f>
        <v/>
      </c>
      <c r="L233" s="23" t="str">
        <f>IFERROR(INDEX('Input Statistiche 2025_26'!$O$3:$O$665,MATCH($A233,'Input Statistiche 2025_26'!$A$3:$A$665,0)),"")</f>
        <v/>
      </c>
      <c r="M233" s="25"/>
      <c r="N233" s="24">
        <f>IFERROR(INDEX('Input Giocatori 2026_27'!$E$3:$E$493,MATCH($A233,'Input Giocatori 2026_27'!$A$3:$A$493,0)),"")</f>
        <v>5</v>
      </c>
      <c r="O233" s="24">
        <f>IFERROR(INDEX('Input Giocatori 2026_27'!$G$3:$G$493,MATCH($A233,'Input Giocatori 2026_27'!$A$3:$A$493,0)),"")</f>
        <v>14</v>
      </c>
      <c r="P233" s="23" t="str">
        <f>IFERROR(IF($O233="","",IF((1-(COUNTIFS($B$2:$B$492,$B233,$O$2:$O$492,"&gt;"&amp;$O233)+1-1)/COUNTIF($B$2:$B$492,$B233))&gt;='Parametri Modello'!$B$63,"Top",IF((1-(COUNTIFS($B$2:$B$492,$B233,$O$2:$O$492,"&gt;"&amp;$O233)+1-1)/COUNTIF($B$2:$B$492,$B233))&gt;='Parametri Modello'!$B$64,"Buono",IF((1-(COUNTIFS($B$2:$B$492,$B233,$O$2:$O$492,"&gt;"&amp;$O233)+1-1)/COUNTIF($B$2:$B$492,$B233))&gt;='Parametri Modello'!$B$65,"Nella Media","Scommessa/Riserva")))),"")</f>
        <v>Nella Media</v>
      </c>
      <c r="Q233" s="26">
        <f>IF(AND($D233="",$N233&gt;1),SUMPRODUCT(($D$2:$D233="")*($N$2:$N233&gt;1)),"")</f>
        <v>232</v>
      </c>
      <c r="R233" s="26" t="str">
        <f>IF($D233='Info Lega'!$B$28,COUNTIFS($D$2:$D233,'Info Lega'!$B$28),"")</f>
        <v/>
      </c>
      <c r="S233" s="27" t="str">
        <f>IFERROR(INDEX('Input Statistiche 2025_26'!$G$3:$G$665,MATCH($A233,'Input Statistiche 2025_26'!$A$3:$A$665,0)),"")</f>
        <v/>
      </c>
      <c r="T233" s="27" t="str">
        <f>IFERROR(INDEX('Input Statistiche 2025_26'!$H$3:$H$665,MATCH($A233,'Input Statistiche 2025_26'!$A$3:$A$665,0)),"")</f>
        <v/>
      </c>
      <c r="U233" s="23" t="str">
        <f>IF(OR('La Mia Rosa'!$O$12="",$D233&lt;&gt;""),"",IF($F233&lt;='La Mia Rosa'!$O$12*'Parametri Modello'!$B$24,"OK",IF($F233&lt;='La Mia Rosa'!$O$12*'Parametri Modello'!$B$25,"Attenzione","Rischio Alto")))</f>
        <v>OK</v>
      </c>
      <c r="V233" s="23">
        <f t="shared" si="28"/>
        <v>86</v>
      </c>
      <c r="W233" s="18">
        <f>'Info Lega'!$B$4-SUMIFS($M$2:$M$492,$D$2:$D$492,'Info Lega'!$B$28)</f>
        <v>1000</v>
      </c>
      <c r="X233" s="18">
        <f>('Info Lega'!$B$5-COUNTIFS($D$2:$D$492,'Info Lega'!$B$28,$B$2:$B$492,"P"))+('Info Lega'!$B$6-COUNTIFS($D$2:$D$492,'Info Lega'!$B$28,$B$2:$B$492,"D"))+('Info Lega'!$B$7-COUNTIFS($D$2:$D$492,'Info Lega'!$B$28,$B$2:$B$492,"C"))+('Info Lega'!$B$8-COUNTIFS($D$2:$D$492,'Info Lega'!$B$28,$B$2:$B$492,"A"))</f>
        <v>25</v>
      </c>
      <c r="Y233" s="18">
        <f>X233*'Parametri Modello'!$B$30</f>
        <v>25</v>
      </c>
      <c r="Z233" s="18">
        <f t="shared" si="29"/>
        <v>975</v>
      </c>
      <c r="AA233" s="18">
        <f t="shared" si="30"/>
        <v>2</v>
      </c>
      <c r="AB233" s="18"/>
      <c r="AC233" s="18" t="str">
        <f>IF($AB233="","",IF($AB233&gt;$AA233,"PASS",IF($AB233&lt;=$AA233*(1-'Parametri Modello'!$B$68),"BID","ATTENZIONE")))</f>
        <v/>
      </c>
      <c r="AD233" s="28" t="str">
        <f t="shared" si="31"/>
        <v/>
      </c>
      <c r="AE233" s="5" t="str">
        <f>IFERROR(IF($AF233="Titolare",INDEX('Stato Asta'!$G$9:$G$12,MATCH($B233,'Stato Asta'!$A$9:$A$12,0)),INDEX('Stato Asta'!$P$9:$P$12,MATCH($B233,'Stato Asta'!$A$9:$A$12,0))),"")</f>
        <v>🟢 Riserve abbondanti</v>
      </c>
      <c r="AF233" t="str">
        <f>IFERROR(IF($V233&lt;=INDEX('Parametri Modello'!$C$57:$C$60,MATCH($B233,'Parametri Modello'!$A$57:$A$60,0)),"Titolare","Riserva"),"")</f>
        <v>Riserva</v>
      </c>
      <c r="AG233" t="str">
        <f>IFERROR(INDEX('Pressione Competitiva'!$F$3:$F$6,MATCH($B233,'Pressione Competitiva'!$B$3:$B$6,0)),"")</f>
        <v>🔴 Molto Alta</v>
      </c>
      <c r="AH233" t="str">
        <f t="shared" si="32"/>
        <v/>
      </c>
      <c r="AI233" t="str">
        <f>IFERROR(IF($AH233="","",IF($AH233&gt;=$AA233*'Parametri Modello'!$B$68,"🟢 Opportunita'",IF($AH233&lt;=$AA233*'Parametri Modello'!$B$69,"🔴 Sovrapprezzo","🟡 Prezzo Corretto"))),"")</f>
        <v/>
      </c>
      <c r="AJ233" t="str">
        <f t="shared" si="33"/>
        <v/>
      </c>
      <c r="AK233">
        <f t="shared" si="34"/>
        <v>31</v>
      </c>
      <c r="AL233" t="str">
        <f t="shared" si="35"/>
        <v>C|Nella Media|31</v>
      </c>
    </row>
    <row r="234" spans="1:38" ht="14.25" customHeight="1" x14ac:dyDescent="0.25">
      <c r="A234" s="18">
        <v>5685</v>
      </c>
      <c r="B234" s="18" t="s">
        <v>264</v>
      </c>
      <c r="C234" s="18" t="s">
        <v>354</v>
      </c>
      <c r="E234" s="23" t="str">
        <f>IF(COUNTIF('Info Strategia'!$D$2:$D$51,$C234)&gt;0,"SI","NO")</f>
        <v>NO</v>
      </c>
      <c r="F234" s="24">
        <f>IFERROR(ROUND(($G234+($H234-$G234)*'Info Strategia'!$B$6)*(1+IF($E234="SI",'Parametri Modello'!$B$7*'Info Strategia'!$B$6,0)),0),"")</f>
        <v>2</v>
      </c>
      <c r="G234" s="24">
        <f>IFERROR(ROUND(MAX(1,(IF($V234&lt;=INDEX('Parametri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1</v>
      </c>
      <c r="H234" s="24">
        <f>IFERROR(ROUND((IF($V234&lt;=INDEX('Parametri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2</v>
      </c>
      <c r="I234" s="23">
        <f>IFERROR(INDEX('Input Statistiche 2025_26'!$F$3:$F$665,MATCH($A234,'Input Statistiche 2025_26'!$A$3:$A$665,0)),"")</f>
        <v>29</v>
      </c>
      <c r="J234" s="23">
        <f t="shared" si="27"/>
        <v>9</v>
      </c>
      <c r="K234" s="23">
        <f>IFERROR(INDEX('Input Statistiche 2025_26'!$I$3:$I$665,MATCH($A234,'Input Statistiche 2025_26'!$A$3:$A$665,0)),"")</f>
        <v>0</v>
      </c>
      <c r="L234" s="23">
        <f>IFERROR(INDEX('Input Statistiche 2025_26'!$O$3:$O$665,MATCH($A234,'Input Statistiche 2025_26'!$A$3:$A$665,0)),"")</f>
        <v>0</v>
      </c>
      <c r="M234" s="25"/>
      <c r="N234" s="24">
        <f>IFERROR(INDEX('Input Giocatori 2026_27'!$E$3:$E$493,MATCH($A234,'Input Giocatori 2026_27'!$A$3:$A$493,0)),"")</f>
        <v>5</v>
      </c>
      <c r="O234" s="24">
        <f>IFERROR(INDEX('Input Giocatori 2026_27'!$G$3:$G$493,MATCH($A234,'Input Giocatori 2026_27'!$A$3:$A$493,0)),"")</f>
        <v>14</v>
      </c>
      <c r="P234" s="23" t="str">
        <f>IFERROR(IF($O234="","",IF((1-(COUNTIFS($B$2:$B$492,$B234,$O$2:$O$492,"&gt;"&amp;$O234)+1-1)/COUNTIF($B$2:$B$492,$B234))&gt;='Parametri Modello'!$B$63,"Top",IF((1-(COUNTIFS($B$2:$B$492,$B234,$O$2:$O$492,"&gt;"&amp;$O234)+1-1)/COUNTIF($B$2:$B$492,$B234))&gt;='Parametri Modello'!$B$64,"Buono",IF((1-(COUNTIFS($B$2:$B$492,$B234,$O$2:$O$492,"&gt;"&amp;$O234)+1-1)/COUNTIF($B$2:$B$492,$B234))&gt;='Parametri Modello'!$B$65,"Nella Media","Scommessa/Riserva")))),"")</f>
        <v>Nella Media</v>
      </c>
      <c r="Q234" s="26">
        <f>IF(AND($D234="",$N234&gt;1),SUMPRODUCT(($D$2:$D234="")*($N$2:$N234&gt;1)),"")</f>
        <v>233</v>
      </c>
      <c r="R234" s="26" t="str">
        <f>IF($D234='Info Lega'!$B$28,COUNTIFS($D$2:$D234,'Info Lega'!$B$28),"")</f>
        <v/>
      </c>
      <c r="S234" s="27">
        <f>IFERROR(INDEX('Input Statistiche 2025_26'!$G$3:$G$665,MATCH($A234,'Input Statistiche 2025_26'!$A$3:$A$665,0)),"")</f>
        <v>5.64</v>
      </c>
      <c r="T234" s="27">
        <f>IFERROR(INDEX('Input Statistiche 2025_26'!$H$3:$H$665,MATCH($A234,'Input Statistiche 2025_26'!$A$3:$A$665,0)),"")</f>
        <v>5.55</v>
      </c>
      <c r="U234" s="23" t="str">
        <f>IF(OR('La Mia Rosa'!$O$12="",$D234&lt;&gt;""),"",IF($F234&lt;='La Mia Rosa'!$O$12*'Parametri Modello'!$B$24,"OK",IF($F234&lt;='La Mia Rosa'!$O$12*'Parametri Modello'!$B$25,"Attenzione","Rischio Alto")))</f>
        <v>OK</v>
      </c>
      <c r="V234" s="23">
        <f t="shared" si="28"/>
        <v>86</v>
      </c>
      <c r="W234" s="18">
        <f>'Info Lega'!$B$4-SUMIFS($M$2:$M$492,$D$2:$D$492,'Info Lega'!$B$28)</f>
        <v>1000</v>
      </c>
      <c r="X234" s="18">
        <f>('Info Lega'!$B$5-COUNTIFS($D$2:$D$492,'Info Lega'!$B$28,$B$2:$B$492,"P"))+('Info Lega'!$B$6-COUNTIFS($D$2:$D$492,'Info Lega'!$B$28,$B$2:$B$492,"D"))+('Info Lega'!$B$7-COUNTIFS($D$2:$D$492,'Info Lega'!$B$28,$B$2:$B$492,"C"))+('Info Lega'!$B$8-COUNTIFS($D$2:$D$492,'Info Lega'!$B$28,$B$2:$B$492,"A"))</f>
        <v>25</v>
      </c>
      <c r="Y234" s="18">
        <f>X234*'Parametri Modello'!$B$30</f>
        <v>25</v>
      </c>
      <c r="Z234" s="18">
        <f t="shared" si="29"/>
        <v>975</v>
      </c>
      <c r="AA234" s="18">
        <f t="shared" si="30"/>
        <v>2</v>
      </c>
      <c r="AB234" s="18"/>
      <c r="AC234" s="18" t="str">
        <f>IF($AB234="","",IF($AB234&gt;$AA234,"PASS",IF($AB234&lt;=$AA234*(1-'Parametri Modello'!$B$68),"BID","ATTENZIONE")))</f>
        <v/>
      </c>
      <c r="AD234" s="28">
        <f t="shared" si="31"/>
        <v>62</v>
      </c>
      <c r="AE234" s="5" t="str">
        <f>IFERROR(IF($AF234="Titolare",INDEX('Stato Asta'!$G$9:$G$12,MATCH($B234,'Stato Asta'!$A$9:$A$12,0)),INDEX('Stato Asta'!$P$9:$P$12,MATCH($B234,'Stato Asta'!$A$9:$A$12,0))),"")</f>
        <v>🟢 Riserve abbondanti</v>
      </c>
      <c r="AF234" t="str">
        <f>IFERROR(IF($V234&lt;=INDEX('Parametri Modello'!$C$57:$C$60,MATCH($B234,'Parametri Modello'!$A$57:$A$60,0)),"Titolare","Riserva"),"")</f>
        <v>Riserva</v>
      </c>
      <c r="AG234" t="str">
        <f>IFERROR(INDEX('Pressione Competitiva'!$F$3:$F$6,MATCH($B234,'Pressione Competitiva'!$B$3:$B$6,0)),"")</f>
        <v>🔴 Molto Alta</v>
      </c>
      <c r="AH234" t="str">
        <f t="shared" si="32"/>
        <v/>
      </c>
      <c r="AI234" t="str">
        <f>IFERROR(IF($AH234="","",IF($AH234&gt;=$AA234*'Parametri Modello'!$B$68,"🟢 Opportunita'",IF($AH234&lt;=$AA234*'Parametri Modello'!$B$69,"🔴 Sovrapprezzo","🟡 Prezzo Corretto"))),"")</f>
        <v/>
      </c>
      <c r="AJ234" t="str">
        <f t="shared" si="33"/>
        <v/>
      </c>
      <c r="AK234">
        <f t="shared" si="34"/>
        <v>31</v>
      </c>
      <c r="AL234" t="str">
        <f t="shared" si="35"/>
        <v>C|Nella Media|31</v>
      </c>
    </row>
    <row r="235" spans="1:38" ht="14.25" customHeight="1" x14ac:dyDescent="0.25">
      <c r="A235" s="18">
        <v>7318</v>
      </c>
      <c r="B235" s="18" t="s">
        <v>264</v>
      </c>
      <c r="C235" s="18" t="s">
        <v>357</v>
      </c>
      <c r="E235" s="23" t="str">
        <f>IF(COUNTIF('Info Strategia'!$D$2:$D$51,$C235)&gt;0,"SI","NO")</f>
        <v>NO</v>
      </c>
      <c r="F235" s="24">
        <f>IFERROR(ROUND(($G235+($H235-$G235)*'Info Strategia'!$B$6)*(1+IF($E235="SI",'Parametri Modello'!$B$7*'Info Strategia'!$B$6,0)),0),"")</f>
        <v>2</v>
      </c>
      <c r="G235" s="24">
        <f>IFERROR(ROUND(MAX(1,(IF($V235&lt;=INDEX('Parametri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1</v>
      </c>
      <c r="H235" s="24">
        <f>IFERROR(ROUND((IF($V235&lt;=INDEX('Parametri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2</v>
      </c>
      <c r="I235" s="23">
        <f>IFERROR(INDEX('Input Statistiche 2025_26'!$F$3:$F$665,MATCH($A235,'Input Statistiche 2025_26'!$A$3:$A$665,0)),"")</f>
        <v>16</v>
      </c>
      <c r="J235" s="23">
        <f t="shared" si="27"/>
        <v>22</v>
      </c>
      <c r="K235" s="23">
        <f>IFERROR(INDEX('Input Statistiche 2025_26'!$I$3:$I$665,MATCH($A235,'Input Statistiche 2025_26'!$A$3:$A$665,0)),"")</f>
        <v>2</v>
      </c>
      <c r="L235" s="23">
        <f>IFERROR(INDEX('Input Statistiche 2025_26'!$O$3:$O$665,MATCH($A235,'Input Statistiche 2025_26'!$A$3:$A$665,0)),"")</f>
        <v>1</v>
      </c>
      <c r="M235" s="25"/>
      <c r="N235" s="24">
        <f>IFERROR(INDEX('Input Giocatori 2026_27'!$E$3:$E$493,MATCH($A235,'Input Giocatori 2026_27'!$A$3:$A$493,0)),"")</f>
        <v>5</v>
      </c>
      <c r="O235" s="24">
        <f>IFERROR(INDEX('Input Giocatori 2026_27'!$G$3:$G$493,MATCH($A235,'Input Giocatori 2026_27'!$A$3:$A$493,0)),"")</f>
        <v>14</v>
      </c>
      <c r="P235" s="23" t="str">
        <f>IFERROR(IF($O235="","",IF((1-(COUNTIFS($B$2:$B$492,$B235,$O$2:$O$492,"&gt;"&amp;$O235)+1-1)/COUNTIF($B$2:$B$492,$B235))&gt;='Parametri Modello'!$B$63,"Top",IF((1-(COUNTIFS($B$2:$B$492,$B235,$O$2:$O$492,"&gt;"&amp;$O235)+1-1)/COUNTIF($B$2:$B$492,$B235))&gt;='Parametri Modello'!$B$64,"Buono",IF((1-(COUNTIFS($B$2:$B$492,$B235,$O$2:$O$492,"&gt;"&amp;$O235)+1-1)/COUNTIF($B$2:$B$492,$B235))&gt;='Parametri Modello'!$B$65,"Nella Media","Scommessa/Riserva")))),"")</f>
        <v>Nella Media</v>
      </c>
      <c r="Q235" s="26">
        <f>IF(AND($D235="",$N235&gt;1),SUMPRODUCT(($D$2:$D235="")*($N$2:$N235&gt;1)),"")</f>
        <v>234</v>
      </c>
      <c r="R235" s="26" t="str">
        <f>IF($D235='Info Lega'!$B$28,COUNTIFS($D$2:$D235,'Info Lega'!$B$28),"")</f>
        <v/>
      </c>
      <c r="S235" s="27">
        <f>IFERROR(INDEX('Input Statistiche 2025_26'!$G$3:$G$665,MATCH($A235,'Input Statistiche 2025_26'!$A$3:$A$665,0)),"")</f>
        <v>5.97</v>
      </c>
      <c r="T235" s="27">
        <f>IFERROR(INDEX('Input Statistiche 2025_26'!$H$3:$H$665,MATCH($A235,'Input Statistiche 2025_26'!$A$3:$A$665,0)),"")</f>
        <v>6.41</v>
      </c>
      <c r="U235" s="23" t="str">
        <f>IF(OR('La Mia Rosa'!$O$12="",$D235&lt;&gt;""),"",IF($F235&lt;='La Mia Rosa'!$O$12*'Parametri Modello'!$B$24,"OK",IF($F235&lt;='La Mia Rosa'!$O$12*'Parametri Modello'!$B$25,"Attenzione","Rischio Alto")))</f>
        <v>OK</v>
      </c>
      <c r="V235" s="23">
        <f t="shared" si="28"/>
        <v>86</v>
      </c>
      <c r="W235" s="18">
        <f>'Info Lega'!$B$4-SUMIFS($M$2:$M$492,$D$2:$D$492,'Info Lega'!$B$28)</f>
        <v>1000</v>
      </c>
      <c r="X235" s="18">
        <f>('Info Lega'!$B$5-COUNTIFS($D$2:$D$492,'Info Lega'!$B$28,$B$2:$B$492,"P"))+('Info Lega'!$B$6-COUNTIFS($D$2:$D$492,'Info Lega'!$B$28,$B$2:$B$492,"D"))+('Info Lega'!$B$7-COUNTIFS($D$2:$D$492,'Info Lega'!$B$28,$B$2:$B$492,"C"))+('Info Lega'!$B$8-COUNTIFS($D$2:$D$492,'Info Lega'!$B$28,$B$2:$B$492,"A"))</f>
        <v>25</v>
      </c>
      <c r="Y235" s="18">
        <f>X235*'Parametri Modello'!$B$30</f>
        <v>25</v>
      </c>
      <c r="Z235" s="18">
        <f t="shared" si="29"/>
        <v>975</v>
      </c>
      <c r="AA235" s="18">
        <f t="shared" si="30"/>
        <v>2</v>
      </c>
      <c r="AB235" s="18"/>
      <c r="AC235" s="18" t="str">
        <f>IF($AB235="","",IF($AB235&gt;$AA235,"PASS",IF($AB235&lt;=$AA235*(1-'Parametri Modello'!$B$68),"BID","ATTENZIONE")))</f>
        <v/>
      </c>
      <c r="AD235" s="28">
        <f t="shared" si="31"/>
        <v>41</v>
      </c>
      <c r="AE235" s="5" t="str">
        <f>IFERROR(IF($AF235="Titolare",INDEX('Stato Asta'!$G$9:$G$12,MATCH($B235,'Stato Asta'!$A$9:$A$12,0)),INDEX('Stato Asta'!$P$9:$P$12,MATCH($B235,'Stato Asta'!$A$9:$A$12,0))),"")</f>
        <v>🟢 Riserve abbondanti</v>
      </c>
      <c r="AF235" t="str">
        <f>IFERROR(IF($V235&lt;=INDEX('Parametri Modello'!$C$57:$C$60,MATCH($B235,'Parametri Modello'!$A$57:$A$60,0)),"Titolare","Riserva"),"")</f>
        <v>Riserva</v>
      </c>
      <c r="AG235" t="str">
        <f>IFERROR(INDEX('Pressione Competitiva'!$F$3:$F$6,MATCH($B235,'Pressione Competitiva'!$B$3:$B$6,0)),"")</f>
        <v>🔴 Molto Alta</v>
      </c>
      <c r="AH235" t="str">
        <f t="shared" si="32"/>
        <v/>
      </c>
      <c r="AI235" t="str">
        <f>IFERROR(IF($AH235="","",IF($AH235&gt;=$AA235*'Parametri Modello'!$B$68,"🟢 Opportunita'",IF($AH235&lt;=$AA235*'Parametri Modello'!$B$69,"🔴 Sovrapprezzo","🟡 Prezzo Corretto"))),"")</f>
        <v/>
      </c>
      <c r="AJ235" t="str">
        <f t="shared" si="33"/>
        <v/>
      </c>
      <c r="AK235">
        <f t="shared" si="34"/>
        <v>31</v>
      </c>
      <c r="AL235" t="str">
        <f t="shared" si="35"/>
        <v>C|Nella Media|31</v>
      </c>
    </row>
    <row r="236" spans="1:38" ht="14.25" customHeight="1" x14ac:dyDescent="0.25">
      <c r="A236" s="18">
        <v>6677</v>
      </c>
      <c r="B236" s="18" t="s">
        <v>264</v>
      </c>
      <c r="C236" s="18" t="s">
        <v>363</v>
      </c>
      <c r="E236" s="23" t="str">
        <f>IF(COUNTIF('Info Strategia'!$D$2:$D$51,$C236)&gt;0,"SI","NO")</f>
        <v>NO</v>
      </c>
      <c r="F236" s="24">
        <f>IFERROR(ROUND(($G236+($H236-$G236)*'Info Strategia'!$B$6)*(1+IF($E236="SI",'Parametri Modello'!$B$7*'Info Strategia'!$B$6,0)),0),"")</f>
        <v>2</v>
      </c>
      <c r="G236" s="24">
        <f>IFERROR(ROUND(MAX(1,(IF($V236&lt;=INDEX('Parametri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1</v>
      </c>
      <c r="H236" s="24">
        <f>IFERROR(ROUND((IF($V236&lt;=INDEX('Parametri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2</v>
      </c>
      <c r="I236" s="23">
        <f>IFERROR(INDEX('Input Statistiche 2025_26'!$F$3:$F$665,MATCH($A236,'Input Statistiche 2025_26'!$A$3:$A$665,0)),"")</f>
        <v>4</v>
      </c>
      <c r="J236" s="23">
        <f t="shared" si="27"/>
        <v>34</v>
      </c>
      <c r="K236" s="23">
        <f>IFERROR(INDEX('Input Statistiche 2025_26'!$I$3:$I$665,MATCH($A236,'Input Statistiche 2025_26'!$A$3:$A$665,0)),"")</f>
        <v>1</v>
      </c>
      <c r="L236" s="23">
        <f>IFERROR(INDEX('Input Statistiche 2025_26'!$O$3:$O$665,MATCH($A236,'Input Statistiche 2025_26'!$A$3:$A$665,0)),"")</f>
        <v>0</v>
      </c>
      <c r="M236" s="25"/>
      <c r="N236" s="24">
        <f>IFERROR(INDEX('Input Giocatori 2026_27'!$E$3:$E$493,MATCH($A236,'Input Giocatori 2026_27'!$A$3:$A$493,0)),"")</f>
        <v>5</v>
      </c>
      <c r="O236" s="24">
        <f>IFERROR(INDEX('Input Giocatori 2026_27'!$G$3:$G$493,MATCH($A236,'Input Giocatori 2026_27'!$A$3:$A$493,0)),"")</f>
        <v>14</v>
      </c>
      <c r="P236" s="23" t="str">
        <f>IFERROR(IF($O236="","",IF((1-(COUNTIFS($B$2:$B$492,$B236,$O$2:$O$492,"&gt;"&amp;$O236)+1-1)/COUNTIF($B$2:$B$492,$B236))&gt;='Parametri Modello'!$B$63,"Top",IF((1-(COUNTIFS($B$2:$B$492,$B236,$O$2:$O$492,"&gt;"&amp;$O236)+1-1)/COUNTIF($B$2:$B$492,$B236))&gt;='Parametri Modello'!$B$64,"Buono",IF((1-(COUNTIFS($B$2:$B$492,$B236,$O$2:$O$492,"&gt;"&amp;$O236)+1-1)/COUNTIF($B$2:$B$492,$B236))&gt;='Parametri Modello'!$B$65,"Nella Media","Scommessa/Riserva")))),"")</f>
        <v>Nella Media</v>
      </c>
      <c r="Q236" s="26">
        <f>IF(AND($D236="",$N236&gt;1),SUMPRODUCT(($D$2:$D236="")*($N$2:$N236&gt;1)),"")</f>
        <v>235</v>
      </c>
      <c r="R236" s="26" t="str">
        <f>IF($D236='Info Lega'!$B$28,COUNTIFS($D$2:$D236,'Info Lega'!$B$28),"")</f>
        <v/>
      </c>
      <c r="S236" s="27">
        <f>IFERROR(INDEX('Input Statistiche 2025_26'!$G$3:$G$665,MATCH($A236,'Input Statistiche 2025_26'!$A$3:$A$665,0)),"")</f>
        <v>6.12</v>
      </c>
      <c r="T236" s="27">
        <f>IFERROR(INDEX('Input Statistiche 2025_26'!$H$3:$H$665,MATCH($A236,'Input Statistiche 2025_26'!$A$3:$A$665,0)),"")</f>
        <v>6.88</v>
      </c>
      <c r="U236" s="23" t="str">
        <f>IF(OR('La Mia Rosa'!$O$12="",$D236&lt;&gt;""),"",IF($F236&lt;='La Mia Rosa'!$O$12*'Parametri Modello'!$B$24,"OK",IF($F236&lt;='La Mia Rosa'!$O$12*'Parametri Modello'!$B$25,"Attenzione","Rischio Alto")))</f>
        <v>OK</v>
      </c>
      <c r="V236" s="23">
        <f t="shared" si="28"/>
        <v>86</v>
      </c>
      <c r="W236" s="18">
        <f>'Info Lega'!$B$4-SUMIFS($M$2:$M$492,$D$2:$D$492,'Info Lega'!$B$28)</f>
        <v>1000</v>
      </c>
      <c r="X236" s="18">
        <f>('Info Lega'!$B$5-COUNTIFS($D$2:$D$492,'Info Lega'!$B$28,$B$2:$B$492,"P"))+('Info Lega'!$B$6-COUNTIFS($D$2:$D$492,'Info Lega'!$B$28,$B$2:$B$492,"D"))+('Info Lega'!$B$7-COUNTIFS($D$2:$D$492,'Info Lega'!$B$28,$B$2:$B$492,"C"))+('Info Lega'!$B$8-COUNTIFS($D$2:$D$492,'Info Lega'!$B$28,$B$2:$B$492,"A"))</f>
        <v>25</v>
      </c>
      <c r="Y236" s="18">
        <f>X236*'Parametri Modello'!$B$30</f>
        <v>25</v>
      </c>
      <c r="Z236" s="18">
        <f t="shared" si="29"/>
        <v>975</v>
      </c>
      <c r="AA236" s="18">
        <f t="shared" si="30"/>
        <v>2</v>
      </c>
      <c r="AB236" s="18"/>
      <c r="AC236" s="18" t="str">
        <f>IF($AB236="","",IF($AB236&gt;$AA236,"PASS",IF($AB236&lt;=$AA236*(1-'Parametri Modello'!$B$68),"BID","ATTENZIONE")))</f>
        <v/>
      </c>
      <c r="AD236" s="28">
        <f t="shared" si="31"/>
        <v>12</v>
      </c>
      <c r="AE236" s="5" t="str">
        <f>IFERROR(IF($AF236="Titolare",INDEX('Stato Asta'!$G$9:$G$12,MATCH($B236,'Stato Asta'!$A$9:$A$12,0)),INDEX('Stato Asta'!$P$9:$P$12,MATCH($B236,'Stato Asta'!$A$9:$A$12,0))),"")</f>
        <v>🟢 Riserve abbondanti</v>
      </c>
      <c r="AF236" t="str">
        <f>IFERROR(IF($V236&lt;=INDEX('Parametri Modello'!$C$57:$C$60,MATCH($B236,'Parametri Modello'!$A$57:$A$60,0)),"Titolare","Riserva"),"")</f>
        <v>Riserva</v>
      </c>
      <c r="AG236" t="str">
        <f>IFERROR(INDEX('Pressione Competitiva'!$F$3:$F$6,MATCH($B236,'Pressione Competitiva'!$B$3:$B$6,0)),"")</f>
        <v>🔴 Molto Alta</v>
      </c>
      <c r="AH236" t="str">
        <f t="shared" si="32"/>
        <v/>
      </c>
      <c r="AI236" t="str">
        <f>IFERROR(IF($AH236="","",IF($AH236&gt;=$AA236*'Parametri Modello'!$B$68,"🟢 Opportunita'",IF($AH236&lt;=$AA236*'Parametri Modello'!$B$69,"🔴 Sovrapprezzo","🟡 Prezzo Corretto"))),"")</f>
        <v/>
      </c>
      <c r="AJ236" t="str">
        <f t="shared" si="33"/>
        <v/>
      </c>
      <c r="AK236">
        <f t="shared" si="34"/>
        <v>31</v>
      </c>
      <c r="AL236" t="str">
        <f t="shared" si="35"/>
        <v>C|Nella Media|31</v>
      </c>
    </row>
    <row r="237" spans="1:38" ht="14.25" customHeight="1" x14ac:dyDescent="0.25">
      <c r="A237" s="18">
        <v>5507</v>
      </c>
      <c r="B237" s="18" t="s">
        <v>264</v>
      </c>
      <c r="C237" s="18" t="s">
        <v>368</v>
      </c>
      <c r="E237" s="23" t="str">
        <f>IF(COUNTIF('Info Strategia'!$D$2:$D$51,$C237)&gt;0,"SI","NO")</f>
        <v>NO</v>
      </c>
      <c r="F237" s="24">
        <f>IFERROR(ROUND(($G237+($H237-$G237)*'Info Strategia'!$B$6)*(1+IF($E237="SI",'Parametri Modello'!$B$7*'Info Strategia'!$B$6,0)),0),"")</f>
        <v>2</v>
      </c>
      <c r="G237" s="24">
        <f>IFERROR(ROUND(MAX(1,(IF($V237&lt;=INDEX('Parametri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1</v>
      </c>
      <c r="H237" s="24">
        <f>IFERROR(ROUND((IF($V237&lt;=INDEX('Parametri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2</v>
      </c>
      <c r="I237" s="23" t="str">
        <f>IFERROR(INDEX('Input Statistiche 2025_26'!$F$3:$F$665,MATCH($A237,'Input Statistiche 2025_26'!$A$3:$A$665,0)),"")</f>
        <v/>
      </c>
      <c r="J237" s="23" t="str">
        <f t="shared" si="27"/>
        <v/>
      </c>
      <c r="K237" s="23" t="str">
        <f>IFERROR(INDEX('Input Statistiche 2025_26'!$I$3:$I$665,MATCH($A237,'Input Statistiche 2025_26'!$A$3:$A$665,0)),"")</f>
        <v/>
      </c>
      <c r="L237" s="23" t="str">
        <f>IFERROR(INDEX('Input Statistiche 2025_26'!$O$3:$O$665,MATCH($A237,'Input Statistiche 2025_26'!$A$3:$A$665,0)),"")</f>
        <v/>
      </c>
      <c r="M237" s="25"/>
      <c r="N237" s="24">
        <f>IFERROR(INDEX('Input Giocatori 2026_27'!$E$3:$E$493,MATCH($A237,'Input Giocatori 2026_27'!$A$3:$A$493,0)),"")</f>
        <v>5</v>
      </c>
      <c r="O237" s="24">
        <f>IFERROR(INDEX('Input Giocatori 2026_27'!$G$3:$G$493,MATCH($A237,'Input Giocatori 2026_27'!$A$3:$A$493,0)),"")</f>
        <v>14</v>
      </c>
      <c r="P237" s="23" t="str">
        <f>IFERROR(IF($O237="","",IF((1-(COUNTIFS($B$2:$B$492,$B237,$O$2:$O$492,"&gt;"&amp;$O237)+1-1)/COUNTIF($B$2:$B$492,$B237))&gt;='Parametri Modello'!$B$63,"Top",IF((1-(COUNTIFS($B$2:$B$492,$B237,$O$2:$O$492,"&gt;"&amp;$O237)+1-1)/COUNTIF($B$2:$B$492,$B237))&gt;='Parametri Modello'!$B$64,"Buono",IF((1-(COUNTIFS($B$2:$B$492,$B237,$O$2:$O$492,"&gt;"&amp;$O237)+1-1)/COUNTIF($B$2:$B$492,$B237))&gt;='Parametri Modello'!$B$65,"Nella Media","Scommessa/Riserva")))),"")</f>
        <v>Nella Media</v>
      </c>
      <c r="Q237" s="26">
        <f>IF(AND($D237="",$N237&gt;1),SUMPRODUCT(($D$2:$D237="")*($N$2:$N237&gt;1)),"")</f>
        <v>236</v>
      </c>
      <c r="R237" s="26" t="str">
        <f>IF($D237='Info Lega'!$B$28,COUNTIFS($D$2:$D237,'Info Lega'!$B$28),"")</f>
        <v/>
      </c>
      <c r="S237" s="27" t="str">
        <f>IFERROR(INDEX('Input Statistiche 2025_26'!$G$3:$G$665,MATCH($A237,'Input Statistiche 2025_26'!$A$3:$A$665,0)),"")</f>
        <v/>
      </c>
      <c r="T237" s="27" t="str">
        <f>IFERROR(INDEX('Input Statistiche 2025_26'!$H$3:$H$665,MATCH($A237,'Input Statistiche 2025_26'!$A$3:$A$665,0)),"")</f>
        <v/>
      </c>
      <c r="U237" s="23" t="str">
        <f>IF(OR('La Mia Rosa'!$O$12="",$D237&lt;&gt;""),"",IF($F237&lt;='La Mia Rosa'!$O$12*'Parametri Modello'!$B$24,"OK",IF($F237&lt;='La Mia Rosa'!$O$12*'Parametri Modello'!$B$25,"Attenzione","Rischio Alto")))</f>
        <v>OK</v>
      </c>
      <c r="V237" s="23">
        <f t="shared" si="28"/>
        <v>86</v>
      </c>
      <c r="W237" s="18">
        <f>'Info Lega'!$B$4-SUMIFS($M$2:$M$492,$D$2:$D$492,'Info Lega'!$B$28)</f>
        <v>1000</v>
      </c>
      <c r="X237" s="18">
        <f>('Info Lega'!$B$5-COUNTIFS($D$2:$D$492,'Info Lega'!$B$28,$B$2:$B$492,"P"))+('Info Lega'!$B$6-COUNTIFS($D$2:$D$492,'Info Lega'!$B$28,$B$2:$B$492,"D"))+('Info Lega'!$B$7-COUNTIFS($D$2:$D$492,'Info Lega'!$B$28,$B$2:$B$492,"C"))+('Info Lega'!$B$8-COUNTIFS($D$2:$D$492,'Info Lega'!$B$28,$B$2:$B$492,"A"))</f>
        <v>25</v>
      </c>
      <c r="Y237" s="18">
        <f>X237*'Parametri Modello'!$B$30</f>
        <v>25</v>
      </c>
      <c r="Z237" s="18">
        <f t="shared" si="29"/>
        <v>975</v>
      </c>
      <c r="AA237" s="18">
        <f t="shared" si="30"/>
        <v>2</v>
      </c>
      <c r="AB237" s="18"/>
      <c r="AC237" s="18" t="str">
        <f>IF($AB237="","",IF($AB237&gt;$AA237,"PASS",IF($AB237&lt;=$AA237*(1-'Parametri Modello'!$B$68),"BID","ATTENZIONE")))</f>
        <v/>
      </c>
      <c r="AD237" s="28" t="str">
        <f t="shared" si="31"/>
        <v/>
      </c>
      <c r="AE237" s="5" t="str">
        <f>IFERROR(IF($AF237="Titolare",INDEX('Stato Asta'!$G$9:$G$12,MATCH($B237,'Stato Asta'!$A$9:$A$12,0)),INDEX('Stato Asta'!$P$9:$P$12,MATCH($B237,'Stato Asta'!$A$9:$A$12,0))),"")</f>
        <v>🟢 Riserve abbondanti</v>
      </c>
      <c r="AF237" t="str">
        <f>IFERROR(IF($V237&lt;=INDEX('Parametri Modello'!$C$57:$C$60,MATCH($B237,'Parametri Modello'!$A$57:$A$60,0)),"Titolare","Riserva"),"")</f>
        <v>Riserva</v>
      </c>
      <c r="AG237" t="str">
        <f>IFERROR(INDEX('Pressione Competitiva'!$F$3:$F$6,MATCH($B237,'Pressione Competitiva'!$B$3:$B$6,0)),"")</f>
        <v>🔴 Molto Alta</v>
      </c>
      <c r="AH237" t="str">
        <f t="shared" si="32"/>
        <v/>
      </c>
      <c r="AI237" t="str">
        <f>IFERROR(IF($AH237="","",IF($AH237&gt;=$AA237*'Parametri Modello'!$B$68,"🟢 Opportunita'",IF($AH237&lt;=$AA237*'Parametri Modello'!$B$69,"🔴 Sovrapprezzo","🟡 Prezzo Corretto"))),"")</f>
        <v/>
      </c>
      <c r="AJ237" t="str">
        <f t="shared" si="33"/>
        <v/>
      </c>
      <c r="AK237">
        <f t="shared" si="34"/>
        <v>31</v>
      </c>
      <c r="AL237" t="str">
        <f t="shared" si="35"/>
        <v>C|Nella Media|31</v>
      </c>
    </row>
    <row r="238" spans="1:38" ht="14.25" customHeight="1" x14ac:dyDescent="0.25">
      <c r="A238" s="18">
        <v>5319</v>
      </c>
      <c r="B238" s="18" t="s">
        <v>264</v>
      </c>
      <c r="C238" s="18" t="s">
        <v>369</v>
      </c>
      <c r="E238" s="23" t="str">
        <f>IF(COUNTIF('Info Strategia'!$D$2:$D$51,$C238)&gt;0,"SI","NO")</f>
        <v>NO</v>
      </c>
      <c r="F238" s="24">
        <f>IFERROR(ROUND(($G238+($H238-$G238)*'Info Strategia'!$B$6)*(1+IF($E238="SI",'Parametri Modello'!$B$7*'Info Strategia'!$B$6,0)),0),"")</f>
        <v>2</v>
      </c>
      <c r="G238" s="24">
        <f>IFERROR(ROUND(MAX(1,(IF($V238&lt;=INDEX('Parametri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1</v>
      </c>
      <c r="H238" s="24">
        <f>IFERROR(ROUND((IF($V238&lt;=INDEX('Parametri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2</v>
      </c>
      <c r="I238" s="23">
        <f>IFERROR(INDEX('Input Statistiche 2025_26'!$F$3:$F$665,MATCH($A238,'Input Statistiche 2025_26'!$A$3:$A$665,0)),"")</f>
        <v>24</v>
      </c>
      <c r="J238" s="23">
        <f t="shared" si="27"/>
        <v>14</v>
      </c>
      <c r="K238" s="23">
        <f>IFERROR(INDEX('Input Statistiche 2025_26'!$I$3:$I$665,MATCH($A238,'Input Statistiche 2025_26'!$A$3:$A$665,0)),"")</f>
        <v>0</v>
      </c>
      <c r="L238" s="23">
        <f>IFERROR(INDEX('Input Statistiche 2025_26'!$O$3:$O$665,MATCH($A238,'Input Statistiche 2025_26'!$A$3:$A$665,0)),"")</f>
        <v>1</v>
      </c>
      <c r="M238" s="25"/>
      <c r="N238" s="24">
        <f>IFERROR(INDEX('Input Giocatori 2026_27'!$E$3:$E$493,MATCH($A238,'Input Giocatori 2026_27'!$A$3:$A$493,0)),"")</f>
        <v>5</v>
      </c>
      <c r="O238" s="24">
        <f>IFERROR(INDEX('Input Giocatori 2026_27'!$G$3:$G$493,MATCH($A238,'Input Giocatori 2026_27'!$A$3:$A$493,0)),"")</f>
        <v>14</v>
      </c>
      <c r="P238" s="23" t="str">
        <f>IFERROR(IF($O238="","",IF((1-(COUNTIFS($B$2:$B$492,$B238,$O$2:$O$492,"&gt;"&amp;$O238)+1-1)/COUNTIF($B$2:$B$492,$B238))&gt;='Parametri Modello'!$B$63,"Top",IF((1-(COUNTIFS($B$2:$B$492,$B238,$O$2:$O$492,"&gt;"&amp;$O238)+1-1)/COUNTIF($B$2:$B$492,$B238))&gt;='Parametri Modello'!$B$64,"Buono",IF((1-(COUNTIFS($B$2:$B$492,$B238,$O$2:$O$492,"&gt;"&amp;$O238)+1-1)/COUNTIF($B$2:$B$492,$B238))&gt;='Parametri Modello'!$B$65,"Nella Media","Scommessa/Riserva")))),"")</f>
        <v>Nella Media</v>
      </c>
      <c r="Q238" s="26">
        <f>IF(AND($D238="",$N238&gt;1),SUMPRODUCT(($D$2:$D238="")*($N$2:$N238&gt;1)),"")</f>
        <v>237</v>
      </c>
      <c r="R238" s="26" t="str">
        <f>IF($D238='Info Lega'!$B$28,COUNTIFS($D$2:$D238,'Info Lega'!$B$28),"")</f>
        <v/>
      </c>
      <c r="S238" s="27">
        <f>IFERROR(INDEX('Input Statistiche 2025_26'!$G$3:$G$665,MATCH($A238,'Input Statistiche 2025_26'!$A$3:$A$665,0)),"")</f>
        <v>5.65</v>
      </c>
      <c r="T238" s="27">
        <f>IFERROR(INDEX('Input Statistiche 2025_26'!$H$3:$H$665,MATCH($A238,'Input Statistiche 2025_26'!$A$3:$A$665,0)),"")</f>
        <v>5.62</v>
      </c>
      <c r="U238" s="23" t="str">
        <f>IF(OR('La Mia Rosa'!$O$12="",$D238&lt;&gt;""),"",IF($F238&lt;='La Mia Rosa'!$O$12*'Parametri Modello'!$B$24,"OK",IF($F238&lt;='La Mia Rosa'!$O$12*'Parametri Modello'!$B$25,"Attenzione","Rischio Alto")))</f>
        <v>OK</v>
      </c>
      <c r="V238" s="23">
        <f t="shared" si="28"/>
        <v>86</v>
      </c>
      <c r="W238" s="18">
        <f>'Info Lega'!$B$4-SUMIFS($M$2:$M$492,$D$2:$D$492,'Info Lega'!$B$28)</f>
        <v>1000</v>
      </c>
      <c r="X238" s="18">
        <f>('Info Lega'!$B$5-COUNTIFS($D$2:$D$492,'Info Lega'!$B$28,$B$2:$B$492,"P"))+('Info Lega'!$B$6-COUNTIFS($D$2:$D$492,'Info Lega'!$B$28,$B$2:$B$492,"D"))+('Info Lega'!$B$7-COUNTIFS($D$2:$D$492,'Info Lega'!$B$28,$B$2:$B$492,"C"))+('Info Lega'!$B$8-COUNTIFS($D$2:$D$492,'Info Lega'!$B$28,$B$2:$B$492,"A"))</f>
        <v>25</v>
      </c>
      <c r="Y238" s="18">
        <f>X238*'Parametri Modello'!$B$30</f>
        <v>25</v>
      </c>
      <c r="Z238" s="18">
        <f t="shared" si="29"/>
        <v>975</v>
      </c>
      <c r="AA238" s="18">
        <f t="shared" si="30"/>
        <v>2</v>
      </c>
      <c r="AB238" s="18"/>
      <c r="AC238" s="18" t="str">
        <f>IF($AB238="","",IF($AB238&gt;$AA238,"PASS",IF($AB238&lt;=$AA238*(1-'Parametri Modello'!$B$68),"BID","ATTENZIONE")))</f>
        <v/>
      </c>
      <c r="AD238" s="28">
        <f t="shared" si="31"/>
        <v>55</v>
      </c>
      <c r="AE238" s="5" t="str">
        <f>IFERROR(IF($AF238="Titolare",INDEX('Stato Asta'!$G$9:$G$12,MATCH($B238,'Stato Asta'!$A$9:$A$12,0)),INDEX('Stato Asta'!$P$9:$P$12,MATCH($B238,'Stato Asta'!$A$9:$A$12,0))),"")</f>
        <v>🟢 Riserve abbondanti</v>
      </c>
      <c r="AF238" t="str">
        <f>IFERROR(IF($V238&lt;=INDEX('Parametri Modello'!$C$57:$C$60,MATCH($B238,'Parametri Modello'!$A$57:$A$60,0)),"Titolare","Riserva"),"")</f>
        <v>Riserva</v>
      </c>
      <c r="AG238" t="str">
        <f>IFERROR(INDEX('Pressione Competitiva'!$F$3:$F$6,MATCH($B238,'Pressione Competitiva'!$B$3:$B$6,0)),"")</f>
        <v>🔴 Molto Alta</v>
      </c>
      <c r="AH238" t="str">
        <f t="shared" si="32"/>
        <v/>
      </c>
      <c r="AI238" t="str">
        <f>IFERROR(IF($AH238="","",IF($AH238&gt;=$AA238*'Parametri Modello'!$B$68,"🟢 Opportunita'",IF($AH238&lt;=$AA238*'Parametri Modello'!$B$69,"🔴 Sovrapprezzo","🟡 Prezzo Corretto"))),"")</f>
        <v/>
      </c>
      <c r="AJ238" t="str">
        <f t="shared" si="33"/>
        <v/>
      </c>
      <c r="AK238">
        <f t="shared" si="34"/>
        <v>31</v>
      </c>
      <c r="AL238" t="str">
        <f t="shared" si="35"/>
        <v>C|Nella Media|31</v>
      </c>
    </row>
    <row r="239" spans="1:38" ht="14.25" customHeight="1" x14ac:dyDescent="0.25">
      <c r="A239" s="18">
        <v>6994</v>
      </c>
      <c r="B239" s="18" t="s">
        <v>264</v>
      </c>
      <c r="C239" s="18" t="s">
        <v>370</v>
      </c>
      <c r="E239" s="23" t="str">
        <f>IF(COUNTIF('Info Strategia'!$D$2:$D$51,$C239)&gt;0,"SI","NO")</f>
        <v>NO</v>
      </c>
      <c r="F239" s="24">
        <f>IFERROR(ROUND(($G239+($H239-$G239)*'Info Strategia'!$B$6)*(1+IF($E239="SI",'Parametri Modello'!$B$7*'Info Strategia'!$B$6,0)),0),"")</f>
        <v>2</v>
      </c>
      <c r="G239" s="24">
        <f>IFERROR(ROUND(MAX(1,(IF($V239&lt;=INDEX('Parametri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1</v>
      </c>
      <c r="H239" s="24">
        <f>IFERROR(ROUND((IF($V239&lt;=INDEX('Parametri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2</v>
      </c>
      <c r="I239" s="23" t="str">
        <f>IFERROR(INDEX('Input Statistiche 2025_26'!$F$3:$F$665,MATCH($A239,'Input Statistiche 2025_26'!$A$3:$A$665,0)),"")</f>
        <v/>
      </c>
      <c r="J239" s="23" t="str">
        <f t="shared" si="27"/>
        <v/>
      </c>
      <c r="K239" s="23" t="str">
        <f>IFERROR(INDEX('Input Statistiche 2025_26'!$I$3:$I$665,MATCH($A239,'Input Statistiche 2025_26'!$A$3:$A$665,0)),"")</f>
        <v/>
      </c>
      <c r="L239" s="23" t="str">
        <f>IFERROR(INDEX('Input Statistiche 2025_26'!$O$3:$O$665,MATCH($A239,'Input Statistiche 2025_26'!$A$3:$A$665,0)),"")</f>
        <v/>
      </c>
      <c r="M239" s="25"/>
      <c r="N239" s="24">
        <f>IFERROR(INDEX('Input Giocatori 2026_27'!$E$3:$E$493,MATCH($A239,'Input Giocatori 2026_27'!$A$3:$A$493,0)),"")</f>
        <v>5</v>
      </c>
      <c r="O239" s="24">
        <f>IFERROR(INDEX('Input Giocatori 2026_27'!$G$3:$G$493,MATCH($A239,'Input Giocatori 2026_27'!$A$3:$A$493,0)),"")</f>
        <v>14</v>
      </c>
      <c r="P239" s="23" t="str">
        <f>IFERROR(IF($O239="","",IF((1-(COUNTIFS($B$2:$B$492,$B239,$O$2:$O$492,"&gt;"&amp;$O239)+1-1)/COUNTIF($B$2:$B$492,$B239))&gt;='Parametri Modello'!$B$63,"Top",IF((1-(COUNTIFS($B$2:$B$492,$B239,$O$2:$O$492,"&gt;"&amp;$O239)+1-1)/COUNTIF($B$2:$B$492,$B239))&gt;='Parametri Modello'!$B$64,"Buono",IF((1-(COUNTIFS($B$2:$B$492,$B239,$O$2:$O$492,"&gt;"&amp;$O239)+1-1)/COUNTIF($B$2:$B$492,$B239))&gt;='Parametri Modello'!$B$65,"Nella Media","Scommessa/Riserva")))),"")</f>
        <v>Nella Media</v>
      </c>
      <c r="Q239" s="26">
        <f>IF(AND($D239="",$N239&gt;1),SUMPRODUCT(($D$2:$D239="")*($N$2:$N239&gt;1)),"")</f>
        <v>238</v>
      </c>
      <c r="R239" s="26" t="str">
        <f>IF($D239='Info Lega'!$B$28,COUNTIFS($D$2:$D239,'Info Lega'!$B$28),"")</f>
        <v/>
      </c>
      <c r="S239" s="27" t="str">
        <f>IFERROR(INDEX('Input Statistiche 2025_26'!$G$3:$G$665,MATCH($A239,'Input Statistiche 2025_26'!$A$3:$A$665,0)),"")</f>
        <v/>
      </c>
      <c r="T239" s="27" t="str">
        <f>IFERROR(INDEX('Input Statistiche 2025_26'!$H$3:$H$665,MATCH($A239,'Input Statistiche 2025_26'!$A$3:$A$665,0)),"")</f>
        <v/>
      </c>
      <c r="U239" s="23" t="str">
        <f>IF(OR('La Mia Rosa'!$O$12="",$D239&lt;&gt;""),"",IF($F239&lt;='La Mia Rosa'!$O$12*'Parametri Modello'!$B$24,"OK",IF($F239&lt;='La Mia Rosa'!$O$12*'Parametri Modello'!$B$25,"Attenzione","Rischio Alto")))</f>
        <v>OK</v>
      </c>
      <c r="V239" s="23">
        <f t="shared" si="28"/>
        <v>86</v>
      </c>
      <c r="W239" s="18">
        <f>'Info Lega'!$B$4-SUMIFS($M$2:$M$492,$D$2:$D$492,'Info Lega'!$B$28)</f>
        <v>1000</v>
      </c>
      <c r="X239" s="18">
        <f>('Info Lega'!$B$5-COUNTIFS($D$2:$D$492,'Info Lega'!$B$28,$B$2:$B$492,"P"))+('Info Lega'!$B$6-COUNTIFS($D$2:$D$492,'Info Lega'!$B$28,$B$2:$B$492,"D"))+('Info Lega'!$B$7-COUNTIFS($D$2:$D$492,'Info Lega'!$B$28,$B$2:$B$492,"C"))+('Info Lega'!$B$8-COUNTIFS($D$2:$D$492,'Info Lega'!$B$28,$B$2:$B$492,"A"))</f>
        <v>25</v>
      </c>
      <c r="Y239" s="18">
        <f>X239*'Parametri Modello'!$B$30</f>
        <v>25</v>
      </c>
      <c r="Z239" s="18">
        <f t="shared" si="29"/>
        <v>975</v>
      </c>
      <c r="AA239" s="18">
        <f t="shared" si="30"/>
        <v>2</v>
      </c>
      <c r="AB239" s="18"/>
      <c r="AC239" s="18" t="str">
        <f>IF($AB239="","",IF($AB239&gt;$AA239,"PASS",IF($AB239&lt;=$AA239*(1-'Parametri Modello'!$B$68),"BID","ATTENZIONE")))</f>
        <v/>
      </c>
      <c r="AD239" s="28" t="str">
        <f t="shared" si="31"/>
        <v/>
      </c>
      <c r="AE239" s="5" t="str">
        <f>IFERROR(IF($AF239="Titolare",INDEX('Stato Asta'!$G$9:$G$12,MATCH($B239,'Stato Asta'!$A$9:$A$12,0)),INDEX('Stato Asta'!$P$9:$P$12,MATCH($B239,'Stato Asta'!$A$9:$A$12,0))),"")</f>
        <v>🟢 Riserve abbondanti</v>
      </c>
      <c r="AF239" t="str">
        <f>IFERROR(IF($V239&lt;=INDEX('Parametri Modello'!$C$57:$C$60,MATCH($B239,'Parametri Modello'!$A$57:$A$60,0)),"Titolare","Riserva"),"")</f>
        <v>Riserva</v>
      </c>
      <c r="AG239" t="str">
        <f>IFERROR(INDEX('Pressione Competitiva'!$F$3:$F$6,MATCH($B239,'Pressione Competitiva'!$B$3:$B$6,0)),"")</f>
        <v>🔴 Molto Alta</v>
      </c>
      <c r="AH239" t="str">
        <f t="shared" si="32"/>
        <v/>
      </c>
      <c r="AI239" t="str">
        <f>IFERROR(IF($AH239="","",IF($AH239&gt;=$AA239*'Parametri Modello'!$B$68,"🟢 Opportunita'",IF($AH239&lt;=$AA239*'Parametri Modello'!$B$69,"🔴 Sovrapprezzo","🟡 Prezzo Corretto"))),"")</f>
        <v/>
      </c>
      <c r="AJ239" t="str">
        <f t="shared" si="33"/>
        <v/>
      </c>
      <c r="AK239">
        <f t="shared" si="34"/>
        <v>31</v>
      </c>
      <c r="AL239" t="str">
        <f t="shared" si="35"/>
        <v>C|Nella Media|31</v>
      </c>
    </row>
    <row r="240" spans="1:38" ht="14.25" customHeight="1" x14ac:dyDescent="0.25">
      <c r="A240" s="18">
        <v>6207</v>
      </c>
      <c r="B240" s="18" t="s">
        <v>264</v>
      </c>
      <c r="C240" s="18" t="s">
        <v>386</v>
      </c>
      <c r="E240" s="23" t="str">
        <f>IF(COUNTIF('Info Strategia'!$D$2:$D$51,$C240)&gt;0,"SI","NO")</f>
        <v>NO</v>
      </c>
      <c r="F240" s="24">
        <f>IFERROR(ROUND(($G240+($H240-$G240)*'Info Strategia'!$B$6)*(1+IF($E240="SI",'Parametri Modello'!$B$7*'Info Strategia'!$B$6,0)),0),"")</f>
        <v>2</v>
      </c>
      <c r="G240" s="24">
        <f>IFERROR(ROUND(MAX(1,(IF($V240&lt;=INDEX('Parametri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1</v>
      </c>
      <c r="H240" s="24">
        <f>IFERROR(ROUND((IF($V240&lt;=INDEX('Parametri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2</v>
      </c>
      <c r="I240" s="23">
        <f>IFERROR(INDEX('Input Statistiche 2025_26'!$F$3:$F$665,MATCH($A240,'Input Statistiche 2025_26'!$A$3:$A$665,0)),"")</f>
        <v>9</v>
      </c>
      <c r="J240" s="23">
        <f t="shared" si="27"/>
        <v>29</v>
      </c>
      <c r="K240" s="23">
        <f>IFERROR(INDEX('Input Statistiche 2025_26'!$I$3:$I$665,MATCH($A240,'Input Statistiche 2025_26'!$A$3:$A$665,0)),"")</f>
        <v>0</v>
      </c>
      <c r="L240" s="23">
        <f>IFERROR(INDEX('Input Statistiche 2025_26'!$O$3:$O$665,MATCH($A240,'Input Statistiche 2025_26'!$A$3:$A$665,0)),"")</f>
        <v>1</v>
      </c>
      <c r="M240" s="25"/>
      <c r="N240" s="24">
        <f>IFERROR(INDEX('Input Giocatori 2026_27'!$E$3:$E$493,MATCH($A240,'Input Giocatori 2026_27'!$A$3:$A$493,0)),"")</f>
        <v>4</v>
      </c>
      <c r="O240" s="24">
        <f>IFERROR(INDEX('Input Giocatori 2026_27'!$G$3:$G$493,MATCH($A240,'Input Giocatori 2026_27'!$A$3:$A$493,0)),"")</f>
        <v>14</v>
      </c>
      <c r="P240" s="23" t="str">
        <f>IFERROR(IF($O240="","",IF((1-(COUNTIFS($B$2:$B$492,$B240,$O$2:$O$492,"&gt;"&amp;$O240)+1-1)/COUNTIF($B$2:$B$492,$B240))&gt;='Parametri Modello'!$B$63,"Top",IF((1-(COUNTIFS($B$2:$B$492,$B240,$O$2:$O$492,"&gt;"&amp;$O240)+1-1)/COUNTIF($B$2:$B$492,$B240))&gt;='Parametri Modello'!$B$64,"Buono",IF((1-(COUNTIFS($B$2:$B$492,$B240,$O$2:$O$492,"&gt;"&amp;$O240)+1-1)/COUNTIF($B$2:$B$492,$B240))&gt;='Parametri Modello'!$B$65,"Nella Media","Scommessa/Riserva")))),"")</f>
        <v>Nella Media</v>
      </c>
      <c r="Q240" s="26">
        <f>IF(AND($D240="",$N240&gt;1),SUMPRODUCT(($D$2:$D240="")*($N$2:$N240&gt;1)),"")</f>
        <v>239</v>
      </c>
      <c r="R240" s="26" t="str">
        <f>IF($D240='Info Lega'!$B$28,COUNTIFS($D$2:$D240,'Info Lega'!$B$28),"")</f>
        <v/>
      </c>
      <c r="S240" s="27">
        <f>IFERROR(INDEX('Input Statistiche 2025_26'!$G$3:$G$665,MATCH($A240,'Input Statistiche 2025_26'!$A$3:$A$665,0)),"")</f>
        <v>5.94</v>
      </c>
      <c r="T240" s="27">
        <f>IFERROR(INDEX('Input Statistiche 2025_26'!$H$3:$H$665,MATCH($A240,'Input Statistiche 2025_26'!$A$3:$A$665,0)),"")</f>
        <v>6.06</v>
      </c>
      <c r="U240" s="23" t="str">
        <f>IF(OR('La Mia Rosa'!$O$12="",$D240&lt;&gt;""),"",IF($F240&lt;='La Mia Rosa'!$O$12*'Parametri Modello'!$B$24,"OK",IF($F240&lt;='La Mia Rosa'!$O$12*'Parametri Modello'!$B$25,"Attenzione","Rischio Alto")))</f>
        <v>OK</v>
      </c>
      <c r="V240" s="23">
        <f t="shared" si="28"/>
        <v>86</v>
      </c>
      <c r="W240" s="18">
        <f>'Info Lega'!$B$4-SUMIFS($M$2:$M$492,$D$2:$D$492,'Info Lega'!$B$28)</f>
        <v>1000</v>
      </c>
      <c r="X240" s="18">
        <f>('Info Lega'!$B$5-COUNTIFS($D$2:$D$492,'Info Lega'!$B$28,$B$2:$B$492,"P"))+('Info Lega'!$B$6-COUNTIFS($D$2:$D$492,'Info Lega'!$B$28,$B$2:$B$492,"D"))+('Info Lega'!$B$7-COUNTIFS($D$2:$D$492,'Info Lega'!$B$28,$B$2:$B$492,"C"))+('Info Lega'!$B$8-COUNTIFS($D$2:$D$492,'Info Lega'!$B$28,$B$2:$B$492,"A"))</f>
        <v>25</v>
      </c>
      <c r="Y240" s="18">
        <f>X240*'Parametri Modello'!$B$30</f>
        <v>25</v>
      </c>
      <c r="Z240" s="18">
        <f t="shared" si="29"/>
        <v>975</v>
      </c>
      <c r="AA240" s="18">
        <f t="shared" si="30"/>
        <v>2</v>
      </c>
      <c r="AB240" s="18"/>
      <c r="AC240" s="18" t="str">
        <f>IF($AB240="","",IF($AB240&gt;$AA240,"PASS",IF($AB240&lt;=$AA240*(1-'Parametri Modello'!$B$68),"BID","ATTENZIONE")))</f>
        <v/>
      </c>
      <c r="AD240" s="28">
        <f t="shared" si="31"/>
        <v>26</v>
      </c>
      <c r="AE240" s="5" t="str">
        <f>IFERROR(IF($AF240="Titolare",INDEX('Stato Asta'!$G$9:$G$12,MATCH($B240,'Stato Asta'!$A$9:$A$12,0)),INDEX('Stato Asta'!$P$9:$P$12,MATCH($B240,'Stato Asta'!$A$9:$A$12,0))),"")</f>
        <v>🟢 Riserve abbondanti</v>
      </c>
      <c r="AF240" t="str">
        <f>IFERROR(IF($V240&lt;=INDEX('Parametri Modello'!$C$57:$C$60,MATCH($B240,'Parametri Modello'!$A$57:$A$60,0)),"Titolare","Riserva"),"")</f>
        <v>Riserva</v>
      </c>
      <c r="AG240" t="str">
        <f>IFERROR(INDEX('Pressione Competitiva'!$F$3:$F$6,MATCH($B240,'Pressione Competitiva'!$B$3:$B$6,0)),"")</f>
        <v>🔴 Molto Alta</v>
      </c>
      <c r="AH240" t="str">
        <f t="shared" si="32"/>
        <v/>
      </c>
      <c r="AI240" t="str">
        <f>IFERROR(IF($AH240="","",IF($AH240&gt;=$AA240*'Parametri Modello'!$B$68,"🟢 Opportunita'",IF($AH240&lt;=$AA240*'Parametri Modello'!$B$69,"🔴 Sovrapprezzo","🟡 Prezzo Corretto"))),"")</f>
        <v/>
      </c>
      <c r="AJ240" t="str">
        <f t="shared" si="33"/>
        <v/>
      </c>
      <c r="AK240">
        <f t="shared" si="34"/>
        <v>31</v>
      </c>
      <c r="AL240" t="str">
        <f t="shared" si="35"/>
        <v>C|Nella Media|31</v>
      </c>
    </row>
    <row r="241" spans="1:38" ht="14.25" customHeight="1" x14ac:dyDescent="0.25">
      <c r="A241" s="18">
        <v>7008</v>
      </c>
      <c r="B241" s="18" t="s">
        <v>437</v>
      </c>
      <c r="C241" s="18" t="s">
        <v>491</v>
      </c>
      <c r="E241" s="23" t="str">
        <f>IF(COUNTIF('Info Strategia'!$D$2:$D$51,$C241)&gt;0,"SI","NO")</f>
        <v>NO</v>
      </c>
      <c r="F241" s="24">
        <f>IFERROR(ROUND(($G241+($H241-$G241)*'Info Strategia'!$B$6)*(1+IF($E241="SI",'Parametri Modello'!$B$7*'Info Strategia'!$B$6,0)),0),"")</f>
        <v>4</v>
      </c>
      <c r="G241" s="24">
        <f>IFERROR(ROUND(MAX(1,(IF($V241&lt;=INDEX('Parametri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3</v>
      </c>
      <c r="H241" s="24">
        <f>IFERROR(ROUND((IF($V241&lt;=INDEX('Parametri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5</v>
      </c>
      <c r="I241" s="23">
        <f>IFERROR(INDEX('Input Statistiche 2025_26'!$F$3:$F$665,MATCH($A241,'Input Statistiche 2025_26'!$A$3:$A$665,0)),"")</f>
        <v>15</v>
      </c>
      <c r="J241" s="23">
        <f t="shared" si="27"/>
        <v>23</v>
      </c>
      <c r="K241" s="23">
        <f>IFERROR(INDEX('Input Statistiche 2025_26'!$I$3:$I$665,MATCH($A241,'Input Statistiche 2025_26'!$A$3:$A$665,0)),"")</f>
        <v>0</v>
      </c>
      <c r="L241" s="23">
        <f>IFERROR(INDEX('Input Statistiche 2025_26'!$O$3:$O$665,MATCH($A241,'Input Statistiche 2025_26'!$A$3:$A$665,0)),"")</f>
        <v>1</v>
      </c>
      <c r="M241" s="25"/>
      <c r="N241" s="24">
        <f>IFERROR(INDEX('Input Giocatori 2026_27'!$E$3:$E$493,MATCH($A241,'Input Giocatori 2026_27'!$A$3:$A$493,0)),"")</f>
        <v>6</v>
      </c>
      <c r="O241" s="24">
        <f>IFERROR(INDEX('Input Giocatori 2026_27'!$G$3:$G$493,MATCH($A241,'Input Giocatori 2026_27'!$A$3:$A$493,0)),"")</f>
        <v>14</v>
      </c>
      <c r="P241" s="23" t="str">
        <f>IFERROR(IF($O241="","",IF((1-(COUNTIFS($B$2:$B$492,$B241,$O$2:$O$492,"&gt;"&amp;$O241)+1-1)/COUNTIF($B$2:$B$492,$B241))&gt;='Parametri Modello'!$B$63,"Top",IF((1-(COUNTIFS($B$2:$B$492,$B241,$O$2:$O$492,"&gt;"&amp;$O241)+1-1)/COUNTIF($B$2:$B$492,$B241))&gt;='Parametri Modello'!$B$64,"Buono",IF((1-(COUNTIFS($B$2:$B$492,$B241,$O$2:$O$492,"&gt;"&amp;$O241)+1-1)/COUNTIF($B$2:$B$492,$B241))&gt;='Parametri Modello'!$B$65,"Nella Media","Scommessa/Riserva")))),"")</f>
        <v>Scommessa/Riserva</v>
      </c>
      <c r="Q241" s="26">
        <f>IF(AND($D241="",$N241&gt;1),SUMPRODUCT(($D$2:$D241="")*($N$2:$N241&gt;1)),"")</f>
        <v>240</v>
      </c>
      <c r="R241" s="26" t="str">
        <f>IF($D241='Info Lega'!$B$28,COUNTIFS($D$2:$D241,'Info Lega'!$B$28),"")</f>
        <v/>
      </c>
      <c r="S241" s="27">
        <f>IFERROR(INDEX('Input Statistiche 2025_26'!$G$3:$G$665,MATCH($A241,'Input Statistiche 2025_26'!$A$3:$A$665,0)),"")</f>
        <v>5.5</v>
      </c>
      <c r="T241" s="27">
        <f>IFERROR(INDEX('Input Statistiche 2025_26'!$H$3:$H$665,MATCH($A241,'Input Statistiche 2025_26'!$A$3:$A$665,0)),"")</f>
        <v>5.53</v>
      </c>
      <c r="U241" s="23" t="str">
        <f>IF(OR('La Mia Rosa'!$O$12="",$D241&lt;&gt;""),"",IF($F241&lt;='La Mia Rosa'!$O$12*'Parametri Modello'!$B$24,"OK",IF($F241&lt;='La Mia Rosa'!$O$12*'Parametri Modello'!$B$25,"Attenzione","Rischio Alto")))</f>
        <v>OK</v>
      </c>
      <c r="V241" s="23">
        <f t="shared" si="28"/>
        <v>58</v>
      </c>
      <c r="W241" s="18">
        <f>'Info Lega'!$B$4-SUMIFS($M$2:$M$492,$D$2:$D$492,'Info Lega'!$B$28)</f>
        <v>1000</v>
      </c>
      <c r="X241" s="18">
        <f>('Info Lega'!$B$5-COUNTIFS($D$2:$D$492,'Info Lega'!$B$28,$B$2:$B$492,"P"))+('Info Lega'!$B$6-COUNTIFS($D$2:$D$492,'Info Lega'!$B$28,$B$2:$B$492,"D"))+('Info Lega'!$B$7-COUNTIFS($D$2:$D$492,'Info Lega'!$B$28,$B$2:$B$492,"C"))+('Info Lega'!$B$8-COUNTIFS($D$2:$D$492,'Info Lega'!$B$28,$B$2:$B$492,"A"))</f>
        <v>25</v>
      </c>
      <c r="Y241" s="18">
        <f>X241*'Parametri Modello'!$B$30</f>
        <v>25</v>
      </c>
      <c r="Z241" s="18">
        <f t="shared" si="29"/>
        <v>975</v>
      </c>
      <c r="AA241" s="18">
        <f t="shared" si="30"/>
        <v>4</v>
      </c>
      <c r="AB241" s="18"/>
      <c r="AC241" s="18" t="str">
        <f>IF($AB241="","",IF($AB241&gt;$AA241,"PASS",IF($AB241&lt;=$AA241*(1-'Parametri Modello'!$B$68),"BID","ATTENZIONE")))</f>
        <v/>
      </c>
      <c r="AD241" s="28">
        <f t="shared" si="31"/>
        <v>39</v>
      </c>
      <c r="AE241" s="5" t="str">
        <f>IFERROR(IF($AF241="Titolare",INDEX('Stato Asta'!$G$9:$G$12,MATCH($B241,'Stato Asta'!$A$9:$A$12,0)),INDEX('Stato Asta'!$P$9:$P$12,MATCH($B241,'Stato Asta'!$A$9:$A$12,0))),"")</f>
        <v>🟢 Riserve abbondanti</v>
      </c>
      <c r="AF241" t="str">
        <f>IFERROR(IF($V241&lt;=INDEX('Parametri Modello'!$C$57:$C$60,MATCH($B241,'Parametri Modello'!$A$57:$A$60,0)),"Titolare","Riserva"),"")</f>
        <v>Riserva</v>
      </c>
      <c r="AG241" t="str">
        <f>IFERROR(INDEX('Pressione Competitiva'!$F$3:$F$6,MATCH($B241,'Pressione Competitiva'!$B$3:$B$6,0)),"")</f>
        <v>🔴 Molto Alta</v>
      </c>
      <c r="AH241" t="str">
        <f t="shared" si="32"/>
        <v/>
      </c>
      <c r="AI241" t="str">
        <f>IFERROR(IF($AH241="","",IF($AH241&gt;=$AA241*'Parametri Modello'!$B$68,"🟢 Opportunita'",IF($AH241&lt;=$AA241*'Parametri Modello'!$B$69,"🔴 Sovrapprezzo","🟡 Prezzo Corretto"))),"")</f>
        <v/>
      </c>
      <c r="AJ241" t="str">
        <f t="shared" si="33"/>
        <v/>
      </c>
      <c r="AK241">
        <f t="shared" si="34"/>
        <v>4</v>
      </c>
      <c r="AL241" t="str">
        <f t="shared" si="35"/>
        <v>A|Scommessa/Riserva|4</v>
      </c>
    </row>
    <row r="242" spans="1:38" ht="14.25" customHeight="1" x14ac:dyDescent="0.25">
      <c r="A242" s="18">
        <v>4896</v>
      </c>
      <c r="B242" s="18" t="s">
        <v>437</v>
      </c>
      <c r="C242" s="18" t="s">
        <v>493</v>
      </c>
      <c r="E242" s="23" t="str">
        <f>IF(COUNTIF('Info Strategia'!$D$2:$D$51,$C242)&gt;0,"SI","NO")</f>
        <v>NO</v>
      </c>
      <c r="F242" s="24">
        <f>IFERROR(ROUND(($G242+($H242-$G242)*'Info Strategia'!$B$6)*(1+IF($E242="SI",'Parametri Modello'!$B$7*'Info Strategia'!$B$6,0)),0),"")</f>
        <v>4</v>
      </c>
      <c r="G242" s="24">
        <f>IFERROR(ROUND(MAX(1,(IF($V242&lt;=INDEX('Parametri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3</v>
      </c>
      <c r="H242" s="24">
        <f>IFERROR(ROUND((IF($V242&lt;=INDEX('Parametri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5</v>
      </c>
      <c r="I242" s="23">
        <f>IFERROR(INDEX('Input Statistiche 2025_26'!$F$3:$F$665,MATCH($A242,'Input Statistiche 2025_26'!$A$3:$A$665,0)),"")</f>
        <v>18</v>
      </c>
      <c r="J242" s="23">
        <f t="shared" si="27"/>
        <v>20</v>
      </c>
      <c r="K242" s="23">
        <f>IFERROR(INDEX('Input Statistiche 2025_26'!$I$3:$I$665,MATCH($A242,'Input Statistiche 2025_26'!$A$3:$A$665,0)),"")</f>
        <v>2</v>
      </c>
      <c r="L242" s="23">
        <f>IFERROR(INDEX('Input Statistiche 2025_26'!$O$3:$O$665,MATCH($A242,'Input Statistiche 2025_26'!$A$3:$A$665,0)),"")</f>
        <v>1</v>
      </c>
      <c r="M242" s="25"/>
      <c r="N242" s="24">
        <f>IFERROR(INDEX('Input Giocatori 2026_27'!$E$3:$E$493,MATCH($A242,'Input Giocatori 2026_27'!$A$3:$A$493,0)),"")</f>
        <v>5</v>
      </c>
      <c r="O242" s="24">
        <f>IFERROR(INDEX('Input Giocatori 2026_27'!$G$3:$G$493,MATCH($A242,'Input Giocatori 2026_27'!$A$3:$A$493,0)),"")</f>
        <v>14</v>
      </c>
      <c r="P242" s="23" t="str">
        <f>IFERROR(IF($O242="","",IF((1-(COUNTIFS($B$2:$B$492,$B242,$O$2:$O$492,"&gt;"&amp;$O242)+1-1)/COUNTIF($B$2:$B$492,$B242))&gt;='Parametri Modello'!$B$63,"Top",IF((1-(COUNTIFS($B$2:$B$492,$B242,$O$2:$O$492,"&gt;"&amp;$O242)+1-1)/COUNTIF($B$2:$B$492,$B242))&gt;='Parametri Modello'!$B$64,"Buono",IF((1-(COUNTIFS($B$2:$B$492,$B242,$O$2:$O$492,"&gt;"&amp;$O242)+1-1)/COUNTIF($B$2:$B$492,$B242))&gt;='Parametri Modello'!$B$65,"Nella Media","Scommessa/Riserva")))),"")</f>
        <v>Scommessa/Riserva</v>
      </c>
      <c r="Q242" s="26">
        <f>IF(AND($D242="",$N242&gt;1),SUMPRODUCT(($D$2:$D242="")*($N$2:$N242&gt;1)),"")</f>
        <v>241</v>
      </c>
      <c r="R242" s="26" t="str">
        <f>IF($D242='Info Lega'!$B$28,COUNTIFS($D$2:$D242,'Info Lega'!$B$28),"")</f>
        <v/>
      </c>
      <c r="S242" s="27">
        <f>IFERROR(INDEX('Input Statistiche 2025_26'!$G$3:$G$665,MATCH($A242,'Input Statistiche 2025_26'!$A$3:$A$665,0)),"")</f>
        <v>5.94</v>
      </c>
      <c r="T242" s="27">
        <f>IFERROR(INDEX('Input Statistiche 2025_26'!$H$3:$H$665,MATCH($A242,'Input Statistiche 2025_26'!$A$3:$A$665,0)),"")</f>
        <v>6.31</v>
      </c>
      <c r="U242" s="23" t="str">
        <f>IF(OR('La Mia Rosa'!$O$12="",$D242&lt;&gt;""),"",IF($F242&lt;='La Mia Rosa'!$O$12*'Parametri Modello'!$B$24,"OK",IF($F242&lt;='La Mia Rosa'!$O$12*'Parametri Modello'!$B$25,"Attenzione","Rischio Alto")))</f>
        <v>OK</v>
      </c>
      <c r="V242" s="23">
        <f t="shared" si="28"/>
        <v>58</v>
      </c>
      <c r="W242" s="18">
        <f>'Info Lega'!$B$4-SUMIFS($M$2:$M$492,$D$2:$D$492,'Info Lega'!$B$28)</f>
        <v>1000</v>
      </c>
      <c r="X242" s="18">
        <f>('Info Lega'!$B$5-COUNTIFS($D$2:$D$492,'Info Lega'!$B$28,$B$2:$B$492,"P"))+('Info Lega'!$B$6-COUNTIFS($D$2:$D$492,'Info Lega'!$B$28,$B$2:$B$492,"D"))+('Info Lega'!$B$7-COUNTIFS($D$2:$D$492,'Info Lega'!$B$28,$B$2:$B$492,"C"))+('Info Lega'!$B$8-COUNTIFS($D$2:$D$492,'Info Lega'!$B$28,$B$2:$B$492,"A"))</f>
        <v>25</v>
      </c>
      <c r="Y242" s="18">
        <f>X242*'Parametri Modello'!$B$30</f>
        <v>25</v>
      </c>
      <c r="Z242" s="18">
        <f t="shared" si="29"/>
        <v>975</v>
      </c>
      <c r="AA242" s="18">
        <f t="shared" si="30"/>
        <v>4</v>
      </c>
      <c r="AB242" s="18"/>
      <c r="AC242" s="18" t="str">
        <f>IF($AB242="","",IF($AB242&gt;$AA242,"PASS",IF($AB242&lt;=$AA242*(1-'Parametri Modello'!$B$68),"BID","ATTENZIONE")))</f>
        <v/>
      </c>
      <c r="AD242" s="28">
        <f t="shared" si="31"/>
        <v>45</v>
      </c>
      <c r="AE242" s="5" t="str">
        <f>IFERROR(IF($AF242="Titolare",INDEX('Stato Asta'!$G$9:$G$12,MATCH($B242,'Stato Asta'!$A$9:$A$12,0)),INDEX('Stato Asta'!$P$9:$P$12,MATCH($B242,'Stato Asta'!$A$9:$A$12,0))),"")</f>
        <v>🟢 Riserve abbondanti</v>
      </c>
      <c r="AF242" t="str">
        <f>IFERROR(IF($V242&lt;=INDEX('Parametri Modello'!$C$57:$C$60,MATCH($B242,'Parametri Modello'!$A$57:$A$60,0)),"Titolare","Riserva"),"")</f>
        <v>Riserva</v>
      </c>
      <c r="AG242" t="str">
        <f>IFERROR(INDEX('Pressione Competitiva'!$F$3:$F$6,MATCH($B242,'Pressione Competitiva'!$B$3:$B$6,0)),"")</f>
        <v>🔴 Molto Alta</v>
      </c>
      <c r="AH242" t="str">
        <f t="shared" si="32"/>
        <v/>
      </c>
      <c r="AI242" t="str">
        <f>IFERROR(IF($AH242="","",IF($AH242&gt;=$AA242*'Parametri Modello'!$B$68,"🟢 Opportunita'",IF($AH242&lt;=$AA242*'Parametri Modello'!$B$69,"🔴 Sovrapprezzo","🟡 Prezzo Corretto"))),"")</f>
        <v/>
      </c>
      <c r="AJ242" t="str">
        <f t="shared" si="33"/>
        <v/>
      </c>
      <c r="AK242">
        <f t="shared" si="34"/>
        <v>4</v>
      </c>
      <c r="AL242" t="str">
        <f t="shared" si="35"/>
        <v>A|Scommessa/Riserva|4</v>
      </c>
    </row>
    <row r="243" spans="1:38" ht="14.25" customHeight="1" x14ac:dyDescent="0.25">
      <c r="A243" s="18">
        <v>4387</v>
      </c>
      <c r="B243" s="18" t="s">
        <v>437</v>
      </c>
      <c r="C243" s="18" t="s">
        <v>497</v>
      </c>
      <c r="E243" s="23" t="str">
        <f>IF(COUNTIF('Info Strategia'!$D$2:$D$51,$C243)&gt;0,"SI","NO")</f>
        <v>NO</v>
      </c>
      <c r="F243" s="24">
        <f>IFERROR(ROUND(($G243+($H243-$G243)*'Info Strategia'!$B$6)*(1+IF($E243="SI",'Parametri Modello'!$B$7*'Info Strategia'!$B$6,0)),0),"")</f>
        <v>4</v>
      </c>
      <c r="G243" s="24">
        <f>IFERROR(ROUND(MAX(1,(IF($V243&lt;=INDEX('Parametri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3</v>
      </c>
      <c r="H243" s="24">
        <f>IFERROR(ROUND((IF($V243&lt;=INDEX('Parametri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5</v>
      </c>
      <c r="I243" s="23" t="str">
        <f>IFERROR(INDEX('Input Statistiche 2025_26'!$F$3:$F$665,MATCH($A243,'Input Statistiche 2025_26'!$A$3:$A$665,0)),"")</f>
        <v/>
      </c>
      <c r="J243" s="23" t="str">
        <f t="shared" si="27"/>
        <v/>
      </c>
      <c r="K243" s="23" t="str">
        <f>IFERROR(INDEX('Input Statistiche 2025_26'!$I$3:$I$665,MATCH($A243,'Input Statistiche 2025_26'!$A$3:$A$665,0)),"")</f>
        <v/>
      </c>
      <c r="L243" s="23" t="str">
        <f>IFERROR(INDEX('Input Statistiche 2025_26'!$O$3:$O$665,MATCH($A243,'Input Statistiche 2025_26'!$A$3:$A$665,0)),"")</f>
        <v/>
      </c>
      <c r="M243" s="25"/>
      <c r="N243" s="24">
        <f>IFERROR(INDEX('Input Giocatori 2026_27'!$E$3:$E$493,MATCH($A243,'Input Giocatori 2026_27'!$A$3:$A$493,0)),"")</f>
        <v>5</v>
      </c>
      <c r="O243" s="24">
        <f>IFERROR(INDEX('Input Giocatori 2026_27'!$G$3:$G$493,MATCH($A243,'Input Giocatori 2026_27'!$A$3:$A$493,0)),"")</f>
        <v>14</v>
      </c>
      <c r="P243" s="23" t="str">
        <f>IFERROR(IF($O243="","",IF((1-(COUNTIFS($B$2:$B$492,$B243,$O$2:$O$492,"&gt;"&amp;$O243)+1-1)/COUNTIF($B$2:$B$492,$B243))&gt;='Parametri Modello'!$B$63,"Top",IF((1-(COUNTIFS($B$2:$B$492,$B243,$O$2:$O$492,"&gt;"&amp;$O243)+1-1)/COUNTIF($B$2:$B$492,$B243))&gt;='Parametri Modello'!$B$64,"Buono",IF((1-(COUNTIFS($B$2:$B$492,$B243,$O$2:$O$492,"&gt;"&amp;$O243)+1-1)/COUNTIF($B$2:$B$492,$B243))&gt;='Parametri Modello'!$B$65,"Nella Media","Scommessa/Riserva")))),"")</f>
        <v>Scommessa/Riserva</v>
      </c>
      <c r="Q243" s="26">
        <f>IF(AND($D243="",$N243&gt;1),SUMPRODUCT(($D$2:$D243="")*($N$2:$N243&gt;1)),"")</f>
        <v>242</v>
      </c>
      <c r="R243" s="26" t="str">
        <f>IF($D243='Info Lega'!$B$28,COUNTIFS($D$2:$D243,'Info Lega'!$B$28),"")</f>
        <v/>
      </c>
      <c r="S243" s="27" t="str">
        <f>IFERROR(INDEX('Input Statistiche 2025_26'!$G$3:$G$665,MATCH($A243,'Input Statistiche 2025_26'!$A$3:$A$665,0)),"")</f>
        <v/>
      </c>
      <c r="T243" s="27" t="str">
        <f>IFERROR(INDEX('Input Statistiche 2025_26'!$H$3:$H$665,MATCH($A243,'Input Statistiche 2025_26'!$A$3:$A$665,0)),"")</f>
        <v/>
      </c>
      <c r="U243" s="23" t="str">
        <f>IF(OR('La Mia Rosa'!$O$12="",$D243&lt;&gt;""),"",IF($F243&lt;='La Mia Rosa'!$O$12*'Parametri Modello'!$B$24,"OK",IF($F243&lt;='La Mia Rosa'!$O$12*'Parametri Modello'!$B$25,"Attenzione","Rischio Alto")))</f>
        <v>OK</v>
      </c>
      <c r="V243" s="23">
        <f t="shared" si="28"/>
        <v>58</v>
      </c>
      <c r="W243" s="18">
        <f>'Info Lega'!$B$4-SUMIFS($M$2:$M$492,$D$2:$D$492,'Info Lega'!$B$28)</f>
        <v>1000</v>
      </c>
      <c r="X243" s="18">
        <f>('Info Lega'!$B$5-COUNTIFS($D$2:$D$492,'Info Lega'!$B$28,$B$2:$B$492,"P"))+('Info Lega'!$B$6-COUNTIFS($D$2:$D$492,'Info Lega'!$B$28,$B$2:$B$492,"D"))+('Info Lega'!$B$7-COUNTIFS($D$2:$D$492,'Info Lega'!$B$28,$B$2:$B$492,"C"))+('Info Lega'!$B$8-COUNTIFS($D$2:$D$492,'Info Lega'!$B$28,$B$2:$B$492,"A"))</f>
        <v>25</v>
      </c>
      <c r="Y243" s="18">
        <f>X243*'Parametri Modello'!$B$30</f>
        <v>25</v>
      </c>
      <c r="Z243" s="18">
        <f t="shared" si="29"/>
        <v>975</v>
      </c>
      <c r="AA243" s="18">
        <f t="shared" si="30"/>
        <v>4</v>
      </c>
      <c r="AB243" s="18"/>
      <c r="AC243" s="18" t="str">
        <f>IF($AB243="","",IF($AB243&gt;$AA243,"PASS",IF($AB243&lt;=$AA243*(1-'Parametri Modello'!$B$68),"BID","ATTENZIONE")))</f>
        <v/>
      </c>
      <c r="AD243" s="28" t="str">
        <f t="shared" si="31"/>
        <v/>
      </c>
      <c r="AE243" s="5" t="str">
        <f>IFERROR(IF($AF243="Titolare",INDEX('Stato Asta'!$G$9:$G$12,MATCH($B243,'Stato Asta'!$A$9:$A$12,0)),INDEX('Stato Asta'!$P$9:$P$12,MATCH($B243,'Stato Asta'!$A$9:$A$12,0))),"")</f>
        <v>🟢 Riserve abbondanti</v>
      </c>
      <c r="AF243" t="str">
        <f>IFERROR(IF($V243&lt;=INDEX('Parametri Modello'!$C$57:$C$60,MATCH($B243,'Parametri Modello'!$A$57:$A$60,0)),"Titolare","Riserva"),"")</f>
        <v>Riserva</v>
      </c>
      <c r="AG243" t="str">
        <f>IFERROR(INDEX('Pressione Competitiva'!$F$3:$F$6,MATCH($B243,'Pressione Competitiva'!$B$3:$B$6,0)),"")</f>
        <v>🔴 Molto Alta</v>
      </c>
      <c r="AH243" t="str">
        <f t="shared" si="32"/>
        <v/>
      </c>
      <c r="AI243" t="str">
        <f>IFERROR(IF($AH243="","",IF($AH243&gt;=$AA243*'Parametri Modello'!$B$68,"🟢 Opportunita'",IF($AH243&lt;=$AA243*'Parametri Modello'!$B$69,"🔴 Sovrapprezzo","🟡 Prezzo Corretto"))),"")</f>
        <v/>
      </c>
      <c r="AJ243" t="str">
        <f t="shared" si="33"/>
        <v/>
      </c>
      <c r="AK243">
        <f t="shared" si="34"/>
        <v>4</v>
      </c>
      <c r="AL243" t="str">
        <f t="shared" si="35"/>
        <v>A|Scommessa/Riserva|4</v>
      </c>
    </row>
    <row r="244" spans="1:38" ht="14.25" customHeight="1" x14ac:dyDescent="0.25">
      <c r="A244" s="18">
        <v>6660</v>
      </c>
      <c r="B244" s="18" t="s">
        <v>88</v>
      </c>
      <c r="C244" s="18" t="s">
        <v>149</v>
      </c>
      <c r="E244" s="23" t="str">
        <f>IF(COUNTIF('Info Strategia'!$D$2:$D$51,$C244)&gt;0,"SI","NO")</f>
        <v>NO</v>
      </c>
      <c r="F244" s="24">
        <f>IFERROR(ROUND(($G244+($H244-$G244)*'Info Strategia'!$B$6)*(1+IF($E244="SI",'Parametri Modello'!$B$7*'Info Strategia'!$B$6,0)),0),"")</f>
        <v>3</v>
      </c>
      <c r="G244" s="24">
        <f>IFERROR(ROUND(MAX(1,(IF($V244&lt;=INDEX('Parametri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2</v>
      </c>
      <c r="H244" s="24">
        <f>IFERROR(ROUND((IF($V244&lt;=INDEX('Parametri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3</v>
      </c>
      <c r="I244" s="23">
        <f>IFERROR(INDEX('Input Statistiche 2025_26'!$F$3:$F$665,MATCH($A244,'Input Statistiche 2025_26'!$A$3:$A$665,0)),"")</f>
        <v>31</v>
      </c>
      <c r="J244" s="23">
        <f t="shared" si="27"/>
        <v>7</v>
      </c>
      <c r="K244" s="23">
        <f>IFERROR(INDEX('Input Statistiche 2025_26'!$I$3:$I$665,MATCH($A244,'Input Statistiche 2025_26'!$A$3:$A$665,0)),"")</f>
        <v>0</v>
      </c>
      <c r="L244" s="23">
        <f>IFERROR(INDEX('Input Statistiche 2025_26'!$O$3:$O$665,MATCH($A244,'Input Statistiche 2025_26'!$A$3:$A$665,0)),"")</f>
        <v>1</v>
      </c>
      <c r="M244" s="25"/>
      <c r="N244" s="24">
        <f>IFERROR(INDEX('Input Giocatori 2026_27'!$E$3:$E$493,MATCH($A244,'Input Giocatori 2026_27'!$A$3:$A$493,0)),"")</f>
        <v>6</v>
      </c>
      <c r="O244" s="24">
        <f>IFERROR(INDEX('Input Giocatori 2026_27'!$G$3:$G$493,MATCH($A244,'Input Giocatori 2026_27'!$A$3:$A$493,0)),"")</f>
        <v>13</v>
      </c>
      <c r="P244" s="23" t="str">
        <f>IFERROR(IF($O244="","",IF((1-(COUNTIFS($B$2:$B$492,$B244,$O$2:$O$492,"&gt;"&amp;$O244)+1-1)/COUNTIF($B$2:$B$492,$B244))&gt;='Parametri Modello'!$B$63,"Top",IF((1-(COUNTIFS($B$2:$B$492,$B244,$O$2:$O$492,"&gt;"&amp;$O244)+1-1)/COUNTIF($B$2:$B$492,$B244))&gt;='Parametri Modello'!$B$64,"Buono",IF((1-(COUNTIFS($B$2:$B$492,$B244,$O$2:$O$492,"&gt;"&amp;$O244)+1-1)/COUNTIF($B$2:$B$492,$B244))&gt;='Parametri Modello'!$B$65,"Nella Media","Scommessa/Riserva")))),"")</f>
        <v>Nella Media</v>
      </c>
      <c r="Q244" s="26">
        <f>IF(AND($D244="",$N244&gt;1),SUMPRODUCT(($D$2:$D244="")*($N$2:$N244&gt;1)),"")</f>
        <v>243</v>
      </c>
      <c r="R244" s="26" t="str">
        <f>IF($D244='Info Lega'!$B$28,COUNTIFS($D$2:$D244,'Info Lega'!$B$28),"")</f>
        <v/>
      </c>
      <c r="S244" s="27">
        <f>IFERROR(INDEX('Input Statistiche 2025_26'!$G$3:$G$665,MATCH($A244,'Input Statistiche 2025_26'!$A$3:$A$665,0)),"")</f>
        <v>5.87</v>
      </c>
      <c r="T244" s="27">
        <f>IFERROR(INDEX('Input Statistiche 2025_26'!$H$3:$H$665,MATCH($A244,'Input Statistiche 2025_26'!$A$3:$A$665,0)),"")</f>
        <v>5.84</v>
      </c>
      <c r="U244" s="23" t="str">
        <f>IF(OR('La Mia Rosa'!$O$12="",$D244&lt;&gt;""),"",IF($F244&lt;='La Mia Rosa'!$O$12*'Parametri Modello'!$B$24,"OK",IF($F244&lt;='La Mia Rosa'!$O$12*'Parametri Modello'!$B$25,"Attenzione","Rischio Alto")))</f>
        <v>OK</v>
      </c>
      <c r="V244" s="23">
        <f t="shared" si="28"/>
        <v>69</v>
      </c>
      <c r="W244" s="18">
        <f>'Info Lega'!$B$4-SUMIFS($M$2:$M$492,$D$2:$D$492,'Info Lega'!$B$28)</f>
        <v>1000</v>
      </c>
      <c r="X244" s="18">
        <f>('Info Lega'!$B$5-COUNTIFS($D$2:$D$492,'Info Lega'!$B$28,$B$2:$B$492,"P"))+('Info Lega'!$B$6-COUNTIFS($D$2:$D$492,'Info Lega'!$B$28,$B$2:$B$492,"D"))+('Info Lega'!$B$7-COUNTIFS($D$2:$D$492,'Info Lega'!$B$28,$B$2:$B$492,"C"))+('Info Lega'!$B$8-COUNTIFS($D$2:$D$492,'Info Lega'!$B$28,$B$2:$B$492,"A"))</f>
        <v>25</v>
      </c>
      <c r="Y244" s="18">
        <f>X244*'Parametri Modello'!$B$30</f>
        <v>25</v>
      </c>
      <c r="Z244" s="18">
        <f t="shared" si="29"/>
        <v>975</v>
      </c>
      <c r="AA244" s="18">
        <f t="shared" si="30"/>
        <v>3</v>
      </c>
      <c r="AB244" s="18"/>
      <c r="AC244" s="18" t="str">
        <f>IF($AB244="","",IF($AB244&gt;$AA244,"PASS",IF($AB244&lt;=$AA244*(1-'Parametri Modello'!$B$68),"BID","ATTENZIONE")))</f>
        <v/>
      </c>
      <c r="AD244" s="28">
        <f t="shared" si="31"/>
        <v>64</v>
      </c>
      <c r="AE244" s="5" t="str">
        <f>IFERROR(IF($AF244="Titolare",INDEX('Stato Asta'!$G$9:$G$12,MATCH($B244,'Stato Asta'!$A$9:$A$12,0)),INDEX('Stato Asta'!$P$9:$P$12,MATCH($B244,'Stato Asta'!$A$9:$A$12,0))),"")</f>
        <v>🟢 Riserve abbondanti</v>
      </c>
      <c r="AF244" t="str">
        <f>IFERROR(IF($V244&lt;=INDEX('Parametri Modello'!$C$57:$C$60,MATCH($B244,'Parametri Modello'!$A$57:$A$60,0)),"Titolare","Riserva"),"")</f>
        <v>Riserva</v>
      </c>
      <c r="AG244" t="str">
        <f>IFERROR(INDEX('Pressione Competitiva'!$F$3:$F$6,MATCH($B244,'Pressione Competitiva'!$B$3:$B$6,0)),"")</f>
        <v>🔴 Molto Alta</v>
      </c>
      <c r="AH244" t="str">
        <f t="shared" si="32"/>
        <v/>
      </c>
      <c r="AI244" t="str">
        <f>IFERROR(IF($AH244="","",IF($AH244&gt;=$AA244*'Parametri Modello'!$B$68,"🟢 Opportunita'",IF($AH244&lt;=$AA244*'Parametri Modello'!$B$69,"🔴 Sovrapprezzo","🟡 Prezzo Corretto"))),"")</f>
        <v/>
      </c>
      <c r="AJ244" t="str">
        <f t="shared" si="33"/>
        <v/>
      </c>
      <c r="AK244">
        <f t="shared" si="34"/>
        <v>14</v>
      </c>
      <c r="AL244" t="str">
        <f t="shared" si="35"/>
        <v>D|Nella Media|14</v>
      </c>
    </row>
    <row r="245" spans="1:38" ht="14.25" customHeight="1" x14ac:dyDescent="0.25">
      <c r="A245" s="18">
        <v>4502</v>
      </c>
      <c r="B245" s="18" t="s">
        <v>88</v>
      </c>
      <c r="C245" s="18" t="s">
        <v>153</v>
      </c>
      <c r="E245" s="23" t="str">
        <f>IF(COUNTIF('Info Strategia'!$D$2:$D$51,$C245)&gt;0,"SI","NO")</f>
        <v>NO</v>
      </c>
      <c r="F245" s="24">
        <f>IFERROR(ROUND(($G245+($H245-$G245)*'Info Strategia'!$B$6)*(1+IF($E245="SI",'Parametri Modello'!$B$7*'Info Strategia'!$B$6,0)),0),"")</f>
        <v>3</v>
      </c>
      <c r="G245" s="24">
        <f>IFERROR(ROUND(MAX(1,(IF($V245&lt;=INDEX('Parametri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2</v>
      </c>
      <c r="H245" s="24">
        <f>IFERROR(ROUND((IF($V245&lt;=INDEX('Parametri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3</v>
      </c>
      <c r="I245" s="23">
        <f>IFERROR(INDEX('Input Statistiche 2025_26'!$F$3:$F$665,MATCH($A245,'Input Statistiche 2025_26'!$A$3:$A$665,0)),"")</f>
        <v>37</v>
      </c>
      <c r="J245" s="23">
        <f t="shared" si="27"/>
        <v>1</v>
      </c>
      <c r="K245" s="23">
        <f>IFERROR(INDEX('Input Statistiche 2025_26'!$I$3:$I$665,MATCH($A245,'Input Statistiche 2025_26'!$A$3:$A$665,0)),"")</f>
        <v>0</v>
      </c>
      <c r="L245" s="23">
        <f>IFERROR(INDEX('Input Statistiche 2025_26'!$O$3:$O$665,MATCH($A245,'Input Statistiche 2025_26'!$A$3:$A$665,0)),"")</f>
        <v>3</v>
      </c>
      <c r="M245" s="25"/>
      <c r="N245" s="24">
        <f>IFERROR(INDEX('Input Giocatori 2026_27'!$E$3:$E$493,MATCH($A245,'Input Giocatori 2026_27'!$A$3:$A$493,0)),"")</f>
        <v>6</v>
      </c>
      <c r="O245" s="24">
        <f>IFERROR(INDEX('Input Giocatori 2026_27'!$G$3:$G$493,MATCH($A245,'Input Giocatori 2026_27'!$A$3:$A$493,0)),"")</f>
        <v>13</v>
      </c>
      <c r="P245" s="23" t="str">
        <f>IFERROR(IF($O245="","",IF((1-(COUNTIFS($B$2:$B$492,$B245,$O$2:$O$492,"&gt;"&amp;$O245)+1-1)/COUNTIF($B$2:$B$492,$B245))&gt;='Parametri Modello'!$B$63,"Top",IF((1-(COUNTIFS($B$2:$B$492,$B245,$O$2:$O$492,"&gt;"&amp;$O245)+1-1)/COUNTIF($B$2:$B$492,$B245))&gt;='Parametri Modello'!$B$64,"Buono",IF((1-(COUNTIFS($B$2:$B$492,$B245,$O$2:$O$492,"&gt;"&amp;$O245)+1-1)/COUNTIF($B$2:$B$492,$B245))&gt;='Parametri Modello'!$B$65,"Nella Media","Scommessa/Riserva")))),"")</f>
        <v>Nella Media</v>
      </c>
      <c r="Q245" s="26">
        <f>IF(AND($D245="",$N245&gt;1),SUMPRODUCT(($D$2:$D245="")*($N$2:$N245&gt;1)),"")</f>
        <v>244</v>
      </c>
      <c r="R245" s="26" t="str">
        <f>IF($D245='Info Lega'!$B$28,COUNTIFS($D$2:$D245,'Info Lega'!$B$28),"")</f>
        <v/>
      </c>
      <c r="S245" s="27">
        <f>IFERROR(INDEX('Input Statistiche 2025_26'!$G$3:$G$665,MATCH($A245,'Input Statistiche 2025_26'!$A$3:$A$665,0)),"")</f>
        <v>5.95</v>
      </c>
      <c r="T245" s="27">
        <f>IFERROR(INDEX('Input Statistiche 2025_26'!$H$3:$H$665,MATCH($A245,'Input Statistiche 2025_26'!$A$3:$A$665,0)),"")</f>
        <v>5.99</v>
      </c>
      <c r="U245" s="23" t="str">
        <f>IF(OR('La Mia Rosa'!$O$12="",$D245&lt;&gt;""),"",IF($F245&lt;='La Mia Rosa'!$O$12*'Parametri Modello'!$B$24,"OK",IF($F245&lt;='La Mia Rosa'!$O$12*'Parametri Modello'!$B$25,"Attenzione","Rischio Alto")))</f>
        <v>OK</v>
      </c>
      <c r="V245" s="23">
        <f t="shared" si="28"/>
        <v>69</v>
      </c>
      <c r="W245" s="18">
        <f>'Info Lega'!$B$4-SUMIFS($M$2:$M$492,$D$2:$D$492,'Info Lega'!$B$28)</f>
        <v>1000</v>
      </c>
      <c r="X245" s="18">
        <f>('Info Lega'!$B$5-COUNTIFS($D$2:$D$492,'Info Lega'!$B$28,$B$2:$B$492,"P"))+('Info Lega'!$B$6-COUNTIFS($D$2:$D$492,'Info Lega'!$B$28,$B$2:$B$492,"D"))+('Info Lega'!$B$7-COUNTIFS($D$2:$D$492,'Info Lega'!$B$28,$B$2:$B$492,"C"))+('Info Lega'!$B$8-COUNTIFS($D$2:$D$492,'Info Lega'!$B$28,$B$2:$B$492,"A"))</f>
        <v>25</v>
      </c>
      <c r="Y245" s="18">
        <f>X245*'Parametri Modello'!$B$30</f>
        <v>25</v>
      </c>
      <c r="Z245" s="18">
        <f t="shared" si="29"/>
        <v>975</v>
      </c>
      <c r="AA245" s="18">
        <f t="shared" si="30"/>
        <v>3</v>
      </c>
      <c r="AB245" s="18"/>
      <c r="AC245" s="18" t="str">
        <f>IF($AB245="","",IF($AB245&gt;$AA245,"PASS",IF($AB245&lt;=$AA245*(1-'Parametri Modello'!$B$68),"BID","ATTENZIONE")))</f>
        <v/>
      </c>
      <c r="AD245" s="28">
        <f t="shared" si="31"/>
        <v>71</v>
      </c>
      <c r="AE245" s="5" t="str">
        <f>IFERROR(IF($AF245="Titolare",INDEX('Stato Asta'!$G$9:$G$12,MATCH($B245,'Stato Asta'!$A$9:$A$12,0)),INDEX('Stato Asta'!$P$9:$P$12,MATCH($B245,'Stato Asta'!$A$9:$A$12,0))),"")</f>
        <v>🟢 Riserve abbondanti</v>
      </c>
      <c r="AF245" t="str">
        <f>IFERROR(IF($V245&lt;=INDEX('Parametri Modello'!$C$57:$C$60,MATCH($B245,'Parametri Modello'!$A$57:$A$60,0)),"Titolare","Riserva"),"")</f>
        <v>Riserva</v>
      </c>
      <c r="AG245" t="str">
        <f>IFERROR(INDEX('Pressione Competitiva'!$F$3:$F$6,MATCH($B245,'Pressione Competitiva'!$B$3:$B$6,0)),"")</f>
        <v>🔴 Molto Alta</v>
      </c>
      <c r="AH245" t="str">
        <f t="shared" si="32"/>
        <v/>
      </c>
      <c r="AI245" t="str">
        <f>IFERROR(IF($AH245="","",IF($AH245&gt;=$AA245*'Parametri Modello'!$B$68,"🟢 Opportunita'",IF($AH245&lt;=$AA245*'Parametri Modello'!$B$69,"🔴 Sovrapprezzo","🟡 Prezzo Corretto"))),"")</f>
        <v/>
      </c>
      <c r="AJ245" t="str">
        <f t="shared" si="33"/>
        <v/>
      </c>
      <c r="AK245">
        <f t="shared" si="34"/>
        <v>14</v>
      </c>
      <c r="AL245" t="str">
        <f t="shared" si="35"/>
        <v>D|Nella Media|14</v>
      </c>
    </row>
    <row r="246" spans="1:38" ht="14.25" customHeight="1" x14ac:dyDescent="0.25">
      <c r="A246" s="18">
        <v>7253</v>
      </c>
      <c r="B246" s="18" t="s">
        <v>88</v>
      </c>
      <c r="C246" s="18" t="s">
        <v>159</v>
      </c>
      <c r="E246" s="23" t="str">
        <f>IF(COUNTIF('Info Strategia'!$D$2:$D$51,$C246)&gt;0,"SI","NO")</f>
        <v>NO</v>
      </c>
      <c r="F246" s="24">
        <f>IFERROR(ROUND(($G246+($H246-$G246)*'Info Strategia'!$B$6)*(1+IF($E246="SI",'Parametri Modello'!$B$7*'Info Strategia'!$B$6,0)),0),"")</f>
        <v>3</v>
      </c>
      <c r="G246" s="24">
        <f>IFERROR(ROUND(MAX(1,(IF($V246&lt;=INDEX('Parametri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2</v>
      </c>
      <c r="H246" s="24">
        <f>IFERROR(ROUND((IF($V246&lt;=INDEX('Parametri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3</v>
      </c>
      <c r="I246" s="23">
        <f>IFERROR(INDEX('Input Statistiche 2025_26'!$F$3:$F$665,MATCH($A246,'Input Statistiche 2025_26'!$A$3:$A$665,0)),"")</f>
        <v>18</v>
      </c>
      <c r="J246" s="23">
        <f t="shared" si="27"/>
        <v>20</v>
      </c>
      <c r="K246" s="23">
        <f>IFERROR(INDEX('Input Statistiche 2025_26'!$I$3:$I$665,MATCH($A246,'Input Statistiche 2025_26'!$A$3:$A$665,0)),"")</f>
        <v>0</v>
      </c>
      <c r="L246" s="23">
        <f>IFERROR(INDEX('Input Statistiche 2025_26'!$O$3:$O$665,MATCH($A246,'Input Statistiche 2025_26'!$A$3:$A$665,0)),"")</f>
        <v>0</v>
      </c>
      <c r="M246" s="25"/>
      <c r="N246" s="24">
        <f>IFERROR(INDEX('Input Giocatori 2026_27'!$E$3:$E$493,MATCH($A246,'Input Giocatori 2026_27'!$A$3:$A$493,0)),"")</f>
        <v>6</v>
      </c>
      <c r="O246" s="24">
        <f>IFERROR(INDEX('Input Giocatori 2026_27'!$G$3:$G$493,MATCH($A246,'Input Giocatori 2026_27'!$A$3:$A$493,0)),"")</f>
        <v>13</v>
      </c>
      <c r="P246" s="23" t="str">
        <f>IFERROR(IF($O246="","",IF((1-(COUNTIFS($B$2:$B$492,$B246,$O$2:$O$492,"&gt;"&amp;$O246)+1-1)/COUNTIF($B$2:$B$492,$B246))&gt;='Parametri Modello'!$B$63,"Top",IF((1-(COUNTIFS($B$2:$B$492,$B246,$O$2:$O$492,"&gt;"&amp;$O246)+1-1)/COUNTIF($B$2:$B$492,$B246))&gt;='Parametri Modello'!$B$64,"Buono",IF((1-(COUNTIFS($B$2:$B$492,$B246,$O$2:$O$492,"&gt;"&amp;$O246)+1-1)/COUNTIF($B$2:$B$492,$B246))&gt;='Parametri Modello'!$B$65,"Nella Media","Scommessa/Riserva")))),"")</f>
        <v>Nella Media</v>
      </c>
      <c r="Q246" s="26">
        <f>IF(AND($D246="",$N246&gt;1),SUMPRODUCT(($D$2:$D246="")*($N$2:$N246&gt;1)),"")</f>
        <v>245</v>
      </c>
      <c r="R246" s="26" t="str">
        <f>IF($D246='Info Lega'!$B$28,COUNTIFS($D$2:$D246,'Info Lega'!$B$28),"")</f>
        <v/>
      </c>
      <c r="S246" s="27">
        <f>IFERROR(INDEX('Input Statistiche 2025_26'!$G$3:$G$665,MATCH($A246,'Input Statistiche 2025_26'!$A$3:$A$665,0)),"")</f>
        <v>5.83</v>
      </c>
      <c r="T246" s="27">
        <f>IFERROR(INDEX('Input Statistiche 2025_26'!$H$3:$H$665,MATCH($A246,'Input Statistiche 2025_26'!$A$3:$A$665,0)),"")</f>
        <v>5.75</v>
      </c>
      <c r="U246" s="23" t="str">
        <f>IF(OR('La Mia Rosa'!$O$12="",$D246&lt;&gt;""),"",IF($F246&lt;='La Mia Rosa'!$O$12*'Parametri Modello'!$B$24,"OK",IF($F246&lt;='La Mia Rosa'!$O$12*'Parametri Modello'!$B$25,"Attenzione","Rischio Alto")))</f>
        <v>OK</v>
      </c>
      <c r="V246" s="23">
        <f t="shared" si="28"/>
        <v>69</v>
      </c>
      <c r="W246" s="18">
        <f>'Info Lega'!$B$4-SUMIFS($M$2:$M$492,$D$2:$D$492,'Info Lega'!$B$28)</f>
        <v>1000</v>
      </c>
      <c r="X246" s="18">
        <f>('Info Lega'!$B$5-COUNTIFS($D$2:$D$492,'Info Lega'!$B$28,$B$2:$B$492,"P"))+('Info Lega'!$B$6-COUNTIFS($D$2:$D$492,'Info Lega'!$B$28,$B$2:$B$492,"D"))+('Info Lega'!$B$7-COUNTIFS($D$2:$D$492,'Info Lega'!$B$28,$B$2:$B$492,"C"))+('Info Lega'!$B$8-COUNTIFS($D$2:$D$492,'Info Lega'!$B$28,$B$2:$B$492,"A"))</f>
        <v>25</v>
      </c>
      <c r="Y246" s="18">
        <f>X246*'Parametri Modello'!$B$30</f>
        <v>25</v>
      </c>
      <c r="Z246" s="18">
        <f t="shared" si="29"/>
        <v>975</v>
      </c>
      <c r="AA246" s="18">
        <f t="shared" si="30"/>
        <v>3</v>
      </c>
      <c r="AB246" s="18"/>
      <c r="AC246" s="18" t="str">
        <f>IF($AB246="","",IF($AB246&gt;$AA246,"PASS",IF($AB246&lt;=$AA246*(1-'Parametri Modello'!$B$68),"BID","ATTENZIONE")))</f>
        <v/>
      </c>
      <c r="AD246" s="28">
        <f t="shared" si="31"/>
        <v>45</v>
      </c>
      <c r="AE246" s="5" t="str">
        <f>IFERROR(IF($AF246="Titolare",INDEX('Stato Asta'!$G$9:$G$12,MATCH($B246,'Stato Asta'!$A$9:$A$12,0)),INDEX('Stato Asta'!$P$9:$P$12,MATCH($B246,'Stato Asta'!$A$9:$A$12,0))),"")</f>
        <v>🟢 Riserve abbondanti</v>
      </c>
      <c r="AF246" t="str">
        <f>IFERROR(IF($V246&lt;=INDEX('Parametri Modello'!$C$57:$C$60,MATCH($B246,'Parametri Modello'!$A$57:$A$60,0)),"Titolare","Riserva"),"")</f>
        <v>Riserva</v>
      </c>
      <c r="AG246" t="str">
        <f>IFERROR(INDEX('Pressione Competitiva'!$F$3:$F$6,MATCH($B246,'Pressione Competitiva'!$B$3:$B$6,0)),"")</f>
        <v>🔴 Molto Alta</v>
      </c>
      <c r="AH246" t="str">
        <f t="shared" si="32"/>
        <v/>
      </c>
      <c r="AI246" t="str">
        <f>IFERROR(IF($AH246="","",IF($AH246&gt;=$AA246*'Parametri Modello'!$B$68,"🟢 Opportunita'",IF($AH246&lt;=$AA246*'Parametri Modello'!$B$69,"🔴 Sovrapprezzo","🟡 Prezzo Corretto"))),"")</f>
        <v/>
      </c>
      <c r="AJ246" t="str">
        <f t="shared" si="33"/>
        <v/>
      </c>
      <c r="AK246">
        <f t="shared" si="34"/>
        <v>14</v>
      </c>
      <c r="AL246" t="str">
        <f t="shared" si="35"/>
        <v>D|Nella Media|14</v>
      </c>
    </row>
    <row r="247" spans="1:38" ht="14.25" customHeight="1" x14ac:dyDescent="0.25">
      <c r="A247" s="18">
        <v>5678</v>
      </c>
      <c r="B247" s="18" t="s">
        <v>88</v>
      </c>
      <c r="C247" s="18" t="s">
        <v>162</v>
      </c>
      <c r="E247" s="23" t="str">
        <f>IF(COUNTIF('Info Strategia'!$D$2:$D$51,$C247)&gt;0,"SI","NO")</f>
        <v>NO</v>
      </c>
      <c r="F247" s="24">
        <f>IFERROR(ROUND(($G247+($H247-$G247)*'Info Strategia'!$B$6)*(1+IF($E247="SI",'Parametri Modello'!$B$7*'Info Strategia'!$B$6,0)),0),"")</f>
        <v>3</v>
      </c>
      <c r="G247" s="24">
        <f>IFERROR(ROUND(MAX(1,(IF($V247&lt;=INDEX('Parametri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2</v>
      </c>
      <c r="H247" s="24">
        <f>IFERROR(ROUND((IF($V247&lt;=INDEX('Parametri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3</v>
      </c>
      <c r="I247" s="23">
        <f>IFERROR(INDEX('Input Statistiche 2025_26'!$F$3:$F$665,MATCH($A247,'Input Statistiche 2025_26'!$A$3:$A$665,0)),"")</f>
        <v>16</v>
      </c>
      <c r="J247" s="23">
        <f t="shared" si="27"/>
        <v>22</v>
      </c>
      <c r="K247" s="23">
        <f>IFERROR(INDEX('Input Statistiche 2025_26'!$I$3:$I$665,MATCH($A247,'Input Statistiche 2025_26'!$A$3:$A$665,0)),"")</f>
        <v>1</v>
      </c>
      <c r="L247" s="23">
        <f>IFERROR(INDEX('Input Statistiche 2025_26'!$O$3:$O$665,MATCH($A247,'Input Statistiche 2025_26'!$A$3:$A$665,0)),"")</f>
        <v>4</v>
      </c>
      <c r="M247" s="25"/>
      <c r="N247" s="24">
        <f>IFERROR(INDEX('Input Giocatori 2026_27'!$E$3:$E$493,MATCH($A247,'Input Giocatori 2026_27'!$A$3:$A$493,0)),"")</f>
        <v>5</v>
      </c>
      <c r="O247" s="24">
        <f>IFERROR(INDEX('Input Giocatori 2026_27'!$G$3:$G$493,MATCH($A247,'Input Giocatori 2026_27'!$A$3:$A$493,0)),"")</f>
        <v>13</v>
      </c>
      <c r="P247" s="23" t="str">
        <f>IFERROR(IF($O247="","",IF((1-(COUNTIFS($B$2:$B$492,$B247,$O$2:$O$492,"&gt;"&amp;$O247)+1-1)/COUNTIF($B$2:$B$492,$B247))&gt;='Parametri Modello'!$B$63,"Top",IF((1-(COUNTIFS($B$2:$B$492,$B247,$O$2:$O$492,"&gt;"&amp;$O247)+1-1)/COUNTIF($B$2:$B$492,$B247))&gt;='Parametri Modello'!$B$64,"Buono",IF((1-(COUNTIFS($B$2:$B$492,$B247,$O$2:$O$492,"&gt;"&amp;$O247)+1-1)/COUNTIF($B$2:$B$492,$B247))&gt;='Parametri Modello'!$B$65,"Nella Media","Scommessa/Riserva")))),"")</f>
        <v>Nella Media</v>
      </c>
      <c r="Q247" s="26">
        <f>IF(AND($D247="",$N247&gt;1),SUMPRODUCT(($D$2:$D247="")*($N$2:$N247&gt;1)),"")</f>
        <v>246</v>
      </c>
      <c r="R247" s="26" t="str">
        <f>IF($D247='Info Lega'!$B$28,COUNTIFS($D$2:$D247,'Info Lega'!$B$28),"")</f>
        <v/>
      </c>
      <c r="S247" s="27">
        <f>IFERROR(INDEX('Input Statistiche 2025_26'!$G$3:$G$665,MATCH($A247,'Input Statistiche 2025_26'!$A$3:$A$665,0)),"")</f>
        <v>6.09</v>
      </c>
      <c r="T247" s="27">
        <f>IFERROR(INDEX('Input Statistiche 2025_26'!$H$3:$H$665,MATCH($A247,'Input Statistiche 2025_26'!$A$3:$A$665,0)),"")</f>
        <v>6.44</v>
      </c>
      <c r="U247" s="23" t="str">
        <f>IF(OR('La Mia Rosa'!$O$12="",$D247&lt;&gt;""),"",IF($F247&lt;='La Mia Rosa'!$O$12*'Parametri Modello'!$B$24,"OK",IF($F247&lt;='La Mia Rosa'!$O$12*'Parametri Modello'!$B$25,"Attenzione","Rischio Alto")))</f>
        <v>OK</v>
      </c>
      <c r="V247" s="23">
        <f t="shared" si="28"/>
        <v>69</v>
      </c>
      <c r="W247" s="18">
        <f>'Info Lega'!$B$4-SUMIFS($M$2:$M$492,$D$2:$D$492,'Info Lega'!$B$28)</f>
        <v>1000</v>
      </c>
      <c r="X247" s="18">
        <f>('Info Lega'!$B$5-COUNTIFS($D$2:$D$492,'Info Lega'!$B$28,$B$2:$B$492,"P"))+('Info Lega'!$B$6-COUNTIFS($D$2:$D$492,'Info Lega'!$B$28,$B$2:$B$492,"D"))+('Info Lega'!$B$7-COUNTIFS($D$2:$D$492,'Info Lega'!$B$28,$B$2:$B$492,"C"))+('Info Lega'!$B$8-COUNTIFS($D$2:$D$492,'Info Lega'!$B$28,$B$2:$B$492,"A"))</f>
        <v>25</v>
      </c>
      <c r="Y247" s="18">
        <f>X247*'Parametri Modello'!$B$30</f>
        <v>25</v>
      </c>
      <c r="Z247" s="18">
        <f t="shared" si="29"/>
        <v>975</v>
      </c>
      <c r="AA247" s="18">
        <f t="shared" si="30"/>
        <v>3</v>
      </c>
      <c r="AB247" s="18"/>
      <c r="AC247" s="18" t="str">
        <f>IF($AB247="","",IF($AB247&gt;$AA247,"PASS",IF($AB247&lt;=$AA247*(1-'Parametri Modello'!$B$68),"BID","ATTENZIONE")))</f>
        <v/>
      </c>
      <c r="AD247" s="28">
        <f t="shared" si="31"/>
        <v>41</v>
      </c>
      <c r="AE247" s="5" t="str">
        <f>IFERROR(IF($AF247="Titolare",INDEX('Stato Asta'!$G$9:$G$12,MATCH($B247,'Stato Asta'!$A$9:$A$12,0)),INDEX('Stato Asta'!$P$9:$P$12,MATCH($B247,'Stato Asta'!$A$9:$A$12,0))),"")</f>
        <v>🟢 Riserve abbondanti</v>
      </c>
      <c r="AF247" t="str">
        <f>IFERROR(IF($V247&lt;=INDEX('Parametri Modello'!$C$57:$C$60,MATCH($B247,'Parametri Modello'!$A$57:$A$60,0)),"Titolare","Riserva"),"")</f>
        <v>Riserva</v>
      </c>
      <c r="AG247" t="str">
        <f>IFERROR(INDEX('Pressione Competitiva'!$F$3:$F$6,MATCH($B247,'Pressione Competitiva'!$B$3:$B$6,0)),"")</f>
        <v>🔴 Molto Alta</v>
      </c>
      <c r="AH247" t="str">
        <f t="shared" si="32"/>
        <v/>
      </c>
      <c r="AI247" t="str">
        <f>IFERROR(IF($AH247="","",IF($AH247&gt;=$AA247*'Parametri Modello'!$B$68,"🟢 Opportunita'",IF($AH247&lt;=$AA247*'Parametri Modello'!$B$69,"🔴 Sovrapprezzo","🟡 Prezzo Corretto"))),"")</f>
        <v/>
      </c>
      <c r="AJ247" t="str">
        <f t="shared" si="33"/>
        <v/>
      </c>
      <c r="AK247">
        <f t="shared" si="34"/>
        <v>14</v>
      </c>
      <c r="AL247" t="str">
        <f t="shared" si="35"/>
        <v>D|Nella Media|14</v>
      </c>
    </row>
    <row r="248" spans="1:38" ht="14.25" customHeight="1" x14ac:dyDescent="0.25">
      <c r="A248" s="18">
        <v>6893</v>
      </c>
      <c r="B248" s="18" t="s">
        <v>88</v>
      </c>
      <c r="C248" s="18" t="s">
        <v>165</v>
      </c>
      <c r="E248" s="23" t="str">
        <f>IF(COUNTIF('Info Strategia'!$D$2:$D$51,$C248)&gt;0,"SI","NO")</f>
        <v>NO</v>
      </c>
      <c r="F248" s="24">
        <f>IFERROR(ROUND(($G248+($H248-$G248)*'Info Strategia'!$B$6)*(1+IF($E248="SI",'Parametri Modello'!$B$7*'Info Strategia'!$B$6,0)),0),"")</f>
        <v>3</v>
      </c>
      <c r="G248" s="24">
        <f>IFERROR(ROUND(MAX(1,(IF($V248&lt;=INDEX('Parametri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2</v>
      </c>
      <c r="H248" s="24">
        <f>IFERROR(ROUND((IF($V248&lt;=INDEX('Parametri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3</v>
      </c>
      <c r="I248" s="23">
        <f>IFERROR(INDEX('Input Statistiche 2025_26'!$F$3:$F$665,MATCH($A248,'Input Statistiche 2025_26'!$A$3:$A$665,0)),"")</f>
        <v>29</v>
      </c>
      <c r="J248" s="23">
        <f t="shared" si="27"/>
        <v>9</v>
      </c>
      <c r="K248" s="23">
        <f>IFERROR(INDEX('Input Statistiche 2025_26'!$I$3:$I$665,MATCH($A248,'Input Statistiche 2025_26'!$A$3:$A$665,0)),"")</f>
        <v>4</v>
      </c>
      <c r="L248" s="23">
        <f>IFERROR(INDEX('Input Statistiche 2025_26'!$O$3:$O$665,MATCH($A248,'Input Statistiche 2025_26'!$A$3:$A$665,0)),"")</f>
        <v>1</v>
      </c>
      <c r="M248" s="25"/>
      <c r="N248" s="24">
        <f>IFERROR(INDEX('Input Giocatori 2026_27'!$E$3:$E$493,MATCH($A248,'Input Giocatori 2026_27'!$A$3:$A$493,0)),"")</f>
        <v>5</v>
      </c>
      <c r="O248" s="24">
        <f>IFERROR(INDEX('Input Giocatori 2026_27'!$G$3:$G$493,MATCH($A248,'Input Giocatori 2026_27'!$A$3:$A$493,0)),"")</f>
        <v>13</v>
      </c>
      <c r="P248" s="23" t="str">
        <f>IFERROR(IF($O248="","",IF((1-(COUNTIFS($B$2:$B$492,$B248,$O$2:$O$492,"&gt;"&amp;$O248)+1-1)/COUNTIF($B$2:$B$492,$B248))&gt;='Parametri Modello'!$B$63,"Top",IF((1-(COUNTIFS($B$2:$B$492,$B248,$O$2:$O$492,"&gt;"&amp;$O248)+1-1)/COUNTIF($B$2:$B$492,$B248))&gt;='Parametri Modello'!$B$64,"Buono",IF((1-(COUNTIFS($B$2:$B$492,$B248,$O$2:$O$492,"&gt;"&amp;$O248)+1-1)/COUNTIF($B$2:$B$492,$B248))&gt;='Parametri Modello'!$B$65,"Nella Media","Scommessa/Riserva")))),"")</f>
        <v>Nella Media</v>
      </c>
      <c r="Q248" s="26">
        <f>IF(AND($D248="",$N248&gt;1),SUMPRODUCT(($D$2:$D248="")*($N$2:$N248&gt;1)),"")</f>
        <v>247</v>
      </c>
      <c r="R248" s="26" t="str">
        <f>IF($D248='Info Lega'!$B$28,COUNTIFS($D$2:$D248,'Info Lega'!$B$28),"")</f>
        <v/>
      </c>
      <c r="S248" s="27">
        <f>IFERROR(INDEX('Input Statistiche 2025_26'!$G$3:$G$665,MATCH($A248,'Input Statistiche 2025_26'!$A$3:$A$665,0)),"")</f>
        <v>6.12</v>
      </c>
      <c r="T248" s="27">
        <f>IFERROR(INDEX('Input Statistiche 2025_26'!$H$3:$H$665,MATCH($A248,'Input Statistiche 2025_26'!$A$3:$A$665,0)),"")</f>
        <v>6.52</v>
      </c>
      <c r="U248" s="23" t="str">
        <f>IF(OR('La Mia Rosa'!$O$12="",$D248&lt;&gt;""),"",IF($F248&lt;='La Mia Rosa'!$O$12*'Parametri Modello'!$B$24,"OK",IF($F248&lt;='La Mia Rosa'!$O$12*'Parametri Modello'!$B$25,"Attenzione","Rischio Alto")))</f>
        <v>OK</v>
      </c>
      <c r="V248" s="23">
        <f t="shared" si="28"/>
        <v>69</v>
      </c>
      <c r="W248" s="18">
        <f>'Info Lega'!$B$4-SUMIFS($M$2:$M$492,$D$2:$D$492,'Info Lega'!$B$28)</f>
        <v>1000</v>
      </c>
      <c r="X248" s="18">
        <f>('Info Lega'!$B$5-COUNTIFS($D$2:$D$492,'Info Lega'!$B$28,$B$2:$B$492,"P"))+('Info Lega'!$B$6-COUNTIFS($D$2:$D$492,'Info Lega'!$B$28,$B$2:$B$492,"D"))+('Info Lega'!$B$7-COUNTIFS($D$2:$D$492,'Info Lega'!$B$28,$B$2:$B$492,"C"))+('Info Lega'!$B$8-COUNTIFS($D$2:$D$492,'Info Lega'!$B$28,$B$2:$B$492,"A"))</f>
        <v>25</v>
      </c>
      <c r="Y248" s="18">
        <f>X248*'Parametri Modello'!$B$30</f>
        <v>25</v>
      </c>
      <c r="Z248" s="18">
        <f t="shared" si="29"/>
        <v>975</v>
      </c>
      <c r="AA248" s="18">
        <f t="shared" si="30"/>
        <v>3</v>
      </c>
      <c r="AB248" s="18"/>
      <c r="AC248" s="18" t="str">
        <f>IF($AB248="","",IF($AB248&gt;$AA248,"PASS",IF($AB248&lt;=$AA248*(1-'Parametri Modello'!$B$68),"BID","ATTENZIONE")))</f>
        <v/>
      </c>
      <c r="AD248" s="28">
        <f t="shared" si="31"/>
        <v>62</v>
      </c>
      <c r="AE248" s="5" t="str">
        <f>IFERROR(IF($AF248="Titolare",INDEX('Stato Asta'!$G$9:$G$12,MATCH($B248,'Stato Asta'!$A$9:$A$12,0)),INDEX('Stato Asta'!$P$9:$P$12,MATCH($B248,'Stato Asta'!$A$9:$A$12,0))),"")</f>
        <v>🟢 Riserve abbondanti</v>
      </c>
      <c r="AF248" t="str">
        <f>IFERROR(IF($V248&lt;=INDEX('Parametri Modello'!$C$57:$C$60,MATCH($B248,'Parametri Modello'!$A$57:$A$60,0)),"Titolare","Riserva"),"")</f>
        <v>Riserva</v>
      </c>
      <c r="AG248" t="str">
        <f>IFERROR(INDEX('Pressione Competitiva'!$F$3:$F$6,MATCH($B248,'Pressione Competitiva'!$B$3:$B$6,0)),"")</f>
        <v>🔴 Molto Alta</v>
      </c>
      <c r="AH248" t="str">
        <f t="shared" si="32"/>
        <v/>
      </c>
      <c r="AI248" t="str">
        <f>IFERROR(IF($AH248="","",IF($AH248&gt;=$AA248*'Parametri Modello'!$B$68,"🟢 Opportunita'",IF($AH248&lt;=$AA248*'Parametri Modello'!$B$69,"🔴 Sovrapprezzo","🟡 Prezzo Corretto"))),"")</f>
        <v/>
      </c>
      <c r="AJ248" t="str">
        <f t="shared" si="33"/>
        <v/>
      </c>
      <c r="AK248">
        <f t="shared" si="34"/>
        <v>14</v>
      </c>
      <c r="AL248" t="str">
        <f t="shared" si="35"/>
        <v>D|Nella Media|14</v>
      </c>
    </row>
    <row r="249" spans="1:38" ht="14.25" customHeight="1" x14ac:dyDescent="0.25">
      <c r="A249" s="18">
        <v>6766</v>
      </c>
      <c r="B249" s="18" t="s">
        <v>88</v>
      </c>
      <c r="C249" s="18" t="s">
        <v>170</v>
      </c>
      <c r="E249" s="23" t="str">
        <f>IF(COUNTIF('Info Strategia'!$D$2:$D$51,$C249)&gt;0,"SI","NO")</f>
        <v>NO</v>
      </c>
      <c r="F249" s="24">
        <f>IFERROR(ROUND(($G249+($H249-$G249)*'Info Strategia'!$B$6)*(1+IF($E249="SI",'Parametri Modello'!$B$7*'Info Strategia'!$B$6,0)),0),"")</f>
        <v>3</v>
      </c>
      <c r="G249" s="24">
        <f>IFERROR(ROUND(MAX(1,(IF($V249&lt;=INDEX('Parametri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2</v>
      </c>
      <c r="H249" s="24">
        <f>IFERROR(ROUND((IF($V249&lt;=INDEX('Parametri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3</v>
      </c>
      <c r="I249" s="23">
        <f>IFERROR(INDEX('Input Statistiche 2025_26'!$F$3:$F$665,MATCH($A249,'Input Statistiche 2025_26'!$A$3:$A$665,0)),"")</f>
        <v>35</v>
      </c>
      <c r="J249" s="23">
        <f t="shared" si="27"/>
        <v>3</v>
      </c>
      <c r="K249" s="23">
        <f>IFERROR(INDEX('Input Statistiche 2025_26'!$I$3:$I$665,MATCH($A249,'Input Statistiche 2025_26'!$A$3:$A$665,0)),"")</f>
        <v>1</v>
      </c>
      <c r="L249" s="23">
        <f>IFERROR(INDEX('Input Statistiche 2025_26'!$O$3:$O$665,MATCH($A249,'Input Statistiche 2025_26'!$A$3:$A$665,0)),"")</f>
        <v>1</v>
      </c>
      <c r="M249" s="25"/>
      <c r="N249" s="24">
        <f>IFERROR(INDEX('Input Giocatori 2026_27'!$E$3:$E$493,MATCH($A249,'Input Giocatori 2026_27'!$A$3:$A$493,0)),"")</f>
        <v>5</v>
      </c>
      <c r="O249" s="24">
        <f>IFERROR(INDEX('Input Giocatori 2026_27'!$G$3:$G$493,MATCH($A249,'Input Giocatori 2026_27'!$A$3:$A$493,0)),"")</f>
        <v>13</v>
      </c>
      <c r="P249" s="23" t="str">
        <f>IFERROR(IF($O249="","",IF((1-(COUNTIFS($B$2:$B$492,$B249,$O$2:$O$492,"&gt;"&amp;$O249)+1-1)/COUNTIF($B$2:$B$492,$B249))&gt;='Parametri Modello'!$B$63,"Top",IF((1-(COUNTIFS($B$2:$B$492,$B249,$O$2:$O$492,"&gt;"&amp;$O249)+1-1)/COUNTIF($B$2:$B$492,$B249))&gt;='Parametri Modello'!$B$64,"Buono",IF((1-(COUNTIFS($B$2:$B$492,$B249,$O$2:$O$492,"&gt;"&amp;$O249)+1-1)/COUNTIF($B$2:$B$492,$B249))&gt;='Parametri Modello'!$B$65,"Nella Media","Scommessa/Riserva")))),"")</f>
        <v>Nella Media</v>
      </c>
      <c r="Q249" s="26">
        <f>IF(AND($D249="",$N249&gt;1),SUMPRODUCT(($D$2:$D249="")*($N$2:$N249&gt;1)),"")</f>
        <v>248</v>
      </c>
      <c r="R249" s="26" t="str">
        <f>IF($D249='Info Lega'!$B$28,COUNTIFS($D$2:$D249,'Info Lega'!$B$28),"")</f>
        <v/>
      </c>
      <c r="S249" s="27">
        <f>IFERROR(INDEX('Input Statistiche 2025_26'!$G$3:$G$665,MATCH($A249,'Input Statistiche 2025_26'!$A$3:$A$665,0)),"")</f>
        <v>6.01</v>
      </c>
      <c r="T249" s="27">
        <f>IFERROR(INDEX('Input Statistiche 2025_26'!$H$3:$H$665,MATCH($A249,'Input Statistiche 2025_26'!$A$3:$A$665,0)),"")</f>
        <v>6.07</v>
      </c>
      <c r="U249" s="23" t="str">
        <f>IF(OR('La Mia Rosa'!$O$12="",$D249&lt;&gt;""),"",IF($F249&lt;='La Mia Rosa'!$O$12*'Parametri Modello'!$B$24,"OK",IF($F249&lt;='La Mia Rosa'!$O$12*'Parametri Modello'!$B$25,"Attenzione","Rischio Alto")))</f>
        <v>OK</v>
      </c>
      <c r="V249" s="23">
        <f t="shared" si="28"/>
        <v>69</v>
      </c>
      <c r="W249" s="18">
        <f>'Info Lega'!$B$4-SUMIFS($M$2:$M$492,$D$2:$D$492,'Info Lega'!$B$28)</f>
        <v>1000</v>
      </c>
      <c r="X249" s="18">
        <f>('Info Lega'!$B$5-COUNTIFS($D$2:$D$492,'Info Lega'!$B$28,$B$2:$B$492,"P"))+('Info Lega'!$B$6-COUNTIFS($D$2:$D$492,'Info Lega'!$B$28,$B$2:$B$492,"D"))+('Info Lega'!$B$7-COUNTIFS($D$2:$D$492,'Info Lega'!$B$28,$B$2:$B$492,"C"))+('Info Lega'!$B$8-COUNTIFS($D$2:$D$492,'Info Lega'!$B$28,$B$2:$B$492,"A"))</f>
        <v>25</v>
      </c>
      <c r="Y249" s="18">
        <f>X249*'Parametri Modello'!$B$30</f>
        <v>25</v>
      </c>
      <c r="Z249" s="18">
        <f t="shared" si="29"/>
        <v>975</v>
      </c>
      <c r="AA249" s="18">
        <f t="shared" si="30"/>
        <v>3</v>
      </c>
      <c r="AB249" s="18"/>
      <c r="AC249" s="18" t="str">
        <f>IF($AB249="","",IF($AB249&gt;$AA249,"PASS",IF($AB249&lt;=$AA249*(1-'Parametri Modello'!$B$68),"BID","ATTENZIONE")))</f>
        <v/>
      </c>
      <c r="AD249" s="28">
        <f t="shared" si="31"/>
        <v>69</v>
      </c>
      <c r="AE249" s="5" t="str">
        <f>IFERROR(IF($AF249="Titolare",INDEX('Stato Asta'!$G$9:$G$12,MATCH($B249,'Stato Asta'!$A$9:$A$12,0)),INDEX('Stato Asta'!$P$9:$P$12,MATCH($B249,'Stato Asta'!$A$9:$A$12,0))),"")</f>
        <v>🟢 Riserve abbondanti</v>
      </c>
      <c r="AF249" t="str">
        <f>IFERROR(IF($V249&lt;=INDEX('Parametri Modello'!$C$57:$C$60,MATCH($B249,'Parametri Modello'!$A$57:$A$60,0)),"Titolare","Riserva"),"")</f>
        <v>Riserva</v>
      </c>
      <c r="AG249" t="str">
        <f>IFERROR(INDEX('Pressione Competitiva'!$F$3:$F$6,MATCH($B249,'Pressione Competitiva'!$B$3:$B$6,0)),"")</f>
        <v>🔴 Molto Alta</v>
      </c>
      <c r="AH249" t="str">
        <f t="shared" si="32"/>
        <v/>
      </c>
      <c r="AI249" t="str">
        <f>IFERROR(IF($AH249="","",IF($AH249&gt;=$AA249*'Parametri Modello'!$B$68,"🟢 Opportunita'",IF($AH249&lt;=$AA249*'Parametri Modello'!$B$69,"🔴 Sovrapprezzo","🟡 Prezzo Corretto"))),"")</f>
        <v/>
      </c>
      <c r="AJ249" t="str">
        <f t="shared" si="33"/>
        <v/>
      </c>
      <c r="AK249">
        <f t="shared" si="34"/>
        <v>14</v>
      </c>
      <c r="AL249" t="str">
        <f t="shared" si="35"/>
        <v>D|Nella Media|14</v>
      </c>
    </row>
    <row r="250" spans="1:38" ht="14.25" customHeight="1" x14ac:dyDescent="0.25">
      <c r="A250" s="18">
        <v>5840</v>
      </c>
      <c r="B250" s="18" t="s">
        <v>88</v>
      </c>
      <c r="C250" s="18" t="s">
        <v>174</v>
      </c>
      <c r="E250" s="23" t="str">
        <f>IF(COUNTIF('Info Strategia'!$D$2:$D$51,$C250)&gt;0,"SI","NO")</f>
        <v>NO</v>
      </c>
      <c r="F250" s="24">
        <f>IFERROR(ROUND(($G250+($H250-$G250)*'Info Strategia'!$B$6)*(1+IF($E250="SI",'Parametri Modello'!$B$7*'Info Strategia'!$B$6,0)),0),"")</f>
        <v>3</v>
      </c>
      <c r="G250" s="24">
        <f>IFERROR(ROUND(MAX(1,(IF($V250&lt;=INDEX('Parametri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2</v>
      </c>
      <c r="H250" s="24">
        <f>IFERROR(ROUND((IF($V250&lt;=INDEX('Parametri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3</v>
      </c>
      <c r="I250" s="23">
        <f>IFERROR(INDEX('Input Statistiche 2025_26'!$F$3:$F$665,MATCH($A250,'Input Statistiche 2025_26'!$A$3:$A$665,0)),"")</f>
        <v>22</v>
      </c>
      <c r="J250" s="23">
        <f t="shared" si="27"/>
        <v>16</v>
      </c>
      <c r="K250" s="23">
        <f>IFERROR(INDEX('Input Statistiche 2025_26'!$I$3:$I$665,MATCH($A250,'Input Statistiche 2025_26'!$A$3:$A$665,0)),"")</f>
        <v>0</v>
      </c>
      <c r="L250" s="23">
        <f>IFERROR(INDEX('Input Statistiche 2025_26'!$O$3:$O$665,MATCH($A250,'Input Statistiche 2025_26'!$A$3:$A$665,0)),"")</f>
        <v>0</v>
      </c>
      <c r="M250" s="25"/>
      <c r="N250" s="24">
        <f>IFERROR(INDEX('Input Giocatori 2026_27'!$E$3:$E$493,MATCH($A250,'Input Giocatori 2026_27'!$A$3:$A$493,0)),"")</f>
        <v>5</v>
      </c>
      <c r="O250" s="24">
        <f>IFERROR(INDEX('Input Giocatori 2026_27'!$G$3:$G$493,MATCH($A250,'Input Giocatori 2026_27'!$A$3:$A$493,0)),"")</f>
        <v>13</v>
      </c>
      <c r="P250" s="23" t="str">
        <f>IFERROR(IF($O250="","",IF((1-(COUNTIFS($B$2:$B$492,$B250,$O$2:$O$492,"&gt;"&amp;$O250)+1-1)/COUNTIF($B$2:$B$492,$B250))&gt;='Parametri Modello'!$B$63,"Top",IF((1-(COUNTIFS($B$2:$B$492,$B250,$O$2:$O$492,"&gt;"&amp;$O250)+1-1)/COUNTIF($B$2:$B$492,$B250))&gt;='Parametri Modello'!$B$64,"Buono",IF((1-(COUNTIFS($B$2:$B$492,$B250,$O$2:$O$492,"&gt;"&amp;$O250)+1-1)/COUNTIF($B$2:$B$492,$B250))&gt;='Parametri Modello'!$B$65,"Nella Media","Scommessa/Riserva")))),"")</f>
        <v>Nella Media</v>
      </c>
      <c r="Q250" s="26">
        <f>IF(AND($D250="",$N250&gt;1),SUMPRODUCT(($D$2:$D250="")*($N$2:$N250&gt;1)),"")</f>
        <v>249</v>
      </c>
      <c r="R250" s="26" t="str">
        <f>IF($D250='Info Lega'!$B$28,COUNTIFS($D$2:$D250,'Info Lega'!$B$28),"")</f>
        <v/>
      </c>
      <c r="S250" s="27">
        <f>IFERROR(INDEX('Input Statistiche 2025_26'!$G$3:$G$665,MATCH($A250,'Input Statistiche 2025_26'!$A$3:$A$665,0)),"")</f>
        <v>5.75</v>
      </c>
      <c r="T250" s="27">
        <f>IFERROR(INDEX('Input Statistiche 2025_26'!$H$3:$H$665,MATCH($A250,'Input Statistiche 2025_26'!$A$3:$A$665,0)),"")</f>
        <v>5.68</v>
      </c>
      <c r="U250" s="23" t="str">
        <f>IF(OR('La Mia Rosa'!$O$12="",$D250&lt;&gt;""),"",IF($F250&lt;='La Mia Rosa'!$O$12*'Parametri Modello'!$B$24,"OK",IF($F250&lt;='La Mia Rosa'!$O$12*'Parametri Modello'!$B$25,"Attenzione","Rischio Alto")))</f>
        <v>OK</v>
      </c>
      <c r="V250" s="23">
        <f t="shared" si="28"/>
        <v>69</v>
      </c>
      <c r="W250" s="18">
        <f>'Info Lega'!$B$4-SUMIFS($M$2:$M$492,$D$2:$D$492,'Info Lega'!$B$28)</f>
        <v>1000</v>
      </c>
      <c r="X250" s="18">
        <f>('Info Lega'!$B$5-COUNTIFS($D$2:$D$492,'Info Lega'!$B$28,$B$2:$B$492,"P"))+('Info Lega'!$B$6-COUNTIFS($D$2:$D$492,'Info Lega'!$B$28,$B$2:$B$492,"D"))+('Info Lega'!$B$7-COUNTIFS($D$2:$D$492,'Info Lega'!$B$28,$B$2:$B$492,"C"))+('Info Lega'!$B$8-COUNTIFS($D$2:$D$492,'Info Lega'!$B$28,$B$2:$B$492,"A"))</f>
        <v>25</v>
      </c>
      <c r="Y250" s="18">
        <f>X250*'Parametri Modello'!$B$30</f>
        <v>25</v>
      </c>
      <c r="Z250" s="18">
        <f t="shared" si="29"/>
        <v>975</v>
      </c>
      <c r="AA250" s="18">
        <f t="shared" si="30"/>
        <v>3</v>
      </c>
      <c r="AB250" s="18"/>
      <c r="AC250" s="18" t="str">
        <f>IF($AB250="","",IF($AB250&gt;$AA250,"PASS",IF($AB250&lt;=$AA250*(1-'Parametri Modello'!$B$68),"BID","ATTENZIONE")))</f>
        <v/>
      </c>
      <c r="AD250" s="28">
        <f t="shared" si="31"/>
        <v>52</v>
      </c>
      <c r="AE250" s="5" t="str">
        <f>IFERROR(IF($AF250="Titolare",INDEX('Stato Asta'!$G$9:$G$12,MATCH($B250,'Stato Asta'!$A$9:$A$12,0)),INDEX('Stato Asta'!$P$9:$P$12,MATCH($B250,'Stato Asta'!$A$9:$A$12,0))),"")</f>
        <v>🟢 Riserve abbondanti</v>
      </c>
      <c r="AF250" t="str">
        <f>IFERROR(IF($V250&lt;=INDEX('Parametri Modello'!$C$57:$C$60,MATCH($B250,'Parametri Modello'!$A$57:$A$60,0)),"Titolare","Riserva"),"")</f>
        <v>Riserva</v>
      </c>
      <c r="AG250" t="str">
        <f>IFERROR(INDEX('Pressione Competitiva'!$F$3:$F$6,MATCH($B250,'Pressione Competitiva'!$B$3:$B$6,0)),"")</f>
        <v>🔴 Molto Alta</v>
      </c>
      <c r="AH250" t="str">
        <f t="shared" si="32"/>
        <v/>
      </c>
      <c r="AI250" t="str">
        <f>IFERROR(IF($AH250="","",IF($AH250&gt;=$AA250*'Parametri Modello'!$B$68,"🟢 Opportunita'",IF($AH250&lt;=$AA250*'Parametri Modello'!$B$69,"🔴 Sovrapprezzo","🟡 Prezzo Corretto"))),"")</f>
        <v/>
      </c>
      <c r="AJ250" t="str">
        <f t="shared" si="33"/>
        <v/>
      </c>
      <c r="AK250">
        <f t="shared" si="34"/>
        <v>14</v>
      </c>
      <c r="AL250" t="str">
        <f t="shared" si="35"/>
        <v>D|Nella Media|14</v>
      </c>
    </row>
    <row r="251" spans="1:38" ht="14.25" customHeight="1" x14ac:dyDescent="0.25">
      <c r="A251" s="18">
        <v>6426</v>
      </c>
      <c r="B251" s="18" t="s">
        <v>88</v>
      </c>
      <c r="C251" s="18" t="s">
        <v>176</v>
      </c>
      <c r="E251" s="23" t="str">
        <f>IF(COUNTIF('Info Strategia'!$D$2:$D$51,$C251)&gt;0,"SI","NO")</f>
        <v>NO</v>
      </c>
      <c r="F251" s="24">
        <f>IFERROR(ROUND(($G251+($H251-$G251)*'Info Strategia'!$B$6)*(1+IF($E251="SI",'Parametri Modello'!$B$7*'Info Strategia'!$B$6,0)),0),"")</f>
        <v>3</v>
      </c>
      <c r="G251" s="24">
        <f>IFERROR(ROUND(MAX(1,(IF($V251&lt;=INDEX('Parametri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2</v>
      </c>
      <c r="H251" s="24">
        <f>IFERROR(ROUND((IF($V251&lt;=INDEX('Parametri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3</v>
      </c>
      <c r="I251" s="23">
        <f>IFERROR(INDEX('Input Statistiche 2025_26'!$F$3:$F$665,MATCH($A251,'Input Statistiche 2025_26'!$A$3:$A$665,0)),"")</f>
        <v>28</v>
      </c>
      <c r="J251" s="23">
        <f t="shared" si="27"/>
        <v>10</v>
      </c>
      <c r="K251" s="23">
        <f>IFERROR(INDEX('Input Statistiche 2025_26'!$I$3:$I$665,MATCH($A251,'Input Statistiche 2025_26'!$A$3:$A$665,0)),"")</f>
        <v>1</v>
      </c>
      <c r="L251" s="23">
        <f>IFERROR(INDEX('Input Statistiche 2025_26'!$O$3:$O$665,MATCH($A251,'Input Statistiche 2025_26'!$A$3:$A$665,0)),"")</f>
        <v>2</v>
      </c>
      <c r="M251" s="25"/>
      <c r="N251" s="24">
        <f>IFERROR(INDEX('Input Giocatori 2026_27'!$E$3:$E$493,MATCH($A251,'Input Giocatori 2026_27'!$A$3:$A$493,0)),"")</f>
        <v>5</v>
      </c>
      <c r="O251" s="24">
        <f>IFERROR(INDEX('Input Giocatori 2026_27'!$G$3:$G$493,MATCH($A251,'Input Giocatori 2026_27'!$A$3:$A$493,0)),"")</f>
        <v>13</v>
      </c>
      <c r="P251" s="23" t="str">
        <f>IFERROR(IF($O251="","",IF((1-(COUNTIFS($B$2:$B$492,$B251,$O$2:$O$492,"&gt;"&amp;$O251)+1-1)/COUNTIF($B$2:$B$492,$B251))&gt;='Parametri Modello'!$B$63,"Top",IF((1-(COUNTIFS($B$2:$B$492,$B251,$O$2:$O$492,"&gt;"&amp;$O251)+1-1)/COUNTIF($B$2:$B$492,$B251))&gt;='Parametri Modello'!$B$64,"Buono",IF((1-(COUNTIFS($B$2:$B$492,$B251,$O$2:$O$492,"&gt;"&amp;$O251)+1-1)/COUNTIF($B$2:$B$492,$B251))&gt;='Parametri Modello'!$B$65,"Nella Media","Scommessa/Riserva")))),"")</f>
        <v>Nella Media</v>
      </c>
      <c r="Q251" s="26">
        <f>IF(AND($D251="",$N251&gt;1),SUMPRODUCT(($D$2:$D251="")*($N$2:$N251&gt;1)),"")</f>
        <v>250</v>
      </c>
      <c r="R251" s="26" t="str">
        <f>IF($D251='Info Lega'!$B$28,COUNTIFS($D$2:$D251,'Info Lega'!$B$28),"")</f>
        <v/>
      </c>
      <c r="S251" s="27">
        <f>IFERROR(INDEX('Input Statistiche 2025_26'!$G$3:$G$665,MATCH($A251,'Input Statistiche 2025_26'!$A$3:$A$665,0)),"")</f>
        <v>5.84</v>
      </c>
      <c r="T251" s="27">
        <f>IFERROR(INDEX('Input Statistiche 2025_26'!$H$3:$H$665,MATCH($A251,'Input Statistiche 2025_26'!$A$3:$A$665,0)),"")</f>
        <v>5.96</v>
      </c>
      <c r="U251" s="23" t="str">
        <f>IF(OR('La Mia Rosa'!$O$12="",$D251&lt;&gt;""),"",IF($F251&lt;='La Mia Rosa'!$O$12*'Parametri Modello'!$B$24,"OK",IF($F251&lt;='La Mia Rosa'!$O$12*'Parametri Modello'!$B$25,"Attenzione","Rischio Alto")))</f>
        <v>OK</v>
      </c>
      <c r="V251" s="23">
        <f t="shared" si="28"/>
        <v>69</v>
      </c>
      <c r="W251" s="18">
        <f>'Info Lega'!$B$4-SUMIFS($M$2:$M$492,$D$2:$D$492,'Info Lega'!$B$28)</f>
        <v>1000</v>
      </c>
      <c r="X251" s="18">
        <f>('Info Lega'!$B$5-COUNTIFS($D$2:$D$492,'Info Lega'!$B$28,$B$2:$B$492,"P"))+('Info Lega'!$B$6-COUNTIFS($D$2:$D$492,'Info Lega'!$B$28,$B$2:$B$492,"D"))+('Info Lega'!$B$7-COUNTIFS($D$2:$D$492,'Info Lega'!$B$28,$B$2:$B$492,"C"))+('Info Lega'!$B$8-COUNTIFS($D$2:$D$492,'Info Lega'!$B$28,$B$2:$B$492,"A"))</f>
        <v>25</v>
      </c>
      <c r="Y251" s="18">
        <f>X251*'Parametri Modello'!$B$30</f>
        <v>25</v>
      </c>
      <c r="Z251" s="18">
        <f t="shared" si="29"/>
        <v>975</v>
      </c>
      <c r="AA251" s="18">
        <f t="shared" si="30"/>
        <v>3</v>
      </c>
      <c r="AB251" s="18"/>
      <c r="AC251" s="18" t="str">
        <f>IF($AB251="","",IF($AB251&gt;$AA251,"PASS",IF($AB251&lt;=$AA251*(1-'Parametri Modello'!$B$68),"BID","ATTENZIONE")))</f>
        <v/>
      </c>
      <c r="AD251" s="28">
        <f t="shared" si="31"/>
        <v>61</v>
      </c>
      <c r="AE251" s="5" t="str">
        <f>IFERROR(IF($AF251="Titolare",INDEX('Stato Asta'!$G$9:$G$12,MATCH($B251,'Stato Asta'!$A$9:$A$12,0)),INDEX('Stato Asta'!$P$9:$P$12,MATCH($B251,'Stato Asta'!$A$9:$A$12,0))),"")</f>
        <v>🟢 Riserve abbondanti</v>
      </c>
      <c r="AF251" t="str">
        <f>IFERROR(IF($V251&lt;=INDEX('Parametri Modello'!$C$57:$C$60,MATCH($B251,'Parametri Modello'!$A$57:$A$60,0)),"Titolare","Riserva"),"")</f>
        <v>Riserva</v>
      </c>
      <c r="AG251" t="str">
        <f>IFERROR(INDEX('Pressione Competitiva'!$F$3:$F$6,MATCH($B251,'Pressione Competitiva'!$B$3:$B$6,0)),"")</f>
        <v>🔴 Molto Alta</v>
      </c>
      <c r="AH251" t="str">
        <f t="shared" si="32"/>
        <v/>
      </c>
      <c r="AI251" t="str">
        <f>IFERROR(IF($AH251="","",IF($AH251&gt;=$AA251*'Parametri Modello'!$B$68,"🟢 Opportunita'",IF($AH251&lt;=$AA251*'Parametri Modello'!$B$69,"🔴 Sovrapprezzo","🟡 Prezzo Corretto"))),"")</f>
        <v/>
      </c>
      <c r="AJ251" t="str">
        <f t="shared" si="33"/>
        <v/>
      </c>
      <c r="AK251">
        <f t="shared" si="34"/>
        <v>14</v>
      </c>
      <c r="AL251" t="str">
        <f t="shared" si="35"/>
        <v>D|Nella Media|14</v>
      </c>
    </row>
    <row r="252" spans="1:38" ht="14.25" customHeight="1" x14ac:dyDescent="0.25">
      <c r="A252" s="18">
        <v>5851</v>
      </c>
      <c r="B252" s="18" t="s">
        <v>88</v>
      </c>
      <c r="C252" s="18" t="s">
        <v>192</v>
      </c>
      <c r="E252" s="23" t="str">
        <f>IF(COUNTIF('Info Strategia'!$D$2:$D$51,$C252)&gt;0,"SI","NO")</f>
        <v>NO</v>
      </c>
      <c r="F252" s="24">
        <f>IFERROR(ROUND(($G252+($H252-$G252)*'Info Strategia'!$B$6)*(1+IF($E252="SI",'Parametri Modello'!$B$7*'Info Strategia'!$B$6,0)),0),"")</f>
        <v>3</v>
      </c>
      <c r="G252" s="24">
        <f>IFERROR(ROUND(MAX(1,(IF($V252&lt;=INDEX('Parametri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2</v>
      </c>
      <c r="H252" s="24">
        <f>IFERROR(ROUND((IF($V252&lt;=INDEX('Parametri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3</v>
      </c>
      <c r="I252" s="23">
        <f>IFERROR(INDEX('Input Statistiche 2025_26'!$F$3:$F$665,MATCH($A252,'Input Statistiche 2025_26'!$A$3:$A$665,0)),"")</f>
        <v>27</v>
      </c>
      <c r="J252" s="23">
        <f t="shared" si="27"/>
        <v>11</v>
      </c>
      <c r="K252" s="23">
        <f>IFERROR(INDEX('Input Statistiche 2025_26'!$I$3:$I$665,MATCH($A252,'Input Statistiche 2025_26'!$A$3:$A$665,0)),"")</f>
        <v>0</v>
      </c>
      <c r="L252" s="23">
        <f>IFERROR(INDEX('Input Statistiche 2025_26'!$O$3:$O$665,MATCH($A252,'Input Statistiche 2025_26'!$A$3:$A$665,0)),"")</f>
        <v>0</v>
      </c>
      <c r="M252" s="25"/>
      <c r="N252" s="24">
        <f>IFERROR(INDEX('Input Giocatori 2026_27'!$E$3:$E$493,MATCH($A252,'Input Giocatori 2026_27'!$A$3:$A$493,0)),"")</f>
        <v>4</v>
      </c>
      <c r="O252" s="24">
        <f>IFERROR(INDEX('Input Giocatori 2026_27'!$G$3:$G$493,MATCH($A252,'Input Giocatori 2026_27'!$A$3:$A$493,0)),"")</f>
        <v>13</v>
      </c>
      <c r="P252" s="23" t="str">
        <f>IFERROR(IF($O252="","",IF((1-(COUNTIFS($B$2:$B$492,$B252,$O$2:$O$492,"&gt;"&amp;$O252)+1-1)/COUNTIF($B$2:$B$492,$B252))&gt;='Parametri Modello'!$B$63,"Top",IF((1-(COUNTIFS($B$2:$B$492,$B252,$O$2:$O$492,"&gt;"&amp;$O252)+1-1)/COUNTIF($B$2:$B$492,$B252))&gt;='Parametri Modello'!$B$64,"Buono",IF((1-(COUNTIFS($B$2:$B$492,$B252,$O$2:$O$492,"&gt;"&amp;$O252)+1-1)/COUNTIF($B$2:$B$492,$B252))&gt;='Parametri Modello'!$B$65,"Nella Media","Scommessa/Riserva")))),"")</f>
        <v>Nella Media</v>
      </c>
      <c r="Q252" s="26">
        <f>IF(AND($D252="",$N252&gt;1),SUMPRODUCT(($D$2:$D252="")*($N$2:$N252&gt;1)),"")</f>
        <v>251</v>
      </c>
      <c r="R252" s="26" t="str">
        <f>IF($D252='Info Lega'!$B$28,COUNTIFS($D$2:$D252,'Info Lega'!$B$28),"")</f>
        <v/>
      </c>
      <c r="S252" s="27">
        <f>IFERROR(INDEX('Input Statistiche 2025_26'!$G$3:$G$665,MATCH($A252,'Input Statistiche 2025_26'!$A$3:$A$665,0)),"")</f>
        <v>5.85</v>
      </c>
      <c r="T252" s="27">
        <f>IFERROR(INDEX('Input Statistiche 2025_26'!$H$3:$H$665,MATCH($A252,'Input Statistiche 2025_26'!$A$3:$A$665,0)),"")</f>
        <v>5.76</v>
      </c>
      <c r="U252" s="23" t="str">
        <f>IF(OR('La Mia Rosa'!$O$12="",$D252&lt;&gt;""),"",IF($F252&lt;='La Mia Rosa'!$O$12*'Parametri Modello'!$B$24,"OK",IF($F252&lt;='La Mia Rosa'!$O$12*'Parametri Modello'!$B$25,"Attenzione","Rischio Alto")))</f>
        <v>OK</v>
      </c>
      <c r="V252" s="23">
        <f t="shared" si="28"/>
        <v>69</v>
      </c>
      <c r="W252" s="18">
        <f>'Info Lega'!$B$4-SUMIFS($M$2:$M$492,$D$2:$D$492,'Info Lega'!$B$28)</f>
        <v>1000</v>
      </c>
      <c r="X252" s="18">
        <f>('Info Lega'!$B$5-COUNTIFS($D$2:$D$492,'Info Lega'!$B$28,$B$2:$B$492,"P"))+('Info Lega'!$B$6-COUNTIFS($D$2:$D$492,'Info Lega'!$B$28,$B$2:$B$492,"D"))+('Info Lega'!$B$7-COUNTIFS($D$2:$D$492,'Info Lega'!$B$28,$B$2:$B$492,"C"))+('Info Lega'!$B$8-COUNTIFS($D$2:$D$492,'Info Lega'!$B$28,$B$2:$B$492,"A"))</f>
        <v>25</v>
      </c>
      <c r="Y252" s="18">
        <f>X252*'Parametri Modello'!$B$30</f>
        <v>25</v>
      </c>
      <c r="Z252" s="18">
        <f t="shared" si="29"/>
        <v>975</v>
      </c>
      <c r="AA252" s="18">
        <f t="shared" si="30"/>
        <v>3</v>
      </c>
      <c r="AB252" s="18"/>
      <c r="AC252" s="18" t="str">
        <f>IF($AB252="","",IF($AB252&gt;$AA252,"PASS",IF($AB252&lt;=$AA252*(1-'Parametri Modello'!$B$68),"BID","ATTENZIONE")))</f>
        <v/>
      </c>
      <c r="AD252" s="28">
        <f t="shared" si="31"/>
        <v>59</v>
      </c>
      <c r="AE252" s="5" t="str">
        <f>IFERROR(IF($AF252="Titolare",INDEX('Stato Asta'!$G$9:$G$12,MATCH($B252,'Stato Asta'!$A$9:$A$12,0)),INDEX('Stato Asta'!$P$9:$P$12,MATCH($B252,'Stato Asta'!$A$9:$A$12,0))),"")</f>
        <v>🟢 Riserve abbondanti</v>
      </c>
      <c r="AF252" t="str">
        <f>IFERROR(IF($V252&lt;=INDEX('Parametri Modello'!$C$57:$C$60,MATCH($B252,'Parametri Modello'!$A$57:$A$60,0)),"Titolare","Riserva"),"")</f>
        <v>Riserva</v>
      </c>
      <c r="AG252" t="str">
        <f>IFERROR(INDEX('Pressione Competitiva'!$F$3:$F$6,MATCH($B252,'Pressione Competitiva'!$B$3:$B$6,0)),"")</f>
        <v>🔴 Molto Alta</v>
      </c>
      <c r="AH252" t="str">
        <f t="shared" si="32"/>
        <v/>
      </c>
      <c r="AI252" t="str">
        <f>IFERROR(IF($AH252="","",IF($AH252&gt;=$AA252*'Parametri Modello'!$B$68,"🟢 Opportunita'",IF($AH252&lt;=$AA252*'Parametri Modello'!$B$69,"🔴 Sovrapprezzo","🟡 Prezzo Corretto"))),"")</f>
        <v/>
      </c>
      <c r="AJ252" t="str">
        <f t="shared" si="33"/>
        <v/>
      </c>
      <c r="AK252">
        <f t="shared" si="34"/>
        <v>14</v>
      </c>
      <c r="AL252" t="str">
        <f t="shared" si="35"/>
        <v>D|Nella Media|14</v>
      </c>
    </row>
    <row r="253" spans="1:38" ht="14.25" customHeight="1" x14ac:dyDescent="0.25">
      <c r="A253" s="18">
        <v>2848</v>
      </c>
      <c r="B253" s="18" t="s">
        <v>264</v>
      </c>
      <c r="C253" s="18" t="s">
        <v>321</v>
      </c>
      <c r="E253" s="23" t="str">
        <f>IF(COUNTIF('Info Strategia'!$D$2:$D$51,$C253)&gt;0,"SI","NO")</f>
        <v>NO</v>
      </c>
      <c r="F253" s="24">
        <f>IFERROR(ROUND(($G253+($H253-$G253)*'Info Strategia'!$B$6)*(1+IF($E253="SI",'Parametri Modello'!$B$7*'Info Strategia'!$B$6,0)),0),"")</f>
        <v>2</v>
      </c>
      <c r="G253" s="24">
        <f>IFERROR(ROUND(MAX(1,(IF($V253&lt;=INDEX('Parametri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1</v>
      </c>
      <c r="H253" s="24">
        <f>IFERROR(ROUND((IF($V253&lt;=INDEX('Parametri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2</v>
      </c>
      <c r="I253" s="23">
        <f>IFERROR(INDEX('Input Statistiche 2025_26'!$F$3:$F$665,MATCH($A253,'Input Statistiche 2025_26'!$A$3:$A$665,0)),"")</f>
        <v>14</v>
      </c>
      <c r="J253" s="23">
        <f t="shared" si="27"/>
        <v>24</v>
      </c>
      <c r="K253" s="23">
        <f>IFERROR(INDEX('Input Statistiche 2025_26'!$I$3:$I$665,MATCH($A253,'Input Statistiche 2025_26'!$A$3:$A$665,0)),"")</f>
        <v>0</v>
      </c>
      <c r="L253" s="23">
        <f>IFERROR(INDEX('Input Statistiche 2025_26'!$O$3:$O$665,MATCH($A253,'Input Statistiche 2025_26'!$A$3:$A$665,0)),"")</f>
        <v>0</v>
      </c>
      <c r="M253" s="25"/>
      <c r="N253" s="24">
        <f>IFERROR(INDEX('Input Giocatori 2026_27'!$E$3:$E$493,MATCH($A253,'Input Giocatori 2026_27'!$A$3:$A$493,0)),"")</f>
        <v>7</v>
      </c>
      <c r="O253" s="24">
        <f>IFERROR(INDEX('Input Giocatori 2026_27'!$G$3:$G$493,MATCH($A253,'Input Giocatori 2026_27'!$A$3:$A$493,0)),"")</f>
        <v>13</v>
      </c>
      <c r="P253" s="23" t="str">
        <f>IFERROR(IF($O253="","",IF((1-(COUNTIFS($B$2:$B$492,$B253,$O$2:$O$492,"&gt;"&amp;$O253)+1-1)/COUNTIF($B$2:$B$492,$B253))&gt;='Parametri Modello'!$B$63,"Top",IF((1-(COUNTIFS($B$2:$B$492,$B253,$O$2:$O$492,"&gt;"&amp;$O253)+1-1)/COUNTIF($B$2:$B$492,$B253))&gt;='Parametri Modello'!$B$64,"Buono",IF((1-(COUNTIFS($B$2:$B$492,$B253,$O$2:$O$492,"&gt;"&amp;$O253)+1-1)/COUNTIF($B$2:$B$492,$B253))&gt;='Parametri Modello'!$B$65,"Nella Media","Scommessa/Riserva")))),"")</f>
        <v>Nella Media</v>
      </c>
      <c r="Q253" s="26">
        <f>IF(AND($D253="",$N253&gt;1),SUMPRODUCT(($D$2:$D253="")*($N$2:$N253&gt;1)),"")</f>
        <v>252</v>
      </c>
      <c r="R253" s="26" t="str">
        <f>IF($D253='Info Lega'!$B$28,COUNTIFS($D$2:$D253,'Info Lega'!$B$28),"")</f>
        <v/>
      </c>
      <c r="S253" s="27">
        <f>IFERROR(INDEX('Input Statistiche 2025_26'!$G$3:$G$665,MATCH($A253,'Input Statistiche 2025_26'!$A$3:$A$665,0)),"")</f>
        <v>5.89</v>
      </c>
      <c r="T253" s="27">
        <f>IFERROR(INDEX('Input Statistiche 2025_26'!$H$3:$H$665,MATCH($A253,'Input Statistiche 2025_26'!$A$3:$A$665,0)),"")</f>
        <v>5.89</v>
      </c>
      <c r="U253" s="23" t="str">
        <f>IF(OR('La Mia Rosa'!$O$12="",$D253&lt;&gt;""),"",IF($F253&lt;='La Mia Rosa'!$O$12*'Parametri Modello'!$B$24,"OK",IF($F253&lt;='La Mia Rosa'!$O$12*'Parametri Modello'!$B$25,"Attenzione","Rischio Alto")))</f>
        <v>OK</v>
      </c>
      <c r="V253" s="23">
        <f t="shared" si="28"/>
        <v>98</v>
      </c>
      <c r="W253" s="18">
        <f>'Info Lega'!$B$4-SUMIFS($M$2:$M$492,$D$2:$D$492,'Info Lega'!$B$28)</f>
        <v>1000</v>
      </c>
      <c r="X253" s="18">
        <f>('Info Lega'!$B$5-COUNTIFS($D$2:$D$492,'Info Lega'!$B$28,$B$2:$B$492,"P"))+('Info Lega'!$B$6-COUNTIFS($D$2:$D$492,'Info Lega'!$B$28,$B$2:$B$492,"D"))+('Info Lega'!$B$7-COUNTIFS($D$2:$D$492,'Info Lega'!$B$28,$B$2:$B$492,"C"))+('Info Lega'!$B$8-COUNTIFS($D$2:$D$492,'Info Lega'!$B$28,$B$2:$B$492,"A"))</f>
        <v>25</v>
      </c>
      <c r="Y253" s="18">
        <f>X253*'Parametri Modello'!$B$30</f>
        <v>25</v>
      </c>
      <c r="Z253" s="18">
        <f t="shared" si="29"/>
        <v>975</v>
      </c>
      <c r="AA253" s="18">
        <f t="shared" si="30"/>
        <v>2</v>
      </c>
      <c r="AB253" s="18"/>
      <c r="AC253" s="18" t="str">
        <f>IF($AB253="","",IF($AB253&gt;$AA253,"PASS",IF($AB253&lt;=$AA253*(1-'Parametri Modello'!$B$68),"BID","ATTENZIONE")))</f>
        <v/>
      </c>
      <c r="AD253" s="28">
        <f t="shared" si="31"/>
        <v>37</v>
      </c>
      <c r="AE253" s="5" t="str">
        <f>IFERROR(IF($AF253="Titolare",INDEX('Stato Asta'!$G$9:$G$12,MATCH($B253,'Stato Asta'!$A$9:$A$12,0)),INDEX('Stato Asta'!$P$9:$P$12,MATCH($B253,'Stato Asta'!$A$9:$A$12,0))),"")</f>
        <v>🟢 Riserve abbondanti</v>
      </c>
      <c r="AF253" t="str">
        <f>IFERROR(IF($V253&lt;=INDEX('Parametri Modello'!$C$57:$C$60,MATCH($B253,'Parametri Modello'!$A$57:$A$60,0)),"Titolare","Riserva"),"")</f>
        <v>Riserva</v>
      </c>
      <c r="AG253" t="str">
        <f>IFERROR(INDEX('Pressione Competitiva'!$F$3:$F$6,MATCH($B253,'Pressione Competitiva'!$B$3:$B$6,0)),"")</f>
        <v>🔴 Molto Alta</v>
      </c>
      <c r="AH253" t="str">
        <f t="shared" si="32"/>
        <v/>
      </c>
      <c r="AI253" t="str">
        <f>IFERROR(IF($AH253="","",IF($AH253&gt;=$AA253*'Parametri Modello'!$B$68,"🟢 Opportunita'",IF($AH253&lt;=$AA253*'Parametri Modello'!$B$69,"🔴 Sovrapprezzo","🟡 Prezzo Corretto"))),"")</f>
        <v/>
      </c>
      <c r="AJ253" t="str">
        <f t="shared" si="33"/>
        <v/>
      </c>
      <c r="AK253">
        <f t="shared" si="34"/>
        <v>43</v>
      </c>
      <c r="AL253" t="str">
        <f t="shared" si="35"/>
        <v>C|Nella Media|43</v>
      </c>
    </row>
    <row r="254" spans="1:38" ht="14.25" customHeight="1" x14ac:dyDescent="0.25">
      <c r="A254" s="18">
        <v>4870</v>
      </c>
      <c r="B254" s="18" t="s">
        <v>264</v>
      </c>
      <c r="C254" s="18" t="s">
        <v>330</v>
      </c>
      <c r="E254" s="23" t="str">
        <f>IF(COUNTIF('Info Strategia'!$D$2:$D$51,$C254)&gt;0,"SI","NO")</f>
        <v>NO</v>
      </c>
      <c r="F254" s="24">
        <f>IFERROR(ROUND(($G254+($H254-$G254)*'Info Strategia'!$B$6)*(1+IF($E254="SI",'Parametri Modello'!$B$7*'Info Strategia'!$B$6,0)),0),"")</f>
        <v>2</v>
      </c>
      <c r="G254" s="24">
        <f>IFERROR(ROUND(MAX(1,(IF($V254&lt;=INDEX('Parametri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1</v>
      </c>
      <c r="H254" s="24">
        <f>IFERROR(ROUND((IF($V254&lt;=INDEX('Parametri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2</v>
      </c>
      <c r="I254" s="23">
        <f>IFERROR(INDEX('Input Statistiche 2025_26'!$F$3:$F$665,MATCH($A254,'Input Statistiche 2025_26'!$A$3:$A$665,0)),"")</f>
        <v>38</v>
      </c>
      <c r="J254" s="23">
        <f t="shared" si="27"/>
        <v>0</v>
      </c>
      <c r="K254" s="23">
        <f>IFERROR(INDEX('Input Statistiche 2025_26'!$I$3:$I$665,MATCH($A254,'Input Statistiche 2025_26'!$A$3:$A$665,0)),"")</f>
        <v>1</v>
      </c>
      <c r="L254" s="23">
        <f>IFERROR(INDEX('Input Statistiche 2025_26'!$O$3:$O$665,MATCH($A254,'Input Statistiche 2025_26'!$A$3:$A$665,0)),"")</f>
        <v>1</v>
      </c>
      <c r="M254" s="25"/>
      <c r="N254" s="24">
        <f>IFERROR(INDEX('Input Giocatori 2026_27'!$E$3:$E$493,MATCH($A254,'Input Giocatori 2026_27'!$A$3:$A$493,0)),"")</f>
        <v>6</v>
      </c>
      <c r="O254" s="24">
        <f>IFERROR(INDEX('Input Giocatori 2026_27'!$G$3:$G$493,MATCH($A254,'Input Giocatori 2026_27'!$A$3:$A$493,0)),"")</f>
        <v>13</v>
      </c>
      <c r="P254" s="23" t="str">
        <f>IFERROR(IF($O254="","",IF((1-(COUNTIFS($B$2:$B$492,$B254,$O$2:$O$492,"&gt;"&amp;$O254)+1-1)/COUNTIF($B$2:$B$492,$B254))&gt;='Parametri Modello'!$B$63,"Top",IF((1-(COUNTIFS($B$2:$B$492,$B254,$O$2:$O$492,"&gt;"&amp;$O254)+1-1)/COUNTIF($B$2:$B$492,$B254))&gt;='Parametri Modello'!$B$64,"Buono",IF((1-(COUNTIFS($B$2:$B$492,$B254,$O$2:$O$492,"&gt;"&amp;$O254)+1-1)/COUNTIF($B$2:$B$492,$B254))&gt;='Parametri Modello'!$B$65,"Nella Media","Scommessa/Riserva")))),"")</f>
        <v>Nella Media</v>
      </c>
      <c r="Q254" s="26">
        <f>IF(AND($D254="",$N254&gt;1),SUMPRODUCT(($D$2:$D254="")*($N$2:$N254&gt;1)),"")</f>
        <v>253</v>
      </c>
      <c r="R254" s="26" t="str">
        <f>IF($D254='Info Lega'!$B$28,COUNTIFS($D$2:$D254,'Info Lega'!$B$28),"")</f>
        <v/>
      </c>
      <c r="S254" s="27">
        <f>IFERROR(INDEX('Input Statistiche 2025_26'!$G$3:$G$665,MATCH($A254,'Input Statistiche 2025_26'!$A$3:$A$665,0)),"")</f>
        <v>5.83</v>
      </c>
      <c r="T254" s="27">
        <f>IFERROR(INDEX('Input Statistiche 2025_26'!$H$3:$H$665,MATCH($A254,'Input Statistiche 2025_26'!$A$3:$A$665,0)),"")</f>
        <v>5.88</v>
      </c>
      <c r="U254" s="23" t="str">
        <f>IF(OR('La Mia Rosa'!$O$12="",$D254&lt;&gt;""),"",IF($F254&lt;='La Mia Rosa'!$O$12*'Parametri Modello'!$B$24,"OK",IF($F254&lt;='La Mia Rosa'!$O$12*'Parametri Modello'!$B$25,"Attenzione","Rischio Alto")))</f>
        <v>OK</v>
      </c>
      <c r="V254" s="23">
        <f t="shared" si="28"/>
        <v>98</v>
      </c>
      <c r="W254" s="18">
        <f>'Info Lega'!$B$4-SUMIFS($M$2:$M$492,$D$2:$D$492,'Info Lega'!$B$28)</f>
        <v>1000</v>
      </c>
      <c r="X254" s="18">
        <f>('Info Lega'!$B$5-COUNTIFS($D$2:$D$492,'Info Lega'!$B$28,$B$2:$B$492,"P"))+('Info Lega'!$B$6-COUNTIFS($D$2:$D$492,'Info Lega'!$B$28,$B$2:$B$492,"D"))+('Info Lega'!$B$7-COUNTIFS($D$2:$D$492,'Info Lega'!$B$28,$B$2:$B$492,"C"))+('Info Lega'!$B$8-COUNTIFS($D$2:$D$492,'Info Lega'!$B$28,$B$2:$B$492,"A"))</f>
        <v>25</v>
      </c>
      <c r="Y254" s="18">
        <f>X254*'Parametri Modello'!$B$30</f>
        <v>25</v>
      </c>
      <c r="Z254" s="18">
        <f t="shared" si="29"/>
        <v>975</v>
      </c>
      <c r="AA254" s="18">
        <f t="shared" si="30"/>
        <v>2</v>
      </c>
      <c r="AB254" s="18"/>
      <c r="AC254" s="18" t="str">
        <f>IF($AB254="","",IF($AB254&gt;$AA254,"PASS",IF($AB254&lt;=$AA254*(1-'Parametri Modello'!$B$68),"BID","ATTENZIONE")))</f>
        <v/>
      </c>
      <c r="AD254" s="28">
        <f t="shared" si="31"/>
        <v>72</v>
      </c>
      <c r="AE254" s="5" t="str">
        <f>IFERROR(IF($AF254="Titolare",INDEX('Stato Asta'!$G$9:$G$12,MATCH($B254,'Stato Asta'!$A$9:$A$12,0)),INDEX('Stato Asta'!$P$9:$P$12,MATCH($B254,'Stato Asta'!$A$9:$A$12,0))),"")</f>
        <v>🟢 Riserve abbondanti</v>
      </c>
      <c r="AF254" t="str">
        <f>IFERROR(IF($V254&lt;=INDEX('Parametri Modello'!$C$57:$C$60,MATCH($B254,'Parametri Modello'!$A$57:$A$60,0)),"Titolare","Riserva"),"")</f>
        <v>Riserva</v>
      </c>
      <c r="AG254" t="str">
        <f>IFERROR(INDEX('Pressione Competitiva'!$F$3:$F$6,MATCH($B254,'Pressione Competitiva'!$B$3:$B$6,0)),"")</f>
        <v>🔴 Molto Alta</v>
      </c>
      <c r="AH254" t="str">
        <f t="shared" si="32"/>
        <v/>
      </c>
      <c r="AI254" t="str">
        <f>IFERROR(IF($AH254="","",IF($AH254&gt;=$AA254*'Parametri Modello'!$B$68,"🟢 Opportunita'",IF($AH254&lt;=$AA254*'Parametri Modello'!$B$69,"🔴 Sovrapprezzo","🟡 Prezzo Corretto"))),"")</f>
        <v/>
      </c>
      <c r="AJ254" t="str">
        <f t="shared" si="33"/>
        <v/>
      </c>
      <c r="AK254">
        <f t="shared" si="34"/>
        <v>43</v>
      </c>
      <c r="AL254" t="str">
        <f t="shared" si="35"/>
        <v>C|Nella Media|43</v>
      </c>
    </row>
    <row r="255" spans="1:38" ht="14.25" customHeight="1" x14ac:dyDescent="0.25">
      <c r="A255" s="18">
        <v>5998</v>
      </c>
      <c r="B255" s="18" t="s">
        <v>264</v>
      </c>
      <c r="C255" s="18" t="s">
        <v>350</v>
      </c>
      <c r="E255" s="23" t="str">
        <f>IF(COUNTIF('Info Strategia'!$D$2:$D$51,$C255)&gt;0,"SI","NO")</f>
        <v>NO</v>
      </c>
      <c r="F255" s="24">
        <f>IFERROR(ROUND(($G255+($H255-$G255)*'Info Strategia'!$B$6)*(1+IF($E255="SI",'Parametri Modello'!$B$7*'Info Strategia'!$B$6,0)),0),"")</f>
        <v>2</v>
      </c>
      <c r="G255" s="24">
        <f>IFERROR(ROUND(MAX(1,(IF($V255&lt;=INDEX('Parametri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1</v>
      </c>
      <c r="H255" s="24">
        <f>IFERROR(ROUND((IF($V255&lt;=INDEX('Parametri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2</v>
      </c>
      <c r="I255" s="23">
        <f>IFERROR(INDEX('Input Statistiche 2025_26'!$F$3:$F$665,MATCH($A255,'Input Statistiche 2025_26'!$A$3:$A$665,0)),"")</f>
        <v>29</v>
      </c>
      <c r="J255" s="23">
        <f t="shared" si="27"/>
        <v>9</v>
      </c>
      <c r="K255" s="23">
        <f>IFERROR(INDEX('Input Statistiche 2025_26'!$I$3:$I$665,MATCH($A255,'Input Statistiche 2025_26'!$A$3:$A$665,0)),"")</f>
        <v>0</v>
      </c>
      <c r="L255" s="23">
        <f>IFERROR(INDEX('Input Statistiche 2025_26'!$O$3:$O$665,MATCH($A255,'Input Statistiche 2025_26'!$A$3:$A$665,0)),"")</f>
        <v>2</v>
      </c>
      <c r="M255" s="25"/>
      <c r="N255" s="24">
        <f>IFERROR(INDEX('Input Giocatori 2026_27'!$E$3:$E$493,MATCH($A255,'Input Giocatori 2026_27'!$A$3:$A$493,0)),"")</f>
        <v>5</v>
      </c>
      <c r="O255" s="24">
        <f>IFERROR(INDEX('Input Giocatori 2026_27'!$G$3:$G$493,MATCH($A255,'Input Giocatori 2026_27'!$A$3:$A$493,0)),"")</f>
        <v>13</v>
      </c>
      <c r="P255" s="23" t="str">
        <f>IFERROR(IF($O255="","",IF((1-(COUNTIFS($B$2:$B$492,$B255,$O$2:$O$492,"&gt;"&amp;$O255)+1-1)/COUNTIF($B$2:$B$492,$B255))&gt;='Parametri Modello'!$B$63,"Top",IF((1-(COUNTIFS($B$2:$B$492,$B255,$O$2:$O$492,"&gt;"&amp;$O255)+1-1)/COUNTIF($B$2:$B$492,$B255))&gt;='Parametri Modello'!$B$64,"Buono",IF((1-(COUNTIFS($B$2:$B$492,$B255,$O$2:$O$492,"&gt;"&amp;$O255)+1-1)/COUNTIF($B$2:$B$492,$B255))&gt;='Parametri Modello'!$B$65,"Nella Media","Scommessa/Riserva")))),"")</f>
        <v>Nella Media</v>
      </c>
      <c r="Q255" s="26">
        <f>IF(AND($D255="",$N255&gt;1),SUMPRODUCT(($D$2:$D255="")*($N$2:$N255&gt;1)),"")</f>
        <v>254</v>
      </c>
      <c r="R255" s="26" t="str">
        <f>IF($D255='Info Lega'!$B$28,COUNTIFS($D$2:$D255,'Info Lega'!$B$28),"")</f>
        <v/>
      </c>
      <c r="S255" s="27">
        <f>IFERROR(INDEX('Input Statistiche 2025_26'!$G$3:$G$665,MATCH($A255,'Input Statistiche 2025_26'!$A$3:$A$665,0)),"")</f>
        <v>5.76</v>
      </c>
      <c r="T255" s="27">
        <f>IFERROR(INDEX('Input Statistiche 2025_26'!$H$3:$H$665,MATCH($A255,'Input Statistiche 2025_26'!$A$3:$A$665,0)),"")</f>
        <v>5.79</v>
      </c>
      <c r="U255" s="23" t="str">
        <f>IF(OR('La Mia Rosa'!$O$12="",$D255&lt;&gt;""),"",IF($F255&lt;='La Mia Rosa'!$O$12*'Parametri Modello'!$B$24,"OK",IF($F255&lt;='La Mia Rosa'!$O$12*'Parametri Modello'!$B$25,"Attenzione","Rischio Alto")))</f>
        <v>OK</v>
      </c>
      <c r="V255" s="23">
        <f t="shared" si="28"/>
        <v>98</v>
      </c>
      <c r="W255" s="18">
        <f>'Info Lega'!$B$4-SUMIFS($M$2:$M$492,$D$2:$D$492,'Info Lega'!$B$28)</f>
        <v>1000</v>
      </c>
      <c r="X255" s="18">
        <f>('Info Lega'!$B$5-COUNTIFS($D$2:$D$492,'Info Lega'!$B$28,$B$2:$B$492,"P"))+('Info Lega'!$B$6-COUNTIFS($D$2:$D$492,'Info Lega'!$B$28,$B$2:$B$492,"D"))+('Info Lega'!$B$7-COUNTIFS($D$2:$D$492,'Info Lega'!$B$28,$B$2:$B$492,"C"))+('Info Lega'!$B$8-COUNTIFS($D$2:$D$492,'Info Lega'!$B$28,$B$2:$B$492,"A"))</f>
        <v>25</v>
      </c>
      <c r="Y255" s="18">
        <f>X255*'Parametri Modello'!$B$30</f>
        <v>25</v>
      </c>
      <c r="Z255" s="18">
        <f t="shared" si="29"/>
        <v>975</v>
      </c>
      <c r="AA255" s="18">
        <f t="shared" si="30"/>
        <v>2</v>
      </c>
      <c r="AB255" s="18"/>
      <c r="AC255" s="18" t="str">
        <f>IF($AB255="","",IF($AB255&gt;$AA255,"PASS",IF($AB255&lt;=$AA255*(1-'Parametri Modello'!$B$68),"BID","ATTENZIONE")))</f>
        <v/>
      </c>
      <c r="AD255" s="28">
        <f t="shared" si="31"/>
        <v>62</v>
      </c>
      <c r="AE255" s="5" t="str">
        <f>IFERROR(IF($AF255="Titolare",INDEX('Stato Asta'!$G$9:$G$12,MATCH($B255,'Stato Asta'!$A$9:$A$12,0)),INDEX('Stato Asta'!$P$9:$P$12,MATCH($B255,'Stato Asta'!$A$9:$A$12,0))),"")</f>
        <v>🟢 Riserve abbondanti</v>
      </c>
      <c r="AF255" t="str">
        <f>IFERROR(IF($V255&lt;=INDEX('Parametri Modello'!$C$57:$C$60,MATCH($B255,'Parametri Modello'!$A$57:$A$60,0)),"Titolare","Riserva"),"")</f>
        <v>Riserva</v>
      </c>
      <c r="AG255" t="str">
        <f>IFERROR(INDEX('Pressione Competitiva'!$F$3:$F$6,MATCH($B255,'Pressione Competitiva'!$B$3:$B$6,0)),"")</f>
        <v>🔴 Molto Alta</v>
      </c>
      <c r="AH255" t="str">
        <f t="shared" si="32"/>
        <v/>
      </c>
      <c r="AI255" t="str">
        <f>IFERROR(IF($AH255="","",IF($AH255&gt;=$AA255*'Parametri Modello'!$B$68,"🟢 Opportunita'",IF($AH255&lt;=$AA255*'Parametri Modello'!$B$69,"🔴 Sovrapprezzo","🟡 Prezzo Corretto"))),"")</f>
        <v/>
      </c>
      <c r="AJ255" t="str">
        <f t="shared" si="33"/>
        <v/>
      </c>
      <c r="AK255">
        <f t="shared" si="34"/>
        <v>43</v>
      </c>
      <c r="AL255" t="str">
        <f t="shared" si="35"/>
        <v>C|Nella Media|43</v>
      </c>
    </row>
    <row r="256" spans="1:38" ht="14.25" customHeight="1" x14ac:dyDescent="0.25">
      <c r="A256" s="18">
        <v>6629</v>
      </c>
      <c r="B256" s="18" t="s">
        <v>264</v>
      </c>
      <c r="C256" s="18" t="s">
        <v>355</v>
      </c>
      <c r="E256" s="23" t="str">
        <f>IF(COUNTIF('Info Strategia'!$D$2:$D$51,$C256)&gt;0,"SI","NO")</f>
        <v>NO</v>
      </c>
      <c r="F256" s="24">
        <f>IFERROR(ROUND(($G256+($H256-$G256)*'Info Strategia'!$B$6)*(1+IF($E256="SI",'Parametri Modello'!$B$7*'Info Strategia'!$B$6,0)),0),"")</f>
        <v>2</v>
      </c>
      <c r="G256" s="24">
        <f>IFERROR(ROUND(MAX(1,(IF($V256&lt;=INDEX('Parametri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1</v>
      </c>
      <c r="H256" s="24">
        <f>IFERROR(ROUND((IF($V256&lt;=INDEX('Parametri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2</v>
      </c>
      <c r="I256" s="23">
        <f>IFERROR(INDEX('Input Statistiche 2025_26'!$F$3:$F$665,MATCH($A256,'Input Statistiche 2025_26'!$A$3:$A$665,0)),"")</f>
        <v>21</v>
      </c>
      <c r="J256" s="23">
        <f t="shared" si="27"/>
        <v>17</v>
      </c>
      <c r="K256" s="23">
        <f>IFERROR(INDEX('Input Statistiche 2025_26'!$I$3:$I$665,MATCH($A256,'Input Statistiche 2025_26'!$A$3:$A$665,0)),"")</f>
        <v>1</v>
      </c>
      <c r="L256" s="23">
        <f>IFERROR(INDEX('Input Statistiche 2025_26'!$O$3:$O$665,MATCH($A256,'Input Statistiche 2025_26'!$A$3:$A$665,0)),"")</f>
        <v>0</v>
      </c>
      <c r="M256" s="25"/>
      <c r="N256" s="24">
        <f>IFERROR(INDEX('Input Giocatori 2026_27'!$E$3:$E$493,MATCH($A256,'Input Giocatori 2026_27'!$A$3:$A$493,0)),"")</f>
        <v>5</v>
      </c>
      <c r="O256" s="24">
        <f>IFERROR(INDEX('Input Giocatori 2026_27'!$G$3:$G$493,MATCH($A256,'Input Giocatori 2026_27'!$A$3:$A$493,0)),"")</f>
        <v>13</v>
      </c>
      <c r="P256" s="23" t="str">
        <f>IFERROR(IF($O256="","",IF((1-(COUNTIFS($B$2:$B$492,$B256,$O$2:$O$492,"&gt;"&amp;$O256)+1-1)/COUNTIF($B$2:$B$492,$B256))&gt;='Parametri Modello'!$B$63,"Top",IF((1-(COUNTIFS($B$2:$B$492,$B256,$O$2:$O$492,"&gt;"&amp;$O256)+1-1)/COUNTIF($B$2:$B$492,$B256))&gt;='Parametri Modello'!$B$64,"Buono",IF((1-(COUNTIFS($B$2:$B$492,$B256,$O$2:$O$492,"&gt;"&amp;$O256)+1-1)/COUNTIF($B$2:$B$492,$B256))&gt;='Parametri Modello'!$B$65,"Nella Media","Scommessa/Riserva")))),"")</f>
        <v>Nella Media</v>
      </c>
      <c r="Q256" s="26">
        <f>IF(AND($D256="",$N256&gt;1),SUMPRODUCT(($D$2:$D256="")*($N$2:$N256&gt;1)),"")</f>
        <v>255</v>
      </c>
      <c r="R256" s="26" t="str">
        <f>IF($D256='Info Lega'!$B$28,COUNTIFS($D$2:$D256,'Info Lega'!$B$28),"")</f>
        <v/>
      </c>
      <c r="S256" s="27">
        <f>IFERROR(INDEX('Input Statistiche 2025_26'!$G$3:$G$665,MATCH($A256,'Input Statistiche 2025_26'!$A$3:$A$665,0)),"")</f>
        <v>5.69</v>
      </c>
      <c r="T256" s="27">
        <f>IFERROR(INDEX('Input Statistiche 2025_26'!$H$3:$H$665,MATCH($A256,'Input Statistiche 2025_26'!$A$3:$A$665,0)),"")</f>
        <v>5.83</v>
      </c>
      <c r="U256" s="23" t="str">
        <f>IF(OR('La Mia Rosa'!$O$12="",$D256&lt;&gt;""),"",IF($F256&lt;='La Mia Rosa'!$O$12*'Parametri Modello'!$B$24,"OK",IF($F256&lt;='La Mia Rosa'!$O$12*'Parametri Modello'!$B$25,"Attenzione","Rischio Alto")))</f>
        <v>OK</v>
      </c>
      <c r="V256" s="23">
        <f t="shared" si="28"/>
        <v>98</v>
      </c>
      <c r="W256" s="18">
        <f>'Info Lega'!$B$4-SUMIFS($M$2:$M$492,$D$2:$D$492,'Info Lega'!$B$28)</f>
        <v>1000</v>
      </c>
      <c r="X256" s="18">
        <f>('Info Lega'!$B$5-COUNTIFS($D$2:$D$492,'Info Lega'!$B$28,$B$2:$B$492,"P"))+('Info Lega'!$B$6-COUNTIFS($D$2:$D$492,'Info Lega'!$B$28,$B$2:$B$492,"D"))+('Info Lega'!$B$7-COUNTIFS($D$2:$D$492,'Info Lega'!$B$28,$B$2:$B$492,"C"))+('Info Lega'!$B$8-COUNTIFS($D$2:$D$492,'Info Lega'!$B$28,$B$2:$B$492,"A"))</f>
        <v>25</v>
      </c>
      <c r="Y256" s="18">
        <f>X256*'Parametri Modello'!$B$30</f>
        <v>25</v>
      </c>
      <c r="Z256" s="18">
        <f t="shared" si="29"/>
        <v>975</v>
      </c>
      <c r="AA256" s="18">
        <f t="shared" si="30"/>
        <v>2</v>
      </c>
      <c r="AB256" s="18"/>
      <c r="AC256" s="18" t="str">
        <f>IF($AB256="","",IF($AB256&gt;$AA256,"PASS",IF($AB256&lt;=$AA256*(1-'Parametri Modello'!$B$68),"BID","ATTENZIONE")))</f>
        <v/>
      </c>
      <c r="AD256" s="28">
        <f t="shared" si="31"/>
        <v>50</v>
      </c>
      <c r="AE256" s="5" t="str">
        <f>IFERROR(IF($AF256="Titolare",INDEX('Stato Asta'!$G$9:$G$12,MATCH($B256,'Stato Asta'!$A$9:$A$12,0)),INDEX('Stato Asta'!$P$9:$P$12,MATCH($B256,'Stato Asta'!$A$9:$A$12,0))),"")</f>
        <v>🟢 Riserve abbondanti</v>
      </c>
      <c r="AF256" t="str">
        <f>IFERROR(IF($V256&lt;=INDEX('Parametri Modello'!$C$57:$C$60,MATCH($B256,'Parametri Modello'!$A$57:$A$60,0)),"Titolare","Riserva"),"")</f>
        <v>Riserva</v>
      </c>
      <c r="AG256" t="str">
        <f>IFERROR(INDEX('Pressione Competitiva'!$F$3:$F$6,MATCH($B256,'Pressione Competitiva'!$B$3:$B$6,0)),"")</f>
        <v>🔴 Molto Alta</v>
      </c>
      <c r="AH256" t="str">
        <f t="shared" si="32"/>
        <v/>
      </c>
      <c r="AI256" t="str">
        <f>IFERROR(IF($AH256="","",IF($AH256&gt;=$AA256*'Parametri Modello'!$B$68,"🟢 Opportunita'",IF($AH256&lt;=$AA256*'Parametri Modello'!$B$69,"🔴 Sovrapprezzo","🟡 Prezzo Corretto"))),"")</f>
        <v/>
      </c>
      <c r="AJ256" t="str">
        <f t="shared" si="33"/>
        <v/>
      </c>
      <c r="AK256">
        <f t="shared" si="34"/>
        <v>43</v>
      </c>
      <c r="AL256" t="str">
        <f t="shared" si="35"/>
        <v>C|Nella Media|43</v>
      </c>
    </row>
    <row r="257" spans="1:38" ht="14.25" customHeight="1" x14ac:dyDescent="0.25">
      <c r="A257" s="18">
        <v>6170</v>
      </c>
      <c r="B257" s="18" t="s">
        <v>264</v>
      </c>
      <c r="C257" s="18" t="s">
        <v>366</v>
      </c>
      <c r="E257" s="23" t="str">
        <f>IF(COUNTIF('Info Strategia'!$D$2:$D$51,$C257)&gt;0,"SI","NO")</f>
        <v>NO</v>
      </c>
      <c r="F257" s="24">
        <f>IFERROR(ROUND(($G257+($H257-$G257)*'Info Strategia'!$B$6)*(1+IF($E257="SI",'Parametri Modello'!$B$7*'Info Strategia'!$B$6,0)),0),"")</f>
        <v>2</v>
      </c>
      <c r="G257" s="24">
        <f>IFERROR(ROUND(MAX(1,(IF($V257&lt;=INDEX('Parametri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1</v>
      </c>
      <c r="H257" s="24">
        <f>IFERROR(ROUND((IF($V257&lt;=INDEX('Parametri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2</v>
      </c>
      <c r="I257" s="23">
        <f>IFERROR(INDEX('Input Statistiche 2025_26'!$F$3:$F$665,MATCH($A257,'Input Statistiche 2025_26'!$A$3:$A$665,0)),"")</f>
        <v>27</v>
      </c>
      <c r="J257" s="23">
        <f t="shared" si="27"/>
        <v>11</v>
      </c>
      <c r="K257" s="23">
        <f>IFERROR(INDEX('Input Statistiche 2025_26'!$I$3:$I$665,MATCH($A257,'Input Statistiche 2025_26'!$A$3:$A$665,0)),"")</f>
        <v>0</v>
      </c>
      <c r="L257" s="23">
        <f>IFERROR(INDEX('Input Statistiche 2025_26'!$O$3:$O$665,MATCH($A257,'Input Statistiche 2025_26'!$A$3:$A$665,0)),"")</f>
        <v>1</v>
      </c>
      <c r="M257" s="25"/>
      <c r="N257" s="24">
        <f>IFERROR(INDEX('Input Giocatori 2026_27'!$E$3:$E$493,MATCH($A257,'Input Giocatori 2026_27'!$A$3:$A$493,0)),"")</f>
        <v>5</v>
      </c>
      <c r="O257" s="24">
        <f>IFERROR(INDEX('Input Giocatori 2026_27'!$G$3:$G$493,MATCH($A257,'Input Giocatori 2026_27'!$A$3:$A$493,0)),"")</f>
        <v>13</v>
      </c>
      <c r="P257" s="23" t="str">
        <f>IFERROR(IF($O257="","",IF((1-(COUNTIFS($B$2:$B$492,$B257,$O$2:$O$492,"&gt;"&amp;$O257)+1-1)/COUNTIF($B$2:$B$492,$B257))&gt;='Parametri Modello'!$B$63,"Top",IF((1-(COUNTIFS($B$2:$B$492,$B257,$O$2:$O$492,"&gt;"&amp;$O257)+1-1)/COUNTIF($B$2:$B$492,$B257))&gt;='Parametri Modello'!$B$64,"Buono",IF((1-(COUNTIFS($B$2:$B$492,$B257,$O$2:$O$492,"&gt;"&amp;$O257)+1-1)/COUNTIF($B$2:$B$492,$B257))&gt;='Parametri Modello'!$B$65,"Nella Media","Scommessa/Riserva")))),"")</f>
        <v>Nella Media</v>
      </c>
      <c r="Q257" s="26">
        <f>IF(AND($D257="",$N257&gt;1),SUMPRODUCT(($D$2:$D257="")*($N$2:$N257&gt;1)),"")</f>
        <v>256</v>
      </c>
      <c r="R257" s="26" t="str">
        <f>IF($D257='Info Lega'!$B$28,COUNTIFS($D$2:$D257,'Info Lega'!$B$28),"")</f>
        <v/>
      </c>
      <c r="S257" s="27">
        <f>IFERROR(INDEX('Input Statistiche 2025_26'!$G$3:$G$665,MATCH($A257,'Input Statistiche 2025_26'!$A$3:$A$665,0)),"")</f>
        <v>5.87</v>
      </c>
      <c r="T257" s="27">
        <f>IFERROR(INDEX('Input Statistiche 2025_26'!$H$3:$H$665,MATCH($A257,'Input Statistiche 2025_26'!$A$3:$A$665,0)),"")</f>
        <v>5.81</v>
      </c>
      <c r="U257" s="23" t="str">
        <f>IF(OR('La Mia Rosa'!$O$12="",$D257&lt;&gt;""),"",IF($F257&lt;='La Mia Rosa'!$O$12*'Parametri Modello'!$B$24,"OK",IF($F257&lt;='La Mia Rosa'!$O$12*'Parametri Modello'!$B$25,"Attenzione","Rischio Alto")))</f>
        <v>OK</v>
      </c>
      <c r="V257" s="23">
        <f t="shared" si="28"/>
        <v>98</v>
      </c>
      <c r="W257" s="18">
        <f>'Info Lega'!$B$4-SUMIFS($M$2:$M$492,$D$2:$D$492,'Info Lega'!$B$28)</f>
        <v>1000</v>
      </c>
      <c r="X257" s="18">
        <f>('Info Lega'!$B$5-COUNTIFS($D$2:$D$492,'Info Lega'!$B$28,$B$2:$B$492,"P"))+('Info Lega'!$B$6-COUNTIFS($D$2:$D$492,'Info Lega'!$B$28,$B$2:$B$492,"D"))+('Info Lega'!$B$7-COUNTIFS($D$2:$D$492,'Info Lega'!$B$28,$B$2:$B$492,"C"))+('Info Lega'!$B$8-COUNTIFS($D$2:$D$492,'Info Lega'!$B$28,$B$2:$B$492,"A"))</f>
        <v>25</v>
      </c>
      <c r="Y257" s="18">
        <f>X257*'Parametri Modello'!$B$30</f>
        <v>25</v>
      </c>
      <c r="Z257" s="18">
        <f t="shared" si="29"/>
        <v>975</v>
      </c>
      <c r="AA257" s="18">
        <f t="shared" si="30"/>
        <v>2</v>
      </c>
      <c r="AB257" s="18"/>
      <c r="AC257" s="18" t="str">
        <f>IF($AB257="","",IF($AB257&gt;$AA257,"PASS",IF($AB257&lt;=$AA257*(1-'Parametri Modello'!$B$68),"BID","ATTENZIONE")))</f>
        <v/>
      </c>
      <c r="AD257" s="28">
        <f t="shared" si="31"/>
        <v>59</v>
      </c>
      <c r="AE257" s="5" t="str">
        <f>IFERROR(IF($AF257="Titolare",INDEX('Stato Asta'!$G$9:$G$12,MATCH($B257,'Stato Asta'!$A$9:$A$12,0)),INDEX('Stato Asta'!$P$9:$P$12,MATCH($B257,'Stato Asta'!$A$9:$A$12,0))),"")</f>
        <v>🟢 Riserve abbondanti</v>
      </c>
      <c r="AF257" t="str">
        <f>IFERROR(IF($V257&lt;=INDEX('Parametri Modello'!$C$57:$C$60,MATCH($B257,'Parametri Modello'!$A$57:$A$60,0)),"Titolare","Riserva"),"")</f>
        <v>Riserva</v>
      </c>
      <c r="AG257" t="str">
        <f>IFERROR(INDEX('Pressione Competitiva'!$F$3:$F$6,MATCH($B257,'Pressione Competitiva'!$B$3:$B$6,0)),"")</f>
        <v>🔴 Molto Alta</v>
      </c>
      <c r="AH257" t="str">
        <f t="shared" si="32"/>
        <v/>
      </c>
      <c r="AI257" t="str">
        <f>IFERROR(IF($AH257="","",IF($AH257&gt;=$AA257*'Parametri Modello'!$B$68,"🟢 Opportunita'",IF($AH257&lt;=$AA257*'Parametri Modello'!$B$69,"🔴 Sovrapprezzo","🟡 Prezzo Corretto"))),"")</f>
        <v/>
      </c>
      <c r="AJ257" t="str">
        <f t="shared" si="33"/>
        <v/>
      </c>
      <c r="AK257">
        <f t="shared" si="34"/>
        <v>43</v>
      </c>
      <c r="AL257" t="str">
        <f t="shared" si="35"/>
        <v>C|Nella Media|43</v>
      </c>
    </row>
    <row r="258" spans="1:38" ht="14.25" customHeight="1" x14ac:dyDescent="0.25">
      <c r="A258" s="18">
        <v>5301</v>
      </c>
      <c r="B258" s="18" t="s">
        <v>264</v>
      </c>
      <c r="C258" s="18" t="s">
        <v>378</v>
      </c>
      <c r="E258" s="23" t="str">
        <f>IF(COUNTIF('Info Strategia'!$D$2:$D$51,$C258)&gt;0,"SI","NO")</f>
        <v>NO</v>
      </c>
      <c r="F258" s="24">
        <f>IFERROR(ROUND(($G258+($H258-$G258)*'Info Strategia'!$B$6)*(1+IF($E258="SI",'Parametri Modello'!$B$7*'Info Strategia'!$B$6,0)),0),"")</f>
        <v>2</v>
      </c>
      <c r="G258" s="24">
        <f>IFERROR(ROUND(MAX(1,(IF($V258&lt;=INDEX('Parametri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1</v>
      </c>
      <c r="H258" s="24">
        <f>IFERROR(ROUND((IF($V258&lt;=INDEX('Parametri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2</v>
      </c>
      <c r="I258" s="23">
        <f>IFERROR(INDEX('Input Statistiche 2025_26'!$F$3:$F$665,MATCH($A258,'Input Statistiche 2025_26'!$A$3:$A$665,0)),"")</f>
        <v>27</v>
      </c>
      <c r="J258" s="23">
        <f t="shared" ref="J258:J321" si="36">IFERROR(IF($I258="","",MAX(0,38-$I258)),"")</f>
        <v>11</v>
      </c>
      <c r="K258" s="23">
        <f>IFERROR(INDEX('Input Statistiche 2025_26'!$I$3:$I$665,MATCH($A258,'Input Statistiche 2025_26'!$A$3:$A$665,0)),"")</f>
        <v>1</v>
      </c>
      <c r="L258" s="23">
        <f>IFERROR(INDEX('Input Statistiche 2025_26'!$O$3:$O$665,MATCH($A258,'Input Statistiche 2025_26'!$A$3:$A$665,0)),"")</f>
        <v>2</v>
      </c>
      <c r="M258" s="25"/>
      <c r="N258" s="24">
        <f>IFERROR(INDEX('Input Giocatori 2026_27'!$E$3:$E$493,MATCH($A258,'Input Giocatori 2026_27'!$A$3:$A$493,0)),"")</f>
        <v>4</v>
      </c>
      <c r="O258" s="24">
        <f>IFERROR(INDEX('Input Giocatori 2026_27'!$G$3:$G$493,MATCH($A258,'Input Giocatori 2026_27'!$A$3:$A$493,0)),"")</f>
        <v>13</v>
      </c>
      <c r="P258" s="23" t="str">
        <f>IFERROR(IF($O258="","",IF((1-(COUNTIFS($B$2:$B$492,$B258,$O$2:$O$492,"&gt;"&amp;$O258)+1-1)/COUNTIF($B$2:$B$492,$B258))&gt;='Parametri Modello'!$B$63,"Top",IF((1-(COUNTIFS($B$2:$B$492,$B258,$O$2:$O$492,"&gt;"&amp;$O258)+1-1)/COUNTIF($B$2:$B$492,$B258))&gt;='Parametri Modello'!$B$64,"Buono",IF((1-(COUNTIFS($B$2:$B$492,$B258,$O$2:$O$492,"&gt;"&amp;$O258)+1-1)/COUNTIF($B$2:$B$492,$B258))&gt;='Parametri Modello'!$B$65,"Nella Media","Scommessa/Riserva")))),"")</f>
        <v>Nella Media</v>
      </c>
      <c r="Q258" s="26">
        <f>IF(AND($D258="",$N258&gt;1),SUMPRODUCT(($D$2:$D258="")*($N$2:$N258&gt;1)),"")</f>
        <v>257</v>
      </c>
      <c r="R258" s="26" t="str">
        <f>IF($D258='Info Lega'!$B$28,COUNTIFS($D$2:$D258,'Info Lega'!$B$28),"")</f>
        <v/>
      </c>
      <c r="S258" s="27">
        <f>IFERROR(INDEX('Input Statistiche 2025_26'!$G$3:$G$665,MATCH($A258,'Input Statistiche 2025_26'!$A$3:$A$665,0)),"")</f>
        <v>5.89</v>
      </c>
      <c r="T258" s="27">
        <f>IFERROR(INDEX('Input Statistiche 2025_26'!$H$3:$H$665,MATCH($A258,'Input Statistiche 2025_26'!$A$3:$A$665,0)),"")</f>
        <v>6.06</v>
      </c>
      <c r="U258" s="23" t="str">
        <f>IF(OR('La Mia Rosa'!$O$12="",$D258&lt;&gt;""),"",IF($F258&lt;='La Mia Rosa'!$O$12*'Parametri Modello'!$B$24,"OK",IF($F258&lt;='La Mia Rosa'!$O$12*'Parametri Modello'!$B$25,"Attenzione","Rischio Alto")))</f>
        <v>OK</v>
      </c>
      <c r="V258" s="23">
        <f t="shared" ref="V258:V321" si="37">IFERROR(COUNTIFS($B$2:$B$492,$B258,$O$2:$O$492,"&gt;"&amp;$O258)+1,"")</f>
        <v>98</v>
      </c>
      <c r="W258" s="18">
        <f>'Info Lega'!$B$4-SUMIFS($M$2:$M$492,$D$2:$D$492,'Info Lega'!$B$28)</f>
        <v>1000</v>
      </c>
      <c r="X258" s="18">
        <f>('Info Lega'!$B$5-COUNTIFS($D$2:$D$492,'Info Lega'!$B$28,$B$2:$B$492,"P"))+('Info Lega'!$B$6-COUNTIFS($D$2:$D$492,'Info Lega'!$B$28,$B$2:$B$492,"D"))+('Info Lega'!$B$7-COUNTIFS($D$2:$D$492,'Info Lega'!$B$28,$B$2:$B$492,"C"))+('Info Lega'!$B$8-COUNTIFS($D$2:$D$492,'Info Lega'!$B$28,$B$2:$B$492,"A"))</f>
        <v>25</v>
      </c>
      <c r="Y258" s="18">
        <f>X258*'Parametri Modello'!$B$30</f>
        <v>25</v>
      </c>
      <c r="Z258" s="18">
        <f t="shared" ref="Z258:Z321" si="38">MAX(0,W258-Y258)</f>
        <v>975</v>
      </c>
      <c r="AA258" s="18">
        <f t="shared" ref="AA258:AA321" si="39">MIN(F258,Z258)</f>
        <v>2</v>
      </c>
      <c r="AB258" s="18"/>
      <c r="AC258" s="18" t="str">
        <f>IF($AB258="","",IF($AB258&gt;$AA258,"PASS",IF($AB258&lt;=$AA258*(1-'Parametri Modello'!$B$68),"BID","ATTENZIONE")))</f>
        <v/>
      </c>
      <c r="AD258" s="28">
        <f t="shared" ref="AD258:AD321" si="40">IF(I258="","",ROUND(100*(1-EXP(-I258/30)),0))</f>
        <v>59</v>
      </c>
      <c r="AE258" s="5" t="str">
        <f>IFERROR(IF($AF258="Titolare",INDEX('Stato Asta'!$G$9:$G$12,MATCH($B258,'Stato Asta'!$A$9:$A$12,0)),INDEX('Stato Asta'!$P$9:$P$12,MATCH($B258,'Stato Asta'!$A$9:$A$12,0))),"")</f>
        <v>🟢 Riserve abbondanti</v>
      </c>
      <c r="AF258" t="str">
        <f>IFERROR(IF($V258&lt;=INDEX('Parametri Modello'!$C$57:$C$60,MATCH($B258,'Parametri Modello'!$A$57:$A$60,0)),"Titolare","Riserva"),"")</f>
        <v>Riserva</v>
      </c>
      <c r="AG258" t="str">
        <f>IFERROR(INDEX('Pressione Competitiva'!$F$3:$F$6,MATCH($B258,'Pressione Competitiva'!$B$3:$B$6,0)),"")</f>
        <v>🔴 Molto Alta</v>
      </c>
      <c r="AH258" t="str">
        <f t="shared" ref="AH258:AH321" si="41">IF($AB258="","",$AA258-$AB258)</f>
        <v/>
      </c>
      <c r="AI258" t="str">
        <f>IFERROR(IF($AH258="","",IF($AH258&gt;=$AA258*'Parametri Modello'!$B$68,"🟢 Opportunita'",IF($AH258&lt;=$AA258*'Parametri Modello'!$B$69,"🔴 Sovrapprezzo","🟡 Prezzo Corretto"))),"")</f>
        <v/>
      </c>
      <c r="AJ258" t="str">
        <f t="shared" ref="AJ258:AJ321" si="42">IF($AB258="","",IF($AC258="PASS","Prezzo sopra la tua Offerta Max Dinamica ("&amp;$AA258&amp;" cr).",IF($AC258="BID","Margine ampio sul tuo tetto (+"&amp;($AA258-$AB258)&amp;" cr).","Margine ridotto: sei vicino al tuo tetto ("&amp;($AA258-$AB258)&amp;" cr residui).")))</f>
        <v/>
      </c>
      <c r="AK258">
        <f t="shared" ref="AK258:AK321" si="43">IF(AND($D258="",$N258&gt;1),COUNTIFS($B$2:$B$492,$B258,$P$2:$P$492,$P258,$D$2:$D$492,"",$N$2:$N$492,"&gt;1",$O$2:$O$492,"&gt;"&amp;$O258)+1,"")</f>
        <v>43</v>
      </c>
      <c r="AL258" t="str">
        <f t="shared" ref="AL258:AL321" si="44">IF($AK258="","",$B258&amp;"|"&amp;$P258&amp;"|"&amp;$AK258)</f>
        <v>C|Nella Media|43</v>
      </c>
    </row>
    <row r="259" spans="1:38" ht="14.25" customHeight="1" x14ac:dyDescent="0.25">
      <c r="A259" s="18">
        <v>7535</v>
      </c>
      <c r="B259" s="18" t="s">
        <v>264</v>
      </c>
      <c r="C259" s="18" t="s">
        <v>388</v>
      </c>
      <c r="E259" s="23" t="str">
        <f>IF(COUNTIF('Info Strategia'!$D$2:$D$51,$C259)&gt;0,"SI","NO")</f>
        <v>NO</v>
      </c>
      <c r="F259" s="24">
        <f>IFERROR(ROUND(($G259+($H259-$G259)*'Info Strategia'!$B$6)*(1+IF($E259="SI",'Parametri Modello'!$B$7*'Info Strategia'!$B$6,0)),0),"")</f>
        <v>2</v>
      </c>
      <c r="G259" s="24">
        <f>IFERROR(ROUND(MAX(1,(IF($V259&lt;=INDEX('Parametri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1</v>
      </c>
      <c r="H259" s="24">
        <f>IFERROR(ROUND((IF($V259&lt;=INDEX('Parametri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2</v>
      </c>
      <c r="I259" s="23" t="str">
        <f>IFERROR(INDEX('Input Statistiche 2025_26'!$F$3:$F$665,MATCH($A259,'Input Statistiche 2025_26'!$A$3:$A$665,0)),"")</f>
        <v/>
      </c>
      <c r="J259" s="23" t="str">
        <f t="shared" si="36"/>
        <v/>
      </c>
      <c r="K259" s="23" t="str">
        <f>IFERROR(INDEX('Input Statistiche 2025_26'!$I$3:$I$665,MATCH($A259,'Input Statistiche 2025_26'!$A$3:$A$665,0)),"")</f>
        <v/>
      </c>
      <c r="L259" s="23" t="str">
        <f>IFERROR(INDEX('Input Statistiche 2025_26'!$O$3:$O$665,MATCH($A259,'Input Statistiche 2025_26'!$A$3:$A$665,0)),"")</f>
        <v/>
      </c>
      <c r="M259" s="25"/>
      <c r="N259" s="24">
        <f>IFERROR(INDEX('Input Giocatori 2026_27'!$E$3:$E$493,MATCH($A259,'Input Giocatori 2026_27'!$A$3:$A$493,0)),"")</f>
        <v>4</v>
      </c>
      <c r="O259" s="24">
        <f>IFERROR(INDEX('Input Giocatori 2026_27'!$G$3:$G$493,MATCH($A259,'Input Giocatori 2026_27'!$A$3:$A$493,0)),"")</f>
        <v>13</v>
      </c>
      <c r="P259" s="23" t="str">
        <f>IFERROR(IF($O259="","",IF((1-(COUNTIFS($B$2:$B$492,$B259,$O$2:$O$492,"&gt;"&amp;$O259)+1-1)/COUNTIF($B$2:$B$492,$B259))&gt;='Parametri Modello'!$B$63,"Top",IF((1-(COUNTIFS($B$2:$B$492,$B259,$O$2:$O$492,"&gt;"&amp;$O259)+1-1)/COUNTIF($B$2:$B$492,$B259))&gt;='Parametri Modello'!$B$64,"Buono",IF((1-(COUNTIFS($B$2:$B$492,$B259,$O$2:$O$492,"&gt;"&amp;$O259)+1-1)/COUNTIF($B$2:$B$492,$B259))&gt;='Parametri Modello'!$B$65,"Nella Media","Scommessa/Riserva")))),"")</f>
        <v>Nella Media</v>
      </c>
      <c r="Q259" s="26">
        <f>IF(AND($D259="",$N259&gt;1),SUMPRODUCT(($D$2:$D259="")*($N$2:$N259&gt;1)),"")</f>
        <v>258</v>
      </c>
      <c r="R259" s="26" t="str">
        <f>IF($D259='Info Lega'!$B$28,COUNTIFS($D$2:$D259,'Info Lega'!$B$28),"")</f>
        <v/>
      </c>
      <c r="S259" s="27" t="str">
        <f>IFERROR(INDEX('Input Statistiche 2025_26'!$G$3:$G$665,MATCH($A259,'Input Statistiche 2025_26'!$A$3:$A$665,0)),"")</f>
        <v/>
      </c>
      <c r="T259" s="27" t="str">
        <f>IFERROR(INDEX('Input Statistiche 2025_26'!$H$3:$H$665,MATCH($A259,'Input Statistiche 2025_26'!$A$3:$A$665,0)),"")</f>
        <v/>
      </c>
      <c r="U259" s="23" t="str">
        <f>IF(OR('La Mia Rosa'!$O$12="",$D259&lt;&gt;""),"",IF($F259&lt;='La Mia Rosa'!$O$12*'Parametri Modello'!$B$24,"OK",IF($F259&lt;='La Mia Rosa'!$O$12*'Parametri Modello'!$B$25,"Attenzione","Rischio Alto")))</f>
        <v>OK</v>
      </c>
      <c r="V259" s="23">
        <f t="shared" si="37"/>
        <v>98</v>
      </c>
      <c r="W259" s="18">
        <f>'Info Lega'!$B$4-SUMIFS($M$2:$M$492,$D$2:$D$492,'Info Lega'!$B$28)</f>
        <v>1000</v>
      </c>
      <c r="X259" s="18">
        <f>('Info Lega'!$B$5-COUNTIFS($D$2:$D$492,'Info Lega'!$B$28,$B$2:$B$492,"P"))+('Info Lega'!$B$6-COUNTIFS($D$2:$D$492,'Info Lega'!$B$28,$B$2:$B$492,"D"))+('Info Lega'!$B$7-COUNTIFS($D$2:$D$492,'Info Lega'!$B$28,$B$2:$B$492,"C"))+('Info Lega'!$B$8-COUNTIFS($D$2:$D$492,'Info Lega'!$B$28,$B$2:$B$492,"A"))</f>
        <v>25</v>
      </c>
      <c r="Y259" s="18">
        <f>X259*'Parametri Modello'!$B$30</f>
        <v>25</v>
      </c>
      <c r="Z259" s="18">
        <f t="shared" si="38"/>
        <v>975</v>
      </c>
      <c r="AA259" s="18">
        <f t="shared" si="39"/>
        <v>2</v>
      </c>
      <c r="AB259" s="18"/>
      <c r="AC259" s="18" t="str">
        <f>IF($AB259="","",IF($AB259&gt;$AA259,"PASS",IF($AB259&lt;=$AA259*(1-'Parametri Modello'!$B$68),"BID","ATTENZIONE")))</f>
        <v/>
      </c>
      <c r="AD259" s="28" t="str">
        <f t="shared" si="40"/>
        <v/>
      </c>
      <c r="AE259" s="5" t="str">
        <f>IFERROR(IF($AF259="Titolare",INDEX('Stato Asta'!$G$9:$G$12,MATCH($B259,'Stato Asta'!$A$9:$A$12,0)),INDEX('Stato Asta'!$P$9:$P$12,MATCH($B259,'Stato Asta'!$A$9:$A$12,0))),"")</f>
        <v>🟢 Riserve abbondanti</v>
      </c>
      <c r="AF259" t="str">
        <f>IFERROR(IF($V259&lt;=INDEX('Parametri Modello'!$C$57:$C$60,MATCH($B259,'Parametri Modello'!$A$57:$A$60,0)),"Titolare","Riserva"),"")</f>
        <v>Riserva</v>
      </c>
      <c r="AG259" t="str">
        <f>IFERROR(INDEX('Pressione Competitiva'!$F$3:$F$6,MATCH($B259,'Pressione Competitiva'!$B$3:$B$6,0)),"")</f>
        <v>🔴 Molto Alta</v>
      </c>
      <c r="AH259" t="str">
        <f t="shared" si="41"/>
        <v/>
      </c>
      <c r="AI259" t="str">
        <f>IFERROR(IF($AH259="","",IF($AH259&gt;=$AA259*'Parametri Modello'!$B$68,"🟢 Opportunita'",IF($AH259&lt;=$AA259*'Parametri Modello'!$B$69,"🔴 Sovrapprezzo","🟡 Prezzo Corretto"))),"")</f>
        <v/>
      </c>
      <c r="AJ259" t="str">
        <f t="shared" si="42"/>
        <v/>
      </c>
      <c r="AK259">
        <f t="shared" si="43"/>
        <v>43</v>
      </c>
      <c r="AL259" t="str">
        <f t="shared" si="44"/>
        <v>C|Nella Media|43</v>
      </c>
    </row>
    <row r="260" spans="1:38" ht="14.25" customHeight="1" x14ac:dyDescent="0.25">
      <c r="A260" s="18">
        <v>7213</v>
      </c>
      <c r="B260" s="18" t="s">
        <v>437</v>
      </c>
      <c r="C260" s="18" t="s">
        <v>496</v>
      </c>
      <c r="E260" s="23" t="str">
        <f>IF(COUNTIF('Info Strategia'!$D$2:$D$51,$C260)&gt;0,"SI","NO")</f>
        <v>NO</v>
      </c>
      <c r="F260" s="24">
        <f>IFERROR(ROUND(($G260+($H260-$G260)*'Info Strategia'!$B$6)*(1+IF($E260="SI",'Parametri Modello'!$B$7*'Info Strategia'!$B$6,0)),0),"")</f>
        <v>4</v>
      </c>
      <c r="G260" s="24">
        <f>IFERROR(ROUND(MAX(1,(IF($V260&lt;=INDEX('Parametri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3</v>
      </c>
      <c r="H260" s="24">
        <f>IFERROR(ROUND((IF($V260&lt;=INDEX('Parametri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5</v>
      </c>
      <c r="I260" s="23">
        <f>IFERROR(INDEX('Input Statistiche 2025_26'!$F$3:$F$665,MATCH($A260,'Input Statistiche 2025_26'!$A$3:$A$665,0)),"")</f>
        <v>0</v>
      </c>
      <c r="J260" s="23">
        <f t="shared" si="36"/>
        <v>38</v>
      </c>
      <c r="K260" s="23">
        <f>IFERROR(INDEX('Input Statistiche 2025_26'!$I$3:$I$665,MATCH($A260,'Input Statistiche 2025_26'!$A$3:$A$665,0)),"")</f>
        <v>0</v>
      </c>
      <c r="L260" s="23">
        <f>IFERROR(INDEX('Input Statistiche 2025_26'!$O$3:$O$665,MATCH($A260,'Input Statistiche 2025_26'!$A$3:$A$665,0)),"")</f>
        <v>0</v>
      </c>
      <c r="M260" s="25"/>
      <c r="N260" s="24">
        <f>IFERROR(INDEX('Input Giocatori 2026_27'!$E$3:$E$493,MATCH($A260,'Input Giocatori 2026_27'!$A$3:$A$493,0)),"")</f>
        <v>5</v>
      </c>
      <c r="O260" s="24">
        <f>IFERROR(INDEX('Input Giocatori 2026_27'!$G$3:$G$493,MATCH($A260,'Input Giocatori 2026_27'!$A$3:$A$493,0)),"")</f>
        <v>13</v>
      </c>
      <c r="P260" s="23" t="str">
        <f>IFERROR(IF($O260="","",IF((1-(COUNTIFS($B$2:$B$492,$B260,$O$2:$O$492,"&gt;"&amp;$O260)+1-1)/COUNTIF($B$2:$B$492,$B260))&gt;='Parametri Modello'!$B$63,"Top",IF((1-(COUNTIFS($B$2:$B$492,$B260,$O$2:$O$492,"&gt;"&amp;$O260)+1-1)/COUNTIF($B$2:$B$492,$B260))&gt;='Parametri Modello'!$B$64,"Buono",IF((1-(COUNTIFS($B$2:$B$492,$B260,$O$2:$O$492,"&gt;"&amp;$O260)+1-1)/COUNTIF($B$2:$B$492,$B260))&gt;='Parametri Modello'!$B$65,"Nella Media","Scommessa/Riserva")))),"")</f>
        <v>Scommessa/Riserva</v>
      </c>
      <c r="Q260" s="26">
        <f>IF(AND($D260="",$N260&gt;1),SUMPRODUCT(($D$2:$D260="")*($N$2:$N260&gt;1)),"")</f>
        <v>259</v>
      </c>
      <c r="R260" s="26" t="str">
        <f>IF($D260='Info Lega'!$B$28,COUNTIFS($D$2:$D260,'Info Lega'!$B$28),"")</f>
        <v/>
      </c>
      <c r="S260" s="27">
        <f>IFERROR(INDEX('Input Statistiche 2025_26'!$G$3:$G$665,MATCH($A260,'Input Statistiche 2025_26'!$A$3:$A$665,0)),"")</f>
        <v>0</v>
      </c>
      <c r="T260" s="27">
        <f>IFERROR(INDEX('Input Statistiche 2025_26'!$H$3:$H$665,MATCH($A260,'Input Statistiche 2025_26'!$A$3:$A$665,0)),"")</f>
        <v>0</v>
      </c>
      <c r="U260" s="23" t="str">
        <f>IF(OR('La Mia Rosa'!$O$12="",$D260&lt;&gt;""),"",IF($F260&lt;='La Mia Rosa'!$O$12*'Parametri Modello'!$B$24,"OK",IF($F260&lt;='La Mia Rosa'!$O$12*'Parametri Modello'!$B$25,"Attenzione","Rischio Alto")))</f>
        <v>OK</v>
      </c>
      <c r="V260" s="23">
        <f t="shared" si="37"/>
        <v>61</v>
      </c>
      <c r="W260" s="18">
        <f>'Info Lega'!$B$4-SUMIFS($M$2:$M$492,$D$2:$D$492,'Info Lega'!$B$28)</f>
        <v>1000</v>
      </c>
      <c r="X260" s="18">
        <f>('Info Lega'!$B$5-COUNTIFS($D$2:$D$492,'Info Lega'!$B$28,$B$2:$B$492,"P"))+('Info Lega'!$B$6-COUNTIFS($D$2:$D$492,'Info Lega'!$B$28,$B$2:$B$492,"D"))+('Info Lega'!$B$7-COUNTIFS($D$2:$D$492,'Info Lega'!$B$28,$B$2:$B$492,"C"))+('Info Lega'!$B$8-COUNTIFS($D$2:$D$492,'Info Lega'!$B$28,$B$2:$B$492,"A"))</f>
        <v>25</v>
      </c>
      <c r="Y260" s="18">
        <f>X260*'Parametri Modello'!$B$30</f>
        <v>25</v>
      </c>
      <c r="Z260" s="18">
        <f t="shared" si="38"/>
        <v>975</v>
      </c>
      <c r="AA260" s="18">
        <f t="shared" si="39"/>
        <v>4</v>
      </c>
      <c r="AB260" s="18"/>
      <c r="AC260" s="18" t="str">
        <f>IF($AB260="","",IF($AB260&gt;$AA260,"PASS",IF($AB260&lt;=$AA260*(1-'Parametri Modello'!$B$68),"BID","ATTENZIONE")))</f>
        <v/>
      </c>
      <c r="AD260" s="28">
        <f t="shared" si="40"/>
        <v>0</v>
      </c>
      <c r="AE260" s="5" t="str">
        <f>IFERROR(IF($AF260="Titolare",INDEX('Stato Asta'!$G$9:$G$12,MATCH($B260,'Stato Asta'!$A$9:$A$12,0)),INDEX('Stato Asta'!$P$9:$P$12,MATCH($B260,'Stato Asta'!$A$9:$A$12,0))),"")</f>
        <v>🟢 Riserve abbondanti</v>
      </c>
      <c r="AF260" t="str">
        <f>IFERROR(IF($V260&lt;=INDEX('Parametri Modello'!$C$57:$C$60,MATCH($B260,'Parametri Modello'!$A$57:$A$60,0)),"Titolare","Riserva"),"")</f>
        <v>Riserva</v>
      </c>
      <c r="AG260" t="str">
        <f>IFERROR(INDEX('Pressione Competitiva'!$F$3:$F$6,MATCH($B260,'Pressione Competitiva'!$B$3:$B$6,0)),"")</f>
        <v>🔴 Molto Alta</v>
      </c>
      <c r="AH260" t="str">
        <f t="shared" si="41"/>
        <v/>
      </c>
      <c r="AI260" t="str">
        <f>IFERROR(IF($AH260="","",IF($AH260&gt;=$AA260*'Parametri Modello'!$B$68,"🟢 Opportunita'",IF($AH260&lt;=$AA260*'Parametri Modello'!$B$69,"🔴 Sovrapprezzo","🟡 Prezzo Corretto"))),"")</f>
        <v/>
      </c>
      <c r="AJ260" t="str">
        <f t="shared" si="42"/>
        <v/>
      </c>
      <c r="AK260">
        <f t="shared" si="43"/>
        <v>7</v>
      </c>
      <c r="AL260" t="str">
        <f t="shared" si="44"/>
        <v>A|Scommessa/Riserva|7</v>
      </c>
    </row>
    <row r="261" spans="1:38" ht="14.25" customHeight="1" x14ac:dyDescent="0.25">
      <c r="A261" s="18">
        <v>4485</v>
      </c>
      <c r="B261" s="18" t="s">
        <v>8</v>
      </c>
      <c r="C261" s="18" t="s">
        <v>45</v>
      </c>
      <c r="E261" s="23" t="str">
        <f>IF(COUNTIF('Info Strategia'!$D$2:$D$51,$C261)&gt;0,"SI","NO")</f>
        <v>NO</v>
      </c>
      <c r="F261" s="24">
        <f>IFERROR(ROUND(($G261+($H261-$G261)*'Info Strategia'!$B$6)*(1+IF($E261="SI",'Parametri Modello'!$B$7*'Info Strategia'!$B$6,0)),0),"")</f>
        <v>4</v>
      </c>
      <c r="G261" s="24">
        <f>IFERROR(ROUND(MAX(1,(IF($V261&lt;=INDEX('Parametri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3</v>
      </c>
      <c r="H261" s="24">
        <f>IFERROR(ROUND((IF($V261&lt;=INDEX('Parametri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5</v>
      </c>
      <c r="I261" s="23" t="str">
        <f>IFERROR(INDEX('Input Statistiche 2025_26'!$F$3:$F$665,MATCH($A261,'Input Statistiche 2025_26'!$A$3:$A$665,0)),"")</f>
        <v/>
      </c>
      <c r="J261" s="23" t="str">
        <f t="shared" si="36"/>
        <v/>
      </c>
      <c r="K261" s="23" t="str">
        <f>IFERROR(INDEX('Input Statistiche 2025_26'!$I$3:$I$665,MATCH($A261,'Input Statistiche 2025_26'!$A$3:$A$665,0)),"")</f>
        <v/>
      </c>
      <c r="L261" s="23" t="str">
        <f>IFERROR(INDEX('Input Statistiche 2025_26'!$O$3:$O$665,MATCH($A261,'Input Statistiche 2025_26'!$A$3:$A$665,0)),"")</f>
        <v/>
      </c>
      <c r="M261" s="25"/>
      <c r="N261" s="24">
        <f>IFERROR(INDEX('Input Giocatori 2026_27'!$E$3:$E$493,MATCH($A261,'Input Giocatori 2026_27'!$A$3:$A$493,0)),"")</f>
        <v>5</v>
      </c>
      <c r="O261" s="24">
        <f>IFERROR(INDEX('Input Giocatori 2026_27'!$G$3:$G$493,MATCH($A261,'Input Giocatori 2026_27'!$A$3:$A$493,0)),"")</f>
        <v>12</v>
      </c>
      <c r="P261" s="23" t="str">
        <f>IFERROR(IF($O261="","",IF((1-(COUNTIFS($B$2:$B$492,$B261,$O$2:$O$492,"&gt;"&amp;$O261)+1-1)/COUNTIF($B$2:$B$492,$B261))&gt;='Parametri Modello'!$B$63,"Top",IF((1-(COUNTIFS($B$2:$B$492,$B261,$O$2:$O$492,"&gt;"&amp;$O261)+1-1)/COUNTIF($B$2:$B$492,$B261))&gt;='Parametri Modello'!$B$64,"Buono",IF((1-(COUNTIFS($B$2:$B$492,$B261,$O$2:$O$492,"&gt;"&amp;$O261)+1-1)/COUNTIF($B$2:$B$492,$B261))&gt;='Parametri Modello'!$B$65,"Nella Media","Scommessa/Riserva")))),"")</f>
        <v>Buono</v>
      </c>
      <c r="Q261" s="26">
        <f>IF(AND($D261="",$N261&gt;1),SUMPRODUCT(($D$2:$D261="")*($N$2:$N261&gt;1)),"")</f>
        <v>260</v>
      </c>
      <c r="R261" s="26" t="str">
        <f>IF($D261='Info Lega'!$B$28,COUNTIFS($D$2:$D261,'Info Lega'!$B$28),"")</f>
        <v/>
      </c>
      <c r="S261" s="27" t="str">
        <f>IFERROR(INDEX('Input Statistiche 2025_26'!$G$3:$G$665,MATCH($A261,'Input Statistiche 2025_26'!$A$3:$A$665,0)),"")</f>
        <v/>
      </c>
      <c r="T261" s="27" t="str">
        <f>IFERROR(INDEX('Input Statistiche 2025_26'!$H$3:$H$665,MATCH($A261,'Input Statistiche 2025_26'!$A$3:$A$665,0)),"")</f>
        <v/>
      </c>
      <c r="U261" s="23" t="str">
        <f>IF(OR('La Mia Rosa'!$O$12="",$D261&lt;&gt;""),"",IF($F261&lt;='La Mia Rosa'!$O$12*'Parametri Modello'!$B$24,"OK",IF($F261&lt;='La Mia Rosa'!$O$12*'Parametri Modello'!$B$25,"Attenzione","Rischio Alto")))</f>
        <v>OK</v>
      </c>
      <c r="V261" s="23">
        <f t="shared" si="37"/>
        <v>18</v>
      </c>
      <c r="W261" s="18">
        <f>'Info Lega'!$B$4-SUMIFS($M$2:$M$492,$D$2:$D$492,'Info Lega'!$B$28)</f>
        <v>1000</v>
      </c>
      <c r="X261" s="18">
        <f>('Info Lega'!$B$5-COUNTIFS($D$2:$D$492,'Info Lega'!$B$28,$B$2:$B$492,"P"))+('Info Lega'!$B$6-COUNTIFS($D$2:$D$492,'Info Lega'!$B$28,$B$2:$B$492,"D"))+('Info Lega'!$B$7-COUNTIFS($D$2:$D$492,'Info Lega'!$B$28,$B$2:$B$492,"C"))+('Info Lega'!$B$8-COUNTIFS($D$2:$D$492,'Info Lega'!$B$28,$B$2:$B$492,"A"))</f>
        <v>25</v>
      </c>
      <c r="Y261" s="18">
        <f>X261*'Parametri Modello'!$B$30</f>
        <v>25</v>
      </c>
      <c r="Z261" s="18">
        <f t="shared" si="38"/>
        <v>975</v>
      </c>
      <c r="AA261" s="18">
        <f t="shared" si="39"/>
        <v>4</v>
      </c>
      <c r="AB261" s="18"/>
      <c r="AC261" s="18" t="str">
        <f>IF($AB261="","",IF($AB261&gt;$AA261,"PASS",IF($AB261&lt;=$AA261*(1-'Parametri Modello'!$B$68),"BID","ATTENZIONE")))</f>
        <v/>
      </c>
      <c r="AD261" s="28" t="str">
        <f t="shared" si="40"/>
        <v/>
      </c>
      <c r="AE261" s="5" t="str">
        <f>IFERROR(IF($AF261="Titolare",INDEX('Stato Asta'!$G$9:$G$12,MATCH($B261,'Stato Asta'!$A$9:$A$12,0)),INDEX('Stato Asta'!$P$9:$P$12,MATCH($B261,'Stato Asta'!$A$9:$A$12,0))),"")</f>
        <v>🔴 Riserve scarse</v>
      </c>
      <c r="AF261" t="str">
        <f>IFERROR(IF($V261&lt;=INDEX('Parametri Modello'!$C$57:$C$60,MATCH($B261,'Parametri Modello'!$A$57:$A$60,0)),"Titolare","Riserva"),"")</f>
        <v>Riserva</v>
      </c>
      <c r="AG261" t="str">
        <f>IFERROR(INDEX('Pressione Competitiva'!$F$3:$F$6,MATCH($B261,'Pressione Competitiva'!$B$3:$B$6,0)),"")</f>
        <v>🔴 Molto Alta</v>
      </c>
      <c r="AH261" t="str">
        <f t="shared" si="41"/>
        <v/>
      </c>
      <c r="AI261" t="str">
        <f>IFERROR(IF($AH261="","",IF($AH261&gt;=$AA261*'Parametri Modello'!$B$68,"🟢 Opportunita'",IF($AH261&lt;=$AA261*'Parametri Modello'!$B$69,"🔴 Sovrapprezzo","🟡 Prezzo Corretto"))),"")</f>
        <v/>
      </c>
      <c r="AJ261" t="str">
        <f t="shared" si="42"/>
        <v/>
      </c>
      <c r="AK261">
        <f t="shared" si="43"/>
        <v>11</v>
      </c>
      <c r="AL261" t="str">
        <f t="shared" si="44"/>
        <v>P|Buono|11</v>
      </c>
    </row>
    <row r="262" spans="1:38" ht="14.25" customHeight="1" x14ac:dyDescent="0.25">
      <c r="A262" s="18">
        <v>5555</v>
      </c>
      <c r="B262" s="18" t="s">
        <v>88</v>
      </c>
      <c r="C262" s="18" t="s">
        <v>158</v>
      </c>
      <c r="E262" s="23" t="str">
        <f>IF(COUNTIF('Info Strategia'!$D$2:$D$51,$C262)&gt;0,"SI","NO")</f>
        <v>NO</v>
      </c>
      <c r="F262" s="24">
        <f>IFERROR(ROUND(($G262+($H262-$G262)*'Info Strategia'!$B$6)*(1+IF($E262="SI",'Parametri Modello'!$B$7*'Info Strategia'!$B$6,0)),0),"")</f>
        <v>2</v>
      </c>
      <c r="G262" s="24">
        <f>IFERROR(ROUND(MAX(1,(IF($V262&lt;=INDEX('Parametri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H262" s="24">
        <f>IFERROR(ROUND((IF($V262&lt;=INDEX('Parametri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I262" s="23">
        <f>IFERROR(INDEX('Input Statistiche 2025_26'!$F$3:$F$665,MATCH($A262,'Input Statistiche 2025_26'!$A$3:$A$665,0)),"")</f>
        <v>26</v>
      </c>
      <c r="J262" s="23">
        <f t="shared" si="36"/>
        <v>12</v>
      </c>
      <c r="K262" s="23">
        <f>IFERROR(INDEX('Input Statistiche 2025_26'!$I$3:$I$665,MATCH($A262,'Input Statistiche 2025_26'!$A$3:$A$665,0)),"")</f>
        <v>0</v>
      </c>
      <c r="L262" s="23">
        <f>IFERROR(INDEX('Input Statistiche 2025_26'!$O$3:$O$665,MATCH($A262,'Input Statistiche 2025_26'!$A$3:$A$665,0)),"")</f>
        <v>2</v>
      </c>
      <c r="M262" s="25"/>
      <c r="N262" s="24">
        <f>IFERROR(INDEX('Input Giocatori 2026_27'!$E$3:$E$493,MATCH($A262,'Input Giocatori 2026_27'!$A$3:$A$493,0)),"")</f>
        <v>6</v>
      </c>
      <c r="O262" s="24">
        <f>IFERROR(INDEX('Input Giocatori 2026_27'!$G$3:$G$493,MATCH($A262,'Input Giocatori 2026_27'!$A$3:$A$493,0)),"")</f>
        <v>12</v>
      </c>
      <c r="P262" s="23" t="str">
        <f>IFERROR(IF($O262="","",IF((1-(COUNTIFS($B$2:$B$492,$B262,$O$2:$O$492,"&gt;"&amp;$O262)+1-1)/COUNTIF($B$2:$B$492,$B262))&gt;='Parametri Modello'!$B$63,"Top",IF((1-(COUNTIFS($B$2:$B$492,$B262,$O$2:$O$492,"&gt;"&amp;$O262)+1-1)/COUNTIF($B$2:$B$492,$B262))&gt;='Parametri Modello'!$B$64,"Buono",IF((1-(COUNTIFS($B$2:$B$492,$B262,$O$2:$O$492,"&gt;"&amp;$O262)+1-1)/COUNTIF($B$2:$B$492,$B262))&gt;='Parametri Modello'!$B$65,"Nella Media","Scommessa/Riserva")))),"")</f>
        <v>Nella Media</v>
      </c>
      <c r="Q262" s="26">
        <f>IF(AND($D262="",$N262&gt;1),SUMPRODUCT(($D$2:$D262="")*($N$2:$N262&gt;1)),"")</f>
        <v>261</v>
      </c>
      <c r="R262" s="26" t="str">
        <f>IF($D262='Info Lega'!$B$28,COUNTIFS($D$2:$D262,'Info Lega'!$B$28),"")</f>
        <v/>
      </c>
      <c r="S262" s="27">
        <f>IFERROR(INDEX('Input Statistiche 2025_26'!$G$3:$G$665,MATCH($A262,'Input Statistiche 2025_26'!$A$3:$A$665,0)),"")</f>
        <v>5.88</v>
      </c>
      <c r="T262" s="27">
        <f>IFERROR(INDEX('Input Statistiche 2025_26'!$H$3:$H$665,MATCH($A262,'Input Statistiche 2025_26'!$A$3:$A$665,0)),"")</f>
        <v>5.87</v>
      </c>
      <c r="U262" s="23" t="str">
        <f>IF(OR('La Mia Rosa'!$O$12="",$D262&lt;&gt;""),"",IF($F262&lt;='La Mia Rosa'!$O$12*'Parametri Modello'!$B$24,"OK",IF($F262&lt;='La Mia Rosa'!$O$12*'Parametri Modello'!$B$25,"Attenzione","Rischio Alto")))</f>
        <v>OK</v>
      </c>
      <c r="V262" s="23">
        <f t="shared" si="37"/>
        <v>78</v>
      </c>
      <c r="W262" s="18">
        <f>'Info Lega'!$B$4-SUMIFS($M$2:$M$492,$D$2:$D$492,'Info Lega'!$B$28)</f>
        <v>1000</v>
      </c>
      <c r="X262" s="18">
        <f>('Info Lega'!$B$5-COUNTIFS($D$2:$D$492,'Info Lega'!$B$28,$B$2:$B$492,"P"))+('Info Lega'!$B$6-COUNTIFS($D$2:$D$492,'Info Lega'!$B$28,$B$2:$B$492,"D"))+('Info Lega'!$B$7-COUNTIFS($D$2:$D$492,'Info Lega'!$B$28,$B$2:$B$492,"C"))+('Info Lega'!$B$8-COUNTIFS($D$2:$D$492,'Info Lega'!$B$28,$B$2:$B$492,"A"))</f>
        <v>25</v>
      </c>
      <c r="Y262" s="18">
        <f>X262*'Parametri Modello'!$B$30</f>
        <v>25</v>
      </c>
      <c r="Z262" s="18">
        <f t="shared" si="38"/>
        <v>975</v>
      </c>
      <c r="AA262" s="18">
        <f t="shared" si="39"/>
        <v>2</v>
      </c>
      <c r="AB262" s="18"/>
      <c r="AC262" s="18" t="str">
        <f>IF($AB262="","",IF($AB262&gt;$AA262,"PASS",IF($AB262&lt;=$AA262*(1-'Parametri Modello'!$B$68),"BID","ATTENZIONE")))</f>
        <v/>
      </c>
      <c r="AD262" s="28">
        <f t="shared" si="40"/>
        <v>58</v>
      </c>
      <c r="AE262" s="5" t="str">
        <f>IFERROR(IF($AF262="Titolare",INDEX('Stato Asta'!$G$9:$G$12,MATCH($B262,'Stato Asta'!$A$9:$A$12,0)),INDEX('Stato Asta'!$P$9:$P$12,MATCH($B262,'Stato Asta'!$A$9:$A$12,0))),"")</f>
        <v>🟢 Riserve abbondanti</v>
      </c>
      <c r="AF262" t="str">
        <f>IFERROR(IF($V262&lt;=INDEX('Parametri Modello'!$C$57:$C$60,MATCH($B262,'Parametri Modello'!$A$57:$A$60,0)),"Titolare","Riserva"),"")</f>
        <v>Riserva</v>
      </c>
      <c r="AG262" t="str">
        <f>IFERROR(INDEX('Pressione Competitiva'!$F$3:$F$6,MATCH($B262,'Pressione Competitiva'!$B$3:$B$6,0)),"")</f>
        <v>🔴 Molto Alta</v>
      </c>
      <c r="AH262" t="str">
        <f t="shared" si="41"/>
        <v/>
      </c>
      <c r="AI262" t="str">
        <f>IFERROR(IF($AH262="","",IF($AH262&gt;=$AA262*'Parametri Modello'!$B$68,"🟢 Opportunita'",IF($AH262&lt;=$AA262*'Parametri Modello'!$B$69,"🔴 Sovrapprezzo","🟡 Prezzo Corretto"))),"")</f>
        <v/>
      </c>
      <c r="AJ262" t="str">
        <f t="shared" si="42"/>
        <v/>
      </c>
      <c r="AK262">
        <f t="shared" si="43"/>
        <v>23</v>
      </c>
      <c r="AL262" t="str">
        <f t="shared" si="44"/>
        <v>D|Nella Media|23</v>
      </c>
    </row>
    <row r="263" spans="1:38" ht="14.25" customHeight="1" x14ac:dyDescent="0.25">
      <c r="A263" s="18">
        <v>2640</v>
      </c>
      <c r="B263" s="18" t="s">
        <v>88</v>
      </c>
      <c r="C263" s="18" t="s">
        <v>160</v>
      </c>
      <c r="E263" s="23" t="str">
        <f>IF(COUNTIF('Info Strategia'!$D$2:$D$51,$C263)&gt;0,"SI","NO")</f>
        <v>NO</v>
      </c>
      <c r="F263" s="24">
        <f>IFERROR(ROUND(($G263+($H263-$G263)*'Info Strategia'!$B$6)*(1+IF($E263="SI",'Parametri Modello'!$B$7*'Info Strategia'!$B$6,0)),0),"")</f>
        <v>2</v>
      </c>
      <c r="G263" s="24">
        <f>IFERROR(ROUND(MAX(1,(IF($V263&lt;=INDEX('Parametri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H263" s="24">
        <f>IFERROR(ROUND((IF($V263&lt;=INDEX('Parametri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I263" s="23">
        <f>IFERROR(INDEX('Input Statistiche 2025_26'!$F$3:$F$665,MATCH($A263,'Input Statistiche 2025_26'!$A$3:$A$665,0)),"")</f>
        <v>17</v>
      </c>
      <c r="J263" s="23">
        <f t="shared" si="36"/>
        <v>21</v>
      </c>
      <c r="K263" s="23">
        <f>IFERROR(INDEX('Input Statistiche 2025_26'!$I$3:$I$665,MATCH($A263,'Input Statistiche 2025_26'!$A$3:$A$665,0)),"")</f>
        <v>0</v>
      </c>
      <c r="L263" s="23">
        <f>IFERROR(INDEX('Input Statistiche 2025_26'!$O$3:$O$665,MATCH($A263,'Input Statistiche 2025_26'!$A$3:$A$665,0)),"")</f>
        <v>0</v>
      </c>
      <c r="M263" s="25"/>
      <c r="N263" s="24">
        <f>IFERROR(INDEX('Input Giocatori 2026_27'!$E$3:$E$493,MATCH($A263,'Input Giocatori 2026_27'!$A$3:$A$493,0)),"")</f>
        <v>5</v>
      </c>
      <c r="O263" s="24">
        <f>IFERROR(INDEX('Input Giocatori 2026_27'!$G$3:$G$493,MATCH($A263,'Input Giocatori 2026_27'!$A$3:$A$493,0)),"")</f>
        <v>12</v>
      </c>
      <c r="P263" s="23" t="str">
        <f>IFERROR(IF($O263="","",IF((1-(COUNTIFS($B$2:$B$492,$B263,$O$2:$O$492,"&gt;"&amp;$O263)+1-1)/COUNTIF($B$2:$B$492,$B263))&gt;='Parametri Modello'!$B$63,"Top",IF((1-(COUNTIFS($B$2:$B$492,$B263,$O$2:$O$492,"&gt;"&amp;$O263)+1-1)/COUNTIF($B$2:$B$492,$B263))&gt;='Parametri Modello'!$B$64,"Buono",IF((1-(COUNTIFS($B$2:$B$492,$B263,$O$2:$O$492,"&gt;"&amp;$O263)+1-1)/COUNTIF($B$2:$B$492,$B263))&gt;='Parametri Modello'!$B$65,"Nella Media","Scommessa/Riserva")))),"")</f>
        <v>Nella Media</v>
      </c>
      <c r="Q263" s="26">
        <f>IF(AND($D263="",$N263&gt;1),SUMPRODUCT(($D$2:$D263="")*($N$2:$N263&gt;1)),"")</f>
        <v>262</v>
      </c>
      <c r="R263" s="26" t="str">
        <f>IF($D263='Info Lega'!$B$28,COUNTIFS($D$2:$D263,'Info Lega'!$B$28),"")</f>
        <v/>
      </c>
      <c r="S263" s="27">
        <f>IFERROR(INDEX('Input Statistiche 2025_26'!$G$3:$G$665,MATCH($A263,'Input Statistiche 2025_26'!$A$3:$A$665,0)),"")</f>
        <v>6.03</v>
      </c>
      <c r="T263" s="27">
        <f>IFERROR(INDEX('Input Statistiche 2025_26'!$H$3:$H$665,MATCH($A263,'Input Statistiche 2025_26'!$A$3:$A$665,0)),"")</f>
        <v>5.94</v>
      </c>
      <c r="U263" s="23" t="str">
        <f>IF(OR('La Mia Rosa'!$O$12="",$D263&lt;&gt;""),"",IF($F263&lt;='La Mia Rosa'!$O$12*'Parametri Modello'!$B$24,"OK",IF($F263&lt;='La Mia Rosa'!$O$12*'Parametri Modello'!$B$25,"Attenzione","Rischio Alto")))</f>
        <v>OK</v>
      </c>
      <c r="V263" s="23">
        <f t="shared" si="37"/>
        <v>78</v>
      </c>
      <c r="W263" s="18">
        <f>'Info Lega'!$B$4-SUMIFS($M$2:$M$492,$D$2:$D$492,'Info Lega'!$B$28)</f>
        <v>1000</v>
      </c>
      <c r="X263" s="18">
        <f>('Info Lega'!$B$5-COUNTIFS($D$2:$D$492,'Info Lega'!$B$28,$B$2:$B$492,"P"))+('Info Lega'!$B$6-COUNTIFS($D$2:$D$492,'Info Lega'!$B$28,$B$2:$B$492,"D"))+('Info Lega'!$B$7-COUNTIFS($D$2:$D$492,'Info Lega'!$B$28,$B$2:$B$492,"C"))+('Info Lega'!$B$8-COUNTIFS($D$2:$D$492,'Info Lega'!$B$28,$B$2:$B$492,"A"))</f>
        <v>25</v>
      </c>
      <c r="Y263" s="18">
        <f>X263*'Parametri Modello'!$B$30</f>
        <v>25</v>
      </c>
      <c r="Z263" s="18">
        <f t="shared" si="38"/>
        <v>975</v>
      </c>
      <c r="AA263" s="18">
        <f t="shared" si="39"/>
        <v>2</v>
      </c>
      <c r="AB263" s="18"/>
      <c r="AC263" s="18" t="str">
        <f>IF($AB263="","",IF($AB263&gt;$AA263,"PASS",IF($AB263&lt;=$AA263*(1-'Parametri Modello'!$B$68),"BID","ATTENZIONE")))</f>
        <v/>
      </c>
      <c r="AD263" s="28">
        <f t="shared" si="40"/>
        <v>43</v>
      </c>
      <c r="AE263" s="5" t="str">
        <f>IFERROR(IF($AF263="Titolare",INDEX('Stato Asta'!$G$9:$G$12,MATCH($B263,'Stato Asta'!$A$9:$A$12,0)),INDEX('Stato Asta'!$P$9:$P$12,MATCH($B263,'Stato Asta'!$A$9:$A$12,0))),"")</f>
        <v>🟢 Riserve abbondanti</v>
      </c>
      <c r="AF263" t="str">
        <f>IFERROR(IF($V263&lt;=INDEX('Parametri Modello'!$C$57:$C$60,MATCH($B263,'Parametri Modello'!$A$57:$A$60,0)),"Titolare","Riserva"),"")</f>
        <v>Riserva</v>
      </c>
      <c r="AG263" t="str">
        <f>IFERROR(INDEX('Pressione Competitiva'!$F$3:$F$6,MATCH($B263,'Pressione Competitiva'!$B$3:$B$6,0)),"")</f>
        <v>🔴 Molto Alta</v>
      </c>
      <c r="AH263" t="str">
        <f t="shared" si="41"/>
        <v/>
      </c>
      <c r="AI263" t="str">
        <f>IFERROR(IF($AH263="","",IF($AH263&gt;=$AA263*'Parametri Modello'!$B$68,"🟢 Opportunita'",IF($AH263&lt;=$AA263*'Parametri Modello'!$B$69,"🔴 Sovrapprezzo","🟡 Prezzo Corretto"))),"")</f>
        <v/>
      </c>
      <c r="AJ263" t="str">
        <f t="shared" si="42"/>
        <v/>
      </c>
      <c r="AK263">
        <f t="shared" si="43"/>
        <v>23</v>
      </c>
      <c r="AL263" t="str">
        <f t="shared" si="44"/>
        <v>D|Nella Media|23</v>
      </c>
    </row>
    <row r="264" spans="1:38" ht="14.25" customHeight="1" x14ac:dyDescent="0.25">
      <c r="A264" s="18">
        <v>5449</v>
      </c>
      <c r="B264" s="18" t="s">
        <v>88</v>
      </c>
      <c r="C264" s="18" t="s">
        <v>166</v>
      </c>
      <c r="E264" s="23" t="str">
        <f>IF(COUNTIF('Info Strategia'!$D$2:$D$51,$C264)&gt;0,"SI","NO")</f>
        <v>NO</v>
      </c>
      <c r="F264" s="24">
        <f>IFERROR(ROUND(($G264+($H264-$G264)*'Info Strategia'!$B$6)*(1+IF($E264="SI",'Parametri Modello'!$B$7*'Info Strategia'!$B$6,0)),0),"")</f>
        <v>2</v>
      </c>
      <c r="G264" s="24">
        <f>IFERROR(ROUND(MAX(1,(IF($V264&lt;=INDEX('Parametri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H264" s="24">
        <f>IFERROR(ROUND((IF($V264&lt;=INDEX('Parametri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I264" s="23">
        <f>IFERROR(INDEX('Input Statistiche 2025_26'!$F$3:$F$665,MATCH($A264,'Input Statistiche 2025_26'!$A$3:$A$665,0)),"")</f>
        <v>23</v>
      </c>
      <c r="J264" s="23">
        <f t="shared" si="36"/>
        <v>15</v>
      </c>
      <c r="K264" s="23">
        <f>IFERROR(INDEX('Input Statistiche 2025_26'!$I$3:$I$665,MATCH($A264,'Input Statistiche 2025_26'!$A$3:$A$665,0)),"")</f>
        <v>1</v>
      </c>
      <c r="L264" s="23">
        <f>IFERROR(INDEX('Input Statistiche 2025_26'!$O$3:$O$665,MATCH($A264,'Input Statistiche 2025_26'!$A$3:$A$665,0)),"")</f>
        <v>1</v>
      </c>
      <c r="M264" s="25"/>
      <c r="N264" s="24">
        <f>IFERROR(INDEX('Input Giocatori 2026_27'!$E$3:$E$493,MATCH($A264,'Input Giocatori 2026_27'!$A$3:$A$493,0)),"")</f>
        <v>5</v>
      </c>
      <c r="O264" s="24">
        <f>IFERROR(INDEX('Input Giocatori 2026_27'!$G$3:$G$493,MATCH($A264,'Input Giocatori 2026_27'!$A$3:$A$493,0)),"")</f>
        <v>12</v>
      </c>
      <c r="P264" s="23" t="str">
        <f>IFERROR(IF($O264="","",IF((1-(COUNTIFS($B$2:$B$492,$B264,$O$2:$O$492,"&gt;"&amp;$O264)+1-1)/COUNTIF($B$2:$B$492,$B264))&gt;='Parametri Modello'!$B$63,"Top",IF((1-(COUNTIFS($B$2:$B$492,$B264,$O$2:$O$492,"&gt;"&amp;$O264)+1-1)/COUNTIF($B$2:$B$492,$B264))&gt;='Parametri Modello'!$B$64,"Buono",IF((1-(COUNTIFS($B$2:$B$492,$B264,$O$2:$O$492,"&gt;"&amp;$O264)+1-1)/COUNTIF($B$2:$B$492,$B264))&gt;='Parametri Modello'!$B$65,"Nella Media","Scommessa/Riserva")))),"")</f>
        <v>Nella Media</v>
      </c>
      <c r="Q264" s="26">
        <f>IF(AND($D264="",$N264&gt;1),SUMPRODUCT(($D$2:$D264="")*($N$2:$N264&gt;1)),"")</f>
        <v>263</v>
      </c>
      <c r="R264" s="26" t="str">
        <f>IF($D264='Info Lega'!$B$28,COUNTIFS($D$2:$D264,'Info Lega'!$B$28),"")</f>
        <v/>
      </c>
      <c r="S264" s="27">
        <f>IFERROR(INDEX('Input Statistiche 2025_26'!$G$3:$G$665,MATCH($A264,'Input Statistiche 2025_26'!$A$3:$A$665,0)),"")</f>
        <v>6.02</v>
      </c>
      <c r="T264" s="27">
        <f>IFERROR(INDEX('Input Statistiche 2025_26'!$H$3:$H$665,MATCH($A264,'Input Statistiche 2025_26'!$A$3:$A$665,0)),"")</f>
        <v>5.98</v>
      </c>
      <c r="U264" s="23" t="str">
        <f>IF(OR('La Mia Rosa'!$O$12="",$D264&lt;&gt;""),"",IF($F264&lt;='La Mia Rosa'!$O$12*'Parametri Modello'!$B$24,"OK",IF($F264&lt;='La Mia Rosa'!$O$12*'Parametri Modello'!$B$25,"Attenzione","Rischio Alto")))</f>
        <v>OK</v>
      </c>
      <c r="V264" s="23">
        <f t="shared" si="37"/>
        <v>78</v>
      </c>
      <c r="W264" s="18">
        <f>'Info Lega'!$B$4-SUMIFS($M$2:$M$492,$D$2:$D$492,'Info Lega'!$B$28)</f>
        <v>1000</v>
      </c>
      <c r="X264" s="18">
        <f>('Info Lega'!$B$5-COUNTIFS($D$2:$D$492,'Info Lega'!$B$28,$B$2:$B$492,"P"))+('Info Lega'!$B$6-COUNTIFS($D$2:$D$492,'Info Lega'!$B$28,$B$2:$B$492,"D"))+('Info Lega'!$B$7-COUNTIFS($D$2:$D$492,'Info Lega'!$B$28,$B$2:$B$492,"C"))+('Info Lega'!$B$8-COUNTIFS($D$2:$D$492,'Info Lega'!$B$28,$B$2:$B$492,"A"))</f>
        <v>25</v>
      </c>
      <c r="Y264" s="18">
        <f>X264*'Parametri Modello'!$B$30</f>
        <v>25</v>
      </c>
      <c r="Z264" s="18">
        <f t="shared" si="38"/>
        <v>975</v>
      </c>
      <c r="AA264" s="18">
        <f t="shared" si="39"/>
        <v>2</v>
      </c>
      <c r="AB264" s="18"/>
      <c r="AC264" s="18" t="str">
        <f>IF($AB264="","",IF($AB264&gt;$AA264,"PASS",IF($AB264&lt;=$AA264*(1-'Parametri Modello'!$B$68),"BID","ATTENZIONE")))</f>
        <v/>
      </c>
      <c r="AD264" s="28">
        <f t="shared" si="40"/>
        <v>54</v>
      </c>
      <c r="AE264" s="5" t="str">
        <f>IFERROR(IF($AF264="Titolare",INDEX('Stato Asta'!$G$9:$G$12,MATCH($B264,'Stato Asta'!$A$9:$A$12,0)),INDEX('Stato Asta'!$P$9:$P$12,MATCH($B264,'Stato Asta'!$A$9:$A$12,0))),"")</f>
        <v>🟢 Riserve abbondanti</v>
      </c>
      <c r="AF264" t="str">
        <f>IFERROR(IF($V264&lt;=INDEX('Parametri Modello'!$C$57:$C$60,MATCH($B264,'Parametri Modello'!$A$57:$A$60,0)),"Titolare","Riserva"),"")</f>
        <v>Riserva</v>
      </c>
      <c r="AG264" t="str">
        <f>IFERROR(INDEX('Pressione Competitiva'!$F$3:$F$6,MATCH($B264,'Pressione Competitiva'!$B$3:$B$6,0)),"")</f>
        <v>🔴 Molto Alta</v>
      </c>
      <c r="AH264" t="str">
        <f t="shared" si="41"/>
        <v/>
      </c>
      <c r="AI264" t="str">
        <f>IFERROR(IF($AH264="","",IF($AH264&gt;=$AA264*'Parametri Modello'!$B$68,"🟢 Opportunita'",IF($AH264&lt;=$AA264*'Parametri Modello'!$B$69,"🔴 Sovrapprezzo","🟡 Prezzo Corretto"))),"")</f>
        <v/>
      </c>
      <c r="AJ264" t="str">
        <f t="shared" si="42"/>
        <v/>
      </c>
      <c r="AK264">
        <f t="shared" si="43"/>
        <v>23</v>
      </c>
      <c r="AL264" t="str">
        <f t="shared" si="44"/>
        <v>D|Nella Media|23</v>
      </c>
    </row>
    <row r="265" spans="1:38" ht="14.25" customHeight="1" x14ac:dyDescent="0.25">
      <c r="A265" s="18">
        <v>6238</v>
      </c>
      <c r="B265" s="18" t="s">
        <v>88</v>
      </c>
      <c r="C265" s="18" t="s">
        <v>168</v>
      </c>
      <c r="E265" s="23" t="str">
        <f>IF(COUNTIF('Info Strategia'!$D$2:$D$51,$C265)&gt;0,"SI","NO")</f>
        <v>NO</v>
      </c>
      <c r="F265" s="24">
        <f>IFERROR(ROUND(($G265+($H265-$G265)*'Info Strategia'!$B$6)*(1+IF($E265="SI",'Parametri Modello'!$B$7*'Info Strategia'!$B$6,0)),0),"")</f>
        <v>2</v>
      </c>
      <c r="G265" s="24">
        <f>IFERROR(ROUND(MAX(1,(IF($V265&lt;=INDEX('Parametri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H265" s="24">
        <f>IFERROR(ROUND((IF($V265&lt;=INDEX('Parametri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I265" s="23" t="str">
        <f>IFERROR(INDEX('Input Statistiche 2025_26'!$F$3:$F$665,MATCH($A265,'Input Statistiche 2025_26'!$A$3:$A$665,0)),"")</f>
        <v/>
      </c>
      <c r="J265" s="23" t="str">
        <f t="shared" si="36"/>
        <v/>
      </c>
      <c r="K265" s="23" t="str">
        <f>IFERROR(INDEX('Input Statistiche 2025_26'!$I$3:$I$665,MATCH($A265,'Input Statistiche 2025_26'!$A$3:$A$665,0)),"")</f>
        <v/>
      </c>
      <c r="L265" s="23" t="str">
        <f>IFERROR(INDEX('Input Statistiche 2025_26'!$O$3:$O$665,MATCH($A265,'Input Statistiche 2025_26'!$A$3:$A$665,0)),"")</f>
        <v/>
      </c>
      <c r="M265" s="25"/>
      <c r="N265" s="24">
        <f>IFERROR(INDEX('Input Giocatori 2026_27'!$E$3:$E$493,MATCH($A265,'Input Giocatori 2026_27'!$A$3:$A$493,0)),"")</f>
        <v>5</v>
      </c>
      <c r="O265" s="24">
        <f>IFERROR(INDEX('Input Giocatori 2026_27'!$G$3:$G$493,MATCH($A265,'Input Giocatori 2026_27'!$A$3:$A$493,0)),"")</f>
        <v>12</v>
      </c>
      <c r="P265" s="23" t="str">
        <f>IFERROR(IF($O265="","",IF((1-(COUNTIFS($B$2:$B$492,$B265,$O$2:$O$492,"&gt;"&amp;$O265)+1-1)/COUNTIF($B$2:$B$492,$B265))&gt;='Parametri Modello'!$B$63,"Top",IF((1-(COUNTIFS($B$2:$B$492,$B265,$O$2:$O$492,"&gt;"&amp;$O265)+1-1)/COUNTIF($B$2:$B$492,$B265))&gt;='Parametri Modello'!$B$64,"Buono",IF((1-(COUNTIFS($B$2:$B$492,$B265,$O$2:$O$492,"&gt;"&amp;$O265)+1-1)/COUNTIF($B$2:$B$492,$B265))&gt;='Parametri Modello'!$B$65,"Nella Media","Scommessa/Riserva")))),"")</f>
        <v>Nella Media</v>
      </c>
      <c r="Q265" s="26">
        <f>IF(AND($D265="",$N265&gt;1),SUMPRODUCT(($D$2:$D265="")*($N$2:$N265&gt;1)),"")</f>
        <v>264</v>
      </c>
      <c r="R265" s="26" t="str">
        <f>IF($D265='Info Lega'!$B$28,COUNTIFS($D$2:$D265,'Info Lega'!$B$28),"")</f>
        <v/>
      </c>
      <c r="S265" s="27" t="str">
        <f>IFERROR(INDEX('Input Statistiche 2025_26'!$G$3:$G$665,MATCH($A265,'Input Statistiche 2025_26'!$A$3:$A$665,0)),"")</f>
        <v/>
      </c>
      <c r="T265" s="27" t="str">
        <f>IFERROR(INDEX('Input Statistiche 2025_26'!$H$3:$H$665,MATCH($A265,'Input Statistiche 2025_26'!$A$3:$A$665,0)),"")</f>
        <v/>
      </c>
      <c r="U265" s="23" t="str">
        <f>IF(OR('La Mia Rosa'!$O$12="",$D265&lt;&gt;""),"",IF($F265&lt;='La Mia Rosa'!$O$12*'Parametri Modello'!$B$24,"OK",IF($F265&lt;='La Mia Rosa'!$O$12*'Parametri Modello'!$B$25,"Attenzione","Rischio Alto")))</f>
        <v>OK</v>
      </c>
      <c r="V265" s="23">
        <f t="shared" si="37"/>
        <v>78</v>
      </c>
      <c r="W265" s="18">
        <f>'Info Lega'!$B$4-SUMIFS($M$2:$M$492,$D$2:$D$492,'Info Lega'!$B$28)</f>
        <v>1000</v>
      </c>
      <c r="X265" s="18">
        <f>('Info Lega'!$B$5-COUNTIFS($D$2:$D$492,'Info Lega'!$B$28,$B$2:$B$492,"P"))+('Info Lega'!$B$6-COUNTIFS($D$2:$D$492,'Info Lega'!$B$28,$B$2:$B$492,"D"))+('Info Lega'!$B$7-COUNTIFS($D$2:$D$492,'Info Lega'!$B$28,$B$2:$B$492,"C"))+('Info Lega'!$B$8-COUNTIFS($D$2:$D$492,'Info Lega'!$B$28,$B$2:$B$492,"A"))</f>
        <v>25</v>
      </c>
      <c r="Y265" s="18">
        <f>X265*'Parametri Modello'!$B$30</f>
        <v>25</v>
      </c>
      <c r="Z265" s="18">
        <f t="shared" si="38"/>
        <v>975</v>
      </c>
      <c r="AA265" s="18">
        <f t="shared" si="39"/>
        <v>2</v>
      </c>
      <c r="AB265" s="18"/>
      <c r="AC265" s="18" t="str">
        <f>IF($AB265="","",IF($AB265&gt;$AA265,"PASS",IF($AB265&lt;=$AA265*(1-'Parametri Modello'!$B$68),"BID","ATTENZIONE")))</f>
        <v/>
      </c>
      <c r="AD265" s="28" t="str">
        <f t="shared" si="40"/>
        <v/>
      </c>
      <c r="AE265" s="5" t="str">
        <f>IFERROR(IF($AF265="Titolare",INDEX('Stato Asta'!$G$9:$G$12,MATCH($B265,'Stato Asta'!$A$9:$A$12,0)),INDEX('Stato Asta'!$P$9:$P$12,MATCH($B265,'Stato Asta'!$A$9:$A$12,0))),"")</f>
        <v>🟢 Riserve abbondanti</v>
      </c>
      <c r="AF265" t="str">
        <f>IFERROR(IF($V265&lt;=INDEX('Parametri Modello'!$C$57:$C$60,MATCH($B265,'Parametri Modello'!$A$57:$A$60,0)),"Titolare","Riserva"),"")</f>
        <v>Riserva</v>
      </c>
      <c r="AG265" t="str">
        <f>IFERROR(INDEX('Pressione Competitiva'!$F$3:$F$6,MATCH($B265,'Pressione Competitiva'!$B$3:$B$6,0)),"")</f>
        <v>🔴 Molto Alta</v>
      </c>
      <c r="AH265" t="str">
        <f t="shared" si="41"/>
        <v/>
      </c>
      <c r="AI265" t="str">
        <f>IFERROR(IF($AH265="","",IF($AH265&gt;=$AA265*'Parametri Modello'!$B$68,"🟢 Opportunita'",IF($AH265&lt;=$AA265*'Parametri Modello'!$B$69,"🔴 Sovrapprezzo","🟡 Prezzo Corretto"))),"")</f>
        <v/>
      </c>
      <c r="AJ265" t="str">
        <f t="shared" si="42"/>
        <v/>
      </c>
      <c r="AK265">
        <f t="shared" si="43"/>
        <v>23</v>
      </c>
      <c r="AL265" t="str">
        <f t="shared" si="44"/>
        <v>D|Nella Media|23</v>
      </c>
    </row>
    <row r="266" spans="1:38" ht="14.25" customHeight="1" x14ac:dyDescent="0.25">
      <c r="A266" s="18">
        <v>6632</v>
      </c>
      <c r="B266" s="18" t="s">
        <v>88</v>
      </c>
      <c r="C266" s="18" t="s">
        <v>172</v>
      </c>
      <c r="E266" s="23" t="str">
        <f>IF(COUNTIF('Info Strategia'!$D$2:$D$51,$C266)&gt;0,"SI","NO")</f>
        <v>NO</v>
      </c>
      <c r="F266" s="24">
        <f>IFERROR(ROUND(($G266+($H266-$G266)*'Info Strategia'!$B$6)*(1+IF($E266="SI",'Parametri Modello'!$B$7*'Info Strategia'!$B$6,0)),0),"")</f>
        <v>2</v>
      </c>
      <c r="G266" s="24">
        <f>IFERROR(ROUND(MAX(1,(IF($V266&lt;=INDEX('Parametri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H266" s="24">
        <f>IFERROR(ROUND((IF($V266&lt;=INDEX('Parametri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I266" s="23">
        <f>IFERROR(INDEX('Input Statistiche 2025_26'!$F$3:$F$665,MATCH($A266,'Input Statistiche 2025_26'!$A$3:$A$665,0)),"")</f>
        <v>21</v>
      </c>
      <c r="J266" s="23">
        <f t="shared" si="36"/>
        <v>17</v>
      </c>
      <c r="K266" s="23">
        <f>IFERROR(INDEX('Input Statistiche 2025_26'!$I$3:$I$665,MATCH($A266,'Input Statistiche 2025_26'!$A$3:$A$665,0)),"")</f>
        <v>0</v>
      </c>
      <c r="L266" s="23">
        <f>IFERROR(INDEX('Input Statistiche 2025_26'!$O$3:$O$665,MATCH($A266,'Input Statistiche 2025_26'!$A$3:$A$665,0)),"")</f>
        <v>0</v>
      </c>
      <c r="M266" s="25"/>
      <c r="N266" s="24">
        <f>IFERROR(INDEX('Input Giocatori 2026_27'!$E$3:$E$493,MATCH($A266,'Input Giocatori 2026_27'!$A$3:$A$493,0)),"")</f>
        <v>5</v>
      </c>
      <c r="O266" s="24">
        <f>IFERROR(INDEX('Input Giocatori 2026_27'!$G$3:$G$493,MATCH($A266,'Input Giocatori 2026_27'!$A$3:$A$493,0)),"")</f>
        <v>12</v>
      </c>
      <c r="P266" s="23" t="str">
        <f>IFERROR(IF($O266="","",IF((1-(COUNTIFS($B$2:$B$492,$B266,$O$2:$O$492,"&gt;"&amp;$O266)+1-1)/COUNTIF($B$2:$B$492,$B266))&gt;='Parametri Modello'!$B$63,"Top",IF((1-(COUNTIFS($B$2:$B$492,$B266,$O$2:$O$492,"&gt;"&amp;$O266)+1-1)/COUNTIF($B$2:$B$492,$B266))&gt;='Parametri Modello'!$B$64,"Buono",IF((1-(COUNTIFS($B$2:$B$492,$B266,$O$2:$O$492,"&gt;"&amp;$O266)+1-1)/COUNTIF($B$2:$B$492,$B266))&gt;='Parametri Modello'!$B$65,"Nella Media","Scommessa/Riserva")))),"")</f>
        <v>Nella Media</v>
      </c>
      <c r="Q266" s="26">
        <f>IF(AND($D266="",$N266&gt;1),SUMPRODUCT(($D$2:$D266="")*($N$2:$N266&gt;1)),"")</f>
        <v>265</v>
      </c>
      <c r="R266" s="26" t="str">
        <f>IF($D266='Info Lega'!$B$28,COUNTIFS($D$2:$D266,'Info Lega'!$B$28),"")</f>
        <v/>
      </c>
      <c r="S266" s="27">
        <f>IFERROR(INDEX('Input Statistiche 2025_26'!$G$3:$G$665,MATCH($A266,'Input Statistiche 2025_26'!$A$3:$A$665,0)),"")</f>
        <v>5.83</v>
      </c>
      <c r="T266" s="27">
        <f>IFERROR(INDEX('Input Statistiche 2025_26'!$H$3:$H$665,MATCH($A266,'Input Statistiche 2025_26'!$A$3:$A$665,0)),"")</f>
        <v>5.64</v>
      </c>
      <c r="U266" s="23" t="str">
        <f>IF(OR('La Mia Rosa'!$O$12="",$D266&lt;&gt;""),"",IF($F266&lt;='La Mia Rosa'!$O$12*'Parametri Modello'!$B$24,"OK",IF($F266&lt;='La Mia Rosa'!$O$12*'Parametri Modello'!$B$25,"Attenzione","Rischio Alto")))</f>
        <v>OK</v>
      </c>
      <c r="V266" s="23">
        <f t="shared" si="37"/>
        <v>78</v>
      </c>
      <c r="W266" s="18">
        <f>'Info Lega'!$B$4-SUMIFS($M$2:$M$492,$D$2:$D$492,'Info Lega'!$B$28)</f>
        <v>1000</v>
      </c>
      <c r="X266" s="18">
        <f>('Info Lega'!$B$5-COUNTIFS($D$2:$D$492,'Info Lega'!$B$28,$B$2:$B$492,"P"))+('Info Lega'!$B$6-COUNTIFS($D$2:$D$492,'Info Lega'!$B$28,$B$2:$B$492,"D"))+('Info Lega'!$B$7-COUNTIFS($D$2:$D$492,'Info Lega'!$B$28,$B$2:$B$492,"C"))+('Info Lega'!$B$8-COUNTIFS($D$2:$D$492,'Info Lega'!$B$28,$B$2:$B$492,"A"))</f>
        <v>25</v>
      </c>
      <c r="Y266" s="18">
        <f>X266*'Parametri Modello'!$B$30</f>
        <v>25</v>
      </c>
      <c r="Z266" s="18">
        <f t="shared" si="38"/>
        <v>975</v>
      </c>
      <c r="AA266" s="18">
        <f t="shared" si="39"/>
        <v>2</v>
      </c>
      <c r="AB266" s="18"/>
      <c r="AC266" s="18" t="str">
        <f>IF($AB266="","",IF($AB266&gt;$AA266,"PASS",IF($AB266&lt;=$AA266*(1-'Parametri Modello'!$B$68),"BID","ATTENZIONE")))</f>
        <v/>
      </c>
      <c r="AD266" s="28">
        <f t="shared" si="40"/>
        <v>50</v>
      </c>
      <c r="AE266" s="5" t="str">
        <f>IFERROR(IF($AF266="Titolare",INDEX('Stato Asta'!$G$9:$G$12,MATCH($B266,'Stato Asta'!$A$9:$A$12,0)),INDEX('Stato Asta'!$P$9:$P$12,MATCH($B266,'Stato Asta'!$A$9:$A$12,0))),"")</f>
        <v>🟢 Riserve abbondanti</v>
      </c>
      <c r="AF266" t="str">
        <f>IFERROR(IF($V266&lt;=INDEX('Parametri Modello'!$C$57:$C$60,MATCH($B266,'Parametri Modello'!$A$57:$A$60,0)),"Titolare","Riserva"),"")</f>
        <v>Riserva</v>
      </c>
      <c r="AG266" t="str">
        <f>IFERROR(INDEX('Pressione Competitiva'!$F$3:$F$6,MATCH($B266,'Pressione Competitiva'!$B$3:$B$6,0)),"")</f>
        <v>🔴 Molto Alta</v>
      </c>
      <c r="AH266" t="str">
        <f t="shared" si="41"/>
        <v/>
      </c>
      <c r="AI266" t="str">
        <f>IFERROR(IF($AH266="","",IF($AH266&gt;=$AA266*'Parametri Modello'!$B$68,"🟢 Opportunita'",IF($AH266&lt;=$AA266*'Parametri Modello'!$B$69,"🔴 Sovrapprezzo","🟡 Prezzo Corretto"))),"")</f>
        <v/>
      </c>
      <c r="AJ266" t="str">
        <f t="shared" si="42"/>
        <v/>
      </c>
      <c r="AK266">
        <f t="shared" si="43"/>
        <v>23</v>
      </c>
      <c r="AL266" t="str">
        <f t="shared" si="44"/>
        <v>D|Nella Media|23</v>
      </c>
    </row>
    <row r="267" spans="1:38" ht="14.25" customHeight="1" x14ac:dyDescent="0.25">
      <c r="A267" s="18">
        <v>7240</v>
      </c>
      <c r="B267" s="18" t="s">
        <v>88</v>
      </c>
      <c r="C267" s="18" t="s">
        <v>185</v>
      </c>
      <c r="E267" s="23" t="str">
        <f>IF(COUNTIF('Info Strategia'!$D$2:$D$51,$C267)&gt;0,"SI","NO")</f>
        <v>NO</v>
      </c>
      <c r="F267" s="24">
        <f>IFERROR(ROUND(($G267+($H267-$G267)*'Info Strategia'!$B$6)*(1+IF($E267="SI",'Parametri Modello'!$B$7*'Info Strategia'!$B$6,0)),0),"")</f>
        <v>2</v>
      </c>
      <c r="G267" s="24">
        <f>IFERROR(ROUND(MAX(1,(IF($V267&lt;=INDEX('Parametri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H267" s="24">
        <f>IFERROR(ROUND((IF($V267&lt;=INDEX('Parametri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I267" s="23">
        <f>IFERROR(INDEX('Input Statistiche 2025_26'!$F$3:$F$665,MATCH($A267,'Input Statistiche 2025_26'!$A$3:$A$665,0)),"")</f>
        <v>19</v>
      </c>
      <c r="J267" s="23">
        <f t="shared" si="36"/>
        <v>19</v>
      </c>
      <c r="K267" s="23">
        <f>IFERROR(INDEX('Input Statistiche 2025_26'!$I$3:$I$665,MATCH($A267,'Input Statistiche 2025_26'!$A$3:$A$665,0)),"")</f>
        <v>1</v>
      </c>
      <c r="L267" s="23">
        <f>IFERROR(INDEX('Input Statistiche 2025_26'!$O$3:$O$665,MATCH($A267,'Input Statistiche 2025_26'!$A$3:$A$665,0)),"")</f>
        <v>0</v>
      </c>
      <c r="M267" s="25"/>
      <c r="N267" s="24">
        <f>IFERROR(INDEX('Input Giocatori 2026_27'!$E$3:$E$493,MATCH($A267,'Input Giocatori 2026_27'!$A$3:$A$493,0)),"")</f>
        <v>4</v>
      </c>
      <c r="O267" s="24">
        <f>IFERROR(INDEX('Input Giocatori 2026_27'!$G$3:$G$493,MATCH($A267,'Input Giocatori 2026_27'!$A$3:$A$493,0)),"")</f>
        <v>12</v>
      </c>
      <c r="P267" s="23" t="str">
        <f>IFERROR(IF($O267="","",IF((1-(COUNTIFS($B$2:$B$492,$B267,$O$2:$O$492,"&gt;"&amp;$O267)+1-1)/COUNTIF($B$2:$B$492,$B267))&gt;='Parametri Modello'!$B$63,"Top",IF((1-(COUNTIFS($B$2:$B$492,$B267,$O$2:$O$492,"&gt;"&amp;$O267)+1-1)/COUNTIF($B$2:$B$492,$B267))&gt;='Parametri Modello'!$B$64,"Buono",IF((1-(COUNTIFS($B$2:$B$492,$B267,$O$2:$O$492,"&gt;"&amp;$O267)+1-1)/COUNTIF($B$2:$B$492,$B267))&gt;='Parametri Modello'!$B$65,"Nella Media","Scommessa/Riserva")))),"")</f>
        <v>Nella Media</v>
      </c>
      <c r="Q267" s="26">
        <f>IF(AND($D267="",$N267&gt;1),SUMPRODUCT(($D$2:$D267="")*($N$2:$N267&gt;1)),"")</f>
        <v>266</v>
      </c>
      <c r="R267" s="26" t="str">
        <f>IF($D267='Info Lega'!$B$28,COUNTIFS($D$2:$D267,'Info Lega'!$B$28),"")</f>
        <v/>
      </c>
      <c r="S267" s="27">
        <f>IFERROR(INDEX('Input Statistiche 2025_26'!$G$3:$G$665,MATCH($A267,'Input Statistiche 2025_26'!$A$3:$A$665,0)),"")</f>
        <v>5.68</v>
      </c>
      <c r="T267" s="27">
        <f>IFERROR(INDEX('Input Statistiche 2025_26'!$H$3:$H$665,MATCH($A267,'Input Statistiche 2025_26'!$A$3:$A$665,0)),"")</f>
        <v>5.76</v>
      </c>
      <c r="U267" s="23" t="str">
        <f>IF(OR('La Mia Rosa'!$O$12="",$D267&lt;&gt;""),"",IF($F267&lt;='La Mia Rosa'!$O$12*'Parametri Modello'!$B$24,"OK",IF($F267&lt;='La Mia Rosa'!$O$12*'Parametri Modello'!$B$25,"Attenzione","Rischio Alto")))</f>
        <v>OK</v>
      </c>
      <c r="V267" s="23">
        <f t="shared" si="37"/>
        <v>78</v>
      </c>
      <c r="W267" s="18">
        <f>'Info Lega'!$B$4-SUMIFS($M$2:$M$492,$D$2:$D$492,'Info Lega'!$B$28)</f>
        <v>1000</v>
      </c>
      <c r="X267" s="18">
        <f>('Info Lega'!$B$5-COUNTIFS($D$2:$D$492,'Info Lega'!$B$28,$B$2:$B$492,"P"))+('Info Lega'!$B$6-COUNTIFS($D$2:$D$492,'Info Lega'!$B$28,$B$2:$B$492,"D"))+('Info Lega'!$B$7-COUNTIFS($D$2:$D$492,'Info Lega'!$B$28,$B$2:$B$492,"C"))+('Info Lega'!$B$8-COUNTIFS($D$2:$D$492,'Info Lega'!$B$28,$B$2:$B$492,"A"))</f>
        <v>25</v>
      </c>
      <c r="Y267" s="18">
        <f>X267*'Parametri Modello'!$B$30</f>
        <v>25</v>
      </c>
      <c r="Z267" s="18">
        <f t="shared" si="38"/>
        <v>975</v>
      </c>
      <c r="AA267" s="18">
        <f t="shared" si="39"/>
        <v>2</v>
      </c>
      <c r="AB267" s="18"/>
      <c r="AC267" s="18" t="str">
        <f>IF($AB267="","",IF($AB267&gt;$AA267,"PASS",IF($AB267&lt;=$AA267*(1-'Parametri Modello'!$B$68),"BID","ATTENZIONE")))</f>
        <v/>
      </c>
      <c r="AD267" s="28">
        <f t="shared" si="40"/>
        <v>47</v>
      </c>
      <c r="AE267" s="5" t="str">
        <f>IFERROR(IF($AF267="Titolare",INDEX('Stato Asta'!$G$9:$G$12,MATCH($B267,'Stato Asta'!$A$9:$A$12,0)),INDEX('Stato Asta'!$P$9:$P$12,MATCH($B267,'Stato Asta'!$A$9:$A$12,0))),"")</f>
        <v>🟢 Riserve abbondanti</v>
      </c>
      <c r="AF267" t="str">
        <f>IFERROR(IF($V267&lt;=INDEX('Parametri Modello'!$C$57:$C$60,MATCH($B267,'Parametri Modello'!$A$57:$A$60,0)),"Titolare","Riserva"),"")</f>
        <v>Riserva</v>
      </c>
      <c r="AG267" t="str">
        <f>IFERROR(INDEX('Pressione Competitiva'!$F$3:$F$6,MATCH($B267,'Pressione Competitiva'!$B$3:$B$6,0)),"")</f>
        <v>🔴 Molto Alta</v>
      </c>
      <c r="AH267" t="str">
        <f t="shared" si="41"/>
        <v/>
      </c>
      <c r="AI267" t="str">
        <f>IFERROR(IF($AH267="","",IF($AH267&gt;=$AA267*'Parametri Modello'!$B$68,"🟢 Opportunita'",IF($AH267&lt;=$AA267*'Parametri Modello'!$B$69,"🔴 Sovrapprezzo","🟡 Prezzo Corretto"))),"")</f>
        <v/>
      </c>
      <c r="AJ267" t="str">
        <f t="shared" si="42"/>
        <v/>
      </c>
      <c r="AK267">
        <f t="shared" si="43"/>
        <v>23</v>
      </c>
      <c r="AL267" t="str">
        <f t="shared" si="44"/>
        <v>D|Nella Media|23</v>
      </c>
    </row>
    <row r="268" spans="1:38" ht="14.25" customHeight="1" x14ac:dyDescent="0.25">
      <c r="A268" s="18">
        <v>6659</v>
      </c>
      <c r="B268" s="18" t="s">
        <v>88</v>
      </c>
      <c r="C268" s="18" t="s">
        <v>187</v>
      </c>
      <c r="E268" s="23" t="str">
        <f>IF(COUNTIF('Info Strategia'!$D$2:$D$51,$C268)&gt;0,"SI","NO")</f>
        <v>NO</v>
      </c>
      <c r="F268" s="24">
        <f>IFERROR(ROUND(($G268+($H268-$G268)*'Info Strategia'!$B$6)*(1+IF($E268="SI",'Parametri Modello'!$B$7*'Info Strategia'!$B$6,0)),0),"")</f>
        <v>2</v>
      </c>
      <c r="G268" s="24">
        <f>IFERROR(ROUND(MAX(1,(IF($V268&lt;=INDEX('Parametri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H268" s="24">
        <f>IFERROR(ROUND((IF($V268&lt;=INDEX('Parametri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I268" s="23" t="str">
        <f>IFERROR(INDEX('Input Statistiche 2025_26'!$F$3:$F$665,MATCH($A268,'Input Statistiche 2025_26'!$A$3:$A$665,0)),"")</f>
        <v/>
      </c>
      <c r="J268" s="23" t="str">
        <f t="shared" si="36"/>
        <v/>
      </c>
      <c r="K268" s="23" t="str">
        <f>IFERROR(INDEX('Input Statistiche 2025_26'!$I$3:$I$665,MATCH($A268,'Input Statistiche 2025_26'!$A$3:$A$665,0)),"")</f>
        <v/>
      </c>
      <c r="L268" s="23" t="str">
        <f>IFERROR(INDEX('Input Statistiche 2025_26'!$O$3:$O$665,MATCH($A268,'Input Statistiche 2025_26'!$A$3:$A$665,0)),"")</f>
        <v/>
      </c>
      <c r="M268" s="25"/>
      <c r="N268" s="24">
        <f>IFERROR(INDEX('Input Giocatori 2026_27'!$E$3:$E$493,MATCH($A268,'Input Giocatori 2026_27'!$A$3:$A$493,0)),"")</f>
        <v>4</v>
      </c>
      <c r="O268" s="24">
        <f>IFERROR(INDEX('Input Giocatori 2026_27'!$G$3:$G$493,MATCH($A268,'Input Giocatori 2026_27'!$A$3:$A$493,0)),"")</f>
        <v>12</v>
      </c>
      <c r="P268" s="23" t="str">
        <f>IFERROR(IF($O268="","",IF((1-(COUNTIFS($B$2:$B$492,$B268,$O$2:$O$492,"&gt;"&amp;$O268)+1-1)/COUNTIF($B$2:$B$492,$B268))&gt;='Parametri Modello'!$B$63,"Top",IF((1-(COUNTIFS($B$2:$B$492,$B268,$O$2:$O$492,"&gt;"&amp;$O268)+1-1)/COUNTIF($B$2:$B$492,$B268))&gt;='Parametri Modello'!$B$64,"Buono",IF((1-(COUNTIFS($B$2:$B$492,$B268,$O$2:$O$492,"&gt;"&amp;$O268)+1-1)/COUNTIF($B$2:$B$492,$B268))&gt;='Parametri Modello'!$B$65,"Nella Media","Scommessa/Riserva")))),"")</f>
        <v>Nella Media</v>
      </c>
      <c r="Q268" s="26">
        <f>IF(AND($D268="",$N268&gt;1),SUMPRODUCT(($D$2:$D268="")*($N$2:$N268&gt;1)),"")</f>
        <v>267</v>
      </c>
      <c r="R268" s="26" t="str">
        <f>IF($D268='Info Lega'!$B$28,COUNTIFS($D$2:$D268,'Info Lega'!$B$28),"")</f>
        <v/>
      </c>
      <c r="S268" s="27" t="str">
        <f>IFERROR(INDEX('Input Statistiche 2025_26'!$G$3:$G$665,MATCH($A268,'Input Statistiche 2025_26'!$A$3:$A$665,0)),"")</f>
        <v/>
      </c>
      <c r="T268" s="27" t="str">
        <f>IFERROR(INDEX('Input Statistiche 2025_26'!$H$3:$H$665,MATCH($A268,'Input Statistiche 2025_26'!$A$3:$A$665,0)),"")</f>
        <v/>
      </c>
      <c r="U268" s="23" t="str">
        <f>IF(OR('La Mia Rosa'!$O$12="",$D268&lt;&gt;""),"",IF($F268&lt;='La Mia Rosa'!$O$12*'Parametri Modello'!$B$24,"OK",IF($F268&lt;='La Mia Rosa'!$O$12*'Parametri Modello'!$B$25,"Attenzione","Rischio Alto")))</f>
        <v>OK</v>
      </c>
      <c r="V268" s="23">
        <f t="shared" si="37"/>
        <v>78</v>
      </c>
      <c r="W268" s="18">
        <f>'Info Lega'!$B$4-SUMIFS($M$2:$M$492,$D$2:$D$492,'Info Lega'!$B$28)</f>
        <v>1000</v>
      </c>
      <c r="X268" s="18">
        <f>('Info Lega'!$B$5-COUNTIFS($D$2:$D$492,'Info Lega'!$B$28,$B$2:$B$492,"P"))+('Info Lega'!$B$6-COUNTIFS($D$2:$D$492,'Info Lega'!$B$28,$B$2:$B$492,"D"))+('Info Lega'!$B$7-COUNTIFS($D$2:$D$492,'Info Lega'!$B$28,$B$2:$B$492,"C"))+('Info Lega'!$B$8-COUNTIFS($D$2:$D$492,'Info Lega'!$B$28,$B$2:$B$492,"A"))</f>
        <v>25</v>
      </c>
      <c r="Y268" s="18">
        <f>X268*'Parametri Modello'!$B$30</f>
        <v>25</v>
      </c>
      <c r="Z268" s="18">
        <f t="shared" si="38"/>
        <v>975</v>
      </c>
      <c r="AA268" s="18">
        <f t="shared" si="39"/>
        <v>2</v>
      </c>
      <c r="AB268" s="18"/>
      <c r="AC268" s="18" t="str">
        <f>IF($AB268="","",IF($AB268&gt;$AA268,"PASS",IF($AB268&lt;=$AA268*(1-'Parametri Modello'!$B$68),"BID","ATTENZIONE")))</f>
        <v/>
      </c>
      <c r="AD268" s="28" t="str">
        <f t="shared" si="40"/>
        <v/>
      </c>
      <c r="AE268" s="5" t="str">
        <f>IFERROR(IF($AF268="Titolare",INDEX('Stato Asta'!$G$9:$G$12,MATCH($B268,'Stato Asta'!$A$9:$A$12,0)),INDEX('Stato Asta'!$P$9:$P$12,MATCH($B268,'Stato Asta'!$A$9:$A$12,0))),"")</f>
        <v>🟢 Riserve abbondanti</v>
      </c>
      <c r="AF268" t="str">
        <f>IFERROR(IF($V268&lt;=INDEX('Parametri Modello'!$C$57:$C$60,MATCH($B268,'Parametri Modello'!$A$57:$A$60,0)),"Titolare","Riserva"),"")</f>
        <v>Riserva</v>
      </c>
      <c r="AG268" t="str">
        <f>IFERROR(INDEX('Pressione Competitiva'!$F$3:$F$6,MATCH($B268,'Pressione Competitiva'!$B$3:$B$6,0)),"")</f>
        <v>🔴 Molto Alta</v>
      </c>
      <c r="AH268" t="str">
        <f t="shared" si="41"/>
        <v/>
      </c>
      <c r="AI268" t="str">
        <f>IFERROR(IF($AH268="","",IF($AH268&gt;=$AA268*'Parametri Modello'!$B$68,"🟢 Opportunita'",IF($AH268&lt;=$AA268*'Parametri Modello'!$B$69,"🔴 Sovrapprezzo","🟡 Prezzo Corretto"))),"")</f>
        <v/>
      </c>
      <c r="AJ268" t="str">
        <f t="shared" si="42"/>
        <v/>
      </c>
      <c r="AK268">
        <f t="shared" si="43"/>
        <v>23</v>
      </c>
      <c r="AL268" t="str">
        <f t="shared" si="44"/>
        <v>D|Nella Media|23</v>
      </c>
    </row>
    <row r="269" spans="1:38" ht="14.25" customHeight="1" x14ac:dyDescent="0.25">
      <c r="A269" s="18">
        <v>5838</v>
      </c>
      <c r="B269" s="18" t="s">
        <v>88</v>
      </c>
      <c r="C269" s="18" t="s">
        <v>188</v>
      </c>
      <c r="E269" s="23" t="str">
        <f>IF(COUNTIF('Info Strategia'!$D$2:$D$51,$C269)&gt;0,"SI","NO")</f>
        <v>NO</v>
      </c>
      <c r="F269" s="24">
        <f>IFERROR(ROUND(($G269+($H269-$G269)*'Info Strategia'!$B$6)*(1+IF($E269="SI",'Parametri Modello'!$B$7*'Info Strategia'!$B$6,0)),0),"")</f>
        <v>2</v>
      </c>
      <c r="G269" s="24">
        <f>IFERROR(ROUND(MAX(1,(IF($V269&lt;=INDEX('Parametri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H269" s="24">
        <f>IFERROR(ROUND((IF($V269&lt;=INDEX('Parametri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I269" s="23" t="str">
        <f>IFERROR(INDEX('Input Statistiche 2025_26'!$F$3:$F$665,MATCH($A269,'Input Statistiche 2025_26'!$A$3:$A$665,0)),"")</f>
        <v/>
      </c>
      <c r="J269" s="23" t="str">
        <f t="shared" si="36"/>
        <v/>
      </c>
      <c r="K269" s="23" t="str">
        <f>IFERROR(INDEX('Input Statistiche 2025_26'!$I$3:$I$665,MATCH($A269,'Input Statistiche 2025_26'!$A$3:$A$665,0)),"")</f>
        <v/>
      </c>
      <c r="L269" s="23" t="str">
        <f>IFERROR(INDEX('Input Statistiche 2025_26'!$O$3:$O$665,MATCH($A269,'Input Statistiche 2025_26'!$A$3:$A$665,0)),"")</f>
        <v/>
      </c>
      <c r="M269" s="25"/>
      <c r="N269" s="24">
        <f>IFERROR(INDEX('Input Giocatori 2026_27'!$E$3:$E$493,MATCH($A269,'Input Giocatori 2026_27'!$A$3:$A$493,0)),"")</f>
        <v>4</v>
      </c>
      <c r="O269" s="24">
        <f>IFERROR(INDEX('Input Giocatori 2026_27'!$G$3:$G$493,MATCH($A269,'Input Giocatori 2026_27'!$A$3:$A$493,0)),"")</f>
        <v>12</v>
      </c>
      <c r="P269" s="23" t="str">
        <f>IFERROR(IF($O269="","",IF((1-(COUNTIFS($B$2:$B$492,$B269,$O$2:$O$492,"&gt;"&amp;$O269)+1-1)/COUNTIF($B$2:$B$492,$B269))&gt;='Parametri Modello'!$B$63,"Top",IF((1-(COUNTIFS($B$2:$B$492,$B269,$O$2:$O$492,"&gt;"&amp;$O269)+1-1)/COUNTIF($B$2:$B$492,$B269))&gt;='Parametri Modello'!$B$64,"Buono",IF((1-(COUNTIFS($B$2:$B$492,$B269,$O$2:$O$492,"&gt;"&amp;$O269)+1-1)/COUNTIF($B$2:$B$492,$B269))&gt;='Parametri Modello'!$B$65,"Nella Media","Scommessa/Riserva")))),"")</f>
        <v>Nella Media</v>
      </c>
      <c r="Q269" s="26">
        <f>IF(AND($D269="",$N269&gt;1),SUMPRODUCT(($D$2:$D269="")*($N$2:$N269&gt;1)),"")</f>
        <v>268</v>
      </c>
      <c r="R269" s="26" t="str">
        <f>IF($D269='Info Lega'!$B$28,COUNTIFS($D$2:$D269,'Info Lega'!$B$28),"")</f>
        <v/>
      </c>
      <c r="S269" s="27" t="str">
        <f>IFERROR(INDEX('Input Statistiche 2025_26'!$G$3:$G$665,MATCH($A269,'Input Statistiche 2025_26'!$A$3:$A$665,0)),"")</f>
        <v/>
      </c>
      <c r="T269" s="27" t="str">
        <f>IFERROR(INDEX('Input Statistiche 2025_26'!$H$3:$H$665,MATCH($A269,'Input Statistiche 2025_26'!$A$3:$A$665,0)),"")</f>
        <v/>
      </c>
      <c r="U269" s="23" t="str">
        <f>IF(OR('La Mia Rosa'!$O$12="",$D269&lt;&gt;""),"",IF($F269&lt;='La Mia Rosa'!$O$12*'Parametri Modello'!$B$24,"OK",IF($F269&lt;='La Mia Rosa'!$O$12*'Parametri Modello'!$B$25,"Attenzione","Rischio Alto")))</f>
        <v>OK</v>
      </c>
      <c r="V269" s="23">
        <f t="shared" si="37"/>
        <v>78</v>
      </c>
      <c r="W269" s="18">
        <f>'Info Lega'!$B$4-SUMIFS($M$2:$M$492,$D$2:$D$492,'Info Lega'!$B$28)</f>
        <v>1000</v>
      </c>
      <c r="X269" s="18">
        <f>('Info Lega'!$B$5-COUNTIFS($D$2:$D$492,'Info Lega'!$B$28,$B$2:$B$492,"P"))+('Info Lega'!$B$6-COUNTIFS($D$2:$D$492,'Info Lega'!$B$28,$B$2:$B$492,"D"))+('Info Lega'!$B$7-COUNTIFS($D$2:$D$492,'Info Lega'!$B$28,$B$2:$B$492,"C"))+('Info Lega'!$B$8-COUNTIFS($D$2:$D$492,'Info Lega'!$B$28,$B$2:$B$492,"A"))</f>
        <v>25</v>
      </c>
      <c r="Y269" s="18">
        <f>X269*'Parametri Modello'!$B$30</f>
        <v>25</v>
      </c>
      <c r="Z269" s="18">
        <f t="shared" si="38"/>
        <v>975</v>
      </c>
      <c r="AA269" s="18">
        <f t="shared" si="39"/>
        <v>2</v>
      </c>
      <c r="AB269" s="18"/>
      <c r="AC269" s="18" t="str">
        <f>IF($AB269="","",IF($AB269&gt;$AA269,"PASS",IF($AB269&lt;=$AA269*(1-'Parametri Modello'!$B$68),"BID","ATTENZIONE")))</f>
        <v/>
      </c>
      <c r="AD269" s="28" t="str">
        <f t="shared" si="40"/>
        <v/>
      </c>
      <c r="AE269" s="5" t="str">
        <f>IFERROR(IF($AF269="Titolare",INDEX('Stato Asta'!$G$9:$G$12,MATCH($B269,'Stato Asta'!$A$9:$A$12,0)),INDEX('Stato Asta'!$P$9:$P$12,MATCH($B269,'Stato Asta'!$A$9:$A$12,0))),"")</f>
        <v>🟢 Riserve abbondanti</v>
      </c>
      <c r="AF269" t="str">
        <f>IFERROR(IF($V269&lt;=INDEX('Parametri Modello'!$C$57:$C$60,MATCH($B269,'Parametri Modello'!$A$57:$A$60,0)),"Titolare","Riserva"),"")</f>
        <v>Riserva</v>
      </c>
      <c r="AG269" t="str">
        <f>IFERROR(INDEX('Pressione Competitiva'!$F$3:$F$6,MATCH($B269,'Pressione Competitiva'!$B$3:$B$6,0)),"")</f>
        <v>🔴 Molto Alta</v>
      </c>
      <c r="AH269" t="str">
        <f t="shared" si="41"/>
        <v/>
      </c>
      <c r="AI269" t="str">
        <f>IFERROR(IF($AH269="","",IF($AH269&gt;=$AA269*'Parametri Modello'!$B$68,"🟢 Opportunita'",IF($AH269&lt;=$AA269*'Parametri Modello'!$B$69,"🔴 Sovrapprezzo","🟡 Prezzo Corretto"))),"")</f>
        <v/>
      </c>
      <c r="AJ269" t="str">
        <f t="shared" si="42"/>
        <v/>
      </c>
      <c r="AK269">
        <f t="shared" si="43"/>
        <v>23</v>
      </c>
      <c r="AL269" t="str">
        <f t="shared" si="44"/>
        <v>D|Nella Media|23</v>
      </c>
    </row>
    <row r="270" spans="1:38" ht="14.25" customHeight="1" x14ac:dyDescent="0.25">
      <c r="A270" s="18">
        <v>4845</v>
      </c>
      <c r="B270" s="18" t="s">
        <v>88</v>
      </c>
      <c r="C270" s="18" t="s">
        <v>199</v>
      </c>
      <c r="E270" s="23" t="str">
        <f>IF(COUNTIF('Info Strategia'!$D$2:$D$51,$C270)&gt;0,"SI","NO")</f>
        <v>NO</v>
      </c>
      <c r="F270" s="24">
        <f>IFERROR(ROUND(($G270+($H270-$G270)*'Info Strategia'!$B$6)*(1+IF($E270="SI",'Parametri Modello'!$B$7*'Info Strategia'!$B$6,0)),0),"")</f>
        <v>2</v>
      </c>
      <c r="G270" s="24">
        <f>IFERROR(ROUND(MAX(1,(IF($V270&lt;=INDEX('Parametri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H270" s="24">
        <f>IFERROR(ROUND((IF($V270&lt;=INDEX('Parametri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I270" s="23" t="str">
        <f>IFERROR(INDEX('Input Statistiche 2025_26'!$F$3:$F$665,MATCH($A270,'Input Statistiche 2025_26'!$A$3:$A$665,0)),"")</f>
        <v/>
      </c>
      <c r="J270" s="23" t="str">
        <f t="shared" si="36"/>
        <v/>
      </c>
      <c r="K270" s="23" t="str">
        <f>IFERROR(INDEX('Input Statistiche 2025_26'!$I$3:$I$665,MATCH($A270,'Input Statistiche 2025_26'!$A$3:$A$665,0)),"")</f>
        <v/>
      </c>
      <c r="L270" s="23" t="str">
        <f>IFERROR(INDEX('Input Statistiche 2025_26'!$O$3:$O$665,MATCH($A270,'Input Statistiche 2025_26'!$A$3:$A$665,0)),"")</f>
        <v/>
      </c>
      <c r="M270" s="25"/>
      <c r="N270" s="24">
        <f>IFERROR(INDEX('Input Giocatori 2026_27'!$E$3:$E$493,MATCH($A270,'Input Giocatori 2026_27'!$A$3:$A$493,0)),"")</f>
        <v>4</v>
      </c>
      <c r="O270" s="24">
        <f>IFERROR(INDEX('Input Giocatori 2026_27'!$G$3:$G$493,MATCH($A270,'Input Giocatori 2026_27'!$A$3:$A$493,0)),"")</f>
        <v>12</v>
      </c>
      <c r="P270" s="23" t="str">
        <f>IFERROR(IF($O270="","",IF((1-(COUNTIFS($B$2:$B$492,$B270,$O$2:$O$492,"&gt;"&amp;$O270)+1-1)/COUNTIF($B$2:$B$492,$B270))&gt;='Parametri Modello'!$B$63,"Top",IF((1-(COUNTIFS($B$2:$B$492,$B270,$O$2:$O$492,"&gt;"&amp;$O270)+1-1)/COUNTIF($B$2:$B$492,$B270))&gt;='Parametri Modello'!$B$64,"Buono",IF((1-(COUNTIFS($B$2:$B$492,$B270,$O$2:$O$492,"&gt;"&amp;$O270)+1-1)/COUNTIF($B$2:$B$492,$B270))&gt;='Parametri Modello'!$B$65,"Nella Media","Scommessa/Riserva")))),"")</f>
        <v>Nella Media</v>
      </c>
      <c r="Q270" s="26">
        <f>IF(AND($D270="",$N270&gt;1),SUMPRODUCT(($D$2:$D270="")*($N$2:$N270&gt;1)),"")</f>
        <v>269</v>
      </c>
      <c r="R270" s="26" t="str">
        <f>IF($D270='Info Lega'!$B$28,COUNTIFS($D$2:$D270,'Info Lega'!$B$28),"")</f>
        <v/>
      </c>
      <c r="S270" s="27" t="str">
        <f>IFERROR(INDEX('Input Statistiche 2025_26'!$G$3:$G$665,MATCH($A270,'Input Statistiche 2025_26'!$A$3:$A$665,0)),"")</f>
        <v/>
      </c>
      <c r="T270" s="27" t="str">
        <f>IFERROR(INDEX('Input Statistiche 2025_26'!$H$3:$H$665,MATCH($A270,'Input Statistiche 2025_26'!$A$3:$A$665,0)),"")</f>
        <v/>
      </c>
      <c r="U270" s="23" t="str">
        <f>IF(OR('La Mia Rosa'!$O$12="",$D270&lt;&gt;""),"",IF($F270&lt;='La Mia Rosa'!$O$12*'Parametri Modello'!$B$24,"OK",IF($F270&lt;='La Mia Rosa'!$O$12*'Parametri Modello'!$B$25,"Attenzione","Rischio Alto")))</f>
        <v>OK</v>
      </c>
      <c r="V270" s="23">
        <f t="shared" si="37"/>
        <v>78</v>
      </c>
      <c r="W270" s="18">
        <f>'Info Lega'!$B$4-SUMIFS($M$2:$M$492,$D$2:$D$492,'Info Lega'!$B$28)</f>
        <v>1000</v>
      </c>
      <c r="X270" s="18">
        <f>('Info Lega'!$B$5-COUNTIFS($D$2:$D$492,'Info Lega'!$B$28,$B$2:$B$492,"P"))+('Info Lega'!$B$6-COUNTIFS($D$2:$D$492,'Info Lega'!$B$28,$B$2:$B$492,"D"))+('Info Lega'!$B$7-COUNTIFS($D$2:$D$492,'Info Lega'!$B$28,$B$2:$B$492,"C"))+('Info Lega'!$B$8-COUNTIFS($D$2:$D$492,'Info Lega'!$B$28,$B$2:$B$492,"A"))</f>
        <v>25</v>
      </c>
      <c r="Y270" s="18">
        <f>X270*'Parametri Modello'!$B$30</f>
        <v>25</v>
      </c>
      <c r="Z270" s="18">
        <f t="shared" si="38"/>
        <v>975</v>
      </c>
      <c r="AA270" s="18">
        <f t="shared" si="39"/>
        <v>2</v>
      </c>
      <c r="AB270" s="18"/>
      <c r="AC270" s="18" t="str">
        <f>IF($AB270="","",IF($AB270&gt;$AA270,"PASS",IF($AB270&lt;=$AA270*(1-'Parametri Modello'!$B$68),"BID","ATTENZIONE")))</f>
        <v/>
      </c>
      <c r="AD270" s="28" t="str">
        <f t="shared" si="40"/>
        <v/>
      </c>
      <c r="AE270" s="5" t="str">
        <f>IFERROR(IF($AF270="Titolare",INDEX('Stato Asta'!$G$9:$G$12,MATCH($B270,'Stato Asta'!$A$9:$A$12,0)),INDEX('Stato Asta'!$P$9:$P$12,MATCH($B270,'Stato Asta'!$A$9:$A$12,0))),"")</f>
        <v>🟢 Riserve abbondanti</v>
      </c>
      <c r="AF270" t="str">
        <f>IFERROR(IF($V270&lt;=INDEX('Parametri Modello'!$C$57:$C$60,MATCH($B270,'Parametri Modello'!$A$57:$A$60,0)),"Titolare","Riserva"),"")</f>
        <v>Riserva</v>
      </c>
      <c r="AG270" t="str">
        <f>IFERROR(INDEX('Pressione Competitiva'!$F$3:$F$6,MATCH($B270,'Pressione Competitiva'!$B$3:$B$6,0)),"")</f>
        <v>🔴 Molto Alta</v>
      </c>
      <c r="AH270" t="str">
        <f t="shared" si="41"/>
        <v/>
      </c>
      <c r="AI270" t="str">
        <f>IFERROR(IF($AH270="","",IF($AH270&gt;=$AA270*'Parametri Modello'!$B$68,"🟢 Opportunita'",IF($AH270&lt;=$AA270*'Parametri Modello'!$B$69,"🔴 Sovrapprezzo","🟡 Prezzo Corretto"))),"")</f>
        <v/>
      </c>
      <c r="AJ270" t="str">
        <f t="shared" si="42"/>
        <v/>
      </c>
      <c r="AK270">
        <f t="shared" si="43"/>
        <v>23</v>
      </c>
      <c r="AL270" t="str">
        <f t="shared" si="44"/>
        <v>D|Nella Media|23</v>
      </c>
    </row>
    <row r="271" spans="1:38" ht="14.25" customHeight="1" x14ac:dyDescent="0.25">
      <c r="A271" s="18">
        <v>7131</v>
      </c>
      <c r="B271" s="18" t="s">
        <v>88</v>
      </c>
      <c r="C271" s="18" t="s">
        <v>209</v>
      </c>
      <c r="E271" s="23" t="str">
        <f>IF(COUNTIF('Info Strategia'!$D$2:$D$51,$C271)&gt;0,"SI","NO")</f>
        <v>NO</v>
      </c>
      <c r="F271" s="24">
        <f>IFERROR(ROUND(($G271+($H271-$G271)*'Info Strategia'!$B$6)*(1+IF($E271="SI",'Parametri Modello'!$B$7*'Info Strategia'!$B$6,0)),0),"")</f>
        <v>2</v>
      </c>
      <c r="G271" s="24">
        <f>IFERROR(ROUND(MAX(1,(IF($V271&lt;=INDEX('Parametri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H271" s="24">
        <f>IFERROR(ROUND((IF($V271&lt;=INDEX('Parametri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I271" s="23">
        <f>IFERROR(INDEX('Input Statistiche 2025_26'!$F$3:$F$665,MATCH($A271,'Input Statistiche 2025_26'!$A$3:$A$665,0)),"")</f>
        <v>23</v>
      </c>
      <c r="J271" s="23">
        <f t="shared" si="36"/>
        <v>15</v>
      </c>
      <c r="K271" s="23">
        <f>IFERROR(INDEX('Input Statistiche 2025_26'!$I$3:$I$665,MATCH($A271,'Input Statistiche 2025_26'!$A$3:$A$665,0)),"")</f>
        <v>0</v>
      </c>
      <c r="L271" s="23">
        <f>IFERROR(INDEX('Input Statistiche 2025_26'!$O$3:$O$665,MATCH($A271,'Input Statistiche 2025_26'!$A$3:$A$665,0)),"")</f>
        <v>1</v>
      </c>
      <c r="M271" s="25"/>
      <c r="N271" s="24">
        <f>IFERROR(INDEX('Input Giocatori 2026_27'!$E$3:$E$493,MATCH($A271,'Input Giocatori 2026_27'!$A$3:$A$493,0)),"")</f>
        <v>3</v>
      </c>
      <c r="O271" s="24">
        <f>IFERROR(INDEX('Input Giocatori 2026_27'!$G$3:$G$493,MATCH($A271,'Input Giocatori 2026_27'!$A$3:$A$493,0)),"")</f>
        <v>12</v>
      </c>
      <c r="P271" s="23" t="str">
        <f>IFERROR(IF($O271="","",IF((1-(COUNTIFS($B$2:$B$492,$B271,$O$2:$O$492,"&gt;"&amp;$O271)+1-1)/COUNTIF($B$2:$B$492,$B271))&gt;='Parametri Modello'!$B$63,"Top",IF((1-(COUNTIFS($B$2:$B$492,$B271,$O$2:$O$492,"&gt;"&amp;$O271)+1-1)/COUNTIF($B$2:$B$492,$B271))&gt;='Parametri Modello'!$B$64,"Buono",IF((1-(COUNTIFS($B$2:$B$492,$B271,$O$2:$O$492,"&gt;"&amp;$O271)+1-1)/COUNTIF($B$2:$B$492,$B271))&gt;='Parametri Modello'!$B$65,"Nella Media","Scommessa/Riserva")))),"")</f>
        <v>Nella Media</v>
      </c>
      <c r="Q271" s="26">
        <f>IF(AND($D271="",$N271&gt;1),SUMPRODUCT(($D$2:$D271="")*($N$2:$N271&gt;1)),"")</f>
        <v>270</v>
      </c>
      <c r="R271" s="26" t="str">
        <f>IF($D271='Info Lega'!$B$28,COUNTIFS($D$2:$D271,'Info Lega'!$B$28),"")</f>
        <v/>
      </c>
      <c r="S271" s="27">
        <f>IFERROR(INDEX('Input Statistiche 2025_26'!$G$3:$G$665,MATCH($A271,'Input Statistiche 2025_26'!$A$3:$A$665,0)),"")</f>
        <v>5.72</v>
      </c>
      <c r="T271" s="27">
        <f>IFERROR(INDEX('Input Statistiche 2025_26'!$H$3:$H$665,MATCH($A271,'Input Statistiche 2025_26'!$A$3:$A$665,0)),"")</f>
        <v>5.72</v>
      </c>
      <c r="U271" s="23" t="str">
        <f>IF(OR('La Mia Rosa'!$O$12="",$D271&lt;&gt;""),"",IF($F271&lt;='La Mia Rosa'!$O$12*'Parametri Modello'!$B$24,"OK",IF($F271&lt;='La Mia Rosa'!$O$12*'Parametri Modello'!$B$25,"Attenzione","Rischio Alto")))</f>
        <v>OK</v>
      </c>
      <c r="V271" s="23">
        <f t="shared" si="37"/>
        <v>78</v>
      </c>
      <c r="W271" s="18">
        <f>'Info Lega'!$B$4-SUMIFS($M$2:$M$492,$D$2:$D$492,'Info Lega'!$B$28)</f>
        <v>1000</v>
      </c>
      <c r="X271" s="18">
        <f>('Info Lega'!$B$5-COUNTIFS($D$2:$D$492,'Info Lega'!$B$28,$B$2:$B$492,"P"))+('Info Lega'!$B$6-COUNTIFS($D$2:$D$492,'Info Lega'!$B$28,$B$2:$B$492,"D"))+('Info Lega'!$B$7-COUNTIFS($D$2:$D$492,'Info Lega'!$B$28,$B$2:$B$492,"C"))+('Info Lega'!$B$8-COUNTIFS($D$2:$D$492,'Info Lega'!$B$28,$B$2:$B$492,"A"))</f>
        <v>25</v>
      </c>
      <c r="Y271" s="18">
        <f>X271*'Parametri Modello'!$B$30</f>
        <v>25</v>
      </c>
      <c r="Z271" s="18">
        <f t="shared" si="38"/>
        <v>975</v>
      </c>
      <c r="AA271" s="18">
        <f t="shared" si="39"/>
        <v>2</v>
      </c>
      <c r="AB271" s="18"/>
      <c r="AC271" s="18" t="str">
        <f>IF($AB271="","",IF($AB271&gt;$AA271,"PASS",IF($AB271&lt;=$AA271*(1-'Parametri Modello'!$B$68),"BID","ATTENZIONE")))</f>
        <v/>
      </c>
      <c r="AD271" s="28">
        <f t="shared" si="40"/>
        <v>54</v>
      </c>
      <c r="AE271" s="5" t="str">
        <f>IFERROR(IF($AF271="Titolare",INDEX('Stato Asta'!$G$9:$G$12,MATCH($B271,'Stato Asta'!$A$9:$A$12,0)),INDEX('Stato Asta'!$P$9:$P$12,MATCH($B271,'Stato Asta'!$A$9:$A$12,0))),"")</f>
        <v>🟢 Riserve abbondanti</v>
      </c>
      <c r="AF271" t="str">
        <f>IFERROR(IF($V271&lt;=INDEX('Parametri Modello'!$C$57:$C$60,MATCH($B271,'Parametri Modello'!$A$57:$A$60,0)),"Titolare","Riserva"),"")</f>
        <v>Riserva</v>
      </c>
      <c r="AG271" t="str">
        <f>IFERROR(INDEX('Pressione Competitiva'!$F$3:$F$6,MATCH($B271,'Pressione Competitiva'!$B$3:$B$6,0)),"")</f>
        <v>🔴 Molto Alta</v>
      </c>
      <c r="AH271" t="str">
        <f t="shared" si="41"/>
        <v/>
      </c>
      <c r="AI271" t="str">
        <f>IFERROR(IF($AH271="","",IF($AH271&gt;=$AA271*'Parametri Modello'!$B$68,"🟢 Opportunita'",IF($AH271&lt;=$AA271*'Parametri Modello'!$B$69,"🔴 Sovrapprezzo","🟡 Prezzo Corretto"))),"")</f>
        <v/>
      </c>
      <c r="AJ271" t="str">
        <f t="shared" si="42"/>
        <v/>
      </c>
      <c r="AK271">
        <f t="shared" si="43"/>
        <v>23</v>
      </c>
      <c r="AL271" t="str">
        <f t="shared" si="44"/>
        <v>D|Nella Media|23</v>
      </c>
    </row>
    <row r="272" spans="1:38" ht="14.25" customHeight="1" x14ac:dyDescent="0.25">
      <c r="A272" s="18">
        <v>5739</v>
      </c>
      <c r="B272" s="18" t="s">
        <v>88</v>
      </c>
      <c r="C272" s="18" t="s">
        <v>210</v>
      </c>
      <c r="E272" s="23" t="str">
        <f>IF(COUNTIF('Info Strategia'!$D$2:$D$51,$C272)&gt;0,"SI","NO")</f>
        <v>NO</v>
      </c>
      <c r="F272" s="24">
        <f>IFERROR(ROUND(($G272+($H272-$G272)*'Info Strategia'!$B$6)*(1+IF($E272="SI",'Parametri Modello'!$B$7*'Info Strategia'!$B$6,0)),0),"")</f>
        <v>2</v>
      </c>
      <c r="G272" s="24">
        <f>IFERROR(ROUND(MAX(1,(IF($V272&lt;=INDEX('Parametri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H272" s="24">
        <f>IFERROR(ROUND((IF($V272&lt;=INDEX('Parametri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I272" s="23">
        <f>IFERROR(INDEX('Input Statistiche 2025_26'!$F$3:$F$665,MATCH($A272,'Input Statistiche 2025_26'!$A$3:$A$665,0)),"")</f>
        <v>24</v>
      </c>
      <c r="J272" s="23">
        <f t="shared" si="36"/>
        <v>14</v>
      </c>
      <c r="K272" s="23">
        <f>IFERROR(INDEX('Input Statistiche 2025_26'!$I$3:$I$665,MATCH($A272,'Input Statistiche 2025_26'!$A$3:$A$665,0)),"")</f>
        <v>1</v>
      </c>
      <c r="L272" s="23">
        <f>IFERROR(INDEX('Input Statistiche 2025_26'!$O$3:$O$665,MATCH($A272,'Input Statistiche 2025_26'!$A$3:$A$665,0)),"")</f>
        <v>1</v>
      </c>
      <c r="M272" s="25"/>
      <c r="N272" s="24">
        <f>IFERROR(INDEX('Input Giocatori 2026_27'!$E$3:$E$493,MATCH($A272,'Input Giocatori 2026_27'!$A$3:$A$493,0)),"")</f>
        <v>3</v>
      </c>
      <c r="O272" s="24">
        <f>IFERROR(INDEX('Input Giocatori 2026_27'!$G$3:$G$493,MATCH($A272,'Input Giocatori 2026_27'!$A$3:$A$493,0)),"")</f>
        <v>12</v>
      </c>
      <c r="P272" s="23" t="str">
        <f>IFERROR(IF($O272="","",IF((1-(COUNTIFS($B$2:$B$492,$B272,$O$2:$O$492,"&gt;"&amp;$O272)+1-1)/COUNTIF($B$2:$B$492,$B272))&gt;='Parametri Modello'!$B$63,"Top",IF((1-(COUNTIFS($B$2:$B$492,$B272,$O$2:$O$492,"&gt;"&amp;$O272)+1-1)/COUNTIF($B$2:$B$492,$B272))&gt;='Parametri Modello'!$B$64,"Buono",IF((1-(COUNTIFS($B$2:$B$492,$B272,$O$2:$O$492,"&gt;"&amp;$O272)+1-1)/COUNTIF($B$2:$B$492,$B272))&gt;='Parametri Modello'!$B$65,"Nella Media","Scommessa/Riserva")))),"")</f>
        <v>Nella Media</v>
      </c>
      <c r="Q272" s="26">
        <f>IF(AND($D272="",$N272&gt;1),SUMPRODUCT(($D$2:$D272="")*($N$2:$N272&gt;1)),"")</f>
        <v>271</v>
      </c>
      <c r="R272" s="26" t="str">
        <f>IF($D272='Info Lega'!$B$28,COUNTIFS($D$2:$D272,'Info Lega'!$B$28),"")</f>
        <v/>
      </c>
      <c r="S272" s="27">
        <f>IFERROR(INDEX('Input Statistiche 2025_26'!$G$3:$G$665,MATCH($A272,'Input Statistiche 2025_26'!$A$3:$A$665,0)),"")</f>
        <v>5.75</v>
      </c>
      <c r="T272" s="27">
        <f>IFERROR(INDEX('Input Statistiche 2025_26'!$H$3:$H$665,MATCH($A272,'Input Statistiche 2025_26'!$A$3:$A$665,0)),"")</f>
        <v>5.9</v>
      </c>
      <c r="U272" s="23" t="str">
        <f>IF(OR('La Mia Rosa'!$O$12="",$D272&lt;&gt;""),"",IF($F272&lt;='La Mia Rosa'!$O$12*'Parametri Modello'!$B$24,"OK",IF($F272&lt;='La Mia Rosa'!$O$12*'Parametri Modello'!$B$25,"Attenzione","Rischio Alto")))</f>
        <v>OK</v>
      </c>
      <c r="V272" s="23">
        <f t="shared" si="37"/>
        <v>78</v>
      </c>
      <c r="W272" s="18">
        <f>'Info Lega'!$B$4-SUMIFS($M$2:$M$492,$D$2:$D$492,'Info Lega'!$B$28)</f>
        <v>1000</v>
      </c>
      <c r="X272" s="18">
        <f>('Info Lega'!$B$5-COUNTIFS($D$2:$D$492,'Info Lega'!$B$28,$B$2:$B$492,"P"))+('Info Lega'!$B$6-COUNTIFS($D$2:$D$492,'Info Lega'!$B$28,$B$2:$B$492,"D"))+('Info Lega'!$B$7-COUNTIFS($D$2:$D$492,'Info Lega'!$B$28,$B$2:$B$492,"C"))+('Info Lega'!$B$8-COUNTIFS($D$2:$D$492,'Info Lega'!$B$28,$B$2:$B$492,"A"))</f>
        <v>25</v>
      </c>
      <c r="Y272" s="18">
        <f>X272*'Parametri Modello'!$B$30</f>
        <v>25</v>
      </c>
      <c r="Z272" s="18">
        <f t="shared" si="38"/>
        <v>975</v>
      </c>
      <c r="AA272" s="18">
        <f t="shared" si="39"/>
        <v>2</v>
      </c>
      <c r="AB272" s="18"/>
      <c r="AC272" s="18" t="str">
        <f>IF($AB272="","",IF($AB272&gt;$AA272,"PASS",IF($AB272&lt;=$AA272*(1-'Parametri Modello'!$B$68),"BID","ATTENZIONE")))</f>
        <v/>
      </c>
      <c r="AD272" s="28">
        <f t="shared" si="40"/>
        <v>55</v>
      </c>
      <c r="AE272" s="5" t="str">
        <f>IFERROR(IF($AF272="Titolare",INDEX('Stato Asta'!$G$9:$G$12,MATCH($B272,'Stato Asta'!$A$9:$A$12,0)),INDEX('Stato Asta'!$P$9:$P$12,MATCH($B272,'Stato Asta'!$A$9:$A$12,0))),"")</f>
        <v>🟢 Riserve abbondanti</v>
      </c>
      <c r="AF272" t="str">
        <f>IFERROR(IF($V272&lt;=INDEX('Parametri Modello'!$C$57:$C$60,MATCH($B272,'Parametri Modello'!$A$57:$A$60,0)),"Titolare","Riserva"),"")</f>
        <v>Riserva</v>
      </c>
      <c r="AG272" t="str">
        <f>IFERROR(INDEX('Pressione Competitiva'!$F$3:$F$6,MATCH($B272,'Pressione Competitiva'!$B$3:$B$6,0)),"")</f>
        <v>🔴 Molto Alta</v>
      </c>
      <c r="AH272" t="str">
        <f t="shared" si="41"/>
        <v/>
      </c>
      <c r="AI272" t="str">
        <f>IFERROR(IF($AH272="","",IF($AH272&gt;=$AA272*'Parametri Modello'!$B$68,"🟢 Opportunita'",IF($AH272&lt;=$AA272*'Parametri Modello'!$B$69,"🔴 Sovrapprezzo","🟡 Prezzo Corretto"))),"")</f>
        <v/>
      </c>
      <c r="AJ272" t="str">
        <f t="shared" si="42"/>
        <v/>
      </c>
      <c r="AK272">
        <f t="shared" si="43"/>
        <v>23</v>
      </c>
      <c r="AL272" t="str">
        <f t="shared" si="44"/>
        <v>D|Nella Media|23</v>
      </c>
    </row>
    <row r="273" spans="1:38" ht="14.25" customHeight="1" x14ac:dyDescent="0.25">
      <c r="A273" s="18">
        <v>6985</v>
      </c>
      <c r="B273" s="18" t="s">
        <v>88</v>
      </c>
      <c r="C273" s="18" t="s">
        <v>217</v>
      </c>
      <c r="E273" s="23" t="str">
        <f>IF(COUNTIF('Info Strategia'!$D$2:$D$51,$C273)&gt;0,"SI","NO")</f>
        <v>NO</v>
      </c>
      <c r="F273" s="24">
        <f>IFERROR(ROUND(($G273+($H273-$G273)*'Info Strategia'!$B$6)*(1+IF($E273="SI",'Parametri Modello'!$B$7*'Info Strategia'!$B$6,0)),0),"")</f>
        <v>2</v>
      </c>
      <c r="G273" s="24">
        <f>IFERROR(ROUND(MAX(1,(IF($V273&lt;=INDEX('Parametri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H273" s="24">
        <f>IFERROR(ROUND((IF($V273&lt;=INDEX('Parametri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I273" s="23">
        <f>IFERROR(INDEX('Input Statistiche 2025_26'!$F$3:$F$665,MATCH($A273,'Input Statistiche 2025_26'!$A$3:$A$665,0)),"")</f>
        <v>8</v>
      </c>
      <c r="J273" s="23">
        <f t="shared" si="36"/>
        <v>30</v>
      </c>
      <c r="K273" s="23">
        <f>IFERROR(INDEX('Input Statistiche 2025_26'!$I$3:$I$665,MATCH($A273,'Input Statistiche 2025_26'!$A$3:$A$665,0)),"")</f>
        <v>0</v>
      </c>
      <c r="L273" s="23">
        <f>IFERROR(INDEX('Input Statistiche 2025_26'!$O$3:$O$665,MATCH($A273,'Input Statistiche 2025_26'!$A$3:$A$665,0)),"")</f>
        <v>0</v>
      </c>
      <c r="M273" s="25"/>
      <c r="N273" s="24">
        <f>IFERROR(INDEX('Input Giocatori 2026_27'!$E$3:$E$493,MATCH($A273,'Input Giocatori 2026_27'!$A$3:$A$493,0)),"")</f>
        <v>3</v>
      </c>
      <c r="O273" s="24">
        <f>IFERROR(INDEX('Input Giocatori 2026_27'!$G$3:$G$493,MATCH($A273,'Input Giocatori 2026_27'!$A$3:$A$493,0)),"")</f>
        <v>12</v>
      </c>
      <c r="P273" s="23" t="str">
        <f>IFERROR(IF($O273="","",IF((1-(COUNTIFS($B$2:$B$492,$B273,$O$2:$O$492,"&gt;"&amp;$O273)+1-1)/COUNTIF($B$2:$B$492,$B273))&gt;='Parametri Modello'!$B$63,"Top",IF((1-(COUNTIFS($B$2:$B$492,$B273,$O$2:$O$492,"&gt;"&amp;$O273)+1-1)/COUNTIF($B$2:$B$492,$B273))&gt;='Parametri Modello'!$B$64,"Buono",IF((1-(COUNTIFS($B$2:$B$492,$B273,$O$2:$O$492,"&gt;"&amp;$O273)+1-1)/COUNTIF($B$2:$B$492,$B273))&gt;='Parametri Modello'!$B$65,"Nella Media","Scommessa/Riserva")))),"")</f>
        <v>Nella Media</v>
      </c>
      <c r="Q273" s="26">
        <f>IF(AND($D273="",$N273&gt;1),SUMPRODUCT(($D$2:$D273="")*($N$2:$N273&gt;1)),"")</f>
        <v>272</v>
      </c>
      <c r="R273" s="26" t="str">
        <f>IF($D273='Info Lega'!$B$28,COUNTIFS($D$2:$D273,'Info Lega'!$B$28),"")</f>
        <v/>
      </c>
      <c r="S273" s="27">
        <f>IFERROR(INDEX('Input Statistiche 2025_26'!$G$3:$G$665,MATCH($A273,'Input Statistiche 2025_26'!$A$3:$A$665,0)),"")</f>
        <v>5.69</v>
      </c>
      <c r="T273" s="27">
        <f>IFERROR(INDEX('Input Statistiche 2025_26'!$H$3:$H$665,MATCH($A273,'Input Statistiche 2025_26'!$A$3:$A$665,0)),"")</f>
        <v>5.56</v>
      </c>
      <c r="U273" s="23" t="str">
        <f>IF(OR('La Mia Rosa'!$O$12="",$D273&lt;&gt;""),"",IF($F273&lt;='La Mia Rosa'!$O$12*'Parametri Modello'!$B$24,"OK",IF($F273&lt;='La Mia Rosa'!$O$12*'Parametri Modello'!$B$25,"Attenzione","Rischio Alto")))</f>
        <v>OK</v>
      </c>
      <c r="V273" s="23">
        <f t="shared" si="37"/>
        <v>78</v>
      </c>
      <c r="W273" s="18">
        <f>'Info Lega'!$B$4-SUMIFS($M$2:$M$492,$D$2:$D$492,'Info Lega'!$B$28)</f>
        <v>1000</v>
      </c>
      <c r="X273" s="18">
        <f>('Info Lega'!$B$5-COUNTIFS($D$2:$D$492,'Info Lega'!$B$28,$B$2:$B$492,"P"))+('Info Lega'!$B$6-COUNTIFS($D$2:$D$492,'Info Lega'!$B$28,$B$2:$B$492,"D"))+('Info Lega'!$B$7-COUNTIFS($D$2:$D$492,'Info Lega'!$B$28,$B$2:$B$492,"C"))+('Info Lega'!$B$8-COUNTIFS($D$2:$D$492,'Info Lega'!$B$28,$B$2:$B$492,"A"))</f>
        <v>25</v>
      </c>
      <c r="Y273" s="18">
        <f>X273*'Parametri Modello'!$B$30</f>
        <v>25</v>
      </c>
      <c r="Z273" s="18">
        <f t="shared" si="38"/>
        <v>975</v>
      </c>
      <c r="AA273" s="18">
        <f t="shared" si="39"/>
        <v>2</v>
      </c>
      <c r="AB273" s="18"/>
      <c r="AC273" s="18" t="str">
        <f>IF($AB273="","",IF($AB273&gt;$AA273,"PASS",IF($AB273&lt;=$AA273*(1-'Parametri Modello'!$B$68),"BID","ATTENZIONE")))</f>
        <v/>
      </c>
      <c r="AD273" s="28">
        <f t="shared" si="40"/>
        <v>23</v>
      </c>
      <c r="AE273" s="5" t="str">
        <f>IFERROR(IF($AF273="Titolare",INDEX('Stato Asta'!$G$9:$G$12,MATCH($B273,'Stato Asta'!$A$9:$A$12,0)),INDEX('Stato Asta'!$P$9:$P$12,MATCH($B273,'Stato Asta'!$A$9:$A$12,0))),"")</f>
        <v>🟢 Riserve abbondanti</v>
      </c>
      <c r="AF273" t="str">
        <f>IFERROR(IF($V273&lt;=INDEX('Parametri Modello'!$C$57:$C$60,MATCH($B273,'Parametri Modello'!$A$57:$A$60,0)),"Titolare","Riserva"),"")</f>
        <v>Riserva</v>
      </c>
      <c r="AG273" t="str">
        <f>IFERROR(INDEX('Pressione Competitiva'!$F$3:$F$6,MATCH($B273,'Pressione Competitiva'!$B$3:$B$6,0)),"")</f>
        <v>🔴 Molto Alta</v>
      </c>
      <c r="AH273" t="str">
        <f t="shared" si="41"/>
        <v/>
      </c>
      <c r="AI273" t="str">
        <f>IFERROR(IF($AH273="","",IF($AH273&gt;=$AA273*'Parametri Modello'!$B$68,"🟢 Opportunita'",IF($AH273&lt;=$AA273*'Parametri Modello'!$B$69,"🔴 Sovrapprezzo","🟡 Prezzo Corretto"))),"")</f>
        <v/>
      </c>
      <c r="AJ273" t="str">
        <f t="shared" si="42"/>
        <v/>
      </c>
      <c r="AK273">
        <f t="shared" si="43"/>
        <v>23</v>
      </c>
      <c r="AL273" t="str">
        <f t="shared" si="44"/>
        <v>D|Nella Media|23</v>
      </c>
    </row>
    <row r="274" spans="1:38" ht="14.25" customHeight="1" x14ac:dyDescent="0.25">
      <c r="A274" s="18">
        <v>7528</v>
      </c>
      <c r="B274" s="18" t="s">
        <v>264</v>
      </c>
      <c r="C274" s="18" t="s">
        <v>345</v>
      </c>
      <c r="E274" s="23" t="str">
        <f>IF(COUNTIF('Info Strategia'!$D$2:$D$51,$C274)&gt;0,"SI","NO")</f>
        <v>NO</v>
      </c>
      <c r="F274" s="24">
        <f>IFERROR(ROUND(($G274+($H274-$G274)*'Info Strategia'!$B$6)*(1+IF($E274="SI",'Parametri Modello'!$B$7*'Info Strategia'!$B$6,0)),0),"")</f>
        <v>2</v>
      </c>
      <c r="G274" s="24">
        <f>IFERROR(ROUND(MAX(1,(IF($V274&lt;=INDEX('Parametri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1</v>
      </c>
      <c r="H274" s="24">
        <f>IFERROR(ROUND((IF($V274&lt;=INDEX('Parametri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2</v>
      </c>
      <c r="I274" s="23" t="str">
        <f>IFERROR(INDEX('Input Statistiche 2025_26'!$F$3:$F$665,MATCH($A274,'Input Statistiche 2025_26'!$A$3:$A$665,0)),"")</f>
        <v/>
      </c>
      <c r="J274" s="23" t="str">
        <f t="shared" si="36"/>
        <v/>
      </c>
      <c r="K274" s="23" t="str">
        <f>IFERROR(INDEX('Input Statistiche 2025_26'!$I$3:$I$665,MATCH($A274,'Input Statistiche 2025_26'!$A$3:$A$665,0)),"")</f>
        <v/>
      </c>
      <c r="L274" s="23" t="str">
        <f>IFERROR(INDEX('Input Statistiche 2025_26'!$O$3:$O$665,MATCH($A274,'Input Statistiche 2025_26'!$A$3:$A$665,0)),"")</f>
        <v/>
      </c>
      <c r="M274" s="25"/>
      <c r="N274" s="24">
        <f>IFERROR(INDEX('Input Giocatori 2026_27'!$E$3:$E$493,MATCH($A274,'Input Giocatori 2026_27'!$A$3:$A$493,0)),"")</f>
        <v>5</v>
      </c>
      <c r="O274" s="24">
        <f>IFERROR(INDEX('Input Giocatori 2026_27'!$G$3:$G$493,MATCH($A274,'Input Giocatori 2026_27'!$A$3:$A$493,0)),"")</f>
        <v>12</v>
      </c>
      <c r="P274" s="23" t="str">
        <f>IFERROR(IF($O274="","",IF((1-(COUNTIFS($B$2:$B$492,$B274,$O$2:$O$492,"&gt;"&amp;$O274)+1-1)/COUNTIF($B$2:$B$492,$B274))&gt;='Parametri Modello'!$B$63,"Top",IF((1-(COUNTIFS($B$2:$B$492,$B274,$O$2:$O$492,"&gt;"&amp;$O274)+1-1)/COUNTIF($B$2:$B$492,$B274))&gt;='Parametri Modello'!$B$64,"Buono",IF((1-(COUNTIFS($B$2:$B$492,$B274,$O$2:$O$492,"&gt;"&amp;$O274)+1-1)/COUNTIF($B$2:$B$492,$B274))&gt;='Parametri Modello'!$B$65,"Nella Media","Scommessa/Riserva")))),"")</f>
        <v>Scommessa/Riserva</v>
      </c>
      <c r="Q274" s="26">
        <f>IF(AND($D274="",$N274&gt;1),SUMPRODUCT(($D$2:$D274="")*($N$2:$N274&gt;1)),"")</f>
        <v>273</v>
      </c>
      <c r="R274" s="26" t="str">
        <f>IF($D274='Info Lega'!$B$28,COUNTIFS($D$2:$D274,'Info Lega'!$B$28),"")</f>
        <v/>
      </c>
      <c r="S274" s="27" t="str">
        <f>IFERROR(INDEX('Input Statistiche 2025_26'!$G$3:$G$665,MATCH($A274,'Input Statistiche 2025_26'!$A$3:$A$665,0)),"")</f>
        <v/>
      </c>
      <c r="T274" s="27" t="str">
        <f>IFERROR(INDEX('Input Statistiche 2025_26'!$H$3:$H$665,MATCH($A274,'Input Statistiche 2025_26'!$A$3:$A$665,0)),"")</f>
        <v/>
      </c>
      <c r="U274" s="23" t="str">
        <f>IF(OR('La Mia Rosa'!$O$12="",$D274&lt;&gt;""),"",IF($F274&lt;='La Mia Rosa'!$O$12*'Parametri Modello'!$B$24,"OK",IF($F274&lt;='La Mia Rosa'!$O$12*'Parametri Modello'!$B$25,"Attenzione","Rischio Alto")))</f>
        <v>OK</v>
      </c>
      <c r="V274" s="23">
        <f t="shared" si="37"/>
        <v>105</v>
      </c>
      <c r="W274" s="18">
        <f>'Info Lega'!$B$4-SUMIFS($M$2:$M$492,$D$2:$D$492,'Info Lega'!$B$28)</f>
        <v>1000</v>
      </c>
      <c r="X274" s="18">
        <f>('Info Lega'!$B$5-COUNTIFS($D$2:$D$492,'Info Lega'!$B$28,$B$2:$B$492,"P"))+('Info Lega'!$B$6-COUNTIFS($D$2:$D$492,'Info Lega'!$B$28,$B$2:$B$492,"D"))+('Info Lega'!$B$7-COUNTIFS($D$2:$D$492,'Info Lega'!$B$28,$B$2:$B$492,"C"))+('Info Lega'!$B$8-COUNTIFS($D$2:$D$492,'Info Lega'!$B$28,$B$2:$B$492,"A"))</f>
        <v>25</v>
      </c>
      <c r="Y274" s="18">
        <f>X274*'Parametri Modello'!$B$30</f>
        <v>25</v>
      </c>
      <c r="Z274" s="18">
        <f t="shared" si="38"/>
        <v>975</v>
      </c>
      <c r="AA274" s="18">
        <f t="shared" si="39"/>
        <v>2</v>
      </c>
      <c r="AB274" s="18"/>
      <c r="AC274" s="18" t="str">
        <f>IF($AB274="","",IF($AB274&gt;$AA274,"PASS",IF($AB274&lt;=$AA274*(1-'Parametri Modello'!$B$68),"BID","ATTENZIONE")))</f>
        <v/>
      </c>
      <c r="AD274" s="28" t="str">
        <f t="shared" si="40"/>
        <v/>
      </c>
      <c r="AE274" s="5" t="str">
        <f>IFERROR(IF($AF274="Titolare",INDEX('Stato Asta'!$G$9:$G$12,MATCH($B274,'Stato Asta'!$A$9:$A$12,0)),INDEX('Stato Asta'!$P$9:$P$12,MATCH($B274,'Stato Asta'!$A$9:$A$12,0))),"")</f>
        <v>🟢 Riserve abbondanti</v>
      </c>
      <c r="AF274" t="str">
        <f>IFERROR(IF($V274&lt;=INDEX('Parametri Modello'!$C$57:$C$60,MATCH($B274,'Parametri Modello'!$A$57:$A$60,0)),"Titolare","Riserva"),"")</f>
        <v>Riserva</v>
      </c>
      <c r="AG274" t="str">
        <f>IFERROR(INDEX('Pressione Competitiva'!$F$3:$F$6,MATCH($B274,'Pressione Competitiva'!$B$3:$B$6,0)),"")</f>
        <v>🔴 Molto Alta</v>
      </c>
      <c r="AH274" t="str">
        <f t="shared" si="41"/>
        <v/>
      </c>
      <c r="AI274" t="str">
        <f>IFERROR(IF($AH274="","",IF($AH274&gt;=$AA274*'Parametri Modello'!$B$68,"🟢 Opportunita'",IF($AH274&lt;=$AA274*'Parametri Modello'!$B$69,"🔴 Sovrapprezzo","🟡 Prezzo Corretto"))),"")</f>
        <v/>
      </c>
      <c r="AJ274" t="str">
        <f t="shared" si="42"/>
        <v/>
      </c>
      <c r="AK274">
        <f t="shared" si="43"/>
        <v>1</v>
      </c>
      <c r="AL274" t="str">
        <f t="shared" si="44"/>
        <v>C|Scommessa/Riserva|1</v>
      </c>
    </row>
    <row r="275" spans="1:38" ht="14.25" customHeight="1" x14ac:dyDescent="0.25">
      <c r="A275" s="18">
        <v>7311</v>
      </c>
      <c r="B275" s="18" t="s">
        <v>264</v>
      </c>
      <c r="C275" s="18" t="s">
        <v>346</v>
      </c>
      <c r="E275" s="23" t="str">
        <f>IF(COUNTIF('Info Strategia'!$D$2:$D$51,$C275)&gt;0,"SI","NO")</f>
        <v>NO</v>
      </c>
      <c r="F275" s="24">
        <f>IFERROR(ROUND(($G275+($H275-$G275)*'Info Strategia'!$B$6)*(1+IF($E275="SI",'Parametri Modello'!$B$7*'Info Strategia'!$B$6,0)),0),"")</f>
        <v>2</v>
      </c>
      <c r="G275" s="24">
        <f>IFERROR(ROUND(MAX(1,(IF($V275&lt;=INDEX('Parametri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1</v>
      </c>
      <c r="H275" s="24">
        <f>IFERROR(ROUND((IF($V275&lt;=INDEX('Parametri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2</v>
      </c>
      <c r="I275" s="23" t="str">
        <f>IFERROR(INDEX('Input Statistiche 2025_26'!$F$3:$F$665,MATCH($A275,'Input Statistiche 2025_26'!$A$3:$A$665,0)),"")</f>
        <v/>
      </c>
      <c r="J275" s="23" t="str">
        <f t="shared" si="36"/>
        <v/>
      </c>
      <c r="K275" s="23" t="str">
        <f>IFERROR(INDEX('Input Statistiche 2025_26'!$I$3:$I$665,MATCH($A275,'Input Statistiche 2025_26'!$A$3:$A$665,0)),"")</f>
        <v/>
      </c>
      <c r="L275" s="23" t="str">
        <f>IFERROR(INDEX('Input Statistiche 2025_26'!$O$3:$O$665,MATCH($A275,'Input Statistiche 2025_26'!$A$3:$A$665,0)),"")</f>
        <v/>
      </c>
      <c r="M275" s="25"/>
      <c r="N275" s="24">
        <f>IFERROR(INDEX('Input Giocatori 2026_27'!$E$3:$E$493,MATCH($A275,'Input Giocatori 2026_27'!$A$3:$A$493,0)),"")</f>
        <v>5</v>
      </c>
      <c r="O275" s="24">
        <f>IFERROR(INDEX('Input Giocatori 2026_27'!$G$3:$G$493,MATCH($A275,'Input Giocatori 2026_27'!$A$3:$A$493,0)),"")</f>
        <v>12</v>
      </c>
      <c r="P275" s="23" t="str">
        <f>IFERROR(IF($O275="","",IF((1-(COUNTIFS($B$2:$B$492,$B275,$O$2:$O$492,"&gt;"&amp;$O275)+1-1)/COUNTIF($B$2:$B$492,$B275))&gt;='Parametri Modello'!$B$63,"Top",IF((1-(COUNTIFS($B$2:$B$492,$B275,$O$2:$O$492,"&gt;"&amp;$O275)+1-1)/COUNTIF($B$2:$B$492,$B275))&gt;='Parametri Modello'!$B$64,"Buono",IF((1-(COUNTIFS($B$2:$B$492,$B275,$O$2:$O$492,"&gt;"&amp;$O275)+1-1)/COUNTIF($B$2:$B$492,$B275))&gt;='Parametri Modello'!$B$65,"Nella Media","Scommessa/Riserva")))),"")</f>
        <v>Scommessa/Riserva</v>
      </c>
      <c r="Q275" s="26">
        <f>IF(AND($D275="",$N275&gt;1),SUMPRODUCT(($D$2:$D275="")*($N$2:$N275&gt;1)),"")</f>
        <v>274</v>
      </c>
      <c r="R275" s="26" t="str">
        <f>IF($D275='Info Lega'!$B$28,COUNTIFS($D$2:$D275,'Info Lega'!$B$28),"")</f>
        <v/>
      </c>
      <c r="S275" s="27" t="str">
        <f>IFERROR(INDEX('Input Statistiche 2025_26'!$G$3:$G$665,MATCH($A275,'Input Statistiche 2025_26'!$A$3:$A$665,0)),"")</f>
        <v/>
      </c>
      <c r="T275" s="27" t="str">
        <f>IFERROR(INDEX('Input Statistiche 2025_26'!$H$3:$H$665,MATCH($A275,'Input Statistiche 2025_26'!$A$3:$A$665,0)),"")</f>
        <v/>
      </c>
      <c r="U275" s="23" t="str">
        <f>IF(OR('La Mia Rosa'!$O$12="",$D275&lt;&gt;""),"",IF($F275&lt;='La Mia Rosa'!$O$12*'Parametri Modello'!$B$24,"OK",IF($F275&lt;='La Mia Rosa'!$O$12*'Parametri Modello'!$B$25,"Attenzione","Rischio Alto")))</f>
        <v>OK</v>
      </c>
      <c r="V275" s="23">
        <f t="shared" si="37"/>
        <v>105</v>
      </c>
      <c r="W275" s="18">
        <f>'Info Lega'!$B$4-SUMIFS($M$2:$M$492,$D$2:$D$492,'Info Lega'!$B$28)</f>
        <v>1000</v>
      </c>
      <c r="X275" s="18">
        <f>('Info Lega'!$B$5-COUNTIFS($D$2:$D$492,'Info Lega'!$B$28,$B$2:$B$492,"P"))+('Info Lega'!$B$6-COUNTIFS($D$2:$D$492,'Info Lega'!$B$28,$B$2:$B$492,"D"))+('Info Lega'!$B$7-COUNTIFS($D$2:$D$492,'Info Lega'!$B$28,$B$2:$B$492,"C"))+('Info Lega'!$B$8-COUNTIFS($D$2:$D$492,'Info Lega'!$B$28,$B$2:$B$492,"A"))</f>
        <v>25</v>
      </c>
      <c r="Y275" s="18">
        <f>X275*'Parametri Modello'!$B$30</f>
        <v>25</v>
      </c>
      <c r="Z275" s="18">
        <f t="shared" si="38"/>
        <v>975</v>
      </c>
      <c r="AA275" s="18">
        <f t="shared" si="39"/>
        <v>2</v>
      </c>
      <c r="AB275" s="18"/>
      <c r="AC275" s="18" t="str">
        <f>IF($AB275="","",IF($AB275&gt;$AA275,"PASS",IF($AB275&lt;=$AA275*(1-'Parametri Modello'!$B$68),"BID","ATTENZIONE")))</f>
        <v/>
      </c>
      <c r="AD275" s="28" t="str">
        <f t="shared" si="40"/>
        <v/>
      </c>
      <c r="AE275" s="5" t="str">
        <f>IFERROR(IF($AF275="Titolare",INDEX('Stato Asta'!$G$9:$G$12,MATCH($B275,'Stato Asta'!$A$9:$A$12,0)),INDEX('Stato Asta'!$P$9:$P$12,MATCH($B275,'Stato Asta'!$A$9:$A$12,0))),"")</f>
        <v>🟢 Riserve abbondanti</v>
      </c>
      <c r="AF275" t="str">
        <f>IFERROR(IF($V275&lt;=INDEX('Parametri Modello'!$C$57:$C$60,MATCH($B275,'Parametri Modello'!$A$57:$A$60,0)),"Titolare","Riserva"),"")</f>
        <v>Riserva</v>
      </c>
      <c r="AG275" t="str">
        <f>IFERROR(INDEX('Pressione Competitiva'!$F$3:$F$6,MATCH($B275,'Pressione Competitiva'!$B$3:$B$6,0)),"")</f>
        <v>🔴 Molto Alta</v>
      </c>
      <c r="AH275" t="str">
        <f t="shared" si="41"/>
        <v/>
      </c>
      <c r="AI275" t="str">
        <f>IFERROR(IF($AH275="","",IF($AH275&gt;=$AA275*'Parametri Modello'!$B$68,"🟢 Opportunita'",IF($AH275&lt;=$AA275*'Parametri Modello'!$B$69,"🔴 Sovrapprezzo","🟡 Prezzo Corretto"))),"")</f>
        <v/>
      </c>
      <c r="AJ275" t="str">
        <f t="shared" si="42"/>
        <v/>
      </c>
      <c r="AK275">
        <f t="shared" si="43"/>
        <v>1</v>
      </c>
      <c r="AL275" t="str">
        <f t="shared" si="44"/>
        <v>C|Scommessa/Riserva|1</v>
      </c>
    </row>
    <row r="276" spans="1:38" ht="14.25" customHeight="1" x14ac:dyDescent="0.25">
      <c r="A276" s="18">
        <v>22</v>
      </c>
      <c r="B276" s="18" t="s">
        <v>264</v>
      </c>
      <c r="C276" s="18" t="s">
        <v>371</v>
      </c>
      <c r="E276" s="23" t="str">
        <f>IF(COUNTIF('Info Strategia'!$D$2:$D$51,$C276)&gt;0,"SI","NO")</f>
        <v>NO</v>
      </c>
      <c r="F276" s="24">
        <f>IFERROR(ROUND(($G276+($H276-$G276)*'Info Strategia'!$B$6)*(1+IF($E276="SI",'Parametri Modello'!$B$7*'Info Strategia'!$B$6,0)),0),"")</f>
        <v>2</v>
      </c>
      <c r="G276" s="24">
        <f>IFERROR(ROUND(MAX(1,(IF($V276&lt;=INDEX('Parametri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1</v>
      </c>
      <c r="H276" s="24">
        <f>IFERROR(ROUND((IF($V276&lt;=INDEX('Parametri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2</v>
      </c>
      <c r="I276" s="23">
        <f>IFERROR(INDEX('Input Statistiche 2025_26'!$F$3:$F$665,MATCH($A276,'Input Statistiche 2025_26'!$A$3:$A$665,0)),"")</f>
        <v>34</v>
      </c>
      <c r="J276" s="23">
        <f t="shared" si="36"/>
        <v>4</v>
      </c>
      <c r="K276" s="23">
        <f>IFERROR(INDEX('Input Statistiche 2025_26'!$I$3:$I$665,MATCH($A276,'Input Statistiche 2025_26'!$A$3:$A$665,0)),"")</f>
        <v>1</v>
      </c>
      <c r="L276" s="23">
        <f>IFERROR(INDEX('Input Statistiche 2025_26'!$O$3:$O$665,MATCH($A276,'Input Statistiche 2025_26'!$A$3:$A$665,0)),"")</f>
        <v>2</v>
      </c>
      <c r="M276" s="25"/>
      <c r="N276" s="24">
        <f>IFERROR(INDEX('Input Giocatori 2026_27'!$E$3:$E$493,MATCH($A276,'Input Giocatori 2026_27'!$A$3:$A$493,0)),"")</f>
        <v>4</v>
      </c>
      <c r="O276" s="24">
        <f>IFERROR(INDEX('Input Giocatori 2026_27'!$G$3:$G$493,MATCH($A276,'Input Giocatori 2026_27'!$A$3:$A$493,0)),"")</f>
        <v>12</v>
      </c>
      <c r="P276" s="23" t="str">
        <f>IFERROR(IF($O276="","",IF((1-(COUNTIFS($B$2:$B$492,$B276,$O$2:$O$492,"&gt;"&amp;$O276)+1-1)/COUNTIF($B$2:$B$492,$B276))&gt;='Parametri Modello'!$B$63,"Top",IF((1-(COUNTIFS($B$2:$B$492,$B276,$O$2:$O$492,"&gt;"&amp;$O276)+1-1)/COUNTIF($B$2:$B$492,$B276))&gt;='Parametri Modello'!$B$64,"Buono",IF((1-(COUNTIFS($B$2:$B$492,$B276,$O$2:$O$492,"&gt;"&amp;$O276)+1-1)/COUNTIF($B$2:$B$492,$B276))&gt;='Parametri Modello'!$B$65,"Nella Media","Scommessa/Riserva")))),"")</f>
        <v>Scommessa/Riserva</v>
      </c>
      <c r="Q276" s="26">
        <f>IF(AND($D276="",$N276&gt;1),SUMPRODUCT(($D$2:$D276="")*($N$2:$N276&gt;1)),"")</f>
        <v>275</v>
      </c>
      <c r="R276" s="26" t="str">
        <f>IF($D276='Info Lega'!$B$28,COUNTIFS($D$2:$D276,'Info Lega'!$B$28),"")</f>
        <v/>
      </c>
      <c r="S276" s="27">
        <f>IFERROR(INDEX('Input Statistiche 2025_26'!$G$3:$G$665,MATCH($A276,'Input Statistiche 2025_26'!$A$3:$A$665,0)),"")</f>
        <v>5.97</v>
      </c>
      <c r="T276" s="27">
        <f>IFERROR(INDEX('Input Statistiche 2025_26'!$H$3:$H$665,MATCH($A276,'Input Statistiche 2025_26'!$A$3:$A$665,0)),"")</f>
        <v>6</v>
      </c>
      <c r="U276" s="23" t="str">
        <f>IF(OR('La Mia Rosa'!$O$12="",$D276&lt;&gt;""),"",IF($F276&lt;='La Mia Rosa'!$O$12*'Parametri Modello'!$B$24,"OK",IF($F276&lt;='La Mia Rosa'!$O$12*'Parametri Modello'!$B$25,"Attenzione","Rischio Alto")))</f>
        <v>OK</v>
      </c>
      <c r="V276" s="23">
        <f t="shared" si="37"/>
        <v>105</v>
      </c>
      <c r="W276" s="18">
        <f>'Info Lega'!$B$4-SUMIFS($M$2:$M$492,$D$2:$D$492,'Info Lega'!$B$28)</f>
        <v>1000</v>
      </c>
      <c r="X276" s="18">
        <f>('Info Lega'!$B$5-COUNTIFS($D$2:$D$492,'Info Lega'!$B$28,$B$2:$B$492,"P"))+('Info Lega'!$B$6-COUNTIFS($D$2:$D$492,'Info Lega'!$B$28,$B$2:$B$492,"D"))+('Info Lega'!$B$7-COUNTIFS($D$2:$D$492,'Info Lega'!$B$28,$B$2:$B$492,"C"))+('Info Lega'!$B$8-COUNTIFS($D$2:$D$492,'Info Lega'!$B$28,$B$2:$B$492,"A"))</f>
        <v>25</v>
      </c>
      <c r="Y276" s="18">
        <f>X276*'Parametri Modello'!$B$30</f>
        <v>25</v>
      </c>
      <c r="Z276" s="18">
        <f t="shared" si="38"/>
        <v>975</v>
      </c>
      <c r="AA276" s="18">
        <f t="shared" si="39"/>
        <v>2</v>
      </c>
      <c r="AB276" s="18"/>
      <c r="AC276" s="18" t="str">
        <f>IF($AB276="","",IF($AB276&gt;$AA276,"PASS",IF($AB276&lt;=$AA276*(1-'Parametri Modello'!$B$68),"BID","ATTENZIONE")))</f>
        <v/>
      </c>
      <c r="AD276" s="28">
        <f t="shared" si="40"/>
        <v>68</v>
      </c>
      <c r="AE276" s="5" t="str">
        <f>IFERROR(IF($AF276="Titolare",INDEX('Stato Asta'!$G$9:$G$12,MATCH($B276,'Stato Asta'!$A$9:$A$12,0)),INDEX('Stato Asta'!$P$9:$P$12,MATCH($B276,'Stato Asta'!$A$9:$A$12,0))),"")</f>
        <v>🟢 Riserve abbondanti</v>
      </c>
      <c r="AF276" t="str">
        <f>IFERROR(IF($V276&lt;=INDEX('Parametri Modello'!$C$57:$C$60,MATCH($B276,'Parametri Modello'!$A$57:$A$60,0)),"Titolare","Riserva"),"")</f>
        <v>Riserva</v>
      </c>
      <c r="AG276" t="str">
        <f>IFERROR(INDEX('Pressione Competitiva'!$F$3:$F$6,MATCH($B276,'Pressione Competitiva'!$B$3:$B$6,0)),"")</f>
        <v>🔴 Molto Alta</v>
      </c>
      <c r="AH276" t="str">
        <f t="shared" si="41"/>
        <v/>
      </c>
      <c r="AI276" t="str">
        <f>IFERROR(IF($AH276="","",IF($AH276&gt;=$AA276*'Parametri Modello'!$B$68,"🟢 Opportunita'",IF($AH276&lt;=$AA276*'Parametri Modello'!$B$69,"🔴 Sovrapprezzo","🟡 Prezzo Corretto"))),"")</f>
        <v/>
      </c>
      <c r="AJ276" t="str">
        <f t="shared" si="42"/>
        <v/>
      </c>
      <c r="AK276">
        <f t="shared" si="43"/>
        <v>1</v>
      </c>
      <c r="AL276" t="str">
        <f t="shared" si="44"/>
        <v>C|Scommessa/Riserva|1</v>
      </c>
    </row>
    <row r="277" spans="1:38" ht="14.25" customHeight="1" x14ac:dyDescent="0.25">
      <c r="A277" s="18">
        <v>7474</v>
      </c>
      <c r="B277" s="18" t="s">
        <v>264</v>
      </c>
      <c r="C277" s="18" t="s">
        <v>376</v>
      </c>
      <c r="E277" s="23" t="str">
        <f>IF(COUNTIF('Info Strategia'!$D$2:$D$51,$C277)&gt;0,"SI","NO")</f>
        <v>NO</v>
      </c>
      <c r="F277" s="24">
        <f>IFERROR(ROUND(($G277+($H277-$G277)*'Info Strategia'!$B$6)*(1+IF($E277="SI",'Parametri Modello'!$B$7*'Info Strategia'!$B$6,0)),0),"")</f>
        <v>2</v>
      </c>
      <c r="G277" s="24">
        <f>IFERROR(ROUND(MAX(1,(IF($V277&lt;=INDEX('Parametri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1</v>
      </c>
      <c r="H277" s="24">
        <f>IFERROR(ROUND((IF($V277&lt;=INDEX('Parametri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2</v>
      </c>
      <c r="I277" s="23" t="str">
        <f>IFERROR(INDEX('Input Statistiche 2025_26'!$F$3:$F$665,MATCH($A277,'Input Statistiche 2025_26'!$A$3:$A$665,0)),"")</f>
        <v/>
      </c>
      <c r="J277" s="23" t="str">
        <f t="shared" si="36"/>
        <v/>
      </c>
      <c r="K277" s="23" t="str">
        <f>IFERROR(INDEX('Input Statistiche 2025_26'!$I$3:$I$665,MATCH($A277,'Input Statistiche 2025_26'!$A$3:$A$665,0)),"")</f>
        <v/>
      </c>
      <c r="L277" s="23" t="str">
        <f>IFERROR(INDEX('Input Statistiche 2025_26'!$O$3:$O$665,MATCH($A277,'Input Statistiche 2025_26'!$A$3:$A$665,0)),"")</f>
        <v/>
      </c>
      <c r="M277" s="25"/>
      <c r="N277" s="24">
        <f>IFERROR(INDEX('Input Giocatori 2026_27'!$E$3:$E$493,MATCH($A277,'Input Giocatori 2026_27'!$A$3:$A$493,0)),"")</f>
        <v>4</v>
      </c>
      <c r="O277" s="24">
        <f>IFERROR(INDEX('Input Giocatori 2026_27'!$G$3:$G$493,MATCH($A277,'Input Giocatori 2026_27'!$A$3:$A$493,0)),"")</f>
        <v>12</v>
      </c>
      <c r="P277" s="23" t="str">
        <f>IFERROR(IF($O277="","",IF((1-(COUNTIFS($B$2:$B$492,$B277,$O$2:$O$492,"&gt;"&amp;$O277)+1-1)/COUNTIF($B$2:$B$492,$B277))&gt;='Parametri Modello'!$B$63,"Top",IF((1-(COUNTIFS($B$2:$B$492,$B277,$O$2:$O$492,"&gt;"&amp;$O277)+1-1)/COUNTIF($B$2:$B$492,$B277))&gt;='Parametri Modello'!$B$64,"Buono",IF((1-(COUNTIFS($B$2:$B$492,$B277,$O$2:$O$492,"&gt;"&amp;$O277)+1-1)/COUNTIF($B$2:$B$492,$B277))&gt;='Parametri Modello'!$B$65,"Nella Media","Scommessa/Riserva")))),"")</f>
        <v>Scommessa/Riserva</v>
      </c>
      <c r="Q277" s="26">
        <f>IF(AND($D277="",$N277&gt;1),SUMPRODUCT(($D$2:$D277="")*($N$2:$N277&gt;1)),"")</f>
        <v>276</v>
      </c>
      <c r="R277" s="26" t="str">
        <f>IF($D277='Info Lega'!$B$28,COUNTIFS($D$2:$D277,'Info Lega'!$B$28),"")</f>
        <v/>
      </c>
      <c r="S277" s="27" t="str">
        <f>IFERROR(INDEX('Input Statistiche 2025_26'!$G$3:$G$665,MATCH($A277,'Input Statistiche 2025_26'!$A$3:$A$665,0)),"")</f>
        <v/>
      </c>
      <c r="T277" s="27" t="str">
        <f>IFERROR(INDEX('Input Statistiche 2025_26'!$H$3:$H$665,MATCH($A277,'Input Statistiche 2025_26'!$A$3:$A$665,0)),"")</f>
        <v/>
      </c>
      <c r="U277" s="23" t="str">
        <f>IF(OR('La Mia Rosa'!$O$12="",$D277&lt;&gt;""),"",IF($F277&lt;='La Mia Rosa'!$O$12*'Parametri Modello'!$B$24,"OK",IF($F277&lt;='La Mia Rosa'!$O$12*'Parametri Modello'!$B$25,"Attenzione","Rischio Alto")))</f>
        <v>OK</v>
      </c>
      <c r="V277" s="23">
        <f t="shared" si="37"/>
        <v>105</v>
      </c>
      <c r="W277" s="18">
        <f>'Info Lega'!$B$4-SUMIFS($M$2:$M$492,$D$2:$D$492,'Info Lega'!$B$28)</f>
        <v>1000</v>
      </c>
      <c r="X277" s="18">
        <f>('Info Lega'!$B$5-COUNTIFS($D$2:$D$492,'Info Lega'!$B$28,$B$2:$B$492,"P"))+('Info Lega'!$B$6-COUNTIFS($D$2:$D$492,'Info Lega'!$B$28,$B$2:$B$492,"D"))+('Info Lega'!$B$7-COUNTIFS($D$2:$D$492,'Info Lega'!$B$28,$B$2:$B$492,"C"))+('Info Lega'!$B$8-COUNTIFS($D$2:$D$492,'Info Lega'!$B$28,$B$2:$B$492,"A"))</f>
        <v>25</v>
      </c>
      <c r="Y277" s="18">
        <f>X277*'Parametri Modello'!$B$30</f>
        <v>25</v>
      </c>
      <c r="Z277" s="18">
        <f t="shared" si="38"/>
        <v>975</v>
      </c>
      <c r="AA277" s="18">
        <f t="shared" si="39"/>
        <v>2</v>
      </c>
      <c r="AB277" s="18"/>
      <c r="AC277" s="18" t="str">
        <f>IF($AB277="","",IF($AB277&gt;$AA277,"PASS",IF($AB277&lt;=$AA277*(1-'Parametri Modello'!$B$68),"BID","ATTENZIONE")))</f>
        <v/>
      </c>
      <c r="AD277" s="28" t="str">
        <f t="shared" si="40"/>
        <v/>
      </c>
      <c r="AE277" s="5" t="str">
        <f>IFERROR(IF($AF277="Titolare",INDEX('Stato Asta'!$G$9:$G$12,MATCH($B277,'Stato Asta'!$A$9:$A$12,0)),INDEX('Stato Asta'!$P$9:$P$12,MATCH($B277,'Stato Asta'!$A$9:$A$12,0))),"")</f>
        <v>🟢 Riserve abbondanti</v>
      </c>
      <c r="AF277" t="str">
        <f>IFERROR(IF($V277&lt;=INDEX('Parametri Modello'!$C$57:$C$60,MATCH($B277,'Parametri Modello'!$A$57:$A$60,0)),"Titolare","Riserva"),"")</f>
        <v>Riserva</v>
      </c>
      <c r="AG277" t="str">
        <f>IFERROR(INDEX('Pressione Competitiva'!$F$3:$F$6,MATCH($B277,'Pressione Competitiva'!$B$3:$B$6,0)),"")</f>
        <v>🔴 Molto Alta</v>
      </c>
      <c r="AH277" t="str">
        <f t="shared" si="41"/>
        <v/>
      </c>
      <c r="AI277" t="str">
        <f>IFERROR(IF($AH277="","",IF($AH277&gt;=$AA277*'Parametri Modello'!$B$68,"🟢 Opportunita'",IF($AH277&lt;=$AA277*'Parametri Modello'!$B$69,"🔴 Sovrapprezzo","🟡 Prezzo Corretto"))),"")</f>
        <v/>
      </c>
      <c r="AJ277" t="str">
        <f t="shared" si="42"/>
        <v/>
      </c>
      <c r="AK277">
        <f t="shared" si="43"/>
        <v>1</v>
      </c>
      <c r="AL277" t="str">
        <f t="shared" si="44"/>
        <v>C|Scommessa/Riserva|1</v>
      </c>
    </row>
    <row r="278" spans="1:38" ht="14.25" customHeight="1" x14ac:dyDescent="0.25">
      <c r="A278" s="18">
        <v>4911</v>
      </c>
      <c r="B278" s="18" t="s">
        <v>264</v>
      </c>
      <c r="C278" s="18" t="s">
        <v>379</v>
      </c>
      <c r="E278" s="23" t="str">
        <f>IF(COUNTIF('Info Strategia'!$D$2:$D$51,$C278)&gt;0,"SI","NO")</f>
        <v>NO</v>
      </c>
      <c r="F278" s="24">
        <f>IFERROR(ROUND(($G278+($H278-$G278)*'Info Strategia'!$B$6)*(1+IF($E278="SI",'Parametri Modello'!$B$7*'Info Strategia'!$B$6,0)),0),"")</f>
        <v>2</v>
      </c>
      <c r="G278" s="24">
        <f>IFERROR(ROUND(MAX(1,(IF($V278&lt;=INDEX('Parametri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1</v>
      </c>
      <c r="H278" s="24">
        <f>IFERROR(ROUND((IF($V278&lt;=INDEX('Parametri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2</v>
      </c>
      <c r="I278" s="23">
        <f>IFERROR(INDEX('Input Statistiche 2025_26'!$F$3:$F$665,MATCH($A278,'Input Statistiche 2025_26'!$A$3:$A$665,0)),"")</f>
        <v>0</v>
      </c>
      <c r="J278" s="23">
        <f t="shared" si="36"/>
        <v>38</v>
      </c>
      <c r="K278" s="23">
        <f>IFERROR(INDEX('Input Statistiche 2025_26'!$I$3:$I$665,MATCH($A278,'Input Statistiche 2025_26'!$A$3:$A$665,0)),"")</f>
        <v>0</v>
      </c>
      <c r="L278" s="23">
        <f>IFERROR(INDEX('Input Statistiche 2025_26'!$O$3:$O$665,MATCH($A278,'Input Statistiche 2025_26'!$A$3:$A$665,0)),"")</f>
        <v>0</v>
      </c>
      <c r="M278" s="25"/>
      <c r="N278" s="24">
        <f>IFERROR(INDEX('Input Giocatori 2026_27'!$E$3:$E$493,MATCH($A278,'Input Giocatori 2026_27'!$A$3:$A$493,0)),"")</f>
        <v>4</v>
      </c>
      <c r="O278" s="24">
        <f>IFERROR(INDEX('Input Giocatori 2026_27'!$G$3:$G$493,MATCH($A278,'Input Giocatori 2026_27'!$A$3:$A$493,0)),"")</f>
        <v>12</v>
      </c>
      <c r="P278" s="23" t="str">
        <f>IFERROR(IF($O278="","",IF((1-(COUNTIFS($B$2:$B$492,$B278,$O$2:$O$492,"&gt;"&amp;$O278)+1-1)/COUNTIF($B$2:$B$492,$B278))&gt;='Parametri Modello'!$B$63,"Top",IF((1-(COUNTIFS($B$2:$B$492,$B278,$O$2:$O$492,"&gt;"&amp;$O278)+1-1)/COUNTIF($B$2:$B$492,$B278))&gt;='Parametri Modello'!$B$64,"Buono",IF((1-(COUNTIFS($B$2:$B$492,$B278,$O$2:$O$492,"&gt;"&amp;$O278)+1-1)/COUNTIF($B$2:$B$492,$B278))&gt;='Parametri Modello'!$B$65,"Nella Media","Scommessa/Riserva")))),"")</f>
        <v>Scommessa/Riserva</v>
      </c>
      <c r="Q278" s="26">
        <f>IF(AND($D278="",$N278&gt;1),SUMPRODUCT(($D$2:$D278="")*($N$2:$N278&gt;1)),"")</f>
        <v>277</v>
      </c>
      <c r="R278" s="26" t="str">
        <f>IF($D278='Info Lega'!$B$28,COUNTIFS($D$2:$D278,'Info Lega'!$B$28),"")</f>
        <v/>
      </c>
      <c r="S278" s="27">
        <f>IFERROR(INDEX('Input Statistiche 2025_26'!$G$3:$G$665,MATCH($A278,'Input Statistiche 2025_26'!$A$3:$A$665,0)),"")</f>
        <v>0</v>
      </c>
      <c r="T278" s="27">
        <f>IFERROR(INDEX('Input Statistiche 2025_26'!$H$3:$H$665,MATCH($A278,'Input Statistiche 2025_26'!$A$3:$A$665,0)),"")</f>
        <v>0</v>
      </c>
      <c r="U278" s="23" t="str">
        <f>IF(OR('La Mia Rosa'!$O$12="",$D278&lt;&gt;""),"",IF($F278&lt;='La Mia Rosa'!$O$12*'Parametri Modello'!$B$24,"OK",IF($F278&lt;='La Mia Rosa'!$O$12*'Parametri Modello'!$B$25,"Attenzione","Rischio Alto")))</f>
        <v>OK</v>
      </c>
      <c r="V278" s="23">
        <f t="shared" si="37"/>
        <v>105</v>
      </c>
      <c r="W278" s="18">
        <f>'Info Lega'!$B$4-SUMIFS($M$2:$M$492,$D$2:$D$492,'Info Lega'!$B$28)</f>
        <v>1000</v>
      </c>
      <c r="X278" s="18">
        <f>('Info Lega'!$B$5-COUNTIFS($D$2:$D$492,'Info Lega'!$B$28,$B$2:$B$492,"P"))+('Info Lega'!$B$6-COUNTIFS($D$2:$D$492,'Info Lega'!$B$28,$B$2:$B$492,"D"))+('Info Lega'!$B$7-COUNTIFS($D$2:$D$492,'Info Lega'!$B$28,$B$2:$B$492,"C"))+('Info Lega'!$B$8-COUNTIFS($D$2:$D$492,'Info Lega'!$B$28,$B$2:$B$492,"A"))</f>
        <v>25</v>
      </c>
      <c r="Y278" s="18">
        <f>X278*'Parametri Modello'!$B$30</f>
        <v>25</v>
      </c>
      <c r="Z278" s="18">
        <f t="shared" si="38"/>
        <v>975</v>
      </c>
      <c r="AA278" s="18">
        <f t="shared" si="39"/>
        <v>2</v>
      </c>
      <c r="AB278" s="18"/>
      <c r="AC278" s="18" t="str">
        <f>IF($AB278="","",IF($AB278&gt;$AA278,"PASS",IF($AB278&lt;=$AA278*(1-'Parametri Modello'!$B$68),"BID","ATTENZIONE")))</f>
        <v/>
      </c>
      <c r="AD278" s="28">
        <f t="shared" si="40"/>
        <v>0</v>
      </c>
      <c r="AE278" s="5" t="str">
        <f>IFERROR(IF($AF278="Titolare",INDEX('Stato Asta'!$G$9:$G$12,MATCH($B278,'Stato Asta'!$A$9:$A$12,0)),INDEX('Stato Asta'!$P$9:$P$12,MATCH($B278,'Stato Asta'!$A$9:$A$12,0))),"")</f>
        <v>🟢 Riserve abbondanti</v>
      </c>
      <c r="AF278" t="str">
        <f>IFERROR(IF($V278&lt;=INDEX('Parametri Modello'!$C$57:$C$60,MATCH($B278,'Parametri Modello'!$A$57:$A$60,0)),"Titolare","Riserva"),"")</f>
        <v>Riserva</v>
      </c>
      <c r="AG278" t="str">
        <f>IFERROR(INDEX('Pressione Competitiva'!$F$3:$F$6,MATCH($B278,'Pressione Competitiva'!$B$3:$B$6,0)),"")</f>
        <v>🔴 Molto Alta</v>
      </c>
      <c r="AH278" t="str">
        <f t="shared" si="41"/>
        <v/>
      </c>
      <c r="AI278" t="str">
        <f>IFERROR(IF($AH278="","",IF($AH278&gt;=$AA278*'Parametri Modello'!$B$68,"🟢 Opportunita'",IF($AH278&lt;=$AA278*'Parametri Modello'!$B$69,"🔴 Sovrapprezzo","🟡 Prezzo Corretto"))),"")</f>
        <v/>
      </c>
      <c r="AJ278" t="str">
        <f t="shared" si="42"/>
        <v/>
      </c>
      <c r="AK278">
        <f t="shared" si="43"/>
        <v>1</v>
      </c>
      <c r="AL278" t="str">
        <f t="shared" si="44"/>
        <v>C|Scommessa/Riserva|1</v>
      </c>
    </row>
    <row r="279" spans="1:38" ht="14.25" customHeight="1" x14ac:dyDescent="0.25">
      <c r="A279" s="18">
        <v>333</v>
      </c>
      <c r="B279" s="18" t="s">
        <v>264</v>
      </c>
      <c r="C279" s="18" t="s">
        <v>380</v>
      </c>
      <c r="E279" s="23" t="str">
        <f>IF(COUNTIF('Info Strategia'!$D$2:$D$51,$C279)&gt;0,"SI","NO")</f>
        <v>NO</v>
      </c>
      <c r="F279" s="24">
        <f>IFERROR(ROUND(($G279+($H279-$G279)*'Info Strategia'!$B$6)*(1+IF($E279="SI",'Parametri Modello'!$B$7*'Info Strategia'!$B$6,0)),0),"")</f>
        <v>2</v>
      </c>
      <c r="G279" s="24">
        <f>IFERROR(ROUND(MAX(1,(IF($V279&lt;=INDEX('Parametri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1</v>
      </c>
      <c r="H279" s="24">
        <f>IFERROR(ROUND((IF($V279&lt;=INDEX('Parametri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2</v>
      </c>
      <c r="I279" s="23">
        <f>IFERROR(INDEX('Input Statistiche 2025_26'!$F$3:$F$665,MATCH($A279,'Input Statistiche 2025_26'!$A$3:$A$665,0)),"")</f>
        <v>27</v>
      </c>
      <c r="J279" s="23">
        <f t="shared" si="36"/>
        <v>11</v>
      </c>
      <c r="K279" s="23">
        <f>IFERROR(INDEX('Input Statistiche 2025_26'!$I$3:$I$665,MATCH($A279,'Input Statistiche 2025_26'!$A$3:$A$665,0)),"")</f>
        <v>3</v>
      </c>
      <c r="L279" s="23">
        <f>IFERROR(INDEX('Input Statistiche 2025_26'!$O$3:$O$665,MATCH($A279,'Input Statistiche 2025_26'!$A$3:$A$665,0)),"")</f>
        <v>3</v>
      </c>
      <c r="M279" s="25"/>
      <c r="N279" s="24">
        <f>IFERROR(INDEX('Input Giocatori 2026_27'!$E$3:$E$493,MATCH($A279,'Input Giocatori 2026_27'!$A$3:$A$493,0)),"")</f>
        <v>4</v>
      </c>
      <c r="O279" s="24">
        <f>IFERROR(INDEX('Input Giocatori 2026_27'!$G$3:$G$493,MATCH($A279,'Input Giocatori 2026_27'!$A$3:$A$493,0)),"")</f>
        <v>12</v>
      </c>
      <c r="P279" s="23" t="str">
        <f>IFERROR(IF($O279="","",IF((1-(COUNTIFS($B$2:$B$492,$B279,$O$2:$O$492,"&gt;"&amp;$O279)+1-1)/COUNTIF($B$2:$B$492,$B279))&gt;='Parametri Modello'!$B$63,"Top",IF((1-(COUNTIFS($B$2:$B$492,$B279,$O$2:$O$492,"&gt;"&amp;$O279)+1-1)/COUNTIF($B$2:$B$492,$B279))&gt;='Parametri Modello'!$B$64,"Buono",IF((1-(COUNTIFS($B$2:$B$492,$B279,$O$2:$O$492,"&gt;"&amp;$O279)+1-1)/COUNTIF($B$2:$B$492,$B279))&gt;='Parametri Modello'!$B$65,"Nella Media","Scommessa/Riserva")))),"")</f>
        <v>Scommessa/Riserva</v>
      </c>
      <c r="Q279" s="26">
        <f>IF(AND($D279="",$N279&gt;1),SUMPRODUCT(($D$2:$D279="")*($N$2:$N279&gt;1)),"")</f>
        <v>278</v>
      </c>
      <c r="R279" s="26" t="str">
        <f>IF($D279='Info Lega'!$B$28,COUNTIFS($D$2:$D279,'Info Lega'!$B$28),"")</f>
        <v/>
      </c>
      <c r="S279" s="27">
        <f>IFERROR(INDEX('Input Statistiche 2025_26'!$G$3:$G$665,MATCH($A279,'Input Statistiche 2025_26'!$A$3:$A$665,0)),"")</f>
        <v>6.07</v>
      </c>
      <c r="T279" s="27">
        <f>IFERROR(INDEX('Input Statistiche 2025_26'!$H$3:$H$665,MATCH($A279,'Input Statistiche 2025_26'!$A$3:$A$665,0)),"")</f>
        <v>6.41</v>
      </c>
      <c r="U279" s="23" t="str">
        <f>IF(OR('La Mia Rosa'!$O$12="",$D279&lt;&gt;""),"",IF($F279&lt;='La Mia Rosa'!$O$12*'Parametri Modello'!$B$24,"OK",IF($F279&lt;='La Mia Rosa'!$O$12*'Parametri Modello'!$B$25,"Attenzione","Rischio Alto")))</f>
        <v>OK</v>
      </c>
      <c r="V279" s="23">
        <f t="shared" si="37"/>
        <v>105</v>
      </c>
      <c r="W279" s="18">
        <f>'Info Lega'!$B$4-SUMIFS($M$2:$M$492,$D$2:$D$492,'Info Lega'!$B$28)</f>
        <v>1000</v>
      </c>
      <c r="X279" s="18">
        <f>('Info Lega'!$B$5-COUNTIFS($D$2:$D$492,'Info Lega'!$B$28,$B$2:$B$492,"P"))+('Info Lega'!$B$6-COUNTIFS($D$2:$D$492,'Info Lega'!$B$28,$B$2:$B$492,"D"))+('Info Lega'!$B$7-COUNTIFS($D$2:$D$492,'Info Lega'!$B$28,$B$2:$B$492,"C"))+('Info Lega'!$B$8-COUNTIFS($D$2:$D$492,'Info Lega'!$B$28,$B$2:$B$492,"A"))</f>
        <v>25</v>
      </c>
      <c r="Y279" s="18">
        <f>X279*'Parametri Modello'!$B$30</f>
        <v>25</v>
      </c>
      <c r="Z279" s="18">
        <f t="shared" si="38"/>
        <v>975</v>
      </c>
      <c r="AA279" s="18">
        <f t="shared" si="39"/>
        <v>2</v>
      </c>
      <c r="AB279" s="18"/>
      <c r="AC279" s="18" t="str">
        <f>IF($AB279="","",IF($AB279&gt;$AA279,"PASS",IF($AB279&lt;=$AA279*(1-'Parametri Modello'!$B$68),"BID","ATTENZIONE")))</f>
        <v/>
      </c>
      <c r="AD279" s="28">
        <f t="shared" si="40"/>
        <v>59</v>
      </c>
      <c r="AE279" s="5" t="str">
        <f>IFERROR(IF($AF279="Titolare",INDEX('Stato Asta'!$G$9:$G$12,MATCH($B279,'Stato Asta'!$A$9:$A$12,0)),INDEX('Stato Asta'!$P$9:$P$12,MATCH($B279,'Stato Asta'!$A$9:$A$12,0))),"")</f>
        <v>🟢 Riserve abbondanti</v>
      </c>
      <c r="AF279" t="str">
        <f>IFERROR(IF($V279&lt;=INDEX('Parametri Modello'!$C$57:$C$60,MATCH($B279,'Parametri Modello'!$A$57:$A$60,0)),"Titolare","Riserva"),"")</f>
        <v>Riserva</v>
      </c>
      <c r="AG279" t="str">
        <f>IFERROR(INDEX('Pressione Competitiva'!$F$3:$F$6,MATCH($B279,'Pressione Competitiva'!$B$3:$B$6,0)),"")</f>
        <v>🔴 Molto Alta</v>
      </c>
      <c r="AH279" t="str">
        <f t="shared" si="41"/>
        <v/>
      </c>
      <c r="AI279" t="str">
        <f>IFERROR(IF($AH279="","",IF($AH279&gt;=$AA279*'Parametri Modello'!$B$68,"🟢 Opportunita'",IF($AH279&lt;=$AA279*'Parametri Modello'!$B$69,"🔴 Sovrapprezzo","🟡 Prezzo Corretto"))),"")</f>
        <v/>
      </c>
      <c r="AJ279" t="str">
        <f t="shared" si="42"/>
        <v/>
      </c>
      <c r="AK279">
        <f t="shared" si="43"/>
        <v>1</v>
      </c>
      <c r="AL279" t="str">
        <f t="shared" si="44"/>
        <v>C|Scommessa/Riserva|1</v>
      </c>
    </row>
    <row r="280" spans="1:38" ht="14.25" customHeight="1" x14ac:dyDescent="0.25">
      <c r="A280" s="18">
        <v>6827</v>
      </c>
      <c r="B280" s="18" t="s">
        <v>264</v>
      </c>
      <c r="C280" s="18" t="s">
        <v>390</v>
      </c>
      <c r="E280" s="23" t="str">
        <f>IF(COUNTIF('Info Strategia'!$D$2:$D$51,$C280)&gt;0,"SI","NO")</f>
        <v>NO</v>
      </c>
      <c r="F280" s="24">
        <f>IFERROR(ROUND(($G280+($H280-$G280)*'Info Strategia'!$B$6)*(1+IF($E280="SI",'Parametri Modello'!$B$7*'Info Strategia'!$B$6,0)),0),"")</f>
        <v>2</v>
      </c>
      <c r="G280" s="24">
        <f>IFERROR(ROUND(MAX(1,(IF($V280&lt;=INDEX('Parametri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1</v>
      </c>
      <c r="H280" s="24">
        <f>IFERROR(ROUND((IF($V280&lt;=INDEX('Parametri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2</v>
      </c>
      <c r="I280" s="23">
        <f>IFERROR(INDEX('Input Statistiche 2025_26'!$F$3:$F$665,MATCH($A280,'Input Statistiche 2025_26'!$A$3:$A$665,0)),"")</f>
        <v>10</v>
      </c>
      <c r="J280" s="23">
        <f t="shared" si="36"/>
        <v>28</v>
      </c>
      <c r="K280" s="23">
        <f>IFERROR(INDEX('Input Statistiche 2025_26'!$I$3:$I$665,MATCH($A280,'Input Statistiche 2025_26'!$A$3:$A$665,0)),"")</f>
        <v>1</v>
      </c>
      <c r="L280" s="23">
        <f>IFERROR(INDEX('Input Statistiche 2025_26'!$O$3:$O$665,MATCH($A280,'Input Statistiche 2025_26'!$A$3:$A$665,0)),"")</f>
        <v>1</v>
      </c>
      <c r="M280" s="25"/>
      <c r="N280" s="24">
        <f>IFERROR(INDEX('Input Giocatori 2026_27'!$E$3:$E$493,MATCH($A280,'Input Giocatori 2026_27'!$A$3:$A$493,0)),"")</f>
        <v>4</v>
      </c>
      <c r="O280" s="24">
        <f>IFERROR(INDEX('Input Giocatori 2026_27'!$G$3:$G$493,MATCH($A280,'Input Giocatori 2026_27'!$A$3:$A$493,0)),"")</f>
        <v>12</v>
      </c>
      <c r="P280" s="23" t="str">
        <f>IFERROR(IF($O280="","",IF((1-(COUNTIFS($B$2:$B$492,$B280,$O$2:$O$492,"&gt;"&amp;$O280)+1-1)/COUNTIF($B$2:$B$492,$B280))&gt;='Parametri Modello'!$B$63,"Top",IF((1-(COUNTIFS($B$2:$B$492,$B280,$O$2:$O$492,"&gt;"&amp;$O280)+1-1)/COUNTIF($B$2:$B$492,$B280))&gt;='Parametri Modello'!$B$64,"Buono",IF((1-(COUNTIFS($B$2:$B$492,$B280,$O$2:$O$492,"&gt;"&amp;$O280)+1-1)/COUNTIF($B$2:$B$492,$B280))&gt;='Parametri Modello'!$B$65,"Nella Media","Scommessa/Riserva")))),"")</f>
        <v>Scommessa/Riserva</v>
      </c>
      <c r="Q280" s="26">
        <f>IF(AND($D280="",$N280&gt;1),SUMPRODUCT(($D$2:$D280="")*($N$2:$N280&gt;1)),"")</f>
        <v>279</v>
      </c>
      <c r="R280" s="26" t="str">
        <f>IF($D280='Info Lega'!$B$28,COUNTIFS($D$2:$D280,'Info Lega'!$B$28),"")</f>
        <v/>
      </c>
      <c r="S280" s="27">
        <f>IFERROR(INDEX('Input Statistiche 2025_26'!$G$3:$G$665,MATCH($A280,'Input Statistiche 2025_26'!$A$3:$A$665,0)),"")</f>
        <v>5.8</v>
      </c>
      <c r="T280" s="27">
        <f>IFERROR(INDEX('Input Statistiche 2025_26'!$H$3:$H$665,MATCH($A280,'Input Statistiche 2025_26'!$A$3:$A$665,0)),"")</f>
        <v>6.15</v>
      </c>
      <c r="U280" s="23" t="str">
        <f>IF(OR('La Mia Rosa'!$O$12="",$D280&lt;&gt;""),"",IF($F280&lt;='La Mia Rosa'!$O$12*'Parametri Modello'!$B$24,"OK",IF($F280&lt;='La Mia Rosa'!$O$12*'Parametri Modello'!$B$25,"Attenzione","Rischio Alto")))</f>
        <v>OK</v>
      </c>
      <c r="V280" s="23">
        <f t="shared" si="37"/>
        <v>105</v>
      </c>
      <c r="W280" s="18">
        <f>'Info Lega'!$B$4-SUMIFS($M$2:$M$492,$D$2:$D$492,'Info Lega'!$B$28)</f>
        <v>1000</v>
      </c>
      <c r="X280" s="18">
        <f>('Info Lega'!$B$5-COUNTIFS($D$2:$D$492,'Info Lega'!$B$28,$B$2:$B$492,"P"))+('Info Lega'!$B$6-COUNTIFS($D$2:$D$492,'Info Lega'!$B$28,$B$2:$B$492,"D"))+('Info Lega'!$B$7-COUNTIFS($D$2:$D$492,'Info Lega'!$B$28,$B$2:$B$492,"C"))+('Info Lega'!$B$8-COUNTIFS($D$2:$D$492,'Info Lega'!$B$28,$B$2:$B$492,"A"))</f>
        <v>25</v>
      </c>
      <c r="Y280" s="18">
        <f>X280*'Parametri Modello'!$B$30</f>
        <v>25</v>
      </c>
      <c r="Z280" s="18">
        <f t="shared" si="38"/>
        <v>975</v>
      </c>
      <c r="AA280" s="18">
        <f t="shared" si="39"/>
        <v>2</v>
      </c>
      <c r="AB280" s="18"/>
      <c r="AC280" s="18" t="str">
        <f>IF($AB280="","",IF($AB280&gt;$AA280,"PASS",IF($AB280&lt;=$AA280*(1-'Parametri Modello'!$B$68),"BID","ATTENZIONE")))</f>
        <v/>
      </c>
      <c r="AD280" s="28">
        <f t="shared" si="40"/>
        <v>28</v>
      </c>
      <c r="AE280" s="5" t="str">
        <f>IFERROR(IF($AF280="Titolare",INDEX('Stato Asta'!$G$9:$G$12,MATCH($B280,'Stato Asta'!$A$9:$A$12,0)),INDEX('Stato Asta'!$P$9:$P$12,MATCH($B280,'Stato Asta'!$A$9:$A$12,0))),"")</f>
        <v>🟢 Riserve abbondanti</v>
      </c>
      <c r="AF280" t="str">
        <f>IFERROR(IF($V280&lt;=INDEX('Parametri Modello'!$C$57:$C$60,MATCH($B280,'Parametri Modello'!$A$57:$A$60,0)),"Titolare","Riserva"),"")</f>
        <v>Riserva</v>
      </c>
      <c r="AG280" t="str">
        <f>IFERROR(INDEX('Pressione Competitiva'!$F$3:$F$6,MATCH($B280,'Pressione Competitiva'!$B$3:$B$6,0)),"")</f>
        <v>🔴 Molto Alta</v>
      </c>
      <c r="AH280" t="str">
        <f t="shared" si="41"/>
        <v/>
      </c>
      <c r="AI280" t="str">
        <f>IFERROR(IF($AH280="","",IF($AH280&gt;=$AA280*'Parametri Modello'!$B$68,"🟢 Opportunita'",IF($AH280&lt;=$AA280*'Parametri Modello'!$B$69,"🔴 Sovrapprezzo","🟡 Prezzo Corretto"))),"")</f>
        <v/>
      </c>
      <c r="AJ280" t="str">
        <f t="shared" si="42"/>
        <v/>
      </c>
      <c r="AK280">
        <f t="shared" si="43"/>
        <v>1</v>
      </c>
      <c r="AL280" t="str">
        <f t="shared" si="44"/>
        <v>C|Scommessa/Riserva|1</v>
      </c>
    </row>
    <row r="281" spans="1:38" ht="14.25" customHeight="1" x14ac:dyDescent="0.25">
      <c r="A281" s="18">
        <v>7209</v>
      </c>
      <c r="B281" s="18" t="s">
        <v>264</v>
      </c>
      <c r="C281" s="18" t="s">
        <v>402</v>
      </c>
      <c r="E281" s="23" t="str">
        <f>IF(COUNTIF('Info Strategia'!$D$2:$D$51,$C281)&gt;0,"SI","NO")</f>
        <v>NO</v>
      </c>
      <c r="F281" s="24">
        <f>IFERROR(ROUND(($G281+($H281-$G281)*'Info Strategia'!$B$6)*(1+IF($E281="SI",'Parametri Modello'!$B$7*'Info Strategia'!$B$6,0)),0),"")</f>
        <v>2</v>
      </c>
      <c r="G281" s="24">
        <f>IFERROR(ROUND(MAX(1,(IF($V281&lt;=INDEX('Parametri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1</v>
      </c>
      <c r="H281" s="24">
        <f>IFERROR(ROUND((IF($V281&lt;=INDEX('Parametri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2</v>
      </c>
      <c r="I281" s="23">
        <f>IFERROR(INDEX('Input Statistiche 2025_26'!$F$3:$F$665,MATCH($A281,'Input Statistiche 2025_26'!$A$3:$A$665,0)),"")</f>
        <v>30</v>
      </c>
      <c r="J281" s="23">
        <f t="shared" si="36"/>
        <v>8</v>
      </c>
      <c r="K281" s="23">
        <f>IFERROR(INDEX('Input Statistiche 2025_26'!$I$3:$I$665,MATCH($A281,'Input Statistiche 2025_26'!$A$3:$A$665,0)),"")</f>
        <v>1</v>
      </c>
      <c r="L281" s="23">
        <f>IFERROR(INDEX('Input Statistiche 2025_26'!$O$3:$O$665,MATCH($A281,'Input Statistiche 2025_26'!$A$3:$A$665,0)),"")</f>
        <v>1</v>
      </c>
      <c r="M281" s="25"/>
      <c r="N281" s="24">
        <f>IFERROR(INDEX('Input Giocatori 2026_27'!$E$3:$E$493,MATCH($A281,'Input Giocatori 2026_27'!$A$3:$A$493,0)),"")</f>
        <v>3</v>
      </c>
      <c r="O281" s="24">
        <f>IFERROR(INDEX('Input Giocatori 2026_27'!$G$3:$G$493,MATCH($A281,'Input Giocatori 2026_27'!$A$3:$A$493,0)),"")</f>
        <v>12</v>
      </c>
      <c r="P281" s="23" t="str">
        <f>IFERROR(IF($O281="","",IF((1-(COUNTIFS($B$2:$B$492,$B281,$O$2:$O$492,"&gt;"&amp;$O281)+1-1)/COUNTIF($B$2:$B$492,$B281))&gt;='Parametri Modello'!$B$63,"Top",IF((1-(COUNTIFS($B$2:$B$492,$B281,$O$2:$O$492,"&gt;"&amp;$O281)+1-1)/COUNTIF($B$2:$B$492,$B281))&gt;='Parametri Modello'!$B$64,"Buono",IF((1-(COUNTIFS($B$2:$B$492,$B281,$O$2:$O$492,"&gt;"&amp;$O281)+1-1)/COUNTIF($B$2:$B$492,$B281))&gt;='Parametri Modello'!$B$65,"Nella Media","Scommessa/Riserva")))),"")</f>
        <v>Scommessa/Riserva</v>
      </c>
      <c r="Q281" s="26">
        <f>IF(AND($D281="",$N281&gt;1),SUMPRODUCT(($D$2:$D281="")*($N$2:$N281&gt;1)),"")</f>
        <v>280</v>
      </c>
      <c r="R281" s="26" t="str">
        <f>IF($D281='Info Lega'!$B$28,COUNTIFS($D$2:$D281,'Info Lega'!$B$28),"")</f>
        <v/>
      </c>
      <c r="S281" s="27">
        <f>IFERROR(INDEX('Input Statistiche 2025_26'!$G$3:$G$665,MATCH($A281,'Input Statistiche 2025_26'!$A$3:$A$665,0)),"")</f>
        <v>5.85</v>
      </c>
      <c r="T281" s="27">
        <f>IFERROR(INDEX('Input Statistiche 2025_26'!$H$3:$H$665,MATCH($A281,'Input Statistiche 2025_26'!$A$3:$A$665,0)),"")</f>
        <v>5.95</v>
      </c>
      <c r="U281" s="23" t="str">
        <f>IF(OR('La Mia Rosa'!$O$12="",$D281&lt;&gt;""),"",IF($F281&lt;='La Mia Rosa'!$O$12*'Parametri Modello'!$B$24,"OK",IF($F281&lt;='La Mia Rosa'!$O$12*'Parametri Modello'!$B$25,"Attenzione","Rischio Alto")))</f>
        <v>OK</v>
      </c>
      <c r="V281" s="23">
        <f t="shared" si="37"/>
        <v>105</v>
      </c>
      <c r="W281" s="18">
        <f>'Info Lega'!$B$4-SUMIFS($M$2:$M$492,$D$2:$D$492,'Info Lega'!$B$28)</f>
        <v>1000</v>
      </c>
      <c r="X281" s="18">
        <f>('Info Lega'!$B$5-COUNTIFS($D$2:$D$492,'Info Lega'!$B$28,$B$2:$B$492,"P"))+('Info Lega'!$B$6-COUNTIFS($D$2:$D$492,'Info Lega'!$B$28,$B$2:$B$492,"D"))+('Info Lega'!$B$7-COUNTIFS($D$2:$D$492,'Info Lega'!$B$28,$B$2:$B$492,"C"))+('Info Lega'!$B$8-COUNTIFS($D$2:$D$492,'Info Lega'!$B$28,$B$2:$B$492,"A"))</f>
        <v>25</v>
      </c>
      <c r="Y281" s="18">
        <f>X281*'Parametri Modello'!$B$30</f>
        <v>25</v>
      </c>
      <c r="Z281" s="18">
        <f t="shared" si="38"/>
        <v>975</v>
      </c>
      <c r="AA281" s="18">
        <f t="shared" si="39"/>
        <v>2</v>
      </c>
      <c r="AB281" s="18"/>
      <c r="AC281" s="18" t="str">
        <f>IF($AB281="","",IF($AB281&gt;$AA281,"PASS",IF($AB281&lt;=$AA281*(1-'Parametri Modello'!$B$68),"BID","ATTENZIONE")))</f>
        <v/>
      </c>
      <c r="AD281" s="28">
        <f t="shared" si="40"/>
        <v>63</v>
      </c>
      <c r="AE281" s="5" t="str">
        <f>IFERROR(IF($AF281="Titolare",INDEX('Stato Asta'!$G$9:$G$12,MATCH($B281,'Stato Asta'!$A$9:$A$12,0)),INDEX('Stato Asta'!$P$9:$P$12,MATCH($B281,'Stato Asta'!$A$9:$A$12,0))),"")</f>
        <v>🟢 Riserve abbondanti</v>
      </c>
      <c r="AF281" t="str">
        <f>IFERROR(IF($V281&lt;=INDEX('Parametri Modello'!$C$57:$C$60,MATCH($B281,'Parametri Modello'!$A$57:$A$60,0)),"Titolare","Riserva"),"")</f>
        <v>Riserva</v>
      </c>
      <c r="AG281" t="str">
        <f>IFERROR(INDEX('Pressione Competitiva'!$F$3:$F$6,MATCH($B281,'Pressione Competitiva'!$B$3:$B$6,0)),"")</f>
        <v>🔴 Molto Alta</v>
      </c>
      <c r="AH281" t="str">
        <f t="shared" si="41"/>
        <v/>
      </c>
      <c r="AI281" t="str">
        <f>IFERROR(IF($AH281="","",IF($AH281&gt;=$AA281*'Parametri Modello'!$B$68,"🟢 Opportunita'",IF($AH281&lt;=$AA281*'Parametri Modello'!$B$69,"🔴 Sovrapprezzo","🟡 Prezzo Corretto"))),"")</f>
        <v/>
      </c>
      <c r="AJ281" t="str">
        <f t="shared" si="42"/>
        <v/>
      </c>
      <c r="AK281">
        <f t="shared" si="43"/>
        <v>1</v>
      </c>
      <c r="AL281" t="str">
        <f t="shared" si="44"/>
        <v>C|Scommessa/Riserva|1</v>
      </c>
    </row>
    <row r="282" spans="1:38" ht="14.25" customHeight="1" x14ac:dyDescent="0.25">
      <c r="A282" s="18">
        <v>7536</v>
      </c>
      <c r="B282" s="18" t="s">
        <v>264</v>
      </c>
      <c r="C282" s="18" t="s">
        <v>403</v>
      </c>
      <c r="E282" s="23" t="str">
        <f>IF(COUNTIF('Info Strategia'!$D$2:$D$51,$C282)&gt;0,"SI","NO")</f>
        <v>NO</v>
      </c>
      <c r="F282" s="24">
        <f>IFERROR(ROUND(($G282+($H282-$G282)*'Info Strategia'!$B$6)*(1+IF($E282="SI",'Parametri Modello'!$B$7*'Info Strategia'!$B$6,0)),0),"")</f>
        <v>2</v>
      </c>
      <c r="G282" s="24">
        <f>IFERROR(ROUND(MAX(1,(IF($V282&lt;=INDEX('Parametri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1</v>
      </c>
      <c r="H282" s="24">
        <f>IFERROR(ROUND((IF($V282&lt;=INDEX('Parametri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2</v>
      </c>
      <c r="I282" s="23" t="str">
        <f>IFERROR(INDEX('Input Statistiche 2025_26'!$F$3:$F$665,MATCH($A282,'Input Statistiche 2025_26'!$A$3:$A$665,0)),"")</f>
        <v/>
      </c>
      <c r="J282" s="23" t="str">
        <f t="shared" si="36"/>
        <v/>
      </c>
      <c r="K282" s="23" t="str">
        <f>IFERROR(INDEX('Input Statistiche 2025_26'!$I$3:$I$665,MATCH($A282,'Input Statistiche 2025_26'!$A$3:$A$665,0)),"")</f>
        <v/>
      </c>
      <c r="L282" s="23" t="str">
        <f>IFERROR(INDEX('Input Statistiche 2025_26'!$O$3:$O$665,MATCH($A282,'Input Statistiche 2025_26'!$A$3:$A$665,0)),"")</f>
        <v/>
      </c>
      <c r="M282" s="25"/>
      <c r="N282" s="24">
        <f>IFERROR(INDEX('Input Giocatori 2026_27'!$E$3:$E$493,MATCH($A282,'Input Giocatori 2026_27'!$A$3:$A$493,0)),"")</f>
        <v>3</v>
      </c>
      <c r="O282" s="24">
        <f>IFERROR(INDEX('Input Giocatori 2026_27'!$G$3:$G$493,MATCH($A282,'Input Giocatori 2026_27'!$A$3:$A$493,0)),"")</f>
        <v>12</v>
      </c>
      <c r="P282" s="23" t="str">
        <f>IFERROR(IF($O282="","",IF((1-(COUNTIFS($B$2:$B$492,$B282,$O$2:$O$492,"&gt;"&amp;$O282)+1-1)/COUNTIF($B$2:$B$492,$B282))&gt;='Parametri Modello'!$B$63,"Top",IF((1-(COUNTIFS($B$2:$B$492,$B282,$O$2:$O$492,"&gt;"&amp;$O282)+1-1)/COUNTIF($B$2:$B$492,$B282))&gt;='Parametri Modello'!$B$64,"Buono",IF((1-(COUNTIFS($B$2:$B$492,$B282,$O$2:$O$492,"&gt;"&amp;$O282)+1-1)/COUNTIF($B$2:$B$492,$B282))&gt;='Parametri Modello'!$B$65,"Nella Media","Scommessa/Riserva")))),"")</f>
        <v>Scommessa/Riserva</v>
      </c>
      <c r="Q282" s="26">
        <f>IF(AND($D282="",$N282&gt;1),SUMPRODUCT(($D$2:$D282="")*($N$2:$N282&gt;1)),"")</f>
        <v>281</v>
      </c>
      <c r="R282" s="26" t="str">
        <f>IF($D282='Info Lega'!$B$28,COUNTIFS($D$2:$D282,'Info Lega'!$B$28),"")</f>
        <v/>
      </c>
      <c r="S282" s="27" t="str">
        <f>IFERROR(INDEX('Input Statistiche 2025_26'!$G$3:$G$665,MATCH($A282,'Input Statistiche 2025_26'!$A$3:$A$665,0)),"")</f>
        <v/>
      </c>
      <c r="T282" s="27" t="str">
        <f>IFERROR(INDEX('Input Statistiche 2025_26'!$H$3:$H$665,MATCH($A282,'Input Statistiche 2025_26'!$A$3:$A$665,0)),"")</f>
        <v/>
      </c>
      <c r="U282" s="23" t="str">
        <f>IF(OR('La Mia Rosa'!$O$12="",$D282&lt;&gt;""),"",IF($F282&lt;='La Mia Rosa'!$O$12*'Parametri Modello'!$B$24,"OK",IF($F282&lt;='La Mia Rosa'!$O$12*'Parametri Modello'!$B$25,"Attenzione","Rischio Alto")))</f>
        <v>OK</v>
      </c>
      <c r="V282" s="23">
        <f t="shared" si="37"/>
        <v>105</v>
      </c>
      <c r="W282" s="18">
        <f>'Info Lega'!$B$4-SUMIFS($M$2:$M$492,$D$2:$D$492,'Info Lega'!$B$28)</f>
        <v>1000</v>
      </c>
      <c r="X282" s="18">
        <f>('Info Lega'!$B$5-COUNTIFS($D$2:$D$492,'Info Lega'!$B$28,$B$2:$B$492,"P"))+('Info Lega'!$B$6-COUNTIFS($D$2:$D$492,'Info Lega'!$B$28,$B$2:$B$492,"D"))+('Info Lega'!$B$7-COUNTIFS($D$2:$D$492,'Info Lega'!$B$28,$B$2:$B$492,"C"))+('Info Lega'!$B$8-COUNTIFS($D$2:$D$492,'Info Lega'!$B$28,$B$2:$B$492,"A"))</f>
        <v>25</v>
      </c>
      <c r="Y282" s="18">
        <f>X282*'Parametri Modello'!$B$30</f>
        <v>25</v>
      </c>
      <c r="Z282" s="18">
        <f t="shared" si="38"/>
        <v>975</v>
      </c>
      <c r="AA282" s="18">
        <f t="shared" si="39"/>
        <v>2</v>
      </c>
      <c r="AB282" s="18"/>
      <c r="AC282" s="18" t="str">
        <f>IF($AB282="","",IF($AB282&gt;$AA282,"PASS",IF($AB282&lt;=$AA282*(1-'Parametri Modello'!$B$68),"BID","ATTENZIONE")))</f>
        <v/>
      </c>
      <c r="AD282" s="28" t="str">
        <f t="shared" si="40"/>
        <v/>
      </c>
      <c r="AE282" s="5" t="str">
        <f>IFERROR(IF($AF282="Titolare",INDEX('Stato Asta'!$G$9:$G$12,MATCH($B282,'Stato Asta'!$A$9:$A$12,0)),INDEX('Stato Asta'!$P$9:$P$12,MATCH($B282,'Stato Asta'!$A$9:$A$12,0))),"")</f>
        <v>🟢 Riserve abbondanti</v>
      </c>
      <c r="AF282" t="str">
        <f>IFERROR(IF($V282&lt;=INDEX('Parametri Modello'!$C$57:$C$60,MATCH($B282,'Parametri Modello'!$A$57:$A$60,0)),"Titolare","Riserva"),"")</f>
        <v>Riserva</v>
      </c>
      <c r="AG282" t="str">
        <f>IFERROR(INDEX('Pressione Competitiva'!$F$3:$F$6,MATCH($B282,'Pressione Competitiva'!$B$3:$B$6,0)),"")</f>
        <v>🔴 Molto Alta</v>
      </c>
      <c r="AH282" t="str">
        <f t="shared" si="41"/>
        <v/>
      </c>
      <c r="AI282" t="str">
        <f>IFERROR(IF($AH282="","",IF($AH282&gt;=$AA282*'Parametri Modello'!$B$68,"🟢 Opportunita'",IF($AH282&lt;=$AA282*'Parametri Modello'!$B$69,"🔴 Sovrapprezzo","🟡 Prezzo Corretto"))),"")</f>
        <v/>
      </c>
      <c r="AJ282" t="str">
        <f t="shared" si="42"/>
        <v/>
      </c>
      <c r="AK282">
        <f t="shared" si="43"/>
        <v>1</v>
      </c>
      <c r="AL282" t="str">
        <f t="shared" si="44"/>
        <v>C|Scommessa/Riserva|1</v>
      </c>
    </row>
    <row r="283" spans="1:38" ht="14.25" customHeight="1" x14ac:dyDescent="0.25">
      <c r="A283" s="18">
        <v>7208</v>
      </c>
      <c r="B283" s="18" t="s">
        <v>264</v>
      </c>
      <c r="C283" s="18" t="s">
        <v>405</v>
      </c>
      <c r="E283" s="23" t="str">
        <f>IF(COUNTIF('Info Strategia'!$D$2:$D$51,$C283)&gt;0,"SI","NO")</f>
        <v>NO</v>
      </c>
      <c r="F283" s="24">
        <f>IFERROR(ROUND(($G283+($H283-$G283)*'Info Strategia'!$B$6)*(1+IF($E283="SI",'Parametri Modello'!$B$7*'Info Strategia'!$B$6,0)),0),"")</f>
        <v>2</v>
      </c>
      <c r="G283" s="24">
        <f>IFERROR(ROUND(MAX(1,(IF($V283&lt;=INDEX('Parametri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1</v>
      </c>
      <c r="H283" s="24">
        <f>IFERROR(ROUND((IF($V283&lt;=INDEX('Parametri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2</v>
      </c>
      <c r="I283" s="23">
        <f>IFERROR(INDEX('Input Statistiche 2025_26'!$F$3:$F$665,MATCH($A283,'Input Statistiche 2025_26'!$A$3:$A$665,0)),"")</f>
        <v>19</v>
      </c>
      <c r="J283" s="23">
        <f t="shared" si="36"/>
        <v>19</v>
      </c>
      <c r="K283" s="23">
        <f>IFERROR(INDEX('Input Statistiche 2025_26'!$I$3:$I$665,MATCH($A283,'Input Statistiche 2025_26'!$A$3:$A$665,0)),"")</f>
        <v>0</v>
      </c>
      <c r="L283" s="23">
        <f>IFERROR(INDEX('Input Statistiche 2025_26'!$O$3:$O$665,MATCH($A283,'Input Statistiche 2025_26'!$A$3:$A$665,0)),"")</f>
        <v>2</v>
      </c>
      <c r="M283" s="25"/>
      <c r="N283" s="24">
        <f>IFERROR(INDEX('Input Giocatori 2026_27'!$E$3:$E$493,MATCH($A283,'Input Giocatori 2026_27'!$A$3:$A$493,0)),"")</f>
        <v>3</v>
      </c>
      <c r="O283" s="24">
        <f>IFERROR(INDEX('Input Giocatori 2026_27'!$G$3:$G$493,MATCH($A283,'Input Giocatori 2026_27'!$A$3:$A$493,0)),"")</f>
        <v>12</v>
      </c>
      <c r="P283" s="23" t="str">
        <f>IFERROR(IF($O283="","",IF((1-(COUNTIFS($B$2:$B$492,$B283,$O$2:$O$492,"&gt;"&amp;$O283)+1-1)/COUNTIF($B$2:$B$492,$B283))&gt;='Parametri Modello'!$B$63,"Top",IF((1-(COUNTIFS($B$2:$B$492,$B283,$O$2:$O$492,"&gt;"&amp;$O283)+1-1)/COUNTIF($B$2:$B$492,$B283))&gt;='Parametri Modello'!$B$64,"Buono",IF((1-(COUNTIFS($B$2:$B$492,$B283,$O$2:$O$492,"&gt;"&amp;$O283)+1-1)/COUNTIF($B$2:$B$492,$B283))&gt;='Parametri Modello'!$B$65,"Nella Media","Scommessa/Riserva")))),"")</f>
        <v>Scommessa/Riserva</v>
      </c>
      <c r="Q283" s="26">
        <f>IF(AND($D283="",$N283&gt;1),SUMPRODUCT(($D$2:$D283="")*($N$2:$N283&gt;1)),"")</f>
        <v>282</v>
      </c>
      <c r="R283" s="26" t="str">
        <f>IF($D283='Info Lega'!$B$28,COUNTIFS($D$2:$D283,'Info Lega'!$B$28),"")</f>
        <v/>
      </c>
      <c r="S283" s="27">
        <f>IFERROR(INDEX('Input Statistiche 2025_26'!$G$3:$G$665,MATCH($A283,'Input Statistiche 2025_26'!$A$3:$A$665,0)),"")</f>
        <v>5.92</v>
      </c>
      <c r="T283" s="27">
        <f>IFERROR(INDEX('Input Statistiche 2025_26'!$H$3:$H$665,MATCH($A283,'Input Statistiche 2025_26'!$A$3:$A$665,0)),"")</f>
        <v>5.95</v>
      </c>
      <c r="U283" s="23" t="str">
        <f>IF(OR('La Mia Rosa'!$O$12="",$D283&lt;&gt;""),"",IF($F283&lt;='La Mia Rosa'!$O$12*'Parametri Modello'!$B$24,"OK",IF($F283&lt;='La Mia Rosa'!$O$12*'Parametri Modello'!$B$25,"Attenzione","Rischio Alto")))</f>
        <v>OK</v>
      </c>
      <c r="V283" s="23">
        <f t="shared" si="37"/>
        <v>105</v>
      </c>
      <c r="W283" s="18">
        <f>'Info Lega'!$B$4-SUMIFS($M$2:$M$492,$D$2:$D$492,'Info Lega'!$B$28)</f>
        <v>1000</v>
      </c>
      <c r="X283" s="18">
        <f>('Info Lega'!$B$5-COUNTIFS($D$2:$D$492,'Info Lega'!$B$28,$B$2:$B$492,"P"))+('Info Lega'!$B$6-COUNTIFS($D$2:$D$492,'Info Lega'!$B$28,$B$2:$B$492,"D"))+('Info Lega'!$B$7-COUNTIFS($D$2:$D$492,'Info Lega'!$B$28,$B$2:$B$492,"C"))+('Info Lega'!$B$8-COUNTIFS($D$2:$D$492,'Info Lega'!$B$28,$B$2:$B$492,"A"))</f>
        <v>25</v>
      </c>
      <c r="Y283" s="18">
        <f>X283*'Parametri Modello'!$B$30</f>
        <v>25</v>
      </c>
      <c r="Z283" s="18">
        <f t="shared" si="38"/>
        <v>975</v>
      </c>
      <c r="AA283" s="18">
        <f t="shared" si="39"/>
        <v>2</v>
      </c>
      <c r="AB283" s="18"/>
      <c r="AC283" s="18" t="str">
        <f>IF($AB283="","",IF($AB283&gt;$AA283,"PASS",IF($AB283&lt;=$AA283*(1-'Parametri Modello'!$B$68),"BID","ATTENZIONE")))</f>
        <v/>
      </c>
      <c r="AD283" s="28">
        <f t="shared" si="40"/>
        <v>47</v>
      </c>
      <c r="AE283" s="5" t="str">
        <f>IFERROR(IF($AF283="Titolare",INDEX('Stato Asta'!$G$9:$G$12,MATCH($B283,'Stato Asta'!$A$9:$A$12,0)),INDEX('Stato Asta'!$P$9:$P$12,MATCH($B283,'Stato Asta'!$A$9:$A$12,0))),"")</f>
        <v>🟢 Riserve abbondanti</v>
      </c>
      <c r="AF283" t="str">
        <f>IFERROR(IF($V283&lt;=INDEX('Parametri Modello'!$C$57:$C$60,MATCH($B283,'Parametri Modello'!$A$57:$A$60,0)),"Titolare","Riserva"),"")</f>
        <v>Riserva</v>
      </c>
      <c r="AG283" t="str">
        <f>IFERROR(INDEX('Pressione Competitiva'!$F$3:$F$6,MATCH($B283,'Pressione Competitiva'!$B$3:$B$6,0)),"")</f>
        <v>🔴 Molto Alta</v>
      </c>
      <c r="AH283" t="str">
        <f t="shared" si="41"/>
        <v/>
      </c>
      <c r="AI283" t="str">
        <f>IFERROR(IF($AH283="","",IF($AH283&gt;=$AA283*'Parametri Modello'!$B$68,"🟢 Opportunita'",IF($AH283&lt;=$AA283*'Parametri Modello'!$B$69,"🔴 Sovrapprezzo","🟡 Prezzo Corretto"))),"")</f>
        <v/>
      </c>
      <c r="AJ283" t="str">
        <f t="shared" si="42"/>
        <v/>
      </c>
      <c r="AK283">
        <f t="shared" si="43"/>
        <v>1</v>
      </c>
      <c r="AL283" t="str">
        <f t="shared" si="44"/>
        <v>C|Scommessa/Riserva|1</v>
      </c>
    </row>
    <row r="284" spans="1:38" ht="14.25" customHeight="1" x14ac:dyDescent="0.25">
      <c r="A284" s="18">
        <v>6495</v>
      </c>
      <c r="B284" s="18" t="s">
        <v>88</v>
      </c>
      <c r="C284" s="18" t="s">
        <v>157</v>
      </c>
      <c r="E284" s="23" t="str">
        <f>IF(COUNTIF('Info Strategia'!$D$2:$D$51,$C284)&gt;0,"SI","NO")</f>
        <v>NO</v>
      </c>
      <c r="F284" s="24">
        <f>IFERROR(ROUND(($G284+($H284-$G284)*'Info Strategia'!$B$6)*(1+IF($E284="SI",'Parametri Modello'!$B$7*'Info Strategia'!$B$6,0)),0),"")</f>
        <v>2</v>
      </c>
      <c r="G284" s="24">
        <f>IFERROR(ROUND(MAX(1,(IF($V284&lt;=INDEX('Parametri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1</v>
      </c>
      <c r="H284" s="24">
        <f>IFERROR(ROUND((IF($V284&lt;=INDEX('Parametri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2</v>
      </c>
      <c r="I284" s="23">
        <f>IFERROR(INDEX('Input Statistiche 2025_26'!$F$3:$F$665,MATCH($A284,'Input Statistiche 2025_26'!$A$3:$A$665,0)),"")</f>
        <v>24</v>
      </c>
      <c r="J284" s="23">
        <f t="shared" si="36"/>
        <v>14</v>
      </c>
      <c r="K284" s="23">
        <f>IFERROR(INDEX('Input Statistiche 2025_26'!$I$3:$I$665,MATCH($A284,'Input Statistiche 2025_26'!$A$3:$A$665,0)),"")</f>
        <v>1</v>
      </c>
      <c r="L284" s="23">
        <f>IFERROR(INDEX('Input Statistiche 2025_26'!$O$3:$O$665,MATCH($A284,'Input Statistiche 2025_26'!$A$3:$A$665,0)),"")</f>
        <v>0</v>
      </c>
      <c r="M284" s="25"/>
      <c r="N284" s="24">
        <f>IFERROR(INDEX('Input Giocatori 2026_27'!$E$3:$E$493,MATCH($A284,'Input Giocatori 2026_27'!$A$3:$A$493,0)),"")</f>
        <v>6</v>
      </c>
      <c r="O284" s="24">
        <f>IFERROR(INDEX('Input Giocatori 2026_27'!$G$3:$G$493,MATCH($A284,'Input Giocatori 2026_27'!$A$3:$A$493,0)),"")</f>
        <v>11</v>
      </c>
      <c r="P284" s="23" t="str">
        <f>IFERROR(IF($O284="","",IF((1-(COUNTIFS($B$2:$B$492,$B284,$O$2:$O$492,"&gt;"&amp;$O284)+1-1)/COUNTIF($B$2:$B$492,$B284))&gt;='Parametri Modello'!$B$63,"Top",IF((1-(COUNTIFS($B$2:$B$492,$B284,$O$2:$O$492,"&gt;"&amp;$O284)+1-1)/COUNTIF($B$2:$B$492,$B284))&gt;='Parametri Modello'!$B$64,"Buono",IF((1-(COUNTIFS($B$2:$B$492,$B284,$O$2:$O$492,"&gt;"&amp;$O284)+1-1)/COUNTIF($B$2:$B$492,$B284))&gt;='Parametri Modello'!$B$65,"Nella Media","Scommessa/Riserva")))),"")</f>
        <v>Nella Media</v>
      </c>
      <c r="Q284" s="26">
        <f>IF(AND($D284="",$N284&gt;1),SUMPRODUCT(($D$2:$D284="")*($N$2:$N284&gt;1)),"")</f>
        <v>283</v>
      </c>
      <c r="R284" s="26" t="str">
        <f>IF($D284='Info Lega'!$B$28,COUNTIFS($D$2:$D284,'Info Lega'!$B$28),"")</f>
        <v/>
      </c>
      <c r="S284" s="27">
        <f>IFERROR(INDEX('Input Statistiche 2025_26'!$G$3:$G$665,MATCH($A284,'Input Statistiche 2025_26'!$A$3:$A$665,0)),"")</f>
        <v>5.75</v>
      </c>
      <c r="T284" s="27">
        <f>IFERROR(INDEX('Input Statistiche 2025_26'!$H$3:$H$665,MATCH($A284,'Input Statistiche 2025_26'!$A$3:$A$665,0)),"")</f>
        <v>5.75</v>
      </c>
      <c r="U284" s="23" t="str">
        <f>IF(OR('La Mia Rosa'!$O$12="",$D284&lt;&gt;""),"",IF($F284&lt;='La Mia Rosa'!$O$12*'Parametri Modello'!$B$24,"OK",IF($F284&lt;='La Mia Rosa'!$O$12*'Parametri Modello'!$B$25,"Attenzione","Rischio Alto")))</f>
        <v>OK</v>
      </c>
      <c r="V284" s="23">
        <f t="shared" si="37"/>
        <v>90</v>
      </c>
      <c r="W284" s="18">
        <f>'Info Lega'!$B$4-SUMIFS($M$2:$M$492,$D$2:$D$492,'Info Lega'!$B$28)</f>
        <v>1000</v>
      </c>
      <c r="X284" s="18">
        <f>('Info Lega'!$B$5-COUNTIFS($D$2:$D$492,'Info Lega'!$B$28,$B$2:$B$492,"P"))+('Info Lega'!$B$6-COUNTIFS($D$2:$D$492,'Info Lega'!$B$28,$B$2:$B$492,"D"))+('Info Lega'!$B$7-COUNTIFS($D$2:$D$492,'Info Lega'!$B$28,$B$2:$B$492,"C"))+('Info Lega'!$B$8-COUNTIFS($D$2:$D$492,'Info Lega'!$B$28,$B$2:$B$492,"A"))</f>
        <v>25</v>
      </c>
      <c r="Y284" s="18">
        <f>X284*'Parametri Modello'!$B$30</f>
        <v>25</v>
      </c>
      <c r="Z284" s="18">
        <f t="shared" si="38"/>
        <v>975</v>
      </c>
      <c r="AA284" s="18">
        <f t="shared" si="39"/>
        <v>2</v>
      </c>
      <c r="AB284" s="18"/>
      <c r="AC284" s="18" t="str">
        <f>IF($AB284="","",IF($AB284&gt;$AA284,"PASS",IF($AB284&lt;=$AA284*(1-'Parametri Modello'!$B$68),"BID","ATTENZIONE")))</f>
        <v/>
      </c>
      <c r="AD284" s="28">
        <f t="shared" si="40"/>
        <v>55</v>
      </c>
      <c r="AE284" s="5" t="str">
        <f>IFERROR(IF($AF284="Titolare",INDEX('Stato Asta'!$G$9:$G$12,MATCH($B284,'Stato Asta'!$A$9:$A$12,0)),INDEX('Stato Asta'!$P$9:$P$12,MATCH($B284,'Stato Asta'!$A$9:$A$12,0))),"")</f>
        <v>🟢 Riserve abbondanti</v>
      </c>
      <c r="AF284" t="str">
        <f>IFERROR(IF($V284&lt;=INDEX('Parametri Modello'!$C$57:$C$60,MATCH($B284,'Parametri Modello'!$A$57:$A$60,0)),"Titolare","Riserva"),"")</f>
        <v>Riserva</v>
      </c>
      <c r="AG284" t="str">
        <f>IFERROR(INDEX('Pressione Competitiva'!$F$3:$F$6,MATCH($B284,'Pressione Competitiva'!$B$3:$B$6,0)),"")</f>
        <v>🔴 Molto Alta</v>
      </c>
      <c r="AH284" t="str">
        <f t="shared" si="41"/>
        <v/>
      </c>
      <c r="AI284" t="str">
        <f>IFERROR(IF($AH284="","",IF($AH284&gt;=$AA284*'Parametri Modello'!$B$68,"🟢 Opportunita'",IF($AH284&lt;=$AA284*'Parametri Modello'!$B$69,"🔴 Sovrapprezzo","🟡 Prezzo Corretto"))),"")</f>
        <v/>
      </c>
      <c r="AJ284" t="str">
        <f t="shared" si="42"/>
        <v/>
      </c>
      <c r="AK284">
        <f t="shared" si="43"/>
        <v>35</v>
      </c>
      <c r="AL284" t="str">
        <f t="shared" si="44"/>
        <v>D|Nella Media|35</v>
      </c>
    </row>
    <row r="285" spans="1:38" ht="14.25" customHeight="1" x14ac:dyDescent="0.25">
      <c r="A285" s="18">
        <v>7068</v>
      </c>
      <c r="B285" s="18" t="s">
        <v>88</v>
      </c>
      <c r="C285" s="18" t="s">
        <v>161</v>
      </c>
      <c r="E285" s="23" t="str">
        <f>IF(COUNTIF('Info Strategia'!$D$2:$D$51,$C285)&gt;0,"SI","NO")</f>
        <v>NO</v>
      </c>
      <c r="F285" s="24">
        <f>IFERROR(ROUND(($G285+($H285-$G285)*'Info Strategia'!$B$6)*(1+IF($E285="SI",'Parametri Modello'!$B$7*'Info Strategia'!$B$6,0)),0),"")</f>
        <v>2</v>
      </c>
      <c r="G285" s="24">
        <f>IFERROR(ROUND(MAX(1,(IF($V285&lt;=INDEX('Parametri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1</v>
      </c>
      <c r="H285" s="24">
        <f>IFERROR(ROUND((IF($V285&lt;=INDEX('Parametri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2</v>
      </c>
      <c r="I285" s="23">
        <f>IFERROR(INDEX('Input Statistiche 2025_26'!$F$3:$F$665,MATCH($A285,'Input Statistiche 2025_26'!$A$3:$A$665,0)),"")</f>
        <v>18</v>
      </c>
      <c r="J285" s="23">
        <f t="shared" si="36"/>
        <v>20</v>
      </c>
      <c r="K285" s="23">
        <f>IFERROR(INDEX('Input Statistiche 2025_26'!$I$3:$I$665,MATCH($A285,'Input Statistiche 2025_26'!$A$3:$A$665,0)),"")</f>
        <v>0</v>
      </c>
      <c r="L285" s="23">
        <f>IFERROR(INDEX('Input Statistiche 2025_26'!$O$3:$O$665,MATCH($A285,'Input Statistiche 2025_26'!$A$3:$A$665,0)),"")</f>
        <v>0</v>
      </c>
      <c r="M285" s="25"/>
      <c r="N285" s="24">
        <f>IFERROR(INDEX('Input Giocatori 2026_27'!$E$3:$E$493,MATCH($A285,'Input Giocatori 2026_27'!$A$3:$A$493,0)),"")</f>
        <v>5</v>
      </c>
      <c r="O285" s="24">
        <f>IFERROR(INDEX('Input Giocatori 2026_27'!$G$3:$G$493,MATCH($A285,'Input Giocatori 2026_27'!$A$3:$A$493,0)),"")</f>
        <v>11</v>
      </c>
      <c r="P285" s="23" t="str">
        <f>IFERROR(IF($O285="","",IF((1-(COUNTIFS($B$2:$B$492,$B285,$O$2:$O$492,"&gt;"&amp;$O285)+1-1)/COUNTIF($B$2:$B$492,$B285))&gt;='Parametri Modello'!$B$63,"Top",IF((1-(COUNTIFS($B$2:$B$492,$B285,$O$2:$O$492,"&gt;"&amp;$O285)+1-1)/COUNTIF($B$2:$B$492,$B285))&gt;='Parametri Modello'!$B$64,"Buono",IF((1-(COUNTIFS($B$2:$B$492,$B285,$O$2:$O$492,"&gt;"&amp;$O285)+1-1)/COUNTIF($B$2:$B$492,$B285))&gt;='Parametri Modello'!$B$65,"Nella Media","Scommessa/Riserva")))),"")</f>
        <v>Nella Media</v>
      </c>
      <c r="Q285" s="26">
        <f>IF(AND($D285="",$N285&gt;1),SUMPRODUCT(($D$2:$D285="")*($N$2:$N285&gt;1)),"")</f>
        <v>284</v>
      </c>
      <c r="R285" s="26" t="str">
        <f>IF($D285='Info Lega'!$B$28,COUNTIFS($D$2:$D285,'Info Lega'!$B$28),"")</f>
        <v/>
      </c>
      <c r="S285" s="27">
        <f>IFERROR(INDEX('Input Statistiche 2025_26'!$G$3:$G$665,MATCH($A285,'Input Statistiche 2025_26'!$A$3:$A$665,0)),"")</f>
        <v>5.94</v>
      </c>
      <c r="T285" s="27">
        <f>IFERROR(INDEX('Input Statistiche 2025_26'!$H$3:$H$665,MATCH($A285,'Input Statistiche 2025_26'!$A$3:$A$665,0)),"")</f>
        <v>5.86</v>
      </c>
      <c r="U285" s="23" t="str">
        <f>IF(OR('La Mia Rosa'!$O$12="",$D285&lt;&gt;""),"",IF($F285&lt;='La Mia Rosa'!$O$12*'Parametri Modello'!$B$24,"OK",IF($F285&lt;='La Mia Rosa'!$O$12*'Parametri Modello'!$B$25,"Attenzione","Rischio Alto")))</f>
        <v>OK</v>
      </c>
      <c r="V285" s="23">
        <f t="shared" si="37"/>
        <v>90</v>
      </c>
      <c r="W285" s="18">
        <f>'Info Lega'!$B$4-SUMIFS($M$2:$M$492,$D$2:$D$492,'Info Lega'!$B$28)</f>
        <v>1000</v>
      </c>
      <c r="X285" s="18">
        <f>('Info Lega'!$B$5-COUNTIFS($D$2:$D$492,'Info Lega'!$B$28,$B$2:$B$492,"P"))+('Info Lega'!$B$6-COUNTIFS($D$2:$D$492,'Info Lega'!$B$28,$B$2:$B$492,"D"))+('Info Lega'!$B$7-COUNTIFS($D$2:$D$492,'Info Lega'!$B$28,$B$2:$B$492,"C"))+('Info Lega'!$B$8-COUNTIFS($D$2:$D$492,'Info Lega'!$B$28,$B$2:$B$492,"A"))</f>
        <v>25</v>
      </c>
      <c r="Y285" s="18">
        <f>X285*'Parametri Modello'!$B$30</f>
        <v>25</v>
      </c>
      <c r="Z285" s="18">
        <f t="shared" si="38"/>
        <v>975</v>
      </c>
      <c r="AA285" s="18">
        <f t="shared" si="39"/>
        <v>2</v>
      </c>
      <c r="AB285" s="18"/>
      <c r="AC285" s="18" t="str">
        <f>IF($AB285="","",IF($AB285&gt;$AA285,"PASS",IF($AB285&lt;=$AA285*(1-'Parametri Modello'!$B$68),"BID","ATTENZIONE")))</f>
        <v/>
      </c>
      <c r="AD285" s="28">
        <f t="shared" si="40"/>
        <v>45</v>
      </c>
      <c r="AE285" s="5" t="str">
        <f>IFERROR(IF($AF285="Titolare",INDEX('Stato Asta'!$G$9:$G$12,MATCH($B285,'Stato Asta'!$A$9:$A$12,0)),INDEX('Stato Asta'!$P$9:$P$12,MATCH($B285,'Stato Asta'!$A$9:$A$12,0))),"")</f>
        <v>🟢 Riserve abbondanti</v>
      </c>
      <c r="AF285" t="str">
        <f>IFERROR(IF($V285&lt;=INDEX('Parametri Modello'!$C$57:$C$60,MATCH($B285,'Parametri Modello'!$A$57:$A$60,0)),"Titolare","Riserva"),"")</f>
        <v>Riserva</v>
      </c>
      <c r="AG285" t="str">
        <f>IFERROR(INDEX('Pressione Competitiva'!$F$3:$F$6,MATCH($B285,'Pressione Competitiva'!$B$3:$B$6,0)),"")</f>
        <v>🔴 Molto Alta</v>
      </c>
      <c r="AH285" t="str">
        <f t="shared" si="41"/>
        <v/>
      </c>
      <c r="AI285" t="str">
        <f>IFERROR(IF($AH285="","",IF($AH285&gt;=$AA285*'Parametri Modello'!$B$68,"🟢 Opportunita'",IF($AH285&lt;=$AA285*'Parametri Modello'!$B$69,"🔴 Sovrapprezzo","🟡 Prezzo Corretto"))),"")</f>
        <v/>
      </c>
      <c r="AJ285" t="str">
        <f t="shared" si="42"/>
        <v/>
      </c>
      <c r="AK285">
        <f t="shared" si="43"/>
        <v>35</v>
      </c>
      <c r="AL285" t="str">
        <f t="shared" si="44"/>
        <v>D|Nella Media|35</v>
      </c>
    </row>
    <row r="286" spans="1:38" ht="14.25" customHeight="1" x14ac:dyDescent="0.25">
      <c r="A286" s="18">
        <v>7532</v>
      </c>
      <c r="B286" s="18" t="s">
        <v>88</v>
      </c>
      <c r="C286" s="18" t="s">
        <v>163</v>
      </c>
      <c r="E286" s="23" t="str">
        <f>IF(COUNTIF('Info Strategia'!$D$2:$D$51,$C286)&gt;0,"SI","NO")</f>
        <v>NO</v>
      </c>
      <c r="F286" s="24">
        <f>IFERROR(ROUND(($G286+($H286-$G286)*'Info Strategia'!$B$6)*(1+IF($E286="SI",'Parametri Modello'!$B$7*'Info Strategia'!$B$6,0)),0),"")</f>
        <v>2</v>
      </c>
      <c r="G286" s="24">
        <f>IFERROR(ROUND(MAX(1,(IF($V286&lt;=INDEX('Parametri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1</v>
      </c>
      <c r="H286" s="24">
        <f>IFERROR(ROUND((IF($V286&lt;=INDEX('Parametri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2</v>
      </c>
      <c r="I286" s="23" t="str">
        <f>IFERROR(INDEX('Input Statistiche 2025_26'!$F$3:$F$665,MATCH($A286,'Input Statistiche 2025_26'!$A$3:$A$665,0)),"")</f>
        <v/>
      </c>
      <c r="J286" s="23" t="str">
        <f t="shared" si="36"/>
        <v/>
      </c>
      <c r="K286" s="23" t="str">
        <f>IFERROR(INDEX('Input Statistiche 2025_26'!$I$3:$I$665,MATCH($A286,'Input Statistiche 2025_26'!$A$3:$A$665,0)),"")</f>
        <v/>
      </c>
      <c r="L286" s="23" t="str">
        <f>IFERROR(INDEX('Input Statistiche 2025_26'!$O$3:$O$665,MATCH($A286,'Input Statistiche 2025_26'!$A$3:$A$665,0)),"")</f>
        <v/>
      </c>
      <c r="M286" s="25"/>
      <c r="N286" s="24">
        <f>IFERROR(INDEX('Input Giocatori 2026_27'!$E$3:$E$493,MATCH($A286,'Input Giocatori 2026_27'!$A$3:$A$493,0)),"")</f>
        <v>5</v>
      </c>
      <c r="O286" s="24">
        <f>IFERROR(INDEX('Input Giocatori 2026_27'!$G$3:$G$493,MATCH($A286,'Input Giocatori 2026_27'!$A$3:$A$493,0)),"")</f>
        <v>11</v>
      </c>
      <c r="P286" s="23" t="str">
        <f>IFERROR(IF($O286="","",IF((1-(COUNTIFS($B$2:$B$492,$B286,$O$2:$O$492,"&gt;"&amp;$O286)+1-1)/COUNTIF($B$2:$B$492,$B286))&gt;='Parametri Modello'!$B$63,"Top",IF((1-(COUNTIFS($B$2:$B$492,$B286,$O$2:$O$492,"&gt;"&amp;$O286)+1-1)/COUNTIF($B$2:$B$492,$B286))&gt;='Parametri Modello'!$B$64,"Buono",IF((1-(COUNTIFS($B$2:$B$492,$B286,$O$2:$O$492,"&gt;"&amp;$O286)+1-1)/COUNTIF($B$2:$B$492,$B286))&gt;='Parametri Modello'!$B$65,"Nella Media","Scommessa/Riserva")))),"")</f>
        <v>Nella Media</v>
      </c>
      <c r="Q286" s="26">
        <f>IF(AND($D286="",$N286&gt;1),SUMPRODUCT(($D$2:$D286="")*($N$2:$N286&gt;1)),"")</f>
        <v>285</v>
      </c>
      <c r="R286" s="26" t="str">
        <f>IF($D286='Info Lega'!$B$28,COUNTIFS($D$2:$D286,'Info Lega'!$B$28),"")</f>
        <v/>
      </c>
      <c r="S286" s="27" t="str">
        <f>IFERROR(INDEX('Input Statistiche 2025_26'!$G$3:$G$665,MATCH($A286,'Input Statistiche 2025_26'!$A$3:$A$665,0)),"")</f>
        <v/>
      </c>
      <c r="T286" s="27" t="str">
        <f>IFERROR(INDEX('Input Statistiche 2025_26'!$H$3:$H$665,MATCH($A286,'Input Statistiche 2025_26'!$A$3:$A$665,0)),"")</f>
        <v/>
      </c>
      <c r="U286" s="23" t="str">
        <f>IF(OR('La Mia Rosa'!$O$12="",$D286&lt;&gt;""),"",IF($F286&lt;='La Mia Rosa'!$O$12*'Parametri Modello'!$B$24,"OK",IF($F286&lt;='La Mia Rosa'!$O$12*'Parametri Modello'!$B$25,"Attenzione","Rischio Alto")))</f>
        <v>OK</v>
      </c>
      <c r="V286" s="23">
        <f t="shared" si="37"/>
        <v>90</v>
      </c>
      <c r="W286" s="18">
        <f>'Info Lega'!$B$4-SUMIFS($M$2:$M$492,$D$2:$D$492,'Info Lega'!$B$28)</f>
        <v>1000</v>
      </c>
      <c r="X286" s="18">
        <f>('Info Lega'!$B$5-COUNTIFS($D$2:$D$492,'Info Lega'!$B$28,$B$2:$B$492,"P"))+('Info Lega'!$B$6-COUNTIFS($D$2:$D$492,'Info Lega'!$B$28,$B$2:$B$492,"D"))+('Info Lega'!$B$7-COUNTIFS($D$2:$D$492,'Info Lega'!$B$28,$B$2:$B$492,"C"))+('Info Lega'!$B$8-COUNTIFS($D$2:$D$492,'Info Lega'!$B$28,$B$2:$B$492,"A"))</f>
        <v>25</v>
      </c>
      <c r="Y286" s="18">
        <f>X286*'Parametri Modello'!$B$30</f>
        <v>25</v>
      </c>
      <c r="Z286" s="18">
        <f t="shared" si="38"/>
        <v>975</v>
      </c>
      <c r="AA286" s="18">
        <f t="shared" si="39"/>
        <v>2</v>
      </c>
      <c r="AB286" s="18"/>
      <c r="AC286" s="18" t="str">
        <f>IF($AB286="","",IF($AB286&gt;$AA286,"PASS",IF($AB286&lt;=$AA286*(1-'Parametri Modello'!$B$68),"BID","ATTENZIONE")))</f>
        <v/>
      </c>
      <c r="AD286" s="28" t="str">
        <f t="shared" si="40"/>
        <v/>
      </c>
      <c r="AE286" s="5" t="str">
        <f>IFERROR(IF($AF286="Titolare",INDEX('Stato Asta'!$G$9:$G$12,MATCH($B286,'Stato Asta'!$A$9:$A$12,0)),INDEX('Stato Asta'!$P$9:$P$12,MATCH($B286,'Stato Asta'!$A$9:$A$12,0))),"")</f>
        <v>🟢 Riserve abbondanti</v>
      </c>
      <c r="AF286" t="str">
        <f>IFERROR(IF($V286&lt;=INDEX('Parametri Modello'!$C$57:$C$60,MATCH($B286,'Parametri Modello'!$A$57:$A$60,0)),"Titolare","Riserva"),"")</f>
        <v>Riserva</v>
      </c>
      <c r="AG286" t="str">
        <f>IFERROR(INDEX('Pressione Competitiva'!$F$3:$F$6,MATCH($B286,'Pressione Competitiva'!$B$3:$B$6,0)),"")</f>
        <v>🔴 Molto Alta</v>
      </c>
      <c r="AH286" t="str">
        <f t="shared" si="41"/>
        <v/>
      </c>
      <c r="AI286" t="str">
        <f>IFERROR(IF($AH286="","",IF($AH286&gt;=$AA286*'Parametri Modello'!$B$68,"🟢 Opportunita'",IF($AH286&lt;=$AA286*'Parametri Modello'!$B$69,"🔴 Sovrapprezzo","🟡 Prezzo Corretto"))),"")</f>
        <v/>
      </c>
      <c r="AJ286" t="str">
        <f t="shared" si="42"/>
        <v/>
      </c>
      <c r="AK286">
        <f t="shared" si="43"/>
        <v>35</v>
      </c>
      <c r="AL286" t="str">
        <f t="shared" si="44"/>
        <v>D|Nella Media|35</v>
      </c>
    </row>
    <row r="287" spans="1:38" ht="14.25" customHeight="1" x14ac:dyDescent="0.25">
      <c r="A287" s="18">
        <v>7274</v>
      </c>
      <c r="B287" s="18" t="s">
        <v>88</v>
      </c>
      <c r="C287" s="18" t="s">
        <v>164</v>
      </c>
      <c r="E287" s="23" t="str">
        <f>IF(COUNTIF('Info Strategia'!$D$2:$D$51,$C287)&gt;0,"SI","NO")</f>
        <v>NO</v>
      </c>
      <c r="F287" s="24">
        <f>IFERROR(ROUND(($G287+($H287-$G287)*'Info Strategia'!$B$6)*(1+IF($E287="SI",'Parametri Modello'!$B$7*'Info Strategia'!$B$6,0)),0),"")</f>
        <v>2</v>
      </c>
      <c r="G287" s="24">
        <f>IFERROR(ROUND(MAX(1,(IF($V287&lt;=INDEX('Parametri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1</v>
      </c>
      <c r="H287" s="24">
        <f>IFERROR(ROUND((IF($V287&lt;=INDEX('Parametri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2</v>
      </c>
      <c r="I287" s="23">
        <f>IFERROR(INDEX('Input Statistiche 2025_26'!$F$3:$F$665,MATCH($A287,'Input Statistiche 2025_26'!$A$3:$A$665,0)),"")</f>
        <v>22</v>
      </c>
      <c r="J287" s="23">
        <f t="shared" si="36"/>
        <v>16</v>
      </c>
      <c r="K287" s="23">
        <f>IFERROR(INDEX('Input Statistiche 2025_26'!$I$3:$I$665,MATCH($A287,'Input Statistiche 2025_26'!$A$3:$A$665,0)),"")</f>
        <v>0</v>
      </c>
      <c r="L287" s="23">
        <f>IFERROR(INDEX('Input Statistiche 2025_26'!$O$3:$O$665,MATCH($A287,'Input Statistiche 2025_26'!$A$3:$A$665,0)),"")</f>
        <v>1</v>
      </c>
      <c r="M287" s="25"/>
      <c r="N287" s="24">
        <f>IFERROR(INDEX('Input Giocatori 2026_27'!$E$3:$E$493,MATCH($A287,'Input Giocatori 2026_27'!$A$3:$A$493,0)),"")</f>
        <v>5</v>
      </c>
      <c r="O287" s="24">
        <f>IFERROR(INDEX('Input Giocatori 2026_27'!$G$3:$G$493,MATCH($A287,'Input Giocatori 2026_27'!$A$3:$A$493,0)),"")</f>
        <v>11</v>
      </c>
      <c r="P287" s="23" t="str">
        <f>IFERROR(IF($O287="","",IF((1-(COUNTIFS($B$2:$B$492,$B287,$O$2:$O$492,"&gt;"&amp;$O287)+1-1)/COUNTIF($B$2:$B$492,$B287))&gt;='Parametri Modello'!$B$63,"Top",IF((1-(COUNTIFS($B$2:$B$492,$B287,$O$2:$O$492,"&gt;"&amp;$O287)+1-1)/COUNTIF($B$2:$B$492,$B287))&gt;='Parametri Modello'!$B$64,"Buono",IF((1-(COUNTIFS($B$2:$B$492,$B287,$O$2:$O$492,"&gt;"&amp;$O287)+1-1)/COUNTIF($B$2:$B$492,$B287))&gt;='Parametri Modello'!$B$65,"Nella Media","Scommessa/Riserva")))),"")</f>
        <v>Nella Media</v>
      </c>
      <c r="Q287" s="26">
        <f>IF(AND($D287="",$N287&gt;1),SUMPRODUCT(($D$2:$D287="")*($N$2:$N287&gt;1)),"")</f>
        <v>286</v>
      </c>
      <c r="R287" s="26" t="str">
        <f>IF($D287='Info Lega'!$B$28,COUNTIFS($D$2:$D287,'Info Lega'!$B$28),"")</f>
        <v/>
      </c>
      <c r="S287" s="27">
        <f>IFERROR(INDEX('Input Statistiche 2025_26'!$G$3:$G$665,MATCH($A287,'Input Statistiche 2025_26'!$A$3:$A$665,0)),"")</f>
        <v>5.77</v>
      </c>
      <c r="T287" s="27">
        <f>IFERROR(INDEX('Input Statistiche 2025_26'!$H$3:$H$665,MATCH($A287,'Input Statistiche 2025_26'!$A$3:$A$665,0)),"")</f>
        <v>5.68</v>
      </c>
      <c r="U287" s="23" t="str">
        <f>IF(OR('La Mia Rosa'!$O$12="",$D287&lt;&gt;""),"",IF($F287&lt;='La Mia Rosa'!$O$12*'Parametri Modello'!$B$24,"OK",IF($F287&lt;='La Mia Rosa'!$O$12*'Parametri Modello'!$B$25,"Attenzione","Rischio Alto")))</f>
        <v>OK</v>
      </c>
      <c r="V287" s="23">
        <f t="shared" si="37"/>
        <v>90</v>
      </c>
      <c r="W287" s="18">
        <f>'Info Lega'!$B$4-SUMIFS($M$2:$M$492,$D$2:$D$492,'Info Lega'!$B$28)</f>
        <v>1000</v>
      </c>
      <c r="X287" s="18">
        <f>('Info Lega'!$B$5-COUNTIFS($D$2:$D$492,'Info Lega'!$B$28,$B$2:$B$492,"P"))+('Info Lega'!$B$6-COUNTIFS($D$2:$D$492,'Info Lega'!$B$28,$B$2:$B$492,"D"))+('Info Lega'!$B$7-COUNTIFS($D$2:$D$492,'Info Lega'!$B$28,$B$2:$B$492,"C"))+('Info Lega'!$B$8-COUNTIFS($D$2:$D$492,'Info Lega'!$B$28,$B$2:$B$492,"A"))</f>
        <v>25</v>
      </c>
      <c r="Y287" s="18">
        <f>X287*'Parametri Modello'!$B$30</f>
        <v>25</v>
      </c>
      <c r="Z287" s="18">
        <f t="shared" si="38"/>
        <v>975</v>
      </c>
      <c r="AA287" s="18">
        <f t="shared" si="39"/>
        <v>2</v>
      </c>
      <c r="AB287" s="18"/>
      <c r="AC287" s="18" t="str">
        <f>IF($AB287="","",IF($AB287&gt;$AA287,"PASS",IF($AB287&lt;=$AA287*(1-'Parametri Modello'!$B$68),"BID","ATTENZIONE")))</f>
        <v/>
      </c>
      <c r="AD287" s="28">
        <f t="shared" si="40"/>
        <v>52</v>
      </c>
      <c r="AE287" s="5" t="str">
        <f>IFERROR(IF($AF287="Titolare",INDEX('Stato Asta'!$G$9:$G$12,MATCH($B287,'Stato Asta'!$A$9:$A$12,0)),INDEX('Stato Asta'!$P$9:$P$12,MATCH($B287,'Stato Asta'!$A$9:$A$12,0))),"")</f>
        <v>🟢 Riserve abbondanti</v>
      </c>
      <c r="AF287" t="str">
        <f>IFERROR(IF($V287&lt;=INDEX('Parametri Modello'!$C$57:$C$60,MATCH($B287,'Parametri Modello'!$A$57:$A$60,0)),"Titolare","Riserva"),"")</f>
        <v>Riserva</v>
      </c>
      <c r="AG287" t="str">
        <f>IFERROR(INDEX('Pressione Competitiva'!$F$3:$F$6,MATCH($B287,'Pressione Competitiva'!$B$3:$B$6,0)),"")</f>
        <v>🔴 Molto Alta</v>
      </c>
      <c r="AH287" t="str">
        <f t="shared" si="41"/>
        <v/>
      </c>
      <c r="AI287" t="str">
        <f>IFERROR(IF($AH287="","",IF($AH287&gt;=$AA287*'Parametri Modello'!$B$68,"🟢 Opportunita'",IF($AH287&lt;=$AA287*'Parametri Modello'!$B$69,"🔴 Sovrapprezzo","🟡 Prezzo Corretto"))),"")</f>
        <v/>
      </c>
      <c r="AJ287" t="str">
        <f t="shared" si="42"/>
        <v/>
      </c>
      <c r="AK287">
        <f t="shared" si="43"/>
        <v>35</v>
      </c>
      <c r="AL287" t="str">
        <f t="shared" si="44"/>
        <v>D|Nella Media|35</v>
      </c>
    </row>
    <row r="288" spans="1:38" ht="14.25" customHeight="1" x14ac:dyDescent="0.25">
      <c r="A288" s="18">
        <v>7469</v>
      </c>
      <c r="B288" s="18" t="s">
        <v>88</v>
      </c>
      <c r="C288" s="18" t="s">
        <v>167</v>
      </c>
      <c r="E288" s="23" t="str">
        <f>IF(COUNTIF('Info Strategia'!$D$2:$D$51,$C288)&gt;0,"SI","NO")</f>
        <v>NO</v>
      </c>
      <c r="F288" s="24">
        <f>IFERROR(ROUND(($G288+($H288-$G288)*'Info Strategia'!$B$6)*(1+IF($E288="SI",'Parametri Modello'!$B$7*'Info Strategia'!$B$6,0)),0),"")</f>
        <v>2</v>
      </c>
      <c r="G288" s="24">
        <f>IFERROR(ROUND(MAX(1,(IF($V288&lt;=INDEX('Parametri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1</v>
      </c>
      <c r="H288" s="24">
        <f>IFERROR(ROUND((IF($V288&lt;=INDEX('Parametri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2</v>
      </c>
      <c r="I288" s="23" t="str">
        <f>IFERROR(INDEX('Input Statistiche 2025_26'!$F$3:$F$665,MATCH($A288,'Input Statistiche 2025_26'!$A$3:$A$665,0)),"")</f>
        <v/>
      </c>
      <c r="J288" s="23" t="str">
        <f t="shared" si="36"/>
        <v/>
      </c>
      <c r="K288" s="23" t="str">
        <f>IFERROR(INDEX('Input Statistiche 2025_26'!$I$3:$I$665,MATCH($A288,'Input Statistiche 2025_26'!$A$3:$A$665,0)),"")</f>
        <v/>
      </c>
      <c r="L288" s="23" t="str">
        <f>IFERROR(INDEX('Input Statistiche 2025_26'!$O$3:$O$665,MATCH($A288,'Input Statistiche 2025_26'!$A$3:$A$665,0)),"")</f>
        <v/>
      </c>
      <c r="M288" s="25"/>
      <c r="N288" s="24">
        <f>IFERROR(INDEX('Input Giocatori 2026_27'!$E$3:$E$493,MATCH($A288,'Input Giocatori 2026_27'!$A$3:$A$493,0)),"")</f>
        <v>5</v>
      </c>
      <c r="O288" s="24">
        <f>IFERROR(INDEX('Input Giocatori 2026_27'!$G$3:$G$493,MATCH($A288,'Input Giocatori 2026_27'!$A$3:$A$493,0)),"")</f>
        <v>11</v>
      </c>
      <c r="P288" s="23" t="str">
        <f>IFERROR(IF($O288="","",IF((1-(COUNTIFS($B$2:$B$492,$B288,$O$2:$O$492,"&gt;"&amp;$O288)+1-1)/COUNTIF($B$2:$B$492,$B288))&gt;='Parametri Modello'!$B$63,"Top",IF((1-(COUNTIFS($B$2:$B$492,$B288,$O$2:$O$492,"&gt;"&amp;$O288)+1-1)/COUNTIF($B$2:$B$492,$B288))&gt;='Parametri Modello'!$B$64,"Buono",IF((1-(COUNTIFS($B$2:$B$492,$B288,$O$2:$O$492,"&gt;"&amp;$O288)+1-1)/COUNTIF($B$2:$B$492,$B288))&gt;='Parametri Modello'!$B$65,"Nella Media","Scommessa/Riserva")))),"")</f>
        <v>Nella Media</v>
      </c>
      <c r="Q288" s="26">
        <f>IF(AND($D288="",$N288&gt;1),SUMPRODUCT(($D$2:$D288="")*($N$2:$N288&gt;1)),"")</f>
        <v>287</v>
      </c>
      <c r="R288" s="26" t="str">
        <f>IF($D288='Info Lega'!$B$28,COUNTIFS($D$2:$D288,'Info Lega'!$B$28),"")</f>
        <v/>
      </c>
      <c r="S288" s="27" t="str">
        <f>IFERROR(INDEX('Input Statistiche 2025_26'!$G$3:$G$665,MATCH($A288,'Input Statistiche 2025_26'!$A$3:$A$665,0)),"")</f>
        <v/>
      </c>
      <c r="T288" s="27" t="str">
        <f>IFERROR(INDEX('Input Statistiche 2025_26'!$H$3:$H$665,MATCH($A288,'Input Statistiche 2025_26'!$A$3:$A$665,0)),"")</f>
        <v/>
      </c>
      <c r="U288" s="23" t="str">
        <f>IF(OR('La Mia Rosa'!$O$12="",$D288&lt;&gt;""),"",IF($F288&lt;='La Mia Rosa'!$O$12*'Parametri Modello'!$B$24,"OK",IF($F288&lt;='La Mia Rosa'!$O$12*'Parametri Modello'!$B$25,"Attenzione","Rischio Alto")))</f>
        <v>OK</v>
      </c>
      <c r="V288" s="23">
        <f t="shared" si="37"/>
        <v>90</v>
      </c>
      <c r="W288" s="18">
        <f>'Info Lega'!$B$4-SUMIFS($M$2:$M$492,$D$2:$D$492,'Info Lega'!$B$28)</f>
        <v>1000</v>
      </c>
      <c r="X288" s="18">
        <f>('Info Lega'!$B$5-COUNTIFS($D$2:$D$492,'Info Lega'!$B$28,$B$2:$B$492,"P"))+('Info Lega'!$B$6-COUNTIFS($D$2:$D$492,'Info Lega'!$B$28,$B$2:$B$492,"D"))+('Info Lega'!$B$7-COUNTIFS($D$2:$D$492,'Info Lega'!$B$28,$B$2:$B$492,"C"))+('Info Lega'!$B$8-COUNTIFS($D$2:$D$492,'Info Lega'!$B$28,$B$2:$B$492,"A"))</f>
        <v>25</v>
      </c>
      <c r="Y288" s="18">
        <f>X288*'Parametri Modello'!$B$30</f>
        <v>25</v>
      </c>
      <c r="Z288" s="18">
        <f t="shared" si="38"/>
        <v>975</v>
      </c>
      <c r="AA288" s="18">
        <f t="shared" si="39"/>
        <v>2</v>
      </c>
      <c r="AB288" s="18"/>
      <c r="AC288" s="18" t="str">
        <f>IF($AB288="","",IF($AB288&gt;$AA288,"PASS",IF($AB288&lt;=$AA288*(1-'Parametri Modello'!$B$68),"BID","ATTENZIONE")))</f>
        <v/>
      </c>
      <c r="AD288" s="28" t="str">
        <f t="shared" si="40"/>
        <v/>
      </c>
      <c r="AE288" s="5" t="str">
        <f>IFERROR(IF($AF288="Titolare",INDEX('Stato Asta'!$G$9:$G$12,MATCH($B288,'Stato Asta'!$A$9:$A$12,0)),INDEX('Stato Asta'!$P$9:$P$12,MATCH($B288,'Stato Asta'!$A$9:$A$12,0))),"")</f>
        <v>🟢 Riserve abbondanti</v>
      </c>
      <c r="AF288" t="str">
        <f>IFERROR(IF($V288&lt;=INDEX('Parametri Modello'!$C$57:$C$60,MATCH($B288,'Parametri Modello'!$A$57:$A$60,0)),"Titolare","Riserva"),"")</f>
        <v>Riserva</v>
      </c>
      <c r="AG288" t="str">
        <f>IFERROR(INDEX('Pressione Competitiva'!$F$3:$F$6,MATCH($B288,'Pressione Competitiva'!$B$3:$B$6,0)),"")</f>
        <v>🔴 Molto Alta</v>
      </c>
      <c r="AH288" t="str">
        <f t="shared" si="41"/>
        <v/>
      </c>
      <c r="AI288" t="str">
        <f>IFERROR(IF($AH288="","",IF($AH288&gt;=$AA288*'Parametri Modello'!$B$68,"🟢 Opportunita'",IF($AH288&lt;=$AA288*'Parametri Modello'!$B$69,"🔴 Sovrapprezzo","🟡 Prezzo Corretto"))),"")</f>
        <v/>
      </c>
      <c r="AJ288" t="str">
        <f t="shared" si="42"/>
        <v/>
      </c>
      <c r="AK288">
        <f t="shared" si="43"/>
        <v>35</v>
      </c>
      <c r="AL288" t="str">
        <f t="shared" si="44"/>
        <v>D|Nella Media|35</v>
      </c>
    </row>
    <row r="289" spans="1:38" ht="14.25" customHeight="1" x14ac:dyDescent="0.25">
      <c r="A289" s="18">
        <v>6990</v>
      </c>
      <c r="B289" s="18" t="s">
        <v>88</v>
      </c>
      <c r="C289" s="18" t="s">
        <v>173</v>
      </c>
      <c r="E289" s="23" t="str">
        <f>IF(COUNTIF('Info Strategia'!$D$2:$D$51,$C289)&gt;0,"SI","NO")</f>
        <v>NO</v>
      </c>
      <c r="F289" s="24">
        <f>IFERROR(ROUND(($G289+($H289-$G289)*'Info Strategia'!$B$6)*(1+IF($E289="SI",'Parametri Modello'!$B$7*'Info Strategia'!$B$6,0)),0),"")</f>
        <v>2</v>
      </c>
      <c r="G289" s="24">
        <f>IFERROR(ROUND(MAX(1,(IF($V289&lt;=INDEX('Parametri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1</v>
      </c>
      <c r="H289" s="24">
        <f>IFERROR(ROUND((IF($V289&lt;=INDEX('Parametri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2</v>
      </c>
      <c r="I289" s="23">
        <f>IFERROR(INDEX('Input Statistiche 2025_26'!$F$3:$F$665,MATCH($A289,'Input Statistiche 2025_26'!$A$3:$A$665,0)),"")</f>
        <v>36</v>
      </c>
      <c r="J289" s="23">
        <f t="shared" si="36"/>
        <v>2</v>
      </c>
      <c r="K289" s="23">
        <f>IFERROR(INDEX('Input Statistiche 2025_26'!$I$3:$I$665,MATCH($A289,'Input Statistiche 2025_26'!$A$3:$A$665,0)),"")</f>
        <v>0</v>
      </c>
      <c r="L289" s="23">
        <f>IFERROR(INDEX('Input Statistiche 2025_26'!$O$3:$O$665,MATCH($A289,'Input Statistiche 2025_26'!$A$3:$A$665,0)),"")</f>
        <v>0</v>
      </c>
      <c r="M289" s="25"/>
      <c r="N289" s="24">
        <f>IFERROR(INDEX('Input Giocatori 2026_27'!$E$3:$E$493,MATCH($A289,'Input Giocatori 2026_27'!$A$3:$A$493,0)),"")</f>
        <v>5</v>
      </c>
      <c r="O289" s="24">
        <f>IFERROR(INDEX('Input Giocatori 2026_27'!$G$3:$G$493,MATCH($A289,'Input Giocatori 2026_27'!$A$3:$A$493,0)),"")</f>
        <v>11</v>
      </c>
      <c r="P289" s="23" t="str">
        <f>IFERROR(IF($O289="","",IF((1-(COUNTIFS($B$2:$B$492,$B289,$O$2:$O$492,"&gt;"&amp;$O289)+1-1)/COUNTIF($B$2:$B$492,$B289))&gt;='Parametri Modello'!$B$63,"Top",IF((1-(COUNTIFS($B$2:$B$492,$B289,$O$2:$O$492,"&gt;"&amp;$O289)+1-1)/COUNTIF($B$2:$B$492,$B289))&gt;='Parametri Modello'!$B$64,"Buono",IF((1-(COUNTIFS($B$2:$B$492,$B289,$O$2:$O$492,"&gt;"&amp;$O289)+1-1)/COUNTIF($B$2:$B$492,$B289))&gt;='Parametri Modello'!$B$65,"Nella Media","Scommessa/Riserva")))),"")</f>
        <v>Nella Media</v>
      </c>
      <c r="Q289" s="26">
        <f>IF(AND($D289="",$N289&gt;1),SUMPRODUCT(($D$2:$D289="")*($N$2:$N289&gt;1)),"")</f>
        <v>288</v>
      </c>
      <c r="R289" s="26" t="str">
        <f>IF($D289='Info Lega'!$B$28,COUNTIFS($D$2:$D289,'Info Lega'!$B$28),"")</f>
        <v/>
      </c>
      <c r="S289" s="27">
        <f>IFERROR(INDEX('Input Statistiche 2025_26'!$G$3:$G$665,MATCH($A289,'Input Statistiche 2025_26'!$A$3:$A$665,0)),"")</f>
        <v>5.82</v>
      </c>
      <c r="T289" s="27">
        <f>IFERROR(INDEX('Input Statistiche 2025_26'!$H$3:$H$665,MATCH($A289,'Input Statistiche 2025_26'!$A$3:$A$665,0)),"")</f>
        <v>5.69</v>
      </c>
      <c r="U289" s="23" t="str">
        <f>IF(OR('La Mia Rosa'!$O$12="",$D289&lt;&gt;""),"",IF($F289&lt;='La Mia Rosa'!$O$12*'Parametri Modello'!$B$24,"OK",IF($F289&lt;='La Mia Rosa'!$O$12*'Parametri Modello'!$B$25,"Attenzione","Rischio Alto")))</f>
        <v>OK</v>
      </c>
      <c r="V289" s="23">
        <f t="shared" si="37"/>
        <v>90</v>
      </c>
      <c r="W289" s="18">
        <f>'Info Lega'!$B$4-SUMIFS($M$2:$M$492,$D$2:$D$492,'Info Lega'!$B$28)</f>
        <v>1000</v>
      </c>
      <c r="X289" s="18">
        <f>('Info Lega'!$B$5-COUNTIFS($D$2:$D$492,'Info Lega'!$B$28,$B$2:$B$492,"P"))+('Info Lega'!$B$6-COUNTIFS($D$2:$D$492,'Info Lega'!$B$28,$B$2:$B$492,"D"))+('Info Lega'!$B$7-COUNTIFS($D$2:$D$492,'Info Lega'!$B$28,$B$2:$B$492,"C"))+('Info Lega'!$B$8-COUNTIFS($D$2:$D$492,'Info Lega'!$B$28,$B$2:$B$492,"A"))</f>
        <v>25</v>
      </c>
      <c r="Y289" s="18">
        <f>X289*'Parametri Modello'!$B$30</f>
        <v>25</v>
      </c>
      <c r="Z289" s="18">
        <f t="shared" si="38"/>
        <v>975</v>
      </c>
      <c r="AA289" s="18">
        <f t="shared" si="39"/>
        <v>2</v>
      </c>
      <c r="AB289" s="18"/>
      <c r="AC289" s="18" t="str">
        <f>IF($AB289="","",IF($AB289&gt;$AA289,"PASS",IF($AB289&lt;=$AA289*(1-'Parametri Modello'!$B$68),"BID","ATTENZIONE")))</f>
        <v/>
      </c>
      <c r="AD289" s="28">
        <f t="shared" si="40"/>
        <v>70</v>
      </c>
      <c r="AE289" s="5" t="str">
        <f>IFERROR(IF($AF289="Titolare",INDEX('Stato Asta'!$G$9:$G$12,MATCH($B289,'Stato Asta'!$A$9:$A$12,0)),INDEX('Stato Asta'!$P$9:$P$12,MATCH($B289,'Stato Asta'!$A$9:$A$12,0))),"")</f>
        <v>🟢 Riserve abbondanti</v>
      </c>
      <c r="AF289" t="str">
        <f>IFERROR(IF($V289&lt;=INDEX('Parametri Modello'!$C$57:$C$60,MATCH($B289,'Parametri Modello'!$A$57:$A$60,0)),"Titolare","Riserva"),"")</f>
        <v>Riserva</v>
      </c>
      <c r="AG289" t="str">
        <f>IFERROR(INDEX('Pressione Competitiva'!$F$3:$F$6,MATCH($B289,'Pressione Competitiva'!$B$3:$B$6,0)),"")</f>
        <v>🔴 Molto Alta</v>
      </c>
      <c r="AH289" t="str">
        <f t="shared" si="41"/>
        <v/>
      </c>
      <c r="AI289" t="str">
        <f>IFERROR(IF($AH289="","",IF($AH289&gt;=$AA289*'Parametri Modello'!$B$68,"🟢 Opportunita'",IF($AH289&lt;=$AA289*'Parametri Modello'!$B$69,"🔴 Sovrapprezzo","🟡 Prezzo Corretto"))),"")</f>
        <v/>
      </c>
      <c r="AJ289" t="str">
        <f t="shared" si="42"/>
        <v/>
      </c>
      <c r="AK289">
        <f t="shared" si="43"/>
        <v>35</v>
      </c>
      <c r="AL289" t="str">
        <f t="shared" si="44"/>
        <v>D|Nella Media|35</v>
      </c>
    </row>
    <row r="290" spans="1:38" ht="14.25" customHeight="1" x14ac:dyDescent="0.25">
      <c r="A290" s="18">
        <v>6890</v>
      </c>
      <c r="B290" s="18" t="s">
        <v>88</v>
      </c>
      <c r="C290" s="18" t="s">
        <v>177</v>
      </c>
      <c r="E290" s="23" t="str">
        <f>IF(COUNTIF('Info Strategia'!$D$2:$D$51,$C290)&gt;0,"SI","NO")</f>
        <v>NO</v>
      </c>
      <c r="F290" s="24">
        <f>IFERROR(ROUND(($G290+($H290-$G290)*'Info Strategia'!$B$6)*(1+IF($E290="SI",'Parametri Modello'!$B$7*'Info Strategia'!$B$6,0)),0),"")</f>
        <v>2</v>
      </c>
      <c r="G290" s="24">
        <f>IFERROR(ROUND(MAX(1,(IF($V290&lt;=INDEX('Parametri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1</v>
      </c>
      <c r="H290" s="24">
        <f>IFERROR(ROUND((IF($V290&lt;=INDEX('Parametri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2</v>
      </c>
      <c r="I290" s="23" t="str">
        <f>IFERROR(INDEX('Input Statistiche 2025_26'!$F$3:$F$665,MATCH($A290,'Input Statistiche 2025_26'!$A$3:$A$665,0)),"")</f>
        <v/>
      </c>
      <c r="J290" s="23" t="str">
        <f t="shared" si="36"/>
        <v/>
      </c>
      <c r="K290" s="23" t="str">
        <f>IFERROR(INDEX('Input Statistiche 2025_26'!$I$3:$I$665,MATCH($A290,'Input Statistiche 2025_26'!$A$3:$A$665,0)),"")</f>
        <v/>
      </c>
      <c r="L290" s="23" t="str">
        <f>IFERROR(INDEX('Input Statistiche 2025_26'!$O$3:$O$665,MATCH($A290,'Input Statistiche 2025_26'!$A$3:$A$665,0)),"")</f>
        <v/>
      </c>
      <c r="M290" s="25"/>
      <c r="N290" s="24">
        <f>IFERROR(INDEX('Input Giocatori 2026_27'!$E$3:$E$493,MATCH($A290,'Input Giocatori 2026_27'!$A$3:$A$493,0)),"")</f>
        <v>5</v>
      </c>
      <c r="O290" s="24">
        <f>IFERROR(INDEX('Input Giocatori 2026_27'!$G$3:$G$493,MATCH($A290,'Input Giocatori 2026_27'!$A$3:$A$493,0)),"")</f>
        <v>11</v>
      </c>
      <c r="P290" s="23" t="str">
        <f>IFERROR(IF($O290="","",IF((1-(COUNTIFS($B$2:$B$492,$B290,$O$2:$O$492,"&gt;"&amp;$O290)+1-1)/COUNTIF($B$2:$B$492,$B290))&gt;='Parametri Modello'!$B$63,"Top",IF((1-(COUNTIFS($B$2:$B$492,$B290,$O$2:$O$492,"&gt;"&amp;$O290)+1-1)/COUNTIF($B$2:$B$492,$B290))&gt;='Parametri Modello'!$B$64,"Buono",IF((1-(COUNTIFS($B$2:$B$492,$B290,$O$2:$O$492,"&gt;"&amp;$O290)+1-1)/COUNTIF($B$2:$B$492,$B290))&gt;='Parametri Modello'!$B$65,"Nella Media","Scommessa/Riserva")))),"")</f>
        <v>Nella Media</v>
      </c>
      <c r="Q290" s="26">
        <f>IF(AND($D290="",$N290&gt;1),SUMPRODUCT(($D$2:$D290="")*($N$2:$N290&gt;1)),"")</f>
        <v>289</v>
      </c>
      <c r="R290" s="26" t="str">
        <f>IF($D290='Info Lega'!$B$28,COUNTIFS($D$2:$D290,'Info Lega'!$B$28),"")</f>
        <v/>
      </c>
      <c r="S290" s="27" t="str">
        <f>IFERROR(INDEX('Input Statistiche 2025_26'!$G$3:$G$665,MATCH($A290,'Input Statistiche 2025_26'!$A$3:$A$665,0)),"")</f>
        <v/>
      </c>
      <c r="T290" s="27" t="str">
        <f>IFERROR(INDEX('Input Statistiche 2025_26'!$H$3:$H$665,MATCH($A290,'Input Statistiche 2025_26'!$A$3:$A$665,0)),"")</f>
        <v/>
      </c>
      <c r="U290" s="23" t="str">
        <f>IF(OR('La Mia Rosa'!$O$12="",$D290&lt;&gt;""),"",IF($F290&lt;='La Mia Rosa'!$O$12*'Parametri Modello'!$B$24,"OK",IF($F290&lt;='La Mia Rosa'!$O$12*'Parametri Modello'!$B$25,"Attenzione","Rischio Alto")))</f>
        <v>OK</v>
      </c>
      <c r="V290" s="23">
        <f t="shared" si="37"/>
        <v>90</v>
      </c>
      <c r="W290" s="18">
        <f>'Info Lega'!$B$4-SUMIFS($M$2:$M$492,$D$2:$D$492,'Info Lega'!$B$28)</f>
        <v>1000</v>
      </c>
      <c r="X290" s="18">
        <f>('Info Lega'!$B$5-COUNTIFS($D$2:$D$492,'Info Lega'!$B$28,$B$2:$B$492,"P"))+('Info Lega'!$B$6-COUNTIFS($D$2:$D$492,'Info Lega'!$B$28,$B$2:$B$492,"D"))+('Info Lega'!$B$7-COUNTIFS($D$2:$D$492,'Info Lega'!$B$28,$B$2:$B$492,"C"))+('Info Lega'!$B$8-COUNTIFS($D$2:$D$492,'Info Lega'!$B$28,$B$2:$B$492,"A"))</f>
        <v>25</v>
      </c>
      <c r="Y290" s="18">
        <f>X290*'Parametri Modello'!$B$30</f>
        <v>25</v>
      </c>
      <c r="Z290" s="18">
        <f t="shared" si="38"/>
        <v>975</v>
      </c>
      <c r="AA290" s="18">
        <f t="shared" si="39"/>
        <v>2</v>
      </c>
      <c r="AB290" s="18"/>
      <c r="AC290" s="18" t="str">
        <f>IF($AB290="","",IF($AB290&gt;$AA290,"PASS",IF($AB290&lt;=$AA290*(1-'Parametri Modello'!$B$68),"BID","ATTENZIONE")))</f>
        <v/>
      </c>
      <c r="AD290" s="28" t="str">
        <f t="shared" si="40"/>
        <v/>
      </c>
      <c r="AE290" s="5" t="str">
        <f>IFERROR(IF($AF290="Titolare",INDEX('Stato Asta'!$G$9:$G$12,MATCH($B290,'Stato Asta'!$A$9:$A$12,0)),INDEX('Stato Asta'!$P$9:$P$12,MATCH($B290,'Stato Asta'!$A$9:$A$12,0))),"")</f>
        <v>🟢 Riserve abbondanti</v>
      </c>
      <c r="AF290" t="str">
        <f>IFERROR(IF($V290&lt;=INDEX('Parametri Modello'!$C$57:$C$60,MATCH($B290,'Parametri Modello'!$A$57:$A$60,0)),"Titolare","Riserva"),"")</f>
        <v>Riserva</v>
      </c>
      <c r="AG290" t="str">
        <f>IFERROR(INDEX('Pressione Competitiva'!$F$3:$F$6,MATCH($B290,'Pressione Competitiva'!$B$3:$B$6,0)),"")</f>
        <v>🔴 Molto Alta</v>
      </c>
      <c r="AH290" t="str">
        <f t="shared" si="41"/>
        <v/>
      </c>
      <c r="AI290" t="str">
        <f>IFERROR(IF($AH290="","",IF($AH290&gt;=$AA290*'Parametri Modello'!$B$68,"🟢 Opportunita'",IF($AH290&lt;=$AA290*'Parametri Modello'!$B$69,"🔴 Sovrapprezzo","🟡 Prezzo Corretto"))),"")</f>
        <v/>
      </c>
      <c r="AJ290" t="str">
        <f t="shared" si="42"/>
        <v/>
      </c>
      <c r="AK290">
        <f t="shared" si="43"/>
        <v>35</v>
      </c>
      <c r="AL290" t="str">
        <f t="shared" si="44"/>
        <v>D|Nella Media|35</v>
      </c>
    </row>
    <row r="291" spans="1:38" ht="14.25" customHeight="1" x14ac:dyDescent="0.25">
      <c r="A291" s="18">
        <v>5695</v>
      </c>
      <c r="B291" s="18" t="s">
        <v>88</v>
      </c>
      <c r="C291" s="18" t="s">
        <v>178</v>
      </c>
      <c r="E291" s="23" t="str">
        <f>IF(COUNTIF('Info Strategia'!$D$2:$D$51,$C291)&gt;0,"SI","NO")</f>
        <v>NO</v>
      </c>
      <c r="F291" s="24">
        <f>IFERROR(ROUND(($G291+($H291-$G291)*'Info Strategia'!$B$6)*(1+IF($E291="SI",'Parametri Modello'!$B$7*'Info Strategia'!$B$6,0)),0),"")</f>
        <v>2</v>
      </c>
      <c r="G291" s="24">
        <f>IFERROR(ROUND(MAX(1,(IF($V291&lt;=INDEX('Parametri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1</v>
      </c>
      <c r="H291" s="24">
        <f>IFERROR(ROUND((IF($V291&lt;=INDEX('Parametri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2</v>
      </c>
      <c r="I291" s="23" t="str">
        <f>IFERROR(INDEX('Input Statistiche 2025_26'!$F$3:$F$665,MATCH($A291,'Input Statistiche 2025_26'!$A$3:$A$665,0)),"")</f>
        <v/>
      </c>
      <c r="J291" s="23" t="str">
        <f t="shared" si="36"/>
        <v/>
      </c>
      <c r="K291" s="23" t="str">
        <f>IFERROR(INDEX('Input Statistiche 2025_26'!$I$3:$I$665,MATCH($A291,'Input Statistiche 2025_26'!$A$3:$A$665,0)),"")</f>
        <v/>
      </c>
      <c r="L291" s="23" t="str">
        <f>IFERROR(INDEX('Input Statistiche 2025_26'!$O$3:$O$665,MATCH($A291,'Input Statistiche 2025_26'!$A$3:$A$665,0)),"")</f>
        <v/>
      </c>
      <c r="M291" s="25"/>
      <c r="N291" s="24">
        <f>IFERROR(INDEX('Input Giocatori 2026_27'!$E$3:$E$493,MATCH($A291,'Input Giocatori 2026_27'!$A$3:$A$493,0)),"")</f>
        <v>5</v>
      </c>
      <c r="O291" s="24">
        <f>IFERROR(INDEX('Input Giocatori 2026_27'!$G$3:$G$493,MATCH($A291,'Input Giocatori 2026_27'!$A$3:$A$493,0)),"")</f>
        <v>11</v>
      </c>
      <c r="P291" s="23" t="str">
        <f>IFERROR(IF($O291="","",IF((1-(COUNTIFS($B$2:$B$492,$B291,$O$2:$O$492,"&gt;"&amp;$O291)+1-1)/COUNTIF($B$2:$B$492,$B291))&gt;='Parametri Modello'!$B$63,"Top",IF((1-(COUNTIFS($B$2:$B$492,$B291,$O$2:$O$492,"&gt;"&amp;$O291)+1-1)/COUNTIF($B$2:$B$492,$B291))&gt;='Parametri Modello'!$B$64,"Buono",IF((1-(COUNTIFS($B$2:$B$492,$B291,$O$2:$O$492,"&gt;"&amp;$O291)+1-1)/COUNTIF($B$2:$B$492,$B291))&gt;='Parametri Modello'!$B$65,"Nella Media","Scommessa/Riserva")))),"")</f>
        <v>Nella Media</v>
      </c>
      <c r="Q291" s="26">
        <f>IF(AND($D291="",$N291&gt;1),SUMPRODUCT(($D$2:$D291="")*($N$2:$N291&gt;1)),"")</f>
        <v>290</v>
      </c>
      <c r="R291" s="26" t="str">
        <f>IF($D291='Info Lega'!$B$28,COUNTIFS($D$2:$D291,'Info Lega'!$B$28),"")</f>
        <v/>
      </c>
      <c r="S291" s="27" t="str">
        <f>IFERROR(INDEX('Input Statistiche 2025_26'!$G$3:$G$665,MATCH($A291,'Input Statistiche 2025_26'!$A$3:$A$665,0)),"")</f>
        <v/>
      </c>
      <c r="T291" s="27" t="str">
        <f>IFERROR(INDEX('Input Statistiche 2025_26'!$H$3:$H$665,MATCH($A291,'Input Statistiche 2025_26'!$A$3:$A$665,0)),"")</f>
        <v/>
      </c>
      <c r="U291" s="23" t="str">
        <f>IF(OR('La Mia Rosa'!$O$12="",$D291&lt;&gt;""),"",IF($F291&lt;='La Mia Rosa'!$O$12*'Parametri Modello'!$B$24,"OK",IF($F291&lt;='La Mia Rosa'!$O$12*'Parametri Modello'!$B$25,"Attenzione","Rischio Alto")))</f>
        <v>OK</v>
      </c>
      <c r="V291" s="23">
        <f t="shared" si="37"/>
        <v>90</v>
      </c>
      <c r="W291" s="18">
        <f>'Info Lega'!$B$4-SUMIFS($M$2:$M$492,$D$2:$D$492,'Info Lega'!$B$28)</f>
        <v>1000</v>
      </c>
      <c r="X291" s="18">
        <f>('Info Lega'!$B$5-COUNTIFS($D$2:$D$492,'Info Lega'!$B$28,$B$2:$B$492,"P"))+('Info Lega'!$B$6-COUNTIFS($D$2:$D$492,'Info Lega'!$B$28,$B$2:$B$492,"D"))+('Info Lega'!$B$7-COUNTIFS($D$2:$D$492,'Info Lega'!$B$28,$B$2:$B$492,"C"))+('Info Lega'!$B$8-COUNTIFS($D$2:$D$492,'Info Lega'!$B$28,$B$2:$B$492,"A"))</f>
        <v>25</v>
      </c>
      <c r="Y291" s="18">
        <f>X291*'Parametri Modello'!$B$30</f>
        <v>25</v>
      </c>
      <c r="Z291" s="18">
        <f t="shared" si="38"/>
        <v>975</v>
      </c>
      <c r="AA291" s="18">
        <f t="shared" si="39"/>
        <v>2</v>
      </c>
      <c r="AB291" s="18"/>
      <c r="AC291" s="18" t="str">
        <f>IF($AB291="","",IF($AB291&gt;$AA291,"PASS",IF($AB291&lt;=$AA291*(1-'Parametri Modello'!$B$68),"BID","ATTENZIONE")))</f>
        <v/>
      </c>
      <c r="AD291" s="28" t="str">
        <f t="shared" si="40"/>
        <v/>
      </c>
      <c r="AE291" s="5" t="str">
        <f>IFERROR(IF($AF291="Titolare",INDEX('Stato Asta'!$G$9:$G$12,MATCH($B291,'Stato Asta'!$A$9:$A$12,0)),INDEX('Stato Asta'!$P$9:$P$12,MATCH($B291,'Stato Asta'!$A$9:$A$12,0))),"")</f>
        <v>🟢 Riserve abbondanti</v>
      </c>
      <c r="AF291" t="str">
        <f>IFERROR(IF($V291&lt;=INDEX('Parametri Modello'!$C$57:$C$60,MATCH($B291,'Parametri Modello'!$A$57:$A$60,0)),"Titolare","Riserva"),"")</f>
        <v>Riserva</v>
      </c>
      <c r="AG291" t="str">
        <f>IFERROR(INDEX('Pressione Competitiva'!$F$3:$F$6,MATCH($B291,'Pressione Competitiva'!$B$3:$B$6,0)),"")</f>
        <v>🔴 Molto Alta</v>
      </c>
      <c r="AH291" t="str">
        <f t="shared" si="41"/>
        <v/>
      </c>
      <c r="AI291" t="str">
        <f>IFERROR(IF($AH291="","",IF($AH291&gt;=$AA291*'Parametri Modello'!$B$68,"🟢 Opportunita'",IF($AH291&lt;=$AA291*'Parametri Modello'!$B$69,"🔴 Sovrapprezzo","🟡 Prezzo Corretto"))),"")</f>
        <v/>
      </c>
      <c r="AJ291" t="str">
        <f t="shared" si="42"/>
        <v/>
      </c>
      <c r="AK291">
        <f t="shared" si="43"/>
        <v>35</v>
      </c>
      <c r="AL291" t="str">
        <f t="shared" si="44"/>
        <v>D|Nella Media|35</v>
      </c>
    </row>
    <row r="292" spans="1:38" ht="14.25" customHeight="1" x14ac:dyDescent="0.25">
      <c r="A292" s="18">
        <v>2115</v>
      </c>
      <c r="B292" s="18" t="s">
        <v>88</v>
      </c>
      <c r="C292" s="18" t="s">
        <v>186</v>
      </c>
      <c r="E292" s="23" t="str">
        <f>IF(COUNTIF('Info Strategia'!$D$2:$D$51,$C292)&gt;0,"SI","NO")</f>
        <v>NO</v>
      </c>
      <c r="F292" s="24">
        <f>IFERROR(ROUND(($G292+($H292-$G292)*'Info Strategia'!$B$6)*(1+IF($E292="SI",'Parametri Modello'!$B$7*'Info Strategia'!$B$6,0)),0),"")</f>
        <v>2</v>
      </c>
      <c r="G292" s="24">
        <f>IFERROR(ROUND(MAX(1,(IF($V292&lt;=INDEX('Parametri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1</v>
      </c>
      <c r="H292" s="24">
        <f>IFERROR(ROUND((IF($V292&lt;=INDEX('Parametri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2</v>
      </c>
      <c r="I292" s="23" t="str">
        <f>IFERROR(INDEX('Input Statistiche 2025_26'!$F$3:$F$665,MATCH($A292,'Input Statistiche 2025_26'!$A$3:$A$665,0)),"")</f>
        <v/>
      </c>
      <c r="J292" s="23" t="str">
        <f t="shared" si="36"/>
        <v/>
      </c>
      <c r="K292" s="23" t="str">
        <f>IFERROR(INDEX('Input Statistiche 2025_26'!$I$3:$I$665,MATCH($A292,'Input Statistiche 2025_26'!$A$3:$A$665,0)),"")</f>
        <v/>
      </c>
      <c r="L292" s="23" t="str">
        <f>IFERROR(INDEX('Input Statistiche 2025_26'!$O$3:$O$665,MATCH($A292,'Input Statistiche 2025_26'!$A$3:$A$665,0)),"")</f>
        <v/>
      </c>
      <c r="M292" s="25"/>
      <c r="N292" s="24">
        <f>IFERROR(INDEX('Input Giocatori 2026_27'!$E$3:$E$493,MATCH($A292,'Input Giocatori 2026_27'!$A$3:$A$493,0)),"")</f>
        <v>4</v>
      </c>
      <c r="O292" s="24">
        <f>IFERROR(INDEX('Input Giocatori 2026_27'!$G$3:$G$493,MATCH($A292,'Input Giocatori 2026_27'!$A$3:$A$493,0)),"")</f>
        <v>11</v>
      </c>
      <c r="P292" s="23" t="str">
        <f>IFERROR(IF($O292="","",IF((1-(COUNTIFS($B$2:$B$492,$B292,$O$2:$O$492,"&gt;"&amp;$O292)+1-1)/COUNTIF($B$2:$B$492,$B292))&gt;='Parametri Modello'!$B$63,"Top",IF((1-(COUNTIFS($B$2:$B$492,$B292,$O$2:$O$492,"&gt;"&amp;$O292)+1-1)/COUNTIF($B$2:$B$492,$B292))&gt;='Parametri Modello'!$B$64,"Buono",IF((1-(COUNTIFS($B$2:$B$492,$B292,$O$2:$O$492,"&gt;"&amp;$O292)+1-1)/COUNTIF($B$2:$B$492,$B292))&gt;='Parametri Modello'!$B$65,"Nella Media","Scommessa/Riserva")))),"")</f>
        <v>Nella Media</v>
      </c>
      <c r="Q292" s="26">
        <f>IF(AND($D292="",$N292&gt;1),SUMPRODUCT(($D$2:$D292="")*($N$2:$N292&gt;1)),"")</f>
        <v>291</v>
      </c>
      <c r="R292" s="26" t="str">
        <f>IF($D292='Info Lega'!$B$28,COUNTIFS($D$2:$D292,'Info Lega'!$B$28),"")</f>
        <v/>
      </c>
      <c r="S292" s="27" t="str">
        <f>IFERROR(INDEX('Input Statistiche 2025_26'!$G$3:$G$665,MATCH($A292,'Input Statistiche 2025_26'!$A$3:$A$665,0)),"")</f>
        <v/>
      </c>
      <c r="T292" s="27" t="str">
        <f>IFERROR(INDEX('Input Statistiche 2025_26'!$H$3:$H$665,MATCH($A292,'Input Statistiche 2025_26'!$A$3:$A$665,0)),"")</f>
        <v/>
      </c>
      <c r="U292" s="23" t="str">
        <f>IF(OR('La Mia Rosa'!$O$12="",$D292&lt;&gt;""),"",IF($F292&lt;='La Mia Rosa'!$O$12*'Parametri Modello'!$B$24,"OK",IF($F292&lt;='La Mia Rosa'!$O$12*'Parametri Modello'!$B$25,"Attenzione","Rischio Alto")))</f>
        <v>OK</v>
      </c>
      <c r="V292" s="23">
        <f t="shared" si="37"/>
        <v>90</v>
      </c>
      <c r="W292" s="18">
        <f>'Info Lega'!$B$4-SUMIFS($M$2:$M$492,$D$2:$D$492,'Info Lega'!$B$28)</f>
        <v>1000</v>
      </c>
      <c r="X292" s="18">
        <f>('Info Lega'!$B$5-COUNTIFS($D$2:$D$492,'Info Lega'!$B$28,$B$2:$B$492,"P"))+('Info Lega'!$B$6-COUNTIFS($D$2:$D$492,'Info Lega'!$B$28,$B$2:$B$492,"D"))+('Info Lega'!$B$7-COUNTIFS($D$2:$D$492,'Info Lega'!$B$28,$B$2:$B$492,"C"))+('Info Lega'!$B$8-COUNTIFS($D$2:$D$492,'Info Lega'!$B$28,$B$2:$B$492,"A"))</f>
        <v>25</v>
      </c>
      <c r="Y292" s="18">
        <f>X292*'Parametri Modello'!$B$30</f>
        <v>25</v>
      </c>
      <c r="Z292" s="18">
        <f t="shared" si="38"/>
        <v>975</v>
      </c>
      <c r="AA292" s="18">
        <f t="shared" si="39"/>
        <v>2</v>
      </c>
      <c r="AB292" s="18"/>
      <c r="AC292" s="18" t="str">
        <f>IF($AB292="","",IF($AB292&gt;$AA292,"PASS",IF($AB292&lt;=$AA292*(1-'Parametri Modello'!$B$68),"BID","ATTENZIONE")))</f>
        <v/>
      </c>
      <c r="AD292" s="28" t="str">
        <f t="shared" si="40"/>
        <v/>
      </c>
      <c r="AE292" s="5" t="str">
        <f>IFERROR(IF($AF292="Titolare",INDEX('Stato Asta'!$G$9:$G$12,MATCH($B292,'Stato Asta'!$A$9:$A$12,0)),INDEX('Stato Asta'!$P$9:$P$12,MATCH($B292,'Stato Asta'!$A$9:$A$12,0))),"")</f>
        <v>🟢 Riserve abbondanti</v>
      </c>
      <c r="AF292" t="str">
        <f>IFERROR(IF($V292&lt;=INDEX('Parametri Modello'!$C$57:$C$60,MATCH($B292,'Parametri Modello'!$A$57:$A$60,0)),"Titolare","Riserva"),"")</f>
        <v>Riserva</v>
      </c>
      <c r="AG292" t="str">
        <f>IFERROR(INDEX('Pressione Competitiva'!$F$3:$F$6,MATCH($B292,'Pressione Competitiva'!$B$3:$B$6,0)),"")</f>
        <v>🔴 Molto Alta</v>
      </c>
      <c r="AH292" t="str">
        <f t="shared" si="41"/>
        <v/>
      </c>
      <c r="AI292" t="str">
        <f>IFERROR(IF($AH292="","",IF($AH292&gt;=$AA292*'Parametri Modello'!$B$68,"🟢 Opportunita'",IF($AH292&lt;=$AA292*'Parametri Modello'!$B$69,"🔴 Sovrapprezzo","🟡 Prezzo Corretto"))),"")</f>
        <v/>
      </c>
      <c r="AJ292" t="str">
        <f t="shared" si="42"/>
        <v/>
      </c>
      <c r="AK292">
        <f t="shared" si="43"/>
        <v>35</v>
      </c>
      <c r="AL292" t="str">
        <f t="shared" si="44"/>
        <v>D|Nella Media|35</v>
      </c>
    </row>
    <row r="293" spans="1:38" ht="14.25" customHeight="1" x14ac:dyDescent="0.25">
      <c r="A293" s="18">
        <v>4856</v>
      </c>
      <c r="B293" s="18" t="s">
        <v>264</v>
      </c>
      <c r="C293" s="18" t="s">
        <v>340</v>
      </c>
      <c r="E293" s="23" t="str">
        <f>IF(COUNTIF('Info Strategia'!$D$2:$D$51,$C293)&gt;0,"SI","NO")</f>
        <v>NO</v>
      </c>
      <c r="F293" s="24">
        <f>IFERROR(ROUND(($G293+($H293-$G293)*'Info Strategia'!$B$6)*(1+IF($E293="SI",'Parametri Modello'!$B$7*'Info Strategia'!$B$6,0)),0),"")</f>
        <v>2</v>
      </c>
      <c r="G293" s="24">
        <f>IFERROR(ROUND(MAX(1,(IF($V293&lt;=INDEX('Parametri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1</v>
      </c>
      <c r="H293" s="24">
        <f>IFERROR(ROUND((IF($V293&lt;=INDEX('Parametri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2</v>
      </c>
      <c r="I293" s="23">
        <f>IFERROR(INDEX('Input Statistiche 2025_26'!$F$3:$F$665,MATCH($A293,'Input Statistiche 2025_26'!$A$3:$A$665,0)),"")</f>
        <v>1</v>
      </c>
      <c r="J293" s="23">
        <f t="shared" si="36"/>
        <v>37</v>
      </c>
      <c r="K293" s="23">
        <f>IFERROR(INDEX('Input Statistiche 2025_26'!$I$3:$I$665,MATCH($A293,'Input Statistiche 2025_26'!$A$3:$A$665,0)),"")</f>
        <v>0</v>
      </c>
      <c r="L293" s="23">
        <f>IFERROR(INDEX('Input Statistiche 2025_26'!$O$3:$O$665,MATCH($A293,'Input Statistiche 2025_26'!$A$3:$A$665,0)),"")</f>
        <v>0</v>
      </c>
      <c r="M293" s="25"/>
      <c r="N293" s="24">
        <f>IFERROR(INDEX('Input Giocatori 2026_27'!$E$3:$E$493,MATCH($A293,'Input Giocatori 2026_27'!$A$3:$A$493,0)),"")</f>
        <v>6</v>
      </c>
      <c r="O293" s="24">
        <f>IFERROR(INDEX('Input Giocatori 2026_27'!$G$3:$G$493,MATCH($A293,'Input Giocatori 2026_27'!$A$3:$A$493,0)),"")</f>
        <v>11</v>
      </c>
      <c r="P293" s="23" t="str">
        <f>IFERROR(IF($O293="","",IF((1-(COUNTIFS($B$2:$B$492,$B293,$O$2:$O$492,"&gt;"&amp;$O293)+1-1)/COUNTIF($B$2:$B$492,$B293))&gt;='Parametri Modello'!$B$63,"Top",IF((1-(COUNTIFS($B$2:$B$492,$B293,$O$2:$O$492,"&gt;"&amp;$O293)+1-1)/COUNTIF($B$2:$B$492,$B293))&gt;='Parametri Modello'!$B$64,"Buono",IF((1-(COUNTIFS($B$2:$B$492,$B293,$O$2:$O$492,"&gt;"&amp;$O293)+1-1)/COUNTIF($B$2:$B$492,$B293))&gt;='Parametri Modello'!$B$65,"Nella Media","Scommessa/Riserva")))),"")</f>
        <v>Scommessa/Riserva</v>
      </c>
      <c r="Q293" s="26">
        <f>IF(AND($D293="",$N293&gt;1),SUMPRODUCT(($D$2:$D293="")*($N$2:$N293&gt;1)),"")</f>
        <v>292</v>
      </c>
      <c r="R293" s="26" t="str">
        <f>IF($D293='Info Lega'!$B$28,COUNTIFS($D$2:$D293,'Info Lega'!$B$28),"")</f>
        <v/>
      </c>
      <c r="S293" s="27">
        <f>IFERROR(INDEX('Input Statistiche 2025_26'!$G$3:$G$665,MATCH($A293,'Input Statistiche 2025_26'!$A$3:$A$665,0)),"")</f>
        <v>5.5</v>
      </c>
      <c r="T293" s="27">
        <f>IFERROR(INDEX('Input Statistiche 2025_26'!$H$3:$H$665,MATCH($A293,'Input Statistiche 2025_26'!$A$3:$A$665,0)),"")</f>
        <v>5.5</v>
      </c>
      <c r="U293" s="23" t="str">
        <f>IF(OR('La Mia Rosa'!$O$12="",$D293&lt;&gt;""),"",IF($F293&lt;='La Mia Rosa'!$O$12*'Parametri Modello'!$B$24,"OK",IF($F293&lt;='La Mia Rosa'!$O$12*'Parametri Modello'!$B$25,"Attenzione","Rischio Alto")))</f>
        <v>OK</v>
      </c>
      <c r="V293" s="23">
        <f t="shared" si="37"/>
        <v>115</v>
      </c>
      <c r="W293" s="18">
        <f>'Info Lega'!$B$4-SUMIFS($M$2:$M$492,$D$2:$D$492,'Info Lega'!$B$28)</f>
        <v>1000</v>
      </c>
      <c r="X293" s="18">
        <f>('Info Lega'!$B$5-COUNTIFS($D$2:$D$492,'Info Lega'!$B$28,$B$2:$B$492,"P"))+('Info Lega'!$B$6-COUNTIFS($D$2:$D$492,'Info Lega'!$B$28,$B$2:$B$492,"D"))+('Info Lega'!$B$7-COUNTIFS($D$2:$D$492,'Info Lega'!$B$28,$B$2:$B$492,"C"))+('Info Lega'!$B$8-COUNTIFS($D$2:$D$492,'Info Lega'!$B$28,$B$2:$B$492,"A"))</f>
        <v>25</v>
      </c>
      <c r="Y293" s="18">
        <f>X293*'Parametri Modello'!$B$30</f>
        <v>25</v>
      </c>
      <c r="Z293" s="18">
        <f t="shared" si="38"/>
        <v>975</v>
      </c>
      <c r="AA293" s="18">
        <f t="shared" si="39"/>
        <v>2</v>
      </c>
      <c r="AB293" s="18"/>
      <c r="AC293" s="18" t="str">
        <f>IF($AB293="","",IF($AB293&gt;$AA293,"PASS",IF($AB293&lt;=$AA293*(1-'Parametri Modello'!$B$68),"BID","ATTENZIONE")))</f>
        <v/>
      </c>
      <c r="AD293" s="28">
        <f t="shared" si="40"/>
        <v>3</v>
      </c>
      <c r="AE293" s="5" t="str">
        <f>IFERROR(IF($AF293="Titolare",INDEX('Stato Asta'!$G$9:$G$12,MATCH($B293,'Stato Asta'!$A$9:$A$12,0)),INDEX('Stato Asta'!$P$9:$P$12,MATCH($B293,'Stato Asta'!$A$9:$A$12,0))),"")</f>
        <v>🟢 Riserve abbondanti</v>
      </c>
      <c r="AF293" t="str">
        <f>IFERROR(IF($V293&lt;=INDEX('Parametri Modello'!$C$57:$C$60,MATCH($B293,'Parametri Modello'!$A$57:$A$60,0)),"Titolare","Riserva"),"")</f>
        <v>Riserva</v>
      </c>
      <c r="AG293" t="str">
        <f>IFERROR(INDEX('Pressione Competitiva'!$F$3:$F$6,MATCH($B293,'Pressione Competitiva'!$B$3:$B$6,0)),"")</f>
        <v>🔴 Molto Alta</v>
      </c>
      <c r="AH293" t="str">
        <f t="shared" si="41"/>
        <v/>
      </c>
      <c r="AI293" t="str">
        <f>IFERROR(IF($AH293="","",IF($AH293&gt;=$AA293*'Parametri Modello'!$B$68,"🟢 Opportunita'",IF($AH293&lt;=$AA293*'Parametri Modello'!$B$69,"🔴 Sovrapprezzo","🟡 Prezzo Corretto"))),"")</f>
        <v/>
      </c>
      <c r="AJ293" t="str">
        <f t="shared" si="42"/>
        <v/>
      </c>
      <c r="AK293">
        <f t="shared" si="43"/>
        <v>11</v>
      </c>
      <c r="AL293" t="str">
        <f t="shared" si="44"/>
        <v>C|Scommessa/Riserva|11</v>
      </c>
    </row>
    <row r="294" spans="1:38" ht="14.25" customHeight="1" x14ac:dyDescent="0.25">
      <c r="A294" s="18">
        <v>2857</v>
      </c>
      <c r="B294" s="18" t="s">
        <v>264</v>
      </c>
      <c r="C294" s="18" t="s">
        <v>352</v>
      </c>
      <c r="E294" s="23" t="str">
        <f>IF(COUNTIF('Info Strategia'!$D$2:$D$51,$C294)&gt;0,"SI","NO")</f>
        <v>NO</v>
      </c>
      <c r="F294" s="24">
        <f>IFERROR(ROUND(($G294+($H294-$G294)*'Info Strategia'!$B$6)*(1+IF($E294="SI",'Parametri Modello'!$B$7*'Info Strategia'!$B$6,0)),0),"")</f>
        <v>2</v>
      </c>
      <c r="G294" s="24">
        <f>IFERROR(ROUND(MAX(1,(IF($V294&lt;=INDEX('Parametri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1</v>
      </c>
      <c r="H294" s="24">
        <f>IFERROR(ROUND((IF($V294&lt;=INDEX('Parametri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2</v>
      </c>
      <c r="I294" s="23" t="str">
        <f>IFERROR(INDEX('Input Statistiche 2025_26'!$F$3:$F$665,MATCH($A294,'Input Statistiche 2025_26'!$A$3:$A$665,0)),"")</f>
        <v/>
      </c>
      <c r="J294" s="23" t="str">
        <f t="shared" si="36"/>
        <v/>
      </c>
      <c r="K294" s="23" t="str">
        <f>IFERROR(INDEX('Input Statistiche 2025_26'!$I$3:$I$665,MATCH($A294,'Input Statistiche 2025_26'!$A$3:$A$665,0)),"")</f>
        <v/>
      </c>
      <c r="L294" s="23" t="str">
        <f>IFERROR(INDEX('Input Statistiche 2025_26'!$O$3:$O$665,MATCH($A294,'Input Statistiche 2025_26'!$A$3:$A$665,0)),"")</f>
        <v/>
      </c>
      <c r="M294" s="25"/>
      <c r="N294" s="24">
        <f>IFERROR(INDEX('Input Giocatori 2026_27'!$E$3:$E$493,MATCH($A294,'Input Giocatori 2026_27'!$A$3:$A$493,0)),"")</f>
        <v>5</v>
      </c>
      <c r="O294" s="24">
        <f>IFERROR(INDEX('Input Giocatori 2026_27'!$G$3:$G$493,MATCH($A294,'Input Giocatori 2026_27'!$A$3:$A$493,0)),"")</f>
        <v>11</v>
      </c>
      <c r="P294" s="23" t="str">
        <f>IFERROR(IF($O294="","",IF((1-(COUNTIFS($B$2:$B$492,$B294,$O$2:$O$492,"&gt;"&amp;$O294)+1-1)/COUNTIF($B$2:$B$492,$B294))&gt;='Parametri Modello'!$B$63,"Top",IF((1-(COUNTIFS($B$2:$B$492,$B294,$O$2:$O$492,"&gt;"&amp;$O294)+1-1)/COUNTIF($B$2:$B$492,$B294))&gt;='Parametri Modello'!$B$64,"Buono",IF((1-(COUNTIFS($B$2:$B$492,$B294,$O$2:$O$492,"&gt;"&amp;$O294)+1-1)/COUNTIF($B$2:$B$492,$B294))&gt;='Parametri Modello'!$B$65,"Nella Media","Scommessa/Riserva")))),"")</f>
        <v>Scommessa/Riserva</v>
      </c>
      <c r="Q294" s="26">
        <f>IF(AND($D294="",$N294&gt;1),SUMPRODUCT(($D$2:$D294="")*($N$2:$N294&gt;1)),"")</f>
        <v>293</v>
      </c>
      <c r="R294" s="26" t="str">
        <f>IF($D294='Info Lega'!$B$28,COUNTIFS($D$2:$D294,'Info Lega'!$B$28),"")</f>
        <v/>
      </c>
      <c r="S294" s="27" t="str">
        <f>IFERROR(INDEX('Input Statistiche 2025_26'!$G$3:$G$665,MATCH($A294,'Input Statistiche 2025_26'!$A$3:$A$665,0)),"")</f>
        <v/>
      </c>
      <c r="T294" s="27" t="str">
        <f>IFERROR(INDEX('Input Statistiche 2025_26'!$H$3:$H$665,MATCH($A294,'Input Statistiche 2025_26'!$A$3:$A$665,0)),"")</f>
        <v/>
      </c>
      <c r="U294" s="23" t="str">
        <f>IF(OR('La Mia Rosa'!$O$12="",$D294&lt;&gt;""),"",IF($F294&lt;='La Mia Rosa'!$O$12*'Parametri Modello'!$B$24,"OK",IF($F294&lt;='La Mia Rosa'!$O$12*'Parametri Modello'!$B$25,"Attenzione","Rischio Alto")))</f>
        <v>OK</v>
      </c>
      <c r="V294" s="23">
        <f t="shared" si="37"/>
        <v>115</v>
      </c>
      <c r="W294" s="18">
        <f>'Info Lega'!$B$4-SUMIFS($M$2:$M$492,$D$2:$D$492,'Info Lega'!$B$28)</f>
        <v>1000</v>
      </c>
      <c r="X294" s="18">
        <f>('Info Lega'!$B$5-COUNTIFS($D$2:$D$492,'Info Lega'!$B$28,$B$2:$B$492,"P"))+('Info Lega'!$B$6-COUNTIFS($D$2:$D$492,'Info Lega'!$B$28,$B$2:$B$492,"D"))+('Info Lega'!$B$7-COUNTIFS($D$2:$D$492,'Info Lega'!$B$28,$B$2:$B$492,"C"))+('Info Lega'!$B$8-COUNTIFS($D$2:$D$492,'Info Lega'!$B$28,$B$2:$B$492,"A"))</f>
        <v>25</v>
      </c>
      <c r="Y294" s="18">
        <f>X294*'Parametri Modello'!$B$30</f>
        <v>25</v>
      </c>
      <c r="Z294" s="18">
        <f t="shared" si="38"/>
        <v>975</v>
      </c>
      <c r="AA294" s="18">
        <f t="shared" si="39"/>
        <v>2</v>
      </c>
      <c r="AB294" s="18"/>
      <c r="AC294" s="18" t="str">
        <f>IF($AB294="","",IF($AB294&gt;$AA294,"PASS",IF($AB294&lt;=$AA294*(1-'Parametri Modello'!$B$68),"BID","ATTENZIONE")))</f>
        <v/>
      </c>
      <c r="AD294" s="28" t="str">
        <f t="shared" si="40"/>
        <v/>
      </c>
      <c r="AE294" s="5" t="str">
        <f>IFERROR(IF($AF294="Titolare",INDEX('Stato Asta'!$G$9:$G$12,MATCH($B294,'Stato Asta'!$A$9:$A$12,0)),INDEX('Stato Asta'!$P$9:$P$12,MATCH($B294,'Stato Asta'!$A$9:$A$12,0))),"")</f>
        <v>🟢 Riserve abbondanti</v>
      </c>
      <c r="AF294" t="str">
        <f>IFERROR(IF($V294&lt;=INDEX('Parametri Modello'!$C$57:$C$60,MATCH($B294,'Parametri Modello'!$A$57:$A$60,0)),"Titolare","Riserva"),"")</f>
        <v>Riserva</v>
      </c>
      <c r="AG294" t="str">
        <f>IFERROR(INDEX('Pressione Competitiva'!$F$3:$F$6,MATCH($B294,'Pressione Competitiva'!$B$3:$B$6,0)),"")</f>
        <v>🔴 Molto Alta</v>
      </c>
      <c r="AH294" t="str">
        <f t="shared" si="41"/>
        <v/>
      </c>
      <c r="AI294" t="str">
        <f>IFERROR(IF($AH294="","",IF($AH294&gt;=$AA294*'Parametri Modello'!$B$68,"🟢 Opportunita'",IF($AH294&lt;=$AA294*'Parametri Modello'!$B$69,"🔴 Sovrapprezzo","🟡 Prezzo Corretto"))),"")</f>
        <v/>
      </c>
      <c r="AJ294" t="str">
        <f t="shared" si="42"/>
        <v/>
      </c>
      <c r="AK294">
        <f t="shared" si="43"/>
        <v>11</v>
      </c>
      <c r="AL294" t="str">
        <f t="shared" si="44"/>
        <v>C|Scommessa/Riserva|11</v>
      </c>
    </row>
    <row r="295" spans="1:38" ht="14.25" customHeight="1" x14ac:dyDescent="0.25">
      <c r="A295" s="18">
        <v>7473</v>
      </c>
      <c r="B295" s="18" t="s">
        <v>264</v>
      </c>
      <c r="C295" s="18" t="s">
        <v>375</v>
      </c>
      <c r="E295" s="23" t="str">
        <f>IF(COUNTIF('Info Strategia'!$D$2:$D$51,$C295)&gt;0,"SI","NO")</f>
        <v>NO</v>
      </c>
      <c r="F295" s="24">
        <f>IFERROR(ROUND(($G295+($H295-$G295)*'Info Strategia'!$B$6)*(1+IF($E295="SI",'Parametri Modello'!$B$7*'Info Strategia'!$B$6,0)),0),"")</f>
        <v>2</v>
      </c>
      <c r="G295" s="24">
        <f>IFERROR(ROUND(MAX(1,(IF($V295&lt;=INDEX('Parametri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1</v>
      </c>
      <c r="H295" s="24">
        <f>IFERROR(ROUND((IF($V295&lt;=INDEX('Parametri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2</v>
      </c>
      <c r="I295" s="23" t="str">
        <f>IFERROR(INDEX('Input Statistiche 2025_26'!$F$3:$F$665,MATCH($A295,'Input Statistiche 2025_26'!$A$3:$A$665,0)),"")</f>
        <v/>
      </c>
      <c r="J295" s="23" t="str">
        <f t="shared" si="36"/>
        <v/>
      </c>
      <c r="K295" s="23" t="str">
        <f>IFERROR(INDEX('Input Statistiche 2025_26'!$I$3:$I$665,MATCH($A295,'Input Statistiche 2025_26'!$A$3:$A$665,0)),"")</f>
        <v/>
      </c>
      <c r="L295" s="23" t="str">
        <f>IFERROR(INDEX('Input Statistiche 2025_26'!$O$3:$O$665,MATCH($A295,'Input Statistiche 2025_26'!$A$3:$A$665,0)),"")</f>
        <v/>
      </c>
      <c r="M295" s="25"/>
      <c r="N295" s="24">
        <f>IFERROR(INDEX('Input Giocatori 2026_27'!$E$3:$E$493,MATCH($A295,'Input Giocatori 2026_27'!$A$3:$A$493,0)),"")</f>
        <v>4</v>
      </c>
      <c r="O295" s="24">
        <f>IFERROR(INDEX('Input Giocatori 2026_27'!$G$3:$G$493,MATCH($A295,'Input Giocatori 2026_27'!$A$3:$A$493,0)),"")</f>
        <v>11</v>
      </c>
      <c r="P295" s="23" t="str">
        <f>IFERROR(IF($O295="","",IF((1-(COUNTIFS($B$2:$B$492,$B295,$O$2:$O$492,"&gt;"&amp;$O295)+1-1)/COUNTIF($B$2:$B$492,$B295))&gt;='Parametri Modello'!$B$63,"Top",IF((1-(COUNTIFS($B$2:$B$492,$B295,$O$2:$O$492,"&gt;"&amp;$O295)+1-1)/COUNTIF($B$2:$B$492,$B295))&gt;='Parametri Modello'!$B$64,"Buono",IF((1-(COUNTIFS($B$2:$B$492,$B295,$O$2:$O$492,"&gt;"&amp;$O295)+1-1)/COUNTIF($B$2:$B$492,$B295))&gt;='Parametri Modello'!$B$65,"Nella Media","Scommessa/Riserva")))),"")</f>
        <v>Scommessa/Riserva</v>
      </c>
      <c r="Q295" s="26">
        <f>IF(AND($D295="",$N295&gt;1),SUMPRODUCT(($D$2:$D295="")*($N$2:$N295&gt;1)),"")</f>
        <v>294</v>
      </c>
      <c r="R295" s="26" t="str">
        <f>IF($D295='Info Lega'!$B$28,COUNTIFS($D$2:$D295,'Info Lega'!$B$28),"")</f>
        <v/>
      </c>
      <c r="S295" s="27" t="str">
        <f>IFERROR(INDEX('Input Statistiche 2025_26'!$G$3:$G$665,MATCH($A295,'Input Statistiche 2025_26'!$A$3:$A$665,0)),"")</f>
        <v/>
      </c>
      <c r="T295" s="27" t="str">
        <f>IFERROR(INDEX('Input Statistiche 2025_26'!$H$3:$H$665,MATCH($A295,'Input Statistiche 2025_26'!$A$3:$A$665,0)),"")</f>
        <v/>
      </c>
      <c r="U295" s="23" t="str">
        <f>IF(OR('La Mia Rosa'!$O$12="",$D295&lt;&gt;""),"",IF($F295&lt;='La Mia Rosa'!$O$12*'Parametri Modello'!$B$24,"OK",IF($F295&lt;='La Mia Rosa'!$O$12*'Parametri Modello'!$B$25,"Attenzione","Rischio Alto")))</f>
        <v>OK</v>
      </c>
      <c r="V295" s="23">
        <f t="shared" si="37"/>
        <v>115</v>
      </c>
      <c r="W295" s="18">
        <f>'Info Lega'!$B$4-SUMIFS($M$2:$M$492,$D$2:$D$492,'Info Lega'!$B$28)</f>
        <v>1000</v>
      </c>
      <c r="X295" s="18">
        <f>('Info Lega'!$B$5-COUNTIFS($D$2:$D$492,'Info Lega'!$B$28,$B$2:$B$492,"P"))+('Info Lega'!$B$6-COUNTIFS($D$2:$D$492,'Info Lega'!$B$28,$B$2:$B$492,"D"))+('Info Lega'!$B$7-COUNTIFS($D$2:$D$492,'Info Lega'!$B$28,$B$2:$B$492,"C"))+('Info Lega'!$B$8-COUNTIFS($D$2:$D$492,'Info Lega'!$B$28,$B$2:$B$492,"A"))</f>
        <v>25</v>
      </c>
      <c r="Y295" s="18">
        <f>X295*'Parametri Modello'!$B$30</f>
        <v>25</v>
      </c>
      <c r="Z295" s="18">
        <f t="shared" si="38"/>
        <v>975</v>
      </c>
      <c r="AA295" s="18">
        <f t="shared" si="39"/>
        <v>2</v>
      </c>
      <c r="AB295" s="18"/>
      <c r="AC295" s="18" t="str">
        <f>IF($AB295="","",IF($AB295&gt;$AA295,"PASS",IF($AB295&lt;=$AA295*(1-'Parametri Modello'!$B$68),"BID","ATTENZIONE")))</f>
        <v/>
      </c>
      <c r="AD295" s="28" t="str">
        <f t="shared" si="40"/>
        <v/>
      </c>
      <c r="AE295" s="5" t="str">
        <f>IFERROR(IF($AF295="Titolare",INDEX('Stato Asta'!$G$9:$G$12,MATCH($B295,'Stato Asta'!$A$9:$A$12,0)),INDEX('Stato Asta'!$P$9:$P$12,MATCH($B295,'Stato Asta'!$A$9:$A$12,0))),"")</f>
        <v>🟢 Riserve abbondanti</v>
      </c>
      <c r="AF295" t="str">
        <f>IFERROR(IF($V295&lt;=INDEX('Parametri Modello'!$C$57:$C$60,MATCH($B295,'Parametri Modello'!$A$57:$A$60,0)),"Titolare","Riserva"),"")</f>
        <v>Riserva</v>
      </c>
      <c r="AG295" t="str">
        <f>IFERROR(INDEX('Pressione Competitiva'!$F$3:$F$6,MATCH($B295,'Pressione Competitiva'!$B$3:$B$6,0)),"")</f>
        <v>🔴 Molto Alta</v>
      </c>
      <c r="AH295" t="str">
        <f t="shared" si="41"/>
        <v/>
      </c>
      <c r="AI295" t="str">
        <f>IFERROR(IF($AH295="","",IF($AH295&gt;=$AA295*'Parametri Modello'!$B$68,"🟢 Opportunita'",IF($AH295&lt;=$AA295*'Parametri Modello'!$B$69,"🔴 Sovrapprezzo","🟡 Prezzo Corretto"))),"")</f>
        <v/>
      </c>
      <c r="AJ295" t="str">
        <f t="shared" si="42"/>
        <v/>
      </c>
      <c r="AK295">
        <f t="shared" si="43"/>
        <v>11</v>
      </c>
      <c r="AL295" t="str">
        <f t="shared" si="44"/>
        <v>C|Scommessa/Riserva|11</v>
      </c>
    </row>
    <row r="296" spans="1:38" ht="14.25" customHeight="1" x14ac:dyDescent="0.25">
      <c r="A296" s="18">
        <v>7341</v>
      </c>
      <c r="B296" s="18" t="s">
        <v>264</v>
      </c>
      <c r="C296" s="18" t="s">
        <v>377</v>
      </c>
      <c r="E296" s="23" t="str">
        <f>IF(COUNTIF('Info Strategia'!$D$2:$D$51,$C296)&gt;0,"SI","NO")</f>
        <v>NO</v>
      </c>
      <c r="F296" s="24">
        <f>IFERROR(ROUND(($G296+($H296-$G296)*'Info Strategia'!$B$6)*(1+IF($E296="SI",'Parametri Modello'!$B$7*'Info Strategia'!$B$6,0)),0),"")</f>
        <v>2</v>
      </c>
      <c r="G296" s="24">
        <f>IFERROR(ROUND(MAX(1,(IF($V296&lt;=INDEX('Parametri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1</v>
      </c>
      <c r="H296" s="24">
        <f>IFERROR(ROUND((IF($V296&lt;=INDEX('Parametri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2</v>
      </c>
      <c r="I296" s="23">
        <f>IFERROR(INDEX('Input Statistiche 2025_26'!$F$3:$F$665,MATCH($A296,'Input Statistiche 2025_26'!$A$3:$A$665,0)),"")</f>
        <v>9</v>
      </c>
      <c r="J296" s="23">
        <f t="shared" si="36"/>
        <v>29</v>
      </c>
      <c r="K296" s="23">
        <f>IFERROR(INDEX('Input Statistiche 2025_26'!$I$3:$I$665,MATCH($A296,'Input Statistiche 2025_26'!$A$3:$A$665,0)),"")</f>
        <v>0</v>
      </c>
      <c r="L296" s="23">
        <f>IFERROR(INDEX('Input Statistiche 2025_26'!$O$3:$O$665,MATCH($A296,'Input Statistiche 2025_26'!$A$3:$A$665,0)),"")</f>
        <v>0</v>
      </c>
      <c r="M296" s="25"/>
      <c r="N296" s="24">
        <f>IFERROR(INDEX('Input Giocatori 2026_27'!$E$3:$E$493,MATCH($A296,'Input Giocatori 2026_27'!$A$3:$A$493,0)),"")</f>
        <v>4</v>
      </c>
      <c r="O296" s="24">
        <f>IFERROR(INDEX('Input Giocatori 2026_27'!$G$3:$G$493,MATCH($A296,'Input Giocatori 2026_27'!$A$3:$A$493,0)),"")</f>
        <v>11</v>
      </c>
      <c r="P296" s="23" t="str">
        <f>IFERROR(IF($O296="","",IF((1-(COUNTIFS($B$2:$B$492,$B296,$O$2:$O$492,"&gt;"&amp;$O296)+1-1)/COUNTIF($B$2:$B$492,$B296))&gt;='Parametri Modello'!$B$63,"Top",IF((1-(COUNTIFS($B$2:$B$492,$B296,$O$2:$O$492,"&gt;"&amp;$O296)+1-1)/COUNTIF($B$2:$B$492,$B296))&gt;='Parametri Modello'!$B$64,"Buono",IF((1-(COUNTIFS($B$2:$B$492,$B296,$O$2:$O$492,"&gt;"&amp;$O296)+1-1)/COUNTIF($B$2:$B$492,$B296))&gt;='Parametri Modello'!$B$65,"Nella Media","Scommessa/Riserva")))),"")</f>
        <v>Scommessa/Riserva</v>
      </c>
      <c r="Q296" s="26">
        <f>IF(AND($D296="",$N296&gt;1),SUMPRODUCT(($D$2:$D296="")*($N$2:$N296&gt;1)),"")</f>
        <v>295</v>
      </c>
      <c r="R296" s="26" t="str">
        <f>IF($D296='Info Lega'!$B$28,COUNTIFS($D$2:$D296,'Info Lega'!$B$28),"")</f>
        <v/>
      </c>
      <c r="S296" s="27">
        <f>IFERROR(INDEX('Input Statistiche 2025_26'!$G$3:$G$665,MATCH($A296,'Input Statistiche 2025_26'!$A$3:$A$665,0)),"")</f>
        <v>5.72</v>
      </c>
      <c r="T296" s="27">
        <f>IFERROR(INDEX('Input Statistiche 2025_26'!$H$3:$H$665,MATCH($A296,'Input Statistiche 2025_26'!$A$3:$A$665,0)),"")</f>
        <v>5.67</v>
      </c>
      <c r="U296" s="23" t="str">
        <f>IF(OR('La Mia Rosa'!$O$12="",$D296&lt;&gt;""),"",IF($F296&lt;='La Mia Rosa'!$O$12*'Parametri Modello'!$B$24,"OK",IF($F296&lt;='La Mia Rosa'!$O$12*'Parametri Modello'!$B$25,"Attenzione","Rischio Alto")))</f>
        <v>OK</v>
      </c>
      <c r="V296" s="23">
        <f t="shared" si="37"/>
        <v>115</v>
      </c>
      <c r="W296" s="18">
        <f>'Info Lega'!$B$4-SUMIFS($M$2:$M$492,$D$2:$D$492,'Info Lega'!$B$28)</f>
        <v>1000</v>
      </c>
      <c r="X296" s="18">
        <f>('Info Lega'!$B$5-COUNTIFS($D$2:$D$492,'Info Lega'!$B$28,$B$2:$B$492,"P"))+('Info Lega'!$B$6-COUNTIFS($D$2:$D$492,'Info Lega'!$B$28,$B$2:$B$492,"D"))+('Info Lega'!$B$7-COUNTIFS($D$2:$D$492,'Info Lega'!$B$28,$B$2:$B$492,"C"))+('Info Lega'!$B$8-COUNTIFS($D$2:$D$492,'Info Lega'!$B$28,$B$2:$B$492,"A"))</f>
        <v>25</v>
      </c>
      <c r="Y296" s="18">
        <f>X296*'Parametri Modello'!$B$30</f>
        <v>25</v>
      </c>
      <c r="Z296" s="18">
        <f t="shared" si="38"/>
        <v>975</v>
      </c>
      <c r="AA296" s="18">
        <f t="shared" si="39"/>
        <v>2</v>
      </c>
      <c r="AB296" s="18"/>
      <c r="AC296" s="18" t="str">
        <f>IF($AB296="","",IF($AB296&gt;$AA296,"PASS",IF($AB296&lt;=$AA296*(1-'Parametri Modello'!$B$68),"BID","ATTENZIONE")))</f>
        <v/>
      </c>
      <c r="AD296" s="28">
        <f t="shared" si="40"/>
        <v>26</v>
      </c>
      <c r="AE296" s="5" t="str">
        <f>IFERROR(IF($AF296="Titolare",INDEX('Stato Asta'!$G$9:$G$12,MATCH($B296,'Stato Asta'!$A$9:$A$12,0)),INDEX('Stato Asta'!$P$9:$P$12,MATCH($B296,'Stato Asta'!$A$9:$A$12,0))),"")</f>
        <v>🟢 Riserve abbondanti</v>
      </c>
      <c r="AF296" t="str">
        <f>IFERROR(IF($V296&lt;=INDEX('Parametri Modello'!$C$57:$C$60,MATCH($B296,'Parametri Modello'!$A$57:$A$60,0)),"Titolare","Riserva"),"")</f>
        <v>Riserva</v>
      </c>
      <c r="AG296" t="str">
        <f>IFERROR(INDEX('Pressione Competitiva'!$F$3:$F$6,MATCH($B296,'Pressione Competitiva'!$B$3:$B$6,0)),"")</f>
        <v>🔴 Molto Alta</v>
      </c>
      <c r="AH296" t="str">
        <f t="shared" si="41"/>
        <v/>
      </c>
      <c r="AI296" t="str">
        <f>IFERROR(IF($AH296="","",IF($AH296&gt;=$AA296*'Parametri Modello'!$B$68,"🟢 Opportunita'",IF($AH296&lt;=$AA296*'Parametri Modello'!$B$69,"🔴 Sovrapprezzo","🟡 Prezzo Corretto"))),"")</f>
        <v/>
      </c>
      <c r="AJ296" t="str">
        <f t="shared" si="42"/>
        <v/>
      </c>
      <c r="AK296">
        <f t="shared" si="43"/>
        <v>11</v>
      </c>
      <c r="AL296" t="str">
        <f t="shared" si="44"/>
        <v>C|Scommessa/Riserva|11</v>
      </c>
    </row>
    <row r="297" spans="1:38" ht="14.25" customHeight="1" x14ac:dyDescent="0.25">
      <c r="A297" s="18">
        <v>7322</v>
      </c>
      <c r="B297" s="18" t="s">
        <v>264</v>
      </c>
      <c r="C297" s="18" t="s">
        <v>381</v>
      </c>
      <c r="E297" s="23" t="str">
        <f>IF(COUNTIF('Info Strategia'!$D$2:$D$51,$C297)&gt;0,"SI","NO")</f>
        <v>NO</v>
      </c>
      <c r="F297" s="24">
        <f>IFERROR(ROUND(($G297+($H297-$G297)*'Info Strategia'!$B$6)*(1+IF($E297="SI",'Parametri Modello'!$B$7*'Info Strategia'!$B$6,0)),0),"")</f>
        <v>2</v>
      </c>
      <c r="G297" s="24">
        <f>IFERROR(ROUND(MAX(1,(IF($V297&lt;=INDEX('Parametri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1</v>
      </c>
      <c r="H297" s="24">
        <f>IFERROR(ROUND((IF($V297&lt;=INDEX('Parametri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2</v>
      </c>
      <c r="I297" s="23">
        <f>IFERROR(INDEX('Input Statistiche 2025_26'!$F$3:$F$665,MATCH($A297,'Input Statistiche 2025_26'!$A$3:$A$665,0)),"")</f>
        <v>13</v>
      </c>
      <c r="J297" s="23">
        <f t="shared" si="36"/>
        <v>25</v>
      </c>
      <c r="K297" s="23">
        <f>IFERROR(INDEX('Input Statistiche 2025_26'!$I$3:$I$665,MATCH($A297,'Input Statistiche 2025_26'!$A$3:$A$665,0)),"")</f>
        <v>0</v>
      </c>
      <c r="L297" s="23">
        <f>IFERROR(INDEX('Input Statistiche 2025_26'!$O$3:$O$665,MATCH($A297,'Input Statistiche 2025_26'!$A$3:$A$665,0)),"")</f>
        <v>0</v>
      </c>
      <c r="M297" s="25"/>
      <c r="N297" s="24">
        <f>IFERROR(INDEX('Input Giocatori 2026_27'!$E$3:$E$493,MATCH($A297,'Input Giocatori 2026_27'!$A$3:$A$493,0)),"")</f>
        <v>4</v>
      </c>
      <c r="O297" s="24">
        <f>IFERROR(INDEX('Input Giocatori 2026_27'!$G$3:$G$493,MATCH($A297,'Input Giocatori 2026_27'!$A$3:$A$493,0)),"")</f>
        <v>11</v>
      </c>
      <c r="P297" s="23" t="str">
        <f>IFERROR(IF($O297="","",IF((1-(COUNTIFS($B$2:$B$492,$B297,$O$2:$O$492,"&gt;"&amp;$O297)+1-1)/COUNTIF($B$2:$B$492,$B297))&gt;='Parametri Modello'!$B$63,"Top",IF((1-(COUNTIFS($B$2:$B$492,$B297,$O$2:$O$492,"&gt;"&amp;$O297)+1-1)/COUNTIF($B$2:$B$492,$B297))&gt;='Parametri Modello'!$B$64,"Buono",IF((1-(COUNTIFS($B$2:$B$492,$B297,$O$2:$O$492,"&gt;"&amp;$O297)+1-1)/COUNTIF($B$2:$B$492,$B297))&gt;='Parametri Modello'!$B$65,"Nella Media","Scommessa/Riserva")))),"")</f>
        <v>Scommessa/Riserva</v>
      </c>
      <c r="Q297" s="26">
        <f>IF(AND($D297="",$N297&gt;1),SUMPRODUCT(($D$2:$D297="")*($N$2:$N297&gt;1)),"")</f>
        <v>296</v>
      </c>
      <c r="R297" s="26" t="str">
        <f>IF($D297='Info Lega'!$B$28,COUNTIFS($D$2:$D297,'Info Lega'!$B$28),"")</f>
        <v/>
      </c>
      <c r="S297" s="27">
        <f>IFERROR(INDEX('Input Statistiche 2025_26'!$G$3:$G$665,MATCH($A297,'Input Statistiche 2025_26'!$A$3:$A$665,0)),"")</f>
        <v>5.69</v>
      </c>
      <c r="T297" s="27">
        <f>IFERROR(INDEX('Input Statistiche 2025_26'!$H$3:$H$665,MATCH($A297,'Input Statistiche 2025_26'!$A$3:$A$665,0)),"")</f>
        <v>5.65</v>
      </c>
      <c r="U297" s="23" t="str">
        <f>IF(OR('La Mia Rosa'!$O$12="",$D297&lt;&gt;""),"",IF($F297&lt;='La Mia Rosa'!$O$12*'Parametri Modello'!$B$24,"OK",IF($F297&lt;='La Mia Rosa'!$O$12*'Parametri Modello'!$B$25,"Attenzione","Rischio Alto")))</f>
        <v>OK</v>
      </c>
      <c r="V297" s="23">
        <f t="shared" si="37"/>
        <v>115</v>
      </c>
      <c r="W297" s="18">
        <f>'Info Lega'!$B$4-SUMIFS($M$2:$M$492,$D$2:$D$492,'Info Lega'!$B$28)</f>
        <v>1000</v>
      </c>
      <c r="X297" s="18">
        <f>('Info Lega'!$B$5-COUNTIFS($D$2:$D$492,'Info Lega'!$B$28,$B$2:$B$492,"P"))+('Info Lega'!$B$6-COUNTIFS($D$2:$D$492,'Info Lega'!$B$28,$B$2:$B$492,"D"))+('Info Lega'!$B$7-COUNTIFS($D$2:$D$492,'Info Lega'!$B$28,$B$2:$B$492,"C"))+('Info Lega'!$B$8-COUNTIFS($D$2:$D$492,'Info Lega'!$B$28,$B$2:$B$492,"A"))</f>
        <v>25</v>
      </c>
      <c r="Y297" s="18">
        <f>X297*'Parametri Modello'!$B$30</f>
        <v>25</v>
      </c>
      <c r="Z297" s="18">
        <f t="shared" si="38"/>
        <v>975</v>
      </c>
      <c r="AA297" s="18">
        <f t="shared" si="39"/>
        <v>2</v>
      </c>
      <c r="AB297" s="18"/>
      <c r="AC297" s="18" t="str">
        <f>IF($AB297="","",IF($AB297&gt;$AA297,"PASS",IF($AB297&lt;=$AA297*(1-'Parametri Modello'!$B$68),"BID","ATTENZIONE")))</f>
        <v/>
      </c>
      <c r="AD297" s="28">
        <f t="shared" si="40"/>
        <v>35</v>
      </c>
      <c r="AE297" s="5" t="str">
        <f>IFERROR(IF($AF297="Titolare",INDEX('Stato Asta'!$G$9:$G$12,MATCH($B297,'Stato Asta'!$A$9:$A$12,0)),INDEX('Stato Asta'!$P$9:$P$12,MATCH($B297,'Stato Asta'!$A$9:$A$12,0))),"")</f>
        <v>🟢 Riserve abbondanti</v>
      </c>
      <c r="AF297" t="str">
        <f>IFERROR(IF($V297&lt;=INDEX('Parametri Modello'!$C$57:$C$60,MATCH($B297,'Parametri Modello'!$A$57:$A$60,0)),"Titolare","Riserva"),"")</f>
        <v>Riserva</v>
      </c>
      <c r="AG297" t="str">
        <f>IFERROR(INDEX('Pressione Competitiva'!$F$3:$F$6,MATCH($B297,'Pressione Competitiva'!$B$3:$B$6,0)),"")</f>
        <v>🔴 Molto Alta</v>
      </c>
      <c r="AH297" t="str">
        <f t="shared" si="41"/>
        <v/>
      </c>
      <c r="AI297" t="str">
        <f>IFERROR(IF($AH297="","",IF($AH297&gt;=$AA297*'Parametri Modello'!$B$68,"🟢 Opportunita'",IF($AH297&lt;=$AA297*'Parametri Modello'!$B$69,"🔴 Sovrapprezzo","🟡 Prezzo Corretto"))),"")</f>
        <v/>
      </c>
      <c r="AJ297" t="str">
        <f t="shared" si="42"/>
        <v/>
      </c>
      <c r="AK297">
        <f t="shared" si="43"/>
        <v>11</v>
      </c>
      <c r="AL297" t="str">
        <f t="shared" si="44"/>
        <v>C|Scommessa/Riserva|11</v>
      </c>
    </row>
    <row r="298" spans="1:38" ht="14.25" customHeight="1" x14ac:dyDescent="0.25">
      <c r="A298" s="18">
        <v>5453</v>
      </c>
      <c r="B298" s="18" t="s">
        <v>264</v>
      </c>
      <c r="C298" s="18" t="s">
        <v>382</v>
      </c>
      <c r="E298" s="23" t="str">
        <f>IF(COUNTIF('Info Strategia'!$D$2:$D$51,$C298)&gt;0,"SI","NO")</f>
        <v>NO</v>
      </c>
      <c r="F298" s="24">
        <f>IFERROR(ROUND(($G298+($H298-$G298)*'Info Strategia'!$B$6)*(1+IF($E298="SI",'Parametri Modello'!$B$7*'Info Strategia'!$B$6,0)),0),"")</f>
        <v>2</v>
      </c>
      <c r="G298" s="24">
        <f>IFERROR(ROUND(MAX(1,(IF($V298&lt;=INDEX('Parametri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1</v>
      </c>
      <c r="H298" s="24">
        <f>IFERROR(ROUND((IF($V298&lt;=INDEX('Parametri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2</v>
      </c>
      <c r="I298" s="23">
        <f>IFERROR(INDEX('Input Statistiche 2025_26'!$F$3:$F$665,MATCH($A298,'Input Statistiche 2025_26'!$A$3:$A$665,0)),"")</f>
        <v>28</v>
      </c>
      <c r="J298" s="23">
        <f t="shared" si="36"/>
        <v>10</v>
      </c>
      <c r="K298" s="23">
        <f>IFERROR(INDEX('Input Statistiche 2025_26'!$I$3:$I$665,MATCH($A298,'Input Statistiche 2025_26'!$A$3:$A$665,0)),"")</f>
        <v>1</v>
      </c>
      <c r="L298" s="23">
        <f>IFERROR(INDEX('Input Statistiche 2025_26'!$O$3:$O$665,MATCH($A298,'Input Statistiche 2025_26'!$A$3:$A$665,0)),"")</f>
        <v>3</v>
      </c>
      <c r="M298" s="25"/>
      <c r="N298" s="24">
        <f>IFERROR(INDEX('Input Giocatori 2026_27'!$E$3:$E$493,MATCH($A298,'Input Giocatori 2026_27'!$A$3:$A$493,0)),"")</f>
        <v>4</v>
      </c>
      <c r="O298" s="24">
        <f>IFERROR(INDEX('Input Giocatori 2026_27'!$G$3:$G$493,MATCH($A298,'Input Giocatori 2026_27'!$A$3:$A$493,0)),"")</f>
        <v>11</v>
      </c>
      <c r="P298" s="23" t="str">
        <f>IFERROR(IF($O298="","",IF((1-(COUNTIFS($B$2:$B$492,$B298,$O$2:$O$492,"&gt;"&amp;$O298)+1-1)/COUNTIF($B$2:$B$492,$B298))&gt;='Parametri Modello'!$B$63,"Top",IF((1-(COUNTIFS($B$2:$B$492,$B298,$O$2:$O$492,"&gt;"&amp;$O298)+1-1)/COUNTIF($B$2:$B$492,$B298))&gt;='Parametri Modello'!$B$64,"Buono",IF((1-(COUNTIFS($B$2:$B$492,$B298,$O$2:$O$492,"&gt;"&amp;$O298)+1-1)/COUNTIF($B$2:$B$492,$B298))&gt;='Parametri Modello'!$B$65,"Nella Media","Scommessa/Riserva")))),"")</f>
        <v>Scommessa/Riserva</v>
      </c>
      <c r="Q298" s="26">
        <f>IF(AND($D298="",$N298&gt;1),SUMPRODUCT(($D$2:$D298="")*($N$2:$N298&gt;1)),"")</f>
        <v>297</v>
      </c>
      <c r="R298" s="26" t="str">
        <f>IF($D298='Info Lega'!$B$28,COUNTIFS($D$2:$D298,'Info Lega'!$B$28),"")</f>
        <v/>
      </c>
      <c r="S298" s="27">
        <f>IFERROR(INDEX('Input Statistiche 2025_26'!$G$3:$G$665,MATCH($A298,'Input Statistiche 2025_26'!$A$3:$A$665,0)),"")</f>
        <v>6</v>
      </c>
      <c r="T298" s="27">
        <f>IFERROR(INDEX('Input Statistiche 2025_26'!$H$3:$H$665,MATCH($A298,'Input Statistiche 2025_26'!$A$3:$A$665,0)),"")</f>
        <v>6.18</v>
      </c>
      <c r="U298" s="23" t="str">
        <f>IF(OR('La Mia Rosa'!$O$12="",$D298&lt;&gt;""),"",IF($F298&lt;='La Mia Rosa'!$O$12*'Parametri Modello'!$B$24,"OK",IF($F298&lt;='La Mia Rosa'!$O$12*'Parametri Modello'!$B$25,"Attenzione","Rischio Alto")))</f>
        <v>OK</v>
      </c>
      <c r="V298" s="23">
        <f t="shared" si="37"/>
        <v>115</v>
      </c>
      <c r="W298" s="18">
        <f>'Info Lega'!$B$4-SUMIFS($M$2:$M$492,$D$2:$D$492,'Info Lega'!$B$28)</f>
        <v>1000</v>
      </c>
      <c r="X298" s="18">
        <f>('Info Lega'!$B$5-COUNTIFS($D$2:$D$492,'Info Lega'!$B$28,$B$2:$B$492,"P"))+('Info Lega'!$B$6-COUNTIFS($D$2:$D$492,'Info Lega'!$B$28,$B$2:$B$492,"D"))+('Info Lega'!$B$7-COUNTIFS($D$2:$D$492,'Info Lega'!$B$28,$B$2:$B$492,"C"))+('Info Lega'!$B$8-COUNTIFS($D$2:$D$492,'Info Lega'!$B$28,$B$2:$B$492,"A"))</f>
        <v>25</v>
      </c>
      <c r="Y298" s="18">
        <f>X298*'Parametri Modello'!$B$30</f>
        <v>25</v>
      </c>
      <c r="Z298" s="18">
        <f t="shared" si="38"/>
        <v>975</v>
      </c>
      <c r="AA298" s="18">
        <f t="shared" si="39"/>
        <v>2</v>
      </c>
      <c r="AB298" s="18"/>
      <c r="AC298" s="18" t="str">
        <f>IF($AB298="","",IF($AB298&gt;$AA298,"PASS",IF($AB298&lt;=$AA298*(1-'Parametri Modello'!$B$68),"BID","ATTENZIONE")))</f>
        <v/>
      </c>
      <c r="AD298" s="28">
        <f t="shared" si="40"/>
        <v>61</v>
      </c>
      <c r="AE298" s="5" t="str">
        <f>IFERROR(IF($AF298="Titolare",INDEX('Stato Asta'!$G$9:$G$12,MATCH($B298,'Stato Asta'!$A$9:$A$12,0)),INDEX('Stato Asta'!$P$9:$P$12,MATCH($B298,'Stato Asta'!$A$9:$A$12,0))),"")</f>
        <v>🟢 Riserve abbondanti</v>
      </c>
      <c r="AF298" t="str">
        <f>IFERROR(IF($V298&lt;=INDEX('Parametri Modello'!$C$57:$C$60,MATCH($B298,'Parametri Modello'!$A$57:$A$60,0)),"Titolare","Riserva"),"")</f>
        <v>Riserva</v>
      </c>
      <c r="AG298" t="str">
        <f>IFERROR(INDEX('Pressione Competitiva'!$F$3:$F$6,MATCH($B298,'Pressione Competitiva'!$B$3:$B$6,0)),"")</f>
        <v>🔴 Molto Alta</v>
      </c>
      <c r="AH298" t="str">
        <f t="shared" si="41"/>
        <v/>
      </c>
      <c r="AI298" t="str">
        <f>IFERROR(IF($AH298="","",IF($AH298&gt;=$AA298*'Parametri Modello'!$B$68,"🟢 Opportunita'",IF($AH298&lt;=$AA298*'Parametri Modello'!$B$69,"🔴 Sovrapprezzo","🟡 Prezzo Corretto"))),"")</f>
        <v/>
      </c>
      <c r="AJ298" t="str">
        <f t="shared" si="42"/>
        <v/>
      </c>
      <c r="AK298">
        <f t="shared" si="43"/>
        <v>11</v>
      </c>
      <c r="AL298" t="str">
        <f t="shared" si="44"/>
        <v>C|Scommessa/Riserva|11</v>
      </c>
    </row>
    <row r="299" spans="1:38" ht="14.25" customHeight="1" x14ac:dyDescent="0.25">
      <c r="A299" s="18">
        <v>7203</v>
      </c>
      <c r="B299" s="18" t="s">
        <v>264</v>
      </c>
      <c r="C299" s="18" t="s">
        <v>383</v>
      </c>
      <c r="E299" s="23" t="str">
        <f>IF(COUNTIF('Info Strategia'!$D$2:$D$51,$C299)&gt;0,"SI","NO")</f>
        <v>NO</v>
      </c>
      <c r="F299" s="24">
        <f>IFERROR(ROUND(($G299+($H299-$G299)*'Info Strategia'!$B$6)*(1+IF($E299="SI",'Parametri Modello'!$B$7*'Info Strategia'!$B$6,0)),0),"")</f>
        <v>2</v>
      </c>
      <c r="G299" s="24">
        <f>IFERROR(ROUND(MAX(1,(IF($V299&lt;=INDEX('Parametri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1</v>
      </c>
      <c r="H299" s="24">
        <f>IFERROR(ROUND((IF($V299&lt;=INDEX('Parametri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2</v>
      </c>
      <c r="I299" s="23">
        <f>IFERROR(INDEX('Input Statistiche 2025_26'!$F$3:$F$665,MATCH($A299,'Input Statistiche 2025_26'!$A$3:$A$665,0)),"")</f>
        <v>12</v>
      </c>
      <c r="J299" s="23">
        <f t="shared" si="36"/>
        <v>26</v>
      </c>
      <c r="K299" s="23">
        <f>IFERROR(INDEX('Input Statistiche 2025_26'!$I$3:$I$665,MATCH($A299,'Input Statistiche 2025_26'!$A$3:$A$665,0)),"")</f>
        <v>0</v>
      </c>
      <c r="L299" s="23">
        <f>IFERROR(INDEX('Input Statistiche 2025_26'!$O$3:$O$665,MATCH($A299,'Input Statistiche 2025_26'!$A$3:$A$665,0)),"")</f>
        <v>1</v>
      </c>
      <c r="M299" s="25"/>
      <c r="N299" s="24">
        <f>IFERROR(INDEX('Input Giocatori 2026_27'!$E$3:$E$493,MATCH($A299,'Input Giocatori 2026_27'!$A$3:$A$493,0)),"")</f>
        <v>4</v>
      </c>
      <c r="O299" s="24">
        <f>IFERROR(INDEX('Input Giocatori 2026_27'!$G$3:$G$493,MATCH($A299,'Input Giocatori 2026_27'!$A$3:$A$493,0)),"")</f>
        <v>11</v>
      </c>
      <c r="P299" s="23" t="str">
        <f>IFERROR(IF($O299="","",IF((1-(COUNTIFS($B$2:$B$492,$B299,$O$2:$O$492,"&gt;"&amp;$O299)+1-1)/COUNTIF($B$2:$B$492,$B299))&gt;='Parametri Modello'!$B$63,"Top",IF((1-(COUNTIFS($B$2:$B$492,$B299,$O$2:$O$492,"&gt;"&amp;$O299)+1-1)/COUNTIF($B$2:$B$492,$B299))&gt;='Parametri Modello'!$B$64,"Buono",IF((1-(COUNTIFS($B$2:$B$492,$B299,$O$2:$O$492,"&gt;"&amp;$O299)+1-1)/COUNTIF($B$2:$B$492,$B299))&gt;='Parametri Modello'!$B$65,"Nella Media","Scommessa/Riserva")))),"")</f>
        <v>Scommessa/Riserva</v>
      </c>
      <c r="Q299" s="26">
        <f>IF(AND($D299="",$N299&gt;1),SUMPRODUCT(($D$2:$D299="")*($N$2:$N299&gt;1)),"")</f>
        <v>298</v>
      </c>
      <c r="R299" s="26" t="str">
        <f>IF($D299='Info Lega'!$B$28,COUNTIFS($D$2:$D299,'Info Lega'!$B$28),"")</f>
        <v/>
      </c>
      <c r="S299" s="27">
        <f>IFERROR(INDEX('Input Statistiche 2025_26'!$G$3:$G$665,MATCH($A299,'Input Statistiche 2025_26'!$A$3:$A$665,0)),"")</f>
        <v>5.71</v>
      </c>
      <c r="T299" s="27">
        <f>IFERROR(INDEX('Input Statistiche 2025_26'!$H$3:$H$665,MATCH($A299,'Input Statistiche 2025_26'!$A$3:$A$665,0)),"")</f>
        <v>5.79</v>
      </c>
      <c r="U299" s="23" t="str">
        <f>IF(OR('La Mia Rosa'!$O$12="",$D299&lt;&gt;""),"",IF($F299&lt;='La Mia Rosa'!$O$12*'Parametri Modello'!$B$24,"OK",IF($F299&lt;='La Mia Rosa'!$O$12*'Parametri Modello'!$B$25,"Attenzione","Rischio Alto")))</f>
        <v>OK</v>
      </c>
      <c r="V299" s="23">
        <f t="shared" si="37"/>
        <v>115</v>
      </c>
      <c r="W299" s="18">
        <f>'Info Lega'!$B$4-SUMIFS($M$2:$M$492,$D$2:$D$492,'Info Lega'!$B$28)</f>
        <v>1000</v>
      </c>
      <c r="X299" s="18">
        <f>('Info Lega'!$B$5-COUNTIFS($D$2:$D$492,'Info Lega'!$B$28,$B$2:$B$492,"P"))+('Info Lega'!$B$6-COUNTIFS($D$2:$D$492,'Info Lega'!$B$28,$B$2:$B$492,"D"))+('Info Lega'!$B$7-COUNTIFS($D$2:$D$492,'Info Lega'!$B$28,$B$2:$B$492,"C"))+('Info Lega'!$B$8-COUNTIFS($D$2:$D$492,'Info Lega'!$B$28,$B$2:$B$492,"A"))</f>
        <v>25</v>
      </c>
      <c r="Y299" s="18">
        <f>X299*'Parametri Modello'!$B$30</f>
        <v>25</v>
      </c>
      <c r="Z299" s="18">
        <f t="shared" si="38"/>
        <v>975</v>
      </c>
      <c r="AA299" s="18">
        <f t="shared" si="39"/>
        <v>2</v>
      </c>
      <c r="AB299" s="18"/>
      <c r="AC299" s="18" t="str">
        <f>IF($AB299="","",IF($AB299&gt;$AA299,"PASS",IF($AB299&lt;=$AA299*(1-'Parametri Modello'!$B$68),"BID","ATTENZIONE")))</f>
        <v/>
      </c>
      <c r="AD299" s="28">
        <f t="shared" si="40"/>
        <v>33</v>
      </c>
      <c r="AE299" s="5" t="str">
        <f>IFERROR(IF($AF299="Titolare",INDEX('Stato Asta'!$G$9:$G$12,MATCH($B299,'Stato Asta'!$A$9:$A$12,0)),INDEX('Stato Asta'!$P$9:$P$12,MATCH($B299,'Stato Asta'!$A$9:$A$12,0))),"")</f>
        <v>🟢 Riserve abbondanti</v>
      </c>
      <c r="AF299" t="str">
        <f>IFERROR(IF($V299&lt;=INDEX('Parametri Modello'!$C$57:$C$60,MATCH($B299,'Parametri Modello'!$A$57:$A$60,0)),"Titolare","Riserva"),"")</f>
        <v>Riserva</v>
      </c>
      <c r="AG299" t="str">
        <f>IFERROR(INDEX('Pressione Competitiva'!$F$3:$F$6,MATCH($B299,'Pressione Competitiva'!$B$3:$B$6,0)),"")</f>
        <v>🔴 Molto Alta</v>
      </c>
      <c r="AH299" t="str">
        <f t="shared" si="41"/>
        <v/>
      </c>
      <c r="AI299" t="str">
        <f>IFERROR(IF($AH299="","",IF($AH299&gt;=$AA299*'Parametri Modello'!$B$68,"🟢 Opportunita'",IF($AH299&lt;=$AA299*'Parametri Modello'!$B$69,"🔴 Sovrapprezzo","🟡 Prezzo Corretto"))),"")</f>
        <v/>
      </c>
      <c r="AJ299" t="str">
        <f t="shared" si="42"/>
        <v/>
      </c>
      <c r="AK299">
        <f t="shared" si="43"/>
        <v>11</v>
      </c>
      <c r="AL299" t="str">
        <f t="shared" si="44"/>
        <v>C|Scommessa/Riserva|11</v>
      </c>
    </row>
    <row r="300" spans="1:38" ht="14.25" customHeight="1" x14ac:dyDescent="0.25">
      <c r="A300" s="18">
        <v>4199</v>
      </c>
      <c r="B300" s="18" t="s">
        <v>264</v>
      </c>
      <c r="C300" s="18" t="s">
        <v>384</v>
      </c>
      <c r="E300" s="23" t="str">
        <f>IF(COUNTIF('Info Strategia'!$D$2:$D$51,$C300)&gt;0,"SI","NO")</f>
        <v>NO</v>
      </c>
      <c r="F300" s="24">
        <f>IFERROR(ROUND(($G300+($H300-$G300)*'Info Strategia'!$B$6)*(1+IF($E300="SI",'Parametri Modello'!$B$7*'Info Strategia'!$B$6,0)),0),"")</f>
        <v>2</v>
      </c>
      <c r="G300" s="24">
        <f>IFERROR(ROUND(MAX(1,(IF($V300&lt;=INDEX('Parametri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1</v>
      </c>
      <c r="H300" s="24">
        <f>IFERROR(ROUND((IF($V300&lt;=INDEX('Parametri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2</v>
      </c>
      <c r="I300" s="23">
        <f>IFERROR(INDEX('Input Statistiche 2025_26'!$F$3:$F$665,MATCH($A300,'Input Statistiche 2025_26'!$A$3:$A$665,0)),"")</f>
        <v>21</v>
      </c>
      <c r="J300" s="23">
        <f t="shared" si="36"/>
        <v>17</v>
      </c>
      <c r="K300" s="23">
        <f>IFERROR(INDEX('Input Statistiche 2025_26'!$I$3:$I$665,MATCH($A300,'Input Statistiche 2025_26'!$A$3:$A$665,0)),"")</f>
        <v>3</v>
      </c>
      <c r="L300" s="23">
        <f>IFERROR(INDEX('Input Statistiche 2025_26'!$O$3:$O$665,MATCH($A300,'Input Statistiche 2025_26'!$A$3:$A$665,0)),"")</f>
        <v>1</v>
      </c>
      <c r="M300" s="25"/>
      <c r="N300" s="24">
        <f>IFERROR(INDEX('Input Giocatori 2026_27'!$E$3:$E$493,MATCH($A300,'Input Giocatori 2026_27'!$A$3:$A$493,0)),"")</f>
        <v>4</v>
      </c>
      <c r="O300" s="24">
        <f>IFERROR(INDEX('Input Giocatori 2026_27'!$G$3:$G$493,MATCH($A300,'Input Giocatori 2026_27'!$A$3:$A$493,0)),"")</f>
        <v>11</v>
      </c>
      <c r="P300" s="23" t="str">
        <f>IFERROR(IF($O300="","",IF((1-(COUNTIFS($B$2:$B$492,$B300,$O$2:$O$492,"&gt;"&amp;$O300)+1-1)/COUNTIF($B$2:$B$492,$B300))&gt;='Parametri Modello'!$B$63,"Top",IF((1-(COUNTIFS($B$2:$B$492,$B300,$O$2:$O$492,"&gt;"&amp;$O300)+1-1)/COUNTIF($B$2:$B$492,$B300))&gt;='Parametri Modello'!$B$64,"Buono",IF((1-(COUNTIFS($B$2:$B$492,$B300,$O$2:$O$492,"&gt;"&amp;$O300)+1-1)/COUNTIF($B$2:$B$492,$B300))&gt;='Parametri Modello'!$B$65,"Nella Media","Scommessa/Riserva")))),"")</f>
        <v>Scommessa/Riserva</v>
      </c>
      <c r="Q300" s="26">
        <f>IF(AND($D300="",$N300&gt;1),SUMPRODUCT(($D$2:$D300="")*($N$2:$N300&gt;1)),"")</f>
        <v>299</v>
      </c>
      <c r="R300" s="26" t="str">
        <f>IF($D300='Info Lega'!$B$28,COUNTIFS($D$2:$D300,'Info Lega'!$B$28),"")</f>
        <v/>
      </c>
      <c r="S300" s="27">
        <f>IFERROR(INDEX('Input Statistiche 2025_26'!$G$3:$G$665,MATCH($A300,'Input Statistiche 2025_26'!$A$3:$A$665,0)),"")</f>
        <v>6.1</v>
      </c>
      <c r="T300" s="27">
        <f>IFERROR(INDEX('Input Statistiche 2025_26'!$H$3:$H$665,MATCH($A300,'Input Statistiche 2025_26'!$A$3:$A$665,0)),"")</f>
        <v>6.52</v>
      </c>
      <c r="U300" s="23" t="str">
        <f>IF(OR('La Mia Rosa'!$O$12="",$D300&lt;&gt;""),"",IF($F300&lt;='La Mia Rosa'!$O$12*'Parametri Modello'!$B$24,"OK",IF($F300&lt;='La Mia Rosa'!$O$12*'Parametri Modello'!$B$25,"Attenzione","Rischio Alto")))</f>
        <v>OK</v>
      </c>
      <c r="V300" s="23">
        <f t="shared" si="37"/>
        <v>115</v>
      </c>
      <c r="W300" s="18">
        <f>'Info Lega'!$B$4-SUMIFS($M$2:$M$492,$D$2:$D$492,'Info Lega'!$B$28)</f>
        <v>1000</v>
      </c>
      <c r="X300" s="18">
        <f>('Info Lega'!$B$5-COUNTIFS($D$2:$D$492,'Info Lega'!$B$28,$B$2:$B$492,"P"))+('Info Lega'!$B$6-COUNTIFS($D$2:$D$492,'Info Lega'!$B$28,$B$2:$B$492,"D"))+('Info Lega'!$B$7-COUNTIFS($D$2:$D$492,'Info Lega'!$B$28,$B$2:$B$492,"C"))+('Info Lega'!$B$8-COUNTIFS($D$2:$D$492,'Info Lega'!$B$28,$B$2:$B$492,"A"))</f>
        <v>25</v>
      </c>
      <c r="Y300" s="18">
        <f>X300*'Parametri Modello'!$B$30</f>
        <v>25</v>
      </c>
      <c r="Z300" s="18">
        <f t="shared" si="38"/>
        <v>975</v>
      </c>
      <c r="AA300" s="18">
        <f t="shared" si="39"/>
        <v>2</v>
      </c>
      <c r="AB300" s="18"/>
      <c r="AC300" s="18" t="str">
        <f>IF($AB300="","",IF($AB300&gt;$AA300,"PASS",IF($AB300&lt;=$AA300*(1-'Parametri Modello'!$B$68),"BID","ATTENZIONE")))</f>
        <v/>
      </c>
      <c r="AD300" s="28">
        <f t="shared" si="40"/>
        <v>50</v>
      </c>
      <c r="AE300" s="5" t="str">
        <f>IFERROR(IF($AF300="Titolare",INDEX('Stato Asta'!$G$9:$G$12,MATCH($B300,'Stato Asta'!$A$9:$A$12,0)),INDEX('Stato Asta'!$P$9:$P$12,MATCH($B300,'Stato Asta'!$A$9:$A$12,0))),"")</f>
        <v>🟢 Riserve abbondanti</v>
      </c>
      <c r="AF300" t="str">
        <f>IFERROR(IF($V300&lt;=INDEX('Parametri Modello'!$C$57:$C$60,MATCH($B300,'Parametri Modello'!$A$57:$A$60,0)),"Titolare","Riserva"),"")</f>
        <v>Riserva</v>
      </c>
      <c r="AG300" t="str">
        <f>IFERROR(INDEX('Pressione Competitiva'!$F$3:$F$6,MATCH($B300,'Pressione Competitiva'!$B$3:$B$6,0)),"")</f>
        <v>🔴 Molto Alta</v>
      </c>
      <c r="AH300" t="str">
        <f t="shared" si="41"/>
        <v/>
      </c>
      <c r="AI300" t="str">
        <f>IFERROR(IF($AH300="","",IF($AH300&gt;=$AA300*'Parametri Modello'!$B$68,"🟢 Opportunita'",IF($AH300&lt;=$AA300*'Parametri Modello'!$B$69,"🔴 Sovrapprezzo","🟡 Prezzo Corretto"))),"")</f>
        <v/>
      </c>
      <c r="AJ300" t="str">
        <f t="shared" si="42"/>
        <v/>
      </c>
      <c r="AK300">
        <f t="shared" si="43"/>
        <v>11</v>
      </c>
      <c r="AL300" t="str">
        <f t="shared" si="44"/>
        <v>C|Scommessa/Riserva|11</v>
      </c>
    </row>
    <row r="301" spans="1:38" ht="14.25" customHeight="1" x14ac:dyDescent="0.25">
      <c r="A301" s="18">
        <v>5813</v>
      </c>
      <c r="B301" s="18" t="s">
        <v>264</v>
      </c>
      <c r="C301" s="18" t="s">
        <v>399</v>
      </c>
      <c r="E301" s="23" t="str">
        <f>IF(COUNTIF('Info Strategia'!$D$2:$D$51,$C301)&gt;0,"SI","NO")</f>
        <v>NO</v>
      </c>
      <c r="F301" s="24">
        <f>IFERROR(ROUND(($G301+($H301-$G301)*'Info Strategia'!$B$6)*(1+IF($E301="SI",'Parametri Modello'!$B$7*'Info Strategia'!$B$6,0)),0),"")</f>
        <v>2</v>
      </c>
      <c r="G301" s="24">
        <f>IFERROR(ROUND(MAX(1,(IF($V301&lt;=INDEX('Parametri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1</v>
      </c>
      <c r="H301" s="24">
        <f>IFERROR(ROUND((IF($V301&lt;=INDEX('Parametri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2</v>
      </c>
      <c r="I301" s="23">
        <f>IFERROR(INDEX('Input Statistiche 2025_26'!$F$3:$F$665,MATCH($A301,'Input Statistiche 2025_26'!$A$3:$A$665,0)),"")</f>
        <v>15</v>
      </c>
      <c r="J301" s="23">
        <f t="shared" si="36"/>
        <v>23</v>
      </c>
      <c r="K301" s="23">
        <f>IFERROR(INDEX('Input Statistiche 2025_26'!$I$3:$I$665,MATCH($A301,'Input Statistiche 2025_26'!$A$3:$A$665,0)),"")</f>
        <v>1</v>
      </c>
      <c r="L301" s="23">
        <f>IFERROR(INDEX('Input Statistiche 2025_26'!$O$3:$O$665,MATCH($A301,'Input Statistiche 2025_26'!$A$3:$A$665,0)),"")</f>
        <v>1</v>
      </c>
      <c r="M301" s="25"/>
      <c r="N301" s="24">
        <f>IFERROR(INDEX('Input Giocatori 2026_27'!$E$3:$E$493,MATCH($A301,'Input Giocatori 2026_27'!$A$3:$A$493,0)),"")</f>
        <v>3</v>
      </c>
      <c r="O301" s="24">
        <f>IFERROR(INDEX('Input Giocatori 2026_27'!$G$3:$G$493,MATCH($A301,'Input Giocatori 2026_27'!$A$3:$A$493,0)),"")</f>
        <v>11</v>
      </c>
      <c r="P301" s="23" t="str">
        <f>IFERROR(IF($O301="","",IF((1-(COUNTIFS($B$2:$B$492,$B301,$O$2:$O$492,"&gt;"&amp;$O301)+1-1)/COUNTIF($B$2:$B$492,$B301))&gt;='Parametri Modello'!$B$63,"Top",IF((1-(COUNTIFS($B$2:$B$492,$B301,$O$2:$O$492,"&gt;"&amp;$O301)+1-1)/COUNTIF($B$2:$B$492,$B301))&gt;='Parametri Modello'!$B$64,"Buono",IF((1-(COUNTIFS($B$2:$B$492,$B301,$O$2:$O$492,"&gt;"&amp;$O301)+1-1)/COUNTIF($B$2:$B$492,$B301))&gt;='Parametri Modello'!$B$65,"Nella Media","Scommessa/Riserva")))),"")</f>
        <v>Scommessa/Riserva</v>
      </c>
      <c r="Q301" s="26">
        <f>IF(AND($D301="",$N301&gt;1),SUMPRODUCT(($D$2:$D301="")*($N$2:$N301&gt;1)),"")</f>
        <v>300</v>
      </c>
      <c r="R301" s="26" t="str">
        <f>IF($D301='Info Lega'!$B$28,COUNTIFS($D$2:$D301,'Info Lega'!$B$28),"")</f>
        <v/>
      </c>
      <c r="S301" s="27">
        <f>IFERROR(INDEX('Input Statistiche 2025_26'!$G$3:$G$665,MATCH($A301,'Input Statistiche 2025_26'!$A$3:$A$665,0)),"")</f>
        <v>5.97</v>
      </c>
      <c r="T301" s="27">
        <f>IFERROR(INDEX('Input Statistiche 2025_26'!$H$3:$H$665,MATCH($A301,'Input Statistiche 2025_26'!$A$3:$A$665,0)),"")</f>
        <v>6.2</v>
      </c>
      <c r="U301" s="23" t="str">
        <f>IF(OR('La Mia Rosa'!$O$12="",$D301&lt;&gt;""),"",IF($F301&lt;='La Mia Rosa'!$O$12*'Parametri Modello'!$B$24,"OK",IF($F301&lt;='La Mia Rosa'!$O$12*'Parametri Modello'!$B$25,"Attenzione","Rischio Alto")))</f>
        <v>OK</v>
      </c>
      <c r="V301" s="23">
        <f t="shared" si="37"/>
        <v>115</v>
      </c>
      <c r="W301" s="18">
        <f>'Info Lega'!$B$4-SUMIFS($M$2:$M$492,$D$2:$D$492,'Info Lega'!$B$28)</f>
        <v>1000</v>
      </c>
      <c r="X301" s="18">
        <f>('Info Lega'!$B$5-COUNTIFS($D$2:$D$492,'Info Lega'!$B$28,$B$2:$B$492,"P"))+('Info Lega'!$B$6-COUNTIFS($D$2:$D$492,'Info Lega'!$B$28,$B$2:$B$492,"D"))+('Info Lega'!$B$7-COUNTIFS($D$2:$D$492,'Info Lega'!$B$28,$B$2:$B$492,"C"))+('Info Lega'!$B$8-COUNTIFS($D$2:$D$492,'Info Lega'!$B$28,$B$2:$B$492,"A"))</f>
        <v>25</v>
      </c>
      <c r="Y301" s="18">
        <f>X301*'Parametri Modello'!$B$30</f>
        <v>25</v>
      </c>
      <c r="Z301" s="18">
        <f t="shared" si="38"/>
        <v>975</v>
      </c>
      <c r="AA301" s="18">
        <f t="shared" si="39"/>
        <v>2</v>
      </c>
      <c r="AB301" s="18"/>
      <c r="AC301" s="18" t="str">
        <f>IF($AB301="","",IF($AB301&gt;$AA301,"PASS",IF($AB301&lt;=$AA301*(1-'Parametri Modello'!$B$68),"BID","ATTENZIONE")))</f>
        <v/>
      </c>
      <c r="AD301" s="28">
        <f t="shared" si="40"/>
        <v>39</v>
      </c>
      <c r="AE301" s="5" t="str">
        <f>IFERROR(IF($AF301="Titolare",INDEX('Stato Asta'!$G$9:$G$12,MATCH($B301,'Stato Asta'!$A$9:$A$12,0)),INDEX('Stato Asta'!$P$9:$P$12,MATCH($B301,'Stato Asta'!$A$9:$A$12,0))),"")</f>
        <v>🟢 Riserve abbondanti</v>
      </c>
      <c r="AF301" t="str">
        <f>IFERROR(IF($V301&lt;=INDEX('Parametri Modello'!$C$57:$C$60,MATCH($B301,'Parametri Modello'!$A$57:$A$60,0)),"Titolare","Riserva"),"")</f>
        <v>Riserva</v>
      </c>
      <c r="AG301" t="str">
        <f>IFERROR(INDEX('Pressione Competitiva'!$F$3:$F$6,MATCH($B301,'Pressione Competitiva'!$B$3:$B$6,0)),"")</f>
        <v>🔴 Molto Alta</v>
      </c>
      <c r="AH301" t="str">
        <f t="shared" si="41"/>
        <v/>
      </c>
      <c r="AI301" t="str">
        <f>IFERROR(IF($AH301="","",IF($AH301&gt;=$AA301*'Parametri Modello'!$B$68,"🟢 Opportunita'",IF($AH301&lt;=$AA301*'Parametri Modello'!$B$69,"🔴 Sovrapprezzo","🟡 Prezzo Corretto"))),"")</f>
        <v/>
      </c>
      <c r="AJ301" t="str">
        <f t="shared" si="42"/>
        <v/>
      </c>
      <c r="AK301">
        <f t="shared" si="43"/>
        <v>11</v>
      </c>
      <c r="AL301" t="str">
        <f t="shared" si="44"/>
        <v>C|Scommessa/Riserva|11</v>
      </c>
    </row>
    <row r="302" spans="1:38" ht="14.25" customHeight="1" x14ac:dyDescent="0.25">
      <c r="A302" s="18">
        <v>7342</v>
      </c>
      <c r="B302" s="18" t="s">
        <v>437</v>
      </c>
      <c r="C302" s="18" t="s">
        <v>512</v>
      </c>
      <c r="E302" s="23" t="str">
        <f>IF(COUNTIF('Info Strategia'!$D$2:$D$51,$C302)&gt;0,"SI","NO")</f>
        <v>NO</v>
      </c>
      <c r="F302" s="24">
        <f>IFERROR(ROUND(($G302+($H302-$G302)*'Info Strategia'!$B$6)*(1+IF($E302="SI",'Parametri Modello'!$B$7*'Info Strategia'!$B$6,0)),0),"")</f>
        <v>3</v>
      </c>
      <c r="G302" s="24">
        <f>IFERROR(ROUND(MAX(1,(IF($V302&lt;=INDEX('Parametri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2</v>
      </c>
      <c r="H302" s="24">
        <f>IFERROR(ROUND((IF($V302&lt;=INDEX('Parametri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4</v>
      </c>
      <c r="I302" s="23">
        <f>IFERROR(INDEX('Input Statistiche 2025_26'!$F$3:$F$665,MATCH($A302,'Input Statistiche 2025_26'!$A$3:$A$665,0)),"")</f>
        <v>8</v>
      </c>
      <c r="J302" s="23">
        <f t="shared" si="36"/>
        <v>30</v>
      </c>
      <c r="K302" s="23">
        <f>IFERROR(INDEX('Input Statistiche 2025_26'!$I$3:$I$665,MATCH($A302,'Input Statistiche 2025_26'!$A$3:$A$665,0)),"")</f>
        <v>2</v>
      </c>
      <c r="L302" s="23">
        <f>IFERROR(INDEX('Input Statistiche 2025_26'!$O$3:$O$665,MATCH($A302,'Input Statistiche 2025_26'!$A$3:$A$665,0)),"")</f>
        <v>1</v>
      </c>
      <c r="M302" s="25"/>
      <c r="N302" s="24">
        <f>IFERROR(INDEX('Input Giocatori 2026_27'!$E$3:$E$493,MATCH($A302,'Input Giocatori 2026_27'!$A$3:$A$493,0)),"")</f>
        <v>3</v>
      </c>
      <c r="O302" s="24">
        <f>IFERROR(INDEX('Input Giocatori 2026_27'!$G$3:$G$493,MATCH($A302,'Input Giocatori 2026_27'!$A$3:$A$493,0)),"")</f>
        <v>11</v>
      </c>
      <c r="P302" s="23" t="str">
        <f>IFERROR(IF($O302="","",IF((1-(COUNTIFS($B$2:$B$492,$B302,$O$2:$O$492,"&gt;"&amp;$O302)+1-1)/COUNTIF($B$2:$B$492,$B302))&gt;='Parametri Modello'!$B$63,"Top",IF((1-(COUNTIFS($B$2:$B$492,$B302,$O$2:$O$492,"&gt;"&amp;$O302)+1-1)/COUNTIF($B$2:$B$492,$B302))&gt;='Parametri Modello'!$B$64,"Buono",IF((1-(COUNTIFS($B$2:$B$492,$B302,$O$2:$O$492,"&gt;"&amp;$O302)+1-1)/COUNTIF($B$2:$B$492,$B302))&gt;='Parametri Modello'!$B$65,"Nella Media","Scommessa/Riserva")))),"")</f>
        <v>Scommessa/Riserva</v>
      </c>
      <c r="Q302" s="26">
        <f>IF(AND($D302="",$N302&gt;1),SUMPRODUCT(($D$2:$D302="")*($N$2:$N302&gt;1)),"")</f>
        <v>301</v>
      </c>
      <c r="R302" s="26" t="str">
        <f>IF($D302='Info Lega'!$B$28,COUNTIFS($D$2:$D302,'Info Lega'!$B$28),"")</f>
        <v/>
      </c>
      <c r="S302" s="27">
        <f>IFERROR(INDEX('Input Statistiche 2025_26'!$G$3:$G$665,MATCH($A302,'Input Statistiche 2025_26'!$A$3:$A$665,0)),"")</f>
        <v>6</v>
      </c>
      <c r="T302" s="27">
        <f>IFERROR(INDEX('Input Statistiche 2025_26'!$H$3:$H$665,MATCH($A302,'Input Statistiche 2025_26'!$A$3:$A$665,0)),"")</f>
        <v>6.88</v>
      </c>
      <c r="U302" s="23" t="str">
        <f>IF(OR('La Mia Rosa'!$O$12="",$D302&lt;&gt;""),"",IF($F302&lt;='La Mia Rosa'!$O$12*'Parametri Modello'!$B$24,"OK",IF($F302&lt;='La Mia Rosa'!$O$12*'Parametri Modello'!$B$25,"Attenzione","Rischio Alto")))</f>
        <v>OK</v>
      </c>
      <c r="V302" s="23">
        <f t="shared" si="37"/>
        <v>62</v>
      </c>
      <c r="W302" s="18">
        <f>'Info Lega'!$B$4-SUMIFS($M$2:$M$492,$D$2:$D$492,'Info Lega'!$B$28)</f>
        <v>1000</v>
      </c>
      <c r="X302" s="18">
        <f>('Info Lega'!$B$5-COUNTIFS($D$2:$D$492,'Info Lega'!$B$28,$B$2:$B$492,"P"))+('Info Lega'!$B$6-COUNTIFS($D$2:$D$492,'Info Lega'!$B$28,$B$2:$B$492,"D"))+('Info Lega'!$B$7-COUNTIFS($D$2:$D$492,'Info Lega'!$B$28,$B$2:$B$492,"C"))+('Info Lega'!$B$8-COUNTIFS($D$2:$D$492,'Info Lega'!$B$28,$B$2:$B$492,"A"))</f>
        <v>25</v>
      </c>
      <c r="Y302" s="18">
        <f>X302*'Parametri Modello'!$B$30</f>
        <v>25</v>
      </c>
      <c r="Z302" s="18">
        <f t="shared" si="38"/>
        <v>975</v>
      </c>
      <c r="AA302" s="18">
        <f t="shared" si="39"/>
        <v>3</v>
      </c>
      <c r="AB302" s="18"/>
      <c r="AC302" s="18" t="str">
        <f>IF($AB302="","",IF($AB302&gt;$AA302,"PASS",IF($AB302&lt;=$AA302*(1-'Parametri Modello'!$B$68),"BID","ATTENZIONE")))</f>
        <v/>
      </c>
      <c r="AD302" s="28">
        <f t="shared" si="40"/>
        <v>23</v>
      </c>
      <c r="AE302" s="5" t="str">
        <f>IFERROR(IF($AF302="Titolare",INDEX('Stato Asta'!$G$9:$G$12,MATCH($B302,'Stato Asta'!$A$9:$A$12,0)),INDEX('Stato Asta'!$P$9:$P$12,MATCH($B302,'Stato Asta'!$A$9:$A$12,0))),"")</f>
        <v>🟢 Riserve abbondanti</v>
      </c>
      <c r="AF302" t="str">
        <f>IFERROR(IF($V302&lt;=INDEX('Parametri Modello'!$C$57:$C$60,MATCH($B302,'Parametri Modello'!$A$57:$A$60,0)),"Titolare","Riserva"),"")</f>
        <v>Riserva</v>
      </c>
      <c r="AG302" t="str">
        <f>IFERROR(INDEX('Pressione Competitiva'!$F$3:$F$6,MATCH($B302,'Pressione Competitiva'!$B$3:$B$6,0)),"")</f>
        <v>🔴 Molto Alta</v>
      </c>
      <c r="AH302" t="str">
        <f t="shared" si="41"/>
        <v/>
      </c>
      <c r="AI302" t="str">
        <f>IFERROR(IF($AH302="","",IF($AH302&gt;=$AA302*'Parametri Modello'!$B$68,"🟢 Opportunita'",IF($AH302&lt;=$AA302*'Parametri Modello'!$B$69,"🔴 Sovrapprezzo","🟡 Prezzo Corretto"))),"")</f>
        <v/>
      </c>
      <c r="AJ302" t="str">
        <f t="shared" si="42"/>
        <v/>
      </c>
      <c r="AK302">
        <f t="shared" si="43"/>
        <v>8</v>
      </c>
      <c r="AL302" t="str">
        <f t="shared" si="44"/>
        <v>A|Scommessa/Riserva|8</v>
      </c>
    </row>
    <row r="303" spans="1:38" ht="14.25" customHeight="1" x14ac:dyDescent="0.25">
      <c r="A303" s="18">
        <v>218</v>
      </c>
      <c r="B303" s="18" t="s">
        <v>8</v>
      </c>
      <c r="C303" s="18" t="s">
        <v>42</v>
      </c>
      <c r="E303" s="23" t="str">
        <f>IF(COUNTIF('Info Strategia'!$D$2:$D$51,$C303)&gt;0,"SI","NO")</f>
        <v>NO</v>
      </c>
      <c r="F303" s="24">
        <f>IFERROR(ROUND(($G303+($H303-$G303)*'Info Strategia'!$B$6)*(1+IF($E303="SI",'Parametri Modello'!$B$7*'Info Strategia'!$B$6,0)),0),"")</f>
        <v>4</v>
      </c>
      <c r="G303" s="24">
        <f>IFERROR(ROUND(MAX(1,(IF($V303&lt;=INDEX('Parametri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3</v>
      </c>
      <c r="H303" s="24">
        <f>IFERROR(ROUND((IF($V303&lt;=INDEX('Parametri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4</v>
      </c>
      <c r="I303" s="23">
        <f>IFERROR(INDEX('Input Statistiche 2025_26'!$F$3:$F$665,MATCH($A303,'Input Statistiche 2025_26'!$A$3:$A$665,0)),"")</f>
        <v>9</v>
      </c>
      <c r="J303" s="23">
        <f t="shared" si="36"/>
        <v>29</v>
      </c>
      <c r="K303" s="23">
        <f>IFERROR(INDEX('Input Statistiche 2025_26'!$I$3:$I$665,MATCH($A303,'Input Statistiche 2025_26'!$A$3:$A$665,0)),"")</f>
        <v>0</v>
      </c>
      <c r="L303" s="23">
        <f>IFERROR(INDEX('Input Statistiche 2025_26'!$O$3:$O$665,MATCH($A303,'Input Statistiche 2025_26'!$A$3:$A$665,0)),"")</f>
        <v>0</v>
      </c>
      <c r="M303" s="25"/>
      <c r="N303" s="24">
        <f>IFERROR(INDEX('Input Giocatori 2026_27'!$E$3:$E$493,MATCH($A303,'Input Giocatori 2026_27'!$A$3:$A$493,0)),"")</f>
        <v>6</v>
      </c>
      <c r="O303" s="24">
        <f>IFERROR(INDEX('Input Giocatori 2026_27'!$G$3:$G$493,MATCH($A303,'Input Giocatori 2026_27'!$A$3:$A$493,0)),"")</f>
        <v>10</v>
      </c>
      <c r="P303" s="23" t="str">
        <f>IFERROR(IF($O303="","",IF((1-(COUNTIFS($B$2:$B$492,$B303,$O$2:$O$492,"&gt;"&amp;$O303)+1-1)/COUNTIF($B$2:$B$492,$B303))&gt;='Parametri Modello'!$B$63,"Top",IF((1-(COUNTIFS($B$2:$B$492,$B303,$O$2:$O$492,"&gt;"&amp;$O303)+1-1)/COUNTIF($B$2:$B$492,$B303))&gt;='Parametri Modello'!$B$64,"Buono",IF((1-(COUNTIFS($B$2:$B$492,$B303,$O$2:$O$492,"&gt;"&amp;$O303)+1-1)/COUNTIF($B$2:$B$492,$B303))&gt;='Parametri Modello'!$B$65,"Nella Media","Scommessa/Riserva")))),"")</f>
        <v>Nella Media</v>
      </c>
      <c r="Q303" s="26">
        <f>IF(AND($D303="",$N303&gt;1),SUMPRODUCT(($D$2:$D303="")*($N$2:$N303&gt;1)),"")</f>
        <v>302</v>
      </c>
      <c r="R303" s="26" t="str">
        <f>IF($D303='Info Lega'!$B$28,COUNTIFS($D$2:$D303,'Info Lega'!$B$28),"")</f>
        <v/>
      </c>
      <c r="S303" s="27">
        <f>IFERROR(INDEX('Input Statistiche 2025_26'!$G$3:$G$665,MATCH($A303,'Input Statistiche 2025_26'!$A$3:$A$665,0)),"")</f>
        <v>6.11</v>
      </c>
      <c r="T303" s="27">
        <f>IFERROR(INDEX('Input Statistiche 2025_26'!$H$3:$H$665,MATCH($A303,'Input Statistiche 2025_26'!$A$3:$A$665,0)),"")</f>
        <v>5.1100000000000003</v>
      </c>
      <c r="U303" s="23" t="str">
        <f>IF(OR('La Mia Rosa'!$O$12="",$D303&lt;&gt;""),"",IF($F303&lt;='La Mia Rosa'!$O$12*'Parametri Modello'!$B$24,"OK",IF($F303&lt;='La Mia Rosa'!$O$12*'Parametri Modello'!$B$25,"Attenzione","Rischio Alto")))</f>
        <v>OK</v>
      </c>
      <c r="V303" s="23">
        <f t="shared" si="37"/>
        <v>19</v>
      </c>
      <c r="W303" s="18">
        <f>'Info Lega'!$B$4-SUMIFS($M$2:$M$492,$D$2:$D$492,'Info Lega'!$B$28)</f>
        <v>1000</v>
      </c>
      <c r="X303" s="18">
        <f>('Info Lega'!$B$5-COUNTIFS($D$2:$D$492,'Info Lega'!$B$28,$B$2:$B$492,"P"))+('Info Lega'!$B$6-COUNTIFS($D$2:$D$492,'Info Lega'!$B$28,$B$2:$B$492,"D"))+('Info Lega'!$B$7-COUNTIFS($D$2:$D$492,'Info Lega'!$B$28,$B$2:$B$492,"C"))+('Info Lega'!$B$8-COUNTIFS($D$2:$D$492,'Info Lega'!$B$28,$B$2:$B$492,"A"))</f>
        <v>25</v>
      </c>
      <c r="Y303" s="18">
        <f>X303*'Parametri Modello'!$B$30</f>
        <v>25</v>
      </c>
      <c r="Z303" s="18">
        <f t="shared" si="38"/>
        <v>975</v>
      </c>
      <c r="AA303" s="18">
        <f t="shared" si="39"/>
        <v>4</v>
      </c>
      <c r="AB303" s="18"/>
      <c r="AC303" s="18" t="str">
        <f>IF($AB303="","",IF($AB303&gt;$AA303,"PASS",IF($AB303&lt;=$AA303*(1-'Parametri Modello'!$B$68),"BID","ATTENZIONE")))</f>
        <v/>
      </c>
      <c r="AD303" s="28">
        <f t="shared" si="40"/>
        <v>26</v>
      </c>
      <c r="AE303" s="5" t="str">
        <f>IFERROR(IF($AF303="Titolare",INDEX('Stato Asta'!$G$9:$G$12,MATCH($B303,'Stato Asta'!$A$9:$A$12,0)),INDEX('Stato Asta'!$P$9:$P$12,MATCH($B303,'Stato Asta'!$A$9:$A$12,0))),"")</f>
        <v>🔴 Riserve scarse</v>
      </c>
      <c r="AF303" t="str">
        <f>IFERROR(IF($V303&lt;=INDEX('Parametri Modello'!$C$57:$C$60,MATCH($B303,'Parametri Modello'!$A$57:$A$60,0)),"Titolare","Riserva"),"")</f>
        <v>Riserva</v>
      </c>
      <c r="AG303" t="str">
        <f>IFERROR(INDEX('Pressione Competitiva'!$F$3:$F$6,MATCH($B303,'Pressione Competitiva'!$B$3:$B$6,0)),"")</f>
        <v>🔴 Molto Alta</v>
      </c>
      <c r="AH303" t="str">
        <f t="shared" si="41"/>
        <v/>
      </c>
      <c r="AI303" t="str">
        <f>IFERROR(IF($AH303="","",IF($AH303&gt;=$AA303*'Parametri Modello'!$B$68,"🟢 Opportunita'",IF($AH303&lt;=$AA303*'Parametri Modello'!$B$69,"🔴 Sovrapprezzo","🟡 Prezzo Corretto"))),"")</f>
        <v/>
      </c>
      <c r="AJ303" t="str">
        <f t="shared" si="42"/>
        <v/>
      </c>
      <c r="AK303">
        <f t="shared" si="43"/>
        <v>1</v>
      </c>
      <c r="AL303" t="str">
        <f t="shared" si="44"/>
        <v>P|Nella Media|1</v>
      </c>
    </row>
    <row r="304" spans="1:38" ht="14.25" customHeight="1" x14ac:dyDescent="0.25">
      <c r="A304" s="18">
        <v>2170</v>
      </c>
      <c r="B304" s="18" t="s">
        <v>8</v>
      </c>
      <c r="C304" s="18" t="s">
        <v>47</v>
      </c>
      <c r="E304" s="23" t="str">
        <f>IF(COUNTIF('Info Strategia'!$D$2:$D$51,$C304)&gt;0,"SI","NO")</f>
        <v>NO</v>
      </c>
      <c r="F304" s="24">
        <f>IFERROR(ROUND(($G304+($H304-$G304)*'Info Strategia'!$B$6)*(1+IF($E304="SI",'Parametri Modello'!$B$7*'Info Strategia'!$B$6,0)),0),"")</f>
        <v>4</v>
      </c>
      <c r="G304" s="24">
        <f>IFERROR(ROUND(MAX(1,(IF($V304&lt;=INDEX('Parametri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3</v>
      </c>
      <c r="H304" s="24">
        <f>IFERROR(ROUND((IF($V304&lt;=INDEX('Parametri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4</v>
      </c>
      <c r="I304" s="23">
        <f>IFERROR(INDEX('Input Statistiche 2025_26'!$F$3:$F$665,MATCH($A304,'Input Statistiche 2025_26'!$A$3:$A$665,0)),"")</f>
        <v>27</v>
      </c>
      <c r="J304" s="23">
        <f t="shared" si="36"/>
        <v>11</v>
      </c>
      <c r="K304" s="23">
        <f>IFERROR(INDEX('Input Statistiche 2025_26'!$I$3:$I$665,MATCH($A304,'Input Statistiche 2025_26'!$A$3:$A$665,0)),"")</f>
        <v>0</v>
      </c>
      <c r="L304" s="23">
        <f>IFERROR(INDEX('Input Statistiche 2025_26'!$O$3:$O$665,MATCH($A304,'Input Statistiche 2025_26'!$A$3:$A$665,0)),"")</f>
        <v>0</v>
      </c>
      <c r="M304" s="25"/>
      <c r="N304" s="24">
        <f>IFERROR(INDEX('Input Giocatori 2026_27'!$E$3:$E$493,MATCH($A304,'Input Giocatori 2026_27'!$A$3:$A$493,0)),"")</f>
        <v>5</v>
      </c>
      <c r="O304" s="24">
        <f>IFERROR(INDEX('Input Giocatori 2026_27'!$G$3:$G$493,MATCH($A304,'Input Giocatori 2026_27'!$A$3:$A$493,0)),"")</f>
        <v>10</v>
      </c>
      <c r="P304" s="23" t="str">
        <f>IFERROR(IF($O304="","",IF((1-(COUNTIFS($B$2:$B$492,$B304,$O$2:$O$492,"&gt;"&amp;$O304)+1-1)/COUNTIF($B$2:$B$492,$B304))&gt;='Parametri Modello'!$B$63,"Top",IF((1-(COUNTIFS($B$2:$B$492,$B304,$O$2:$O$492,"&gt;"&amp;$O304)+1-1)/COUNTIF($B$2:$B$492,$B304))&gt;='Parametri Modello'!$B$64,"Buono",IF((1-(COUNTIFS($B$2:$B$492,$B304,$O$2:$O$492,"&gt;"&amp;$O304)+1-1)/COUNTIF($B$2:$B$492,$B304))&gt;='Parametri Modello'!$B$65,"Nella Media","Scommessa/Riserva")))),"")</f>
        <v>Nella Media</v>
      </c>
      <c r="Q304" s="26">
        <f>IF(AND($D304="",$N304&gt;1),SUMPRODUCT(($D$2:$D304="")*($N$2:$N304&gt;1)),"")</f>
        <v>303</v>
      </c>
      <c r="R304" s="26" t="str">
        <f>IF($D304='Info Lega'!$B$28,COUNTIFS($D$2:$D304,'Info Lega'!$B$28),"")</f>
        <v/>
      </c>
      <c r="S304" s="27">
        <f>IFERROR(INDEX('Input Statistiche 2025_26'!$G$3:$G$665,MATCH($A304,'Input Statistiche 2025_26'!$A$3:$A$665,0)),"")</f>
        <v>6.2</v>
      </c>
      <c r="T304" s="27">
        <f>IFERROR(INDEX('Input Statistiche 2025_26'!$H$3:$H$665,MATCH($A304,'Input Statistiche 2025_26'!$A$3:$A$665,0)),"")</f>
        <v>5.65</v>
      </c>
      <c r="U304" s="23" t="str">
        <f>IF(OR('La Mia Rosa'!$O$12="",$D304&lt;&gt;""),"",IF($F304&lt;='La Mia Rosa'!$O$12*'Parametri Modello'!$B$24,"OK",IF($F304&lt;='La Mia Rosa'!$O$12*'Parametri Modello'!$B$25,"Attenzione","Rischio Alto")))</f>
        <v>OK</v>
      </c>
      <c r="V304" s="23">
        <f t="shared" si="37"/>
        <v>19</v>
      </c>
      <c r="W304" s="18">
        <f>'Info Lega'!$B$4-SUMIFS($M$2:$M$492,$D$2:$D$492,'Info Lega'!$B$28)</f>
        <v>1000</v>
      </c>
      <c r="X304" s="18">
        <f>('Info Lega'!$B$5-COUNTIFS($D$2:$D$492,'Info Lega'!$B$28,$B$2:$B$492,"P"))+('Info Lega'!$B$6-COUNTIFS($D$2:$D$492,'Info Lega'!$B$28,$B$2:$B$492,"D"))+('Info Lega'!$B$7-COUNTIFS($D$2:$D$492,'Info Lega'!$B$28,$B$2:$B$492,"C"))+('Info Lega'!$B$8-COUNTIFS($D$2:$D$492,'Info Lega'!$B$28,$B$2:$B$492,"A"))</f>
        <v>25</v>
      </c>
      <c r="Y304" s="18">
        <f>X304*'Parametri Modello'!$B$30</f>
        <v>25</v>
      </c>
      <c r="Z304" s="18">
        <f t="shared" si="38"/>
        <v>975</v>
      </c>
      <c r="AA304" s="18">
        <f t="shared" si="39"/>
        <v>4</v>
      </c>
      <c r="AB304" s="18"/>
      <c r="AC304" s="18" t="str">
        <f>IF($AB304="","",IF($AB304&gt;$AA304,"PASS",IF($AB304&lt;=$AA304*(1-'Parametri Modello'!$B$68),"BID","ATTENZIONE")))</f>
        <v/>
      </c>
      <c r="AD304" s="28">
        <f t="shared" si="40"/>
        <v>59</v>
      </c>
      <c r="AE304" s="5" t="str">
        <f>IFERROR(IF($AF304="Titolare",INDEX('Stato Asta'!$G$9:$G$12,MATCH($B304,'Stato Asta'!$A$9:$A$12,0)),INDEX('Stato Asta'!$P$9:$P$12,MATCH($B304,'Stato Asta'!$A$9:$A$12,0))),"")</f>
        <v>🔴 Riserve scarse</v>
      </c>
      <c r="AF304" t="str">
        <f>IFERROR(IF($V304&lt;=INDEX('Parametri Modello'!$C$57:$C$60,MATCH($B304,'Parametri Modello'!$A$57:$A$60,0)),"Titolare","Riserva"),"")</f>
        <v>Riserva</v>
      </c>
      <c r="AG304" t="str">
        <f>IFERROR(INDEX('Pressione Competitiva'!$F$3:$F$6,MATCH($B304,'Pressione Competitiva'!$B$3:$B$6,0)),"")</f>
        <v>🔴 Molto Alta</v>
      </c>
      <c r="AH304" t="str">
        <f t="shared" si="41"/>
        <v/>
      </c>
      <c r="AI304" t="str">
        <f>IFERROR(IF($AH304="","",IF($AH304&gt;=$AA304*'Parametri Modello'!$B$68,"🟢 Opportunita'",IF($AH304&lt;=$AA304*'Parametri Modello'!$B$69,"🔴 Sovrapprezzo","🟡 Prezzo Corretto"))),"")</f>
        <v/>
      </c>
      <c r="AJ304" t="str">
        <f t="shared" si="42"/>
        <v/>
      </c>
      <c r="AK304">
        <f t="shared" si="43"/>
        <v>1</v>
      </c>
      <c r="AL304" t="str">
        <f t="shared" si="44"/>
        <v>P|Nella Media|1</v>
      </c>
    </row>
    <row r="305" spans="1:38" ht="14.25" customHeight="1" x14ac:dyDescent="0.25">
      <c r="A305" s="18">
        <v>7014</v>
      </c>
      <c r="B305" s="18" t="s">
        <v>88</v>
      </c>
      <c r="C305" s="18" t="s">
        <v>180</v>
      </c>
      <c r="E305" s="23" t="str">
        <f>IF(COUNTIF('Info Strategia'!$D$2:$D$51,$C305)&gt;0,"SI","NO")</f>
        <v>NO</v>
      </c>
      <c r="F305" s="24">
        <f>IFERROR(ROUND(($G305+($H305-$G305)*'Info Strategia'!$B$6)*(1+IF($E305="SI",'Parametri Modello'!$B$7*'Info Strategia'!$B$6,0)),0),"")</f>
        <v>2</v>
      </c>
      <c r="G305" s="24">
        <f>IFERROR(ROUND(MAX(1,(IF($V305&lt;=INDEX('Parametri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1</v>
      </c>
      <c r="H305" s="24">
        <f>IFERROR(ROUND((IF($V305&lt;=INDEX('Parametri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2</v>
      </c>
      <c r="I305" s="23">
        <f>IFERROR(INDEX('Input Statistiche 2025_26'!$F$3:$F$665,MATCH($A305,'Input Statistiche 2025_26'!$A$3:$A$665,0)),"")</f>
        <v>25</v>
      </c>
      <c r="J305" s="23">
        <f t="shared" si="36"/>
        <v>13</v>
      </c>
      <c r="K305" s="23">
        <f>IFERROR(INDEX('Input Statistiche 2025_26'!$I$3:$I$665,MATCH($A305,'Input Statistiche 2025_26'!$A$3:$A$665,0)),"")</f>
        <v>0</v>
      </c>
      <c r="L305" s="23">
        <f>IFERROR(INDEX('Input Statistiche 2025_26'!$O$3:$O$665,MATCH($A305,'Input Statistiche 2025_26'!$A$3:$A$665,0)),"")</f>
        <v>1</v>
      </c>
      <c r="M305" s="25"/>
      <c r="N305" s="24">
        <f>IFERROR(INDEX('Input Giocatori 2026_27'!$E$3:$E$493,MATCH($A305,'Input Giocatori 2026_27'!$A$3:$A$493,0)),"")</f>
        <v>4</v>
      </c>
      <c r="O305" s="24">
        <f>IFERROR(INDEX('Input Giocatori 2026_27'!$G$3:$G$493,MATCH($A305,'Input Giocatori 2026_27'!$A$3:$A$493,0)),"")</f>
        <v>10</v>
      </c>
      <c r="P305" s="23" t="str">
        <f>IFERROR(IF($O305="","",IF((1-(COUNTIFS($B$2:$B$492,$B305,$O$2:$O$492,"&gt;"&amp;$O305)+1-1)/COUNTIF($B$2:$B$492,$B305))&gt;='Parametri Modello'!$B$63,"Top",IF((1-(COUNTIFS($B$2:$B$492,$B305,$O$2:$O$492,"&gt;"&amp;$O305)+1-1)/COUNTIF($B$2:$B$492,$B305))&gt;='Parametri Modello'!$B$64,"Buono",IF((1-(COUNTIFS($B$2:$B$492,$B305,$O$2:$O$492,"&gt;"&amp;$O305)+1-1)/COUNTIF($B$2:$B$492,$B305))&gt;='Parametri Modello'!$B$65,"Nella Media","Scommessa/Riserva")))),"")</f>
        <v>Nella Media</v>
      </c>
      <c r="Q305" s="26">
        <f>IF(AND($D305="",$N305&gt;1),SUMPRODUCT(($D$2:$D305="")*($N$2:$N305&gt;1)),"")</f>
        <v>304</v>
      </c>
      <c r="R305" s="26" t="str">
        <f>IF($D305='Info Lega'!$B$28,COUNTIFS($D$2:$D305,'Info Lega'!$B$28),"")</f>
        <v/>
      </c>
      <c r="S305" s="27">
        <f>IFERROR(INDEX('Input Statistiche 2025_26'!$G$3:$G$665,MATCH($A305,'Input Statistiche 2025_26'!$A$3:$A$665,0)),"")</f>
        <v>5.96</v>
      </c>
      <c r="T305" s="27">
        <f>IFERROR(INDEX('Input Statistiche 2025_26'!$H$3:$H$665,MATCH($A305,'Input Statistiche 2025_26'!$A$3:$A$665,0)),"")</f>
        <v>5.84</v>
      </c>
      <c r="U305" s="23" t="str">
        <f>IF(OR('La Mia Rosa'!$O$12="",$D305&lt;&gt;""),"",IF($F305&lt;='La Mia Rosa'!$O$12*'Parametri Modello'!$B$24,"OK",IF($F305&lt;='La Mia Rosa'!$O$12*'Parametri Modello'!$B$25,"Attenzione","Rischio Alto")))</f>
        <v>OK</v>
      </c>
      <c r="V305" s="23">
        <f t="shared" si="37"/>
        <v>99</v>
      </c>
      <c r="W305" s="18">
        <f>'Info Lega'!$B$4-SUMIFS($M$2:$M$492,$D$2:$D$492,'Info Lega'!$B$28)</f>
        <v>1000</v>
      </c>
      <c r="X305" s="18">
        <f>('Info Lega'!$B$5-COUNTIFS($D$2:$D$492,'Info Lega'!$B$28,$B$2:$B$492,"P"))+('Info Lega'!$B$6-COUNTIFS($D$2:$D$492,'Info Lega'!$B$28,$B$2:$B$492,"D"))+('Info Lega'!$B$7-COUNTIFS($D$2:$D$492,'Info Lega'!$B$28,$B$2:$B$492,"C"))+('Info Lega'!$B$8-COUNTIFS($D$2:$D$492,'Info Lega'!$B$28,$B$2:$B$492,"A"))</f>
        <v>25</v>
      </c>
      <c r="Y305" s="18">
        <f>X305*'Parametri Modello'!$B$30</f>
        <v>25</v>
      </c>
      <c r="Z305" s="18">
        <f t="shared" si="38"/>
        <v>975</v>
      </c>
      <c r="AA305" s="18">
        <f t="shared" si="39"/>
        <v>2</v>
      </c>
      <c r="AB305" s="18"/>
      <c r="AC305" s="18" t="str">
        <f>IF($AB305="","",IF($AB305&gt;$AA305,"PASS",IF($AB305&lt;=$AA305*(1-'Parametri Modello'!$B$68),"BID","ATTENZIONE")))</f>
        <v/>
      </c>
      <c r="AD305" s="28">
        <f t="shared" si="40"/>
        <v>57</v>
      </c>
      <c r="AE305" s="5" t="str">
        <f>IFERROR(IF($AF305="Titolare",INDEX('Stato Asta'!$G$9:$G$12,MATCH($B305,'Stato Asta'!$A$9:$A$12,0)),INDEX('Stato Asta'!$P$9:$P$12,MATCH($B305,'Stato Asta'!$A$9:$A$12,0))),"")</f>
        <v>🟢 Riserve abbondanti</v>
      </c>
      <c r="AF305" t="str">
        <f>IFERROR(IF($V305&lt;=INDEX('Parametri Modello'!$C$57:$C$60,MATCH($B305,'Parametri Modello'!$A$57:$A$60,0)),"Titolare","Riserva"),"")</f>
        <v>Riserva</v>
      </c>
      <c r="AG305" t="str">
        <f>IFERROR(INDEX('Pressione Competitiva'!$F$3:$F$6,MATCH($B305,'Pressione Competitiva'!$B$3:$B$6,0)),"")</f>
        <v>🔴 Molto Alta</v>
      </c>
      <c r="AH305" t="str">
        <f t="shared" si="41"/>
        <v/>
      </c>
      <c r="AI305" t="str">
        <f>IFERROR(IF($AH305="","",IF($AH305&gt;=$AA305*'Parametri Modello'!$B$68,"🟢 Opportunita'",IF($AH305&lt;=$AA305*'Parametri Modello'!$B$69,"🔴 Sovrapprezzo","🟡 Prezzo Corretto"))),"")</f>
        <v/>
      </c>
      <c r="AJ305" t="str">
        <f t="shared" si="42"/>
        <v/>
      </c>
      <c r="AK305">
        <f t="shared" si="43"/>
        <v>44</v>
      </c>
      <c r="AL305" t="str">
        <f t="shared" si="44"/>
        <v>D|Nella Media|44</v>
      </c>
    </row>
    <row r="306" spans="1:38" ht="14.25" customHeight="1" x14ac:dyDescent="0.25">
      <c r="A306" s="18">
        <v>7467</v>
      </c>
      <c r="B306" s="18" t="s">
        <v>88</v>
      </c>
      <c r="C306" s="18" t="s">
        <v>182</v>
      </c>
      <c r="E306" s="23" t="str">
        <f>IF(COUNTIF('Info Strategia'!$D$2:$D$51,$C306)&gt;0,"SI","NO")</f>
        <v>NO</v>
      </c>
      <c r="F306" s="24">
        <f>IFERROR(ROUND(($G306+($H306-$G306)*'Info Strategia'!$B$6)*(1+IF($E306="SI",'Parametri Modello'!$B$7*'Info Strategia'!$B$6,0)),0),"")</f>
        <v>2</v>
      </c>
      <c r="G306" s="24">
        <f>IFERROR(ROUND(MAX(1,(IF($V306&lt;=INDEX('Parametri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1</v>
      </c>
      <c r="H306" s="24">
        <f>IFERROR(ROUND((IF($V306&lt;=INDEX('Parametri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2</v>
      </c>
      <c r="I306" s="23" t="str">
        <f>IFERROR(INDEX('Input Statistiche 2025_26'!$F$3:$F$665,MATCH($A306,'Input Statistiche 2025_26'!$A$3:$A$665,0)),"")</f>
        <v/>
      </c>
      <c r="J306" s="23" t="str">
        <f t="shared" si="36"/>
        <v/>
      </c>
      <c r="K306" s="23" t="str">
        <f>IFERROR(INDEX('Input Statistiche 2025_26'!$I$3:$I$665,MATCH($A306,'Input Statistiche 2025_26'!$A$3:$A$665,0)),"")</f>
        <v/>
      </c>
      <c r="L306" s="23" t="str">
        <f>IFERROR(INDEX('Input Statistiche 2025_26'!$O$3:$O$665,MATCH($A306,'Input Statistiche 2025_26'!$A$3:$A$665,0)),"")</f>
        <v/>
      </c>
      <c r="M306" s="25"/>
      <c r="N306" s="24">
        <f>IFERROR(INDEX('Input Giocatori 2026_27'!$E$3:$E$493,MATCH($A306,'Input Giocatori 2026_27'!$A$3:$A$493,0)),"")</f>
        <v>4</v>
      </c>
      <c r="O306" s="24">
        <f>IFERROR(INDEX('Input Giocatori 2026_27'!$G$3:$G$493,MATCH($A306,'Input Giocatori 2026_27'!$A$3:$A$493,0)),"")</f>
        <v>10</v>
      </c>
      <c r="P306" s="23" t="str">
        <f>IFERROR(IF($O306="","",IF((1-(COUNTIFS($B$2:$B$492,$B306,$O$2:$O$492,"&gt;"&amp;$O306)+1-1)/COUNTIF($B$2:$B$492,$B306))&gt;='Parametri Modello'!$B$63,"Top",IF((1-(COUNTIFS($B$2:$B$492,$B306,$O$2:$O$492,"&gt;"&amp;$O306)+1-1)/COUNTIF($B$2:$B$492,$B306))&gt;='Parametri Modello'!$B$64,"Buono",IF((1-(COUNTIFS($B$2:$B$492,$B306,$O$2:$O$492,"&gt;"&amp;$O306)+1-1)/COUNTIF($B$2:$B$492,$B306))&gt;='Parametri Modello'!$B$65,"Nella Media","Scommessa/Riserva")))),"")</f>
        <v>Nella Media</v>
      </c>
      <c r="Q306" s="26">
        <f>IF(AND($D306="",$N306&gt;1),SUMPRODUCT(($D$2:$D306="")*($N$2:$N306&gt;1)),"")</f>
        <v>305</v>
      </c>
      <c r="R306" s="26" t="str">
        <f>IF($D306='Info Lega'!$B$28,COUNTIFS($D$2:$D306,'Info Lega'!$B$28),"")</f>
        <v/>
      </c>
      <c r="S306" s="27" t="str">
        <f>IFERROR(INDEX('Input Statistiche 2025_26'!$G$3:$G$665,MATCH($A306,'Input Statistiche 2025_26'!$A$3:$A$665,0)),"")</f>
        <v/>
      </c>
      <c r="T306" s="27" t="str">
        <f>IFERROR(INDEX('Input Statistiche 2025_26'!$H$3:$H$665,MATCH($A306,'Input Statistiche 2025_26'!$A$3:$A$665,0)),"")</f>
        <v/>
      </c>
      <c r="U306" s="23" t="str">
        <f>IF(OR('La Mia Rosa'!$O$12="",$D306&lt;&gt;""),"",IF($F306&lt;='La Mia Rosa'!$O$12*'Parametri Modello'!$B$24,"OK",IF($F306&lt;='La Mia Rosa'!$O$12*'Parametri Modello'!$B$25,"Attenzione","Rischio Alto")))</f>
        <v>OK</v>
      </c>
      <c r="V306" s="23">
        <f t="shared" si="37"/>
        <v>99</v>
      </c>
      <c r="W306" s="18">
        <f>'Info Lega'!$B$4-SUMIFS($M$2:$M$492,$D$2:$D$492,'Info Lega'!$B$28)</f>
        <v>1000</v>
      </c>
      <c r="X306" s="18">
        <f>('Info Lega'!$B$5-COUNTIFS($D$2:$D$492,'Info Lega'!$B$28,$B$2:$B$492,"P"))+('Info Lega'!$B$6-COUNTIFS($D$2:$D$492,'Info Lega'!$B$28,$B$2:$B$492,"D"))+('Info Lega'!$B$7-COUNTIFS($D$2:$D$492,'Info Lega'!$B$28,$B$2:$B$492,"C"))+('Info Lega'!$B$8-COUNTIFS($D$2:$D$492,'Info Lega'!$B$28,$B$2:$B$492,"A"))</f>
        <v>25</v>
      </c>
      <c r="Y306" s="18">
        <f>X306*'Parametri Modello'!$B$30</f>
        <v>25</v>
      </c>
      <c r="Z306" s="18">
        <f t="shared" si="38"/>
        <v>975</v>
      </c>
      <c r="AA306" s="18">
        <f t="shared" si="39"/>
        <v>2</v>
      </c>
      <c r="AB306" s="18"/>
      <c r="AC306" s="18" t="str">
        <f>IF($AB306="","",IF($AB306&gt;$AA306,"PASS",IF($AB306&lt;=$AA306*(1-'Parametri Modello'!$B$68),"BID","ATTENZIONE")))</f>
        <v/>
      </c>
      <c r="AD306" s="28" t="str">
        <f t="shared" si="40"/>
        <v/>
      </c>
      <c r="AE306" s="5" t="str">
        <f>IFERROR(IF($AF306="Titolare",INDEX('Stato Asta'!$G$9:$G$12,MATCH($B306,'Stato Asta'!$A$9:$A$12,0)),INDEX('Stato Asta'!$P$9:$P$12,MATCH($B306,'Stato Asta'!$A$9:$A$12,0))),"")</f>
        <v>🟢 Riserve abbondanti</v>
      </c>
      <c r="AF306" t="str">
        <f>IFERROR(IF($V306&lt;=INDEX('Parametri Modello'!$C$57:$C$60,MATCH($B306,'Parametri Modello'!$A$57:$A$60,0)),"Titolare","Riserva"),"")</f>
        <v>Riserva</v>
      </c>
      <c r="AG306" t="str">
        <f>IFERROR(INDEX('Pressione Competitiva'!$F$3:$F$6,MATCH($B306,'Pressione Competitiva'!$B$3:$B$6,0)),"")</f>
        <v>🔴 Molto Alta</v>
      </c>
      <c r="AH306" t="str">
        <f t="shared" si="41"/>
        <v/>
      </c>
      <c r="AI306" t="str">
        <f>IFERROR(IF($AH306="","",IF($AH306&gt;=$AA306*'Parametri Modello'!$B$68,"🟢 Opportunita'",IF($AH306&lt;=$AA306*'Parametri Modello'!$B$69,"🔴 Sovrapprezzo","🟡 Prezzo Corretto"))),"")</f>
        <v/>
      </c>
      <c r="AJ306" t="str">
        <f t="shared" si="42"/>
        <v/>
      </c>
      <c r="AK306">
        <f t="shared" si="43"/>
        <v>44</v>
      </c>
      <c r="AL306" t="str">
        <f t="shared" si="44"/>
        <v>D|Nella Media|44</v>
      </c>
    </row>
    <row r="307" spans="1:38" ht="14.25" customHeight="1" x14ac:dyDescent="0.25">
      <c r="A307" s="18">
        <v>5831</v>
      </c>
      <c r="B307" s="18" t="s">
        <v>88</v>
      </c>
      <c r="C307" s="18" t="s">
        <v>184</v>
      </c>
      <c r="E307" s="23" t="str">
        <f>IF(COUNTIF('Info Strategia'!$D$2:$D$51,$C307)&gt;0,"SI","NO")</f>
        <v>NO</v>
      </c>
      <c r="F307" s="24">
        <f>IFERROR(ROUND(($G307+($H307-$G307)*'Info Strategia'!$B$6)*(1+IF($E307="SI",'Parametri Modello'!$B$7*'Info Strategia'!$B$6,0)),0),"")</f>
        <v>2</v>
      </c>
      <c r="G307" s="24">
        <f>IFERROR(ROUND(MAX(1,(IF($V307&lt;=INDEX('Parametri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1</v>
      </c>
      <c r="H307" s="24">
        <f>IFERROR(ROUND((IF($V307&lt;=INDEX('Parametri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2</v>
      </c>
      <c r="I307" s="23">
        <f>IFERROR(INDEX('Input Statistiche 2025_26'!$F$3:$F$665,MATCH($A307,'Input Statistiche 2025_26'!$A$3:$A$665,0)),"")</f>
        <v>16</v>
      </c>
      <c r="J307" s="23">
        <f t="shared" si="36"/>
        <v>22</v>
      </c>
      <c r="K307" s="23">
        <f>IFERROR(INDEX('Input Statistiche 2025_26'!$I$3:$I$665,MATCH($A307,'Input Statistiche 2025_26'!$A$3:$A$665,0)),"")</f>
        <v>2</v>
      </c>
      <c r="L307" s="23">
        <f>IFERROR(INDEX('Input Statistiche 2025_26'!$O$3:$O$665,MATCH($A307,'Input Statistiche 2025_26'!$A$3:$A$665,0)),"")</f>
        <v>0</v>
      </c>
      <c r="M307" s="25"/>
      <c r="N307" s="24">
        <f>IFERROR(INDEX('Input Giocatori 2026_27'!$E$3:$E$493,MATCH($A307,'Input Giocatori 2026_27'!$A$3:$A$493,0)),"")</f>
        <v>4</v>
      </c>
      <c r="O307" s="24">
        <f>IFERROR(INDEX('Input Giocatori 2026_27'!$G$3:$G$493,MATCH($A307,'Input Giocatori 2026_27'!$A$3:$A$493,0)),"")</f>
        <v>10</v>
      </c>
      <c r="P307" s="23" t="str">
        <f>IFERROR(IF($O307="","",IF((1-(COUNTIFS($B$2:$B$492,$B307,$O$2:$O$492,"&gt;"&amp;$O307)+1-1)/COUNTIF($B$2:$B$492,$B307))&gt;='Parametri Modello'!$B$63,"Top",IF((1-(COUNTIFS($B$2:$B$492,$B307,$O$2:$O$492,"&gt;"&amp;$O307)+1-1)/COUNTIF($B$2:$B$492,$B307))&gt;='Parametri Modello'!$B$64,"Buono",IF((1-(COUNTIFS($B$2:$B$492,$B307,$O$2:$O$492,"&gt;"&amp;$O307)+1-1)/COUNTIF($B$2:$B$492,$B307))&gt;='Parametri Modello'!$B$65,"Nella Media","Scommessa/Riserva")))),"")</f>
        <v>Nella Media</v>
      </c>
      <c r="Q307" s="26">
        <f>IF(AND($D307="",$N307&gt;1),SUMPRODUCT(($D$2:$D307="")*($N$2:$N307&gt;1)),"")</f>
        <v>306</v>
      </c>
      <c r="R307" s="26" t="str">
        <f>IF($D307='Info Lega'!$B$28,COUNTIFS($D$2:$D307,'Info Lega'!$B$28),"")</f>
        <v/>
      </c>
      <c r="S307" s="27">
        <f>IFERROR(INDEX('Input Statistiche 2025_26'!$G$3:$G$665,MATCH($A307,'Input Statistiche 2025_26'!$A$3:$A$665,0)),"")</f>
        <v>5.94</v>
      </c>
      <c r="T307" s="27">
        <f>IFERROR(INDEX('Input Statistiche 2025_26'!$H$3:$H$665,MATCH($A307,'Input Statistiche 2025_26'!$A$3:$A$665,0)),"")</f>
        <v>6.22</v>
      </c>
      <c r="U307" s="23" t="str">
        <f>IF(OR('La Mia Rosa'!$O$12="",$D307&lt;&gt;""),"",IF($F307&lt;='La Mia Rosa'!$O$12*'Parametri Modello'!$B$24,"OK",IF($F307&lt;='La Mia Rosa'!$O$12*'Parametri Modello'!$B$25,"Attenzione","Rischio Alto")))</f>
        <v>OK</v>
      </c>
      <c r="V307" s="23">
        <f t="shared" si="37"/>
        <v>99</v>
      </c>
      <c r="W307" s="18">
        <f>'Info Lega'!$B$4-SUMIFS($M$2:$M$492,$D$2:$D$492,'Info Lega'!$B$28)</f>
        <v>1000</v>
      </c>
      <c r="X307" s="18">
        <f>('Info Lega'!$B$5-COUNTIFS($D$2:$D$492,'Info Lega'!$B$28,$B$2:$B$492,"P"))+('Info Lega'!$B$6-COUNTIFS($D$2:$D$492,'Info Lega'!$B$28,$B$2:$B$492,"D"))+('Info Lega'!$B$7-COUNTIFS($D$2:$D$492,'Info Lega'!$B$28,$B$2:$B$492,"C"))+('Info Lega'!$B$8-COUNTIFS($D$2:$D$492,'Info Lega'!$B$28,$B$2:$B$492,"A"))</f>
        <v>25</v>
      </c>
      <c r="Y307" s="18">
        <f>X307*'Parametri Modello'!$B$30</f>
        <v>25</v>
      </c>
      <c r="Z307" s="18">
        <f t="shared" si="38"/>
        <v>975</v>
      </c>
      <c r="AA307" s="18">
        <f t="shared" si="39"/>
        <v>2</v>
      </c>
      <c r="AB307" s="18"/>
      <c r="AC307" s="18" t="str">
        <f>IF($AB307="","",IF($AB307&gt;$AA307,"PASS",IF($AB307&lt;=$AA307*(1-'Parametri Modello'!$B$68),"BID","ATTENZIONE")))</f>
        <v/>
      </c>
      <c r="AD307" s="28">
        <f t="shared" si="40"/>
        <v>41</v>
      </c>
      <c r="AE307" s="5" t="str">
        <f>IFERROR(IF($AF307="Titolare",INDEX('Stato Asta'!$G$9:$G$12,MATCH($B307,'Stato Asta'!$A$9:$A$12,0)),INDEX('Stato Asta'!$P$9:$P$12,MATCH($B307,'Stato Asta'!$A$9:$A$12,0))),"")</f>
        <v>🟢 Riserve abbondanti</v>
      </c>
      <c r="AF307" t="str">
        <f>IFERROR(IF($V307&lt;=INDEX('Parametri Modello'!$C$57:$C$60,MATCH($B307,'Parametri Modello'!$A$57:$A$60,0)),"Titolare","Riserva"),"")</f>
        <v>Riserva</v>
      </c>
      <c r="AG307" t="str">
        <f>IFERROR(INDEX('Pressione Competitiva'!$F$3:$F$6,MATCH($B307,'Pressione Competitiva'!$B$3:$B$6,0)),"")</f>
        <v>🔴 Molto Alta</v>
      </c>
      <c r="AH307" t="str">
        <f t="shared" si="41"/>
        <v/>
      </c>
      <c r="AI307" t="str">
        <f>IFERROR(IF($AH307="","",IF($AH307&gt;=$AA307*'Parametri Modello'!$B$68,"🟢 Opportunita'",IF($AH307&lt;=$AA307*'Parametri Modello'!$B$69,"🔴 Sovrapprezzo","🟡 Prezzo Corretto"))),"")</f>
        <v/>
      </c>
      <c r="AJ307" t="str">
        <f t="shared" si="42"/>
        <v/>
      </c>
      <c r="AK307">
        <f t="shared" si="43"/>
        <v>44</v>
      </c>
      <c r="AL307" t="str">
        <f t="shared" si="44"/>
        <v>D|Nella Media|44</v>
      </c>
    </row>
    <row r="308" spans="1:38" ht="14.25" customHeight="1" x14ac:dyDescent="0.25">
      <c r="A308" s="18">
        <v>5307</v>
      </c>
      <c r="B308" s="18" t="s">
        <v>88</v>
      </c>
      <c r="C308" s="18" t="s">
        <v>189</v>
      </c>
      <c r="E308" s="23" t="str">
        <f>IF(COUNTIF('Info Strategia'!$D$2:$D$51,$C308)&gt;0,"SI","NO")</f>
        <v>NO</v>
      </c>
      <c r="F308" s="24">
        <f>IFERROR(ROUND(($G308+($H308-$G308)*'Info Strategia'!$B$6)*(1+IF($E308="SI",'Parametri Modello'!$B$7*'Info Strategia'!$B$6,0)),0),"")</f>
        <v>2</v>
      </c>
      <c r="G308" s="24">
        <f>IFERROR(ROUND(MAX(1,(IF($V308&lt;=INDEX('Parametri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1</v>
      </c>
      <c r="H308" s="24">
        <f>IFERROR(ROUND((IF($V308&lt;=INDEX('Parametri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2</v>
      </c>
      <c r="I308" s="23">
        <f>IFERROR(INDEX('Input Statistiche 2025_26'!$F$3:$F$665,MATCH($A308,'Input Statistiche 2025_26'!$A$3:$A$665,0)),"")</f>
        <v>27</v>
      </c>
      <c r="J308" s="23">
        <f t="shared" si="36"/>
        <v>11</v>
      </c>
      <c r="K308" s="23">
        <f>IFERROR(INDEX('Input Statistiche 2025_26'!$I$3:$I$665,MATCH($A308,'Input Statistiche 2025_26'!$A$3:$A$665,0)),"")</f>
        <v>0</v>
      </c>
      <c r="L308" s="23">
        <f>IFERROR(INDEX('Input Statistiche 2025_26'!$O$3:$O$665,MATCH($A308,'Input Statistiche 2025_26'!$A$3:$A$665,0)),"")</f>
        <v>0</v>
      </c>
      <c r="M308" s="25"/>
      <c r="N308" s="24">
        <f>IFERROR(INDEX('Input Giocatori 2026_27'!$E$3:$E$493,MATCH($A308,'Input Giocatori 2026_27'!$A$3:$A$493,0)),"")</f>
        <v>4</v>
      </c>
      <c r="O308" s="24">
        <f>IFERROR(INDEX('Input Giocatori 2026_27'!$G$3:$G$493,MATCH($A308,'Input Giocatori 2026_27'!$A$3:$A$493,0)),"")</f>
        <v>10</v>
      </c>
      <c r="P308" s="23" t="str">
        <f>IFERROR(IF($O308="","",IF((1-(COUNTIFS($B$2:$B$492,$B308,$O$2:$O$492,"&gt;"&amp;$O308)+1-1)/COUNTIF($B$2:$B$492,$B308))&gt;='Parametri Modello'!$B$63,"Top",IF((1-(COUNTIFS($B$2:$B$492,$B308,$O$2:$O$492,"&gt;"&amp;$O308)+1-1)/COUNTIF($B$2:$B$492,$B308))&gt;='Parametri Modello'!$B$64,"Buono",IF((1-(COUNTIFS($B$2:$B$492,$B308,$O$2:$O$492,"&gt;"&amp;$O308)+1-1)/COUNTIF($B$2:$B$492,$B308))&gt;='Parametri Modello'!$B$65,"Nella Media","Scommessa/Riserva")))),"")</f>
        <v>Nella Media</v>
      </c>
      <c r="Q308" s="26">
        <f>IF(AND($D308="",$N308&gt;1),SUMPRODUCT(($D$2:$D308="")*($N$2:$N308&gt;1)),"")</f>
        <v>307</v>
      </c>
      <c r="R308" s="26" t="str">
        <f>IF($D308='Info Lega'!$B$28,COUNTIFS($D$2:$D308,'Info Lega'!$B$28),"")</f>
        <v/>
      </c>
      <c r="S308" s="27">
        <f>IFERROR(INDEX('Input Statistiche 2025_26'!$G$3:$G$665,MATCH($A308,'Input Statistiche 2025_26'!$A$3:$A$665,0)),"")</f>
        <v>5.96</v>
      </c>
      <c r="T308" s="27">
        <f>IFERROR(INDEX('Input Statistiche 2025_26'!$H$3:$H$665,MATCH($A308,'Input Statistiche 2025_26'!$A$3:$A$665,0)),"")</f>
        <v>5.83</v>
      </c>
      <c r="U308" s="23" t="str">
        <f>IF(OR('La Mia Rosa'!$O$12="",$D308&lt;&gt;""),"",IF($F308&lt;='La Mia Rosa'!$O$12*'Parametri Modello'!$B$24,"OK",IF($F308&lt;='La Mia Rosa'!$O$12*'Parametri Modello'!$B$25,"Attenzione","Rischio Alto")))</f>
        <v>OK</v>
      </c>
      <c r="V308" s="23">
        <f t="shared" si="37"/>
        <v>99</v>
      </c>
      <c r="W308" s="18">
        <f>'Info Lega'!$B$4-SUMIFS($M$2:$M$492,$D$2:$D$492,'Info Lega'!$B$28)</f>
        <v>1000</v>
      </c>
      <c r="X308" s="18">
        <f>('Info Lega'!$B$5-COUNTIFS($D$2:$D$492,'Info Lega'!$B$28,$B$2:$B$492,"P"))+('Info Lega'!$B$6-COUNTIFS($D$2:$D$492,'Info Lega'!$B$28,$B$2:$B$492,"D"))+('Info Lega'!$B$7-COUNTIFS($D$2:$D$492,'Info Lega'!$B$28,$B$2:$B$492,"C"))+('Info Lega'!$B$8-COUNTIFS($D$2:$D$492,'Info Lega'!$B$28,$B$2:$B$492,"A"))</f>
        <v>25</v>
      </c>
      <c r="Y308" s="18">
        <f>X308*'Parametri Modello'!$B$30</f>
        <v>25</v>
      </c>
      <c r="Z308" s="18">
        <f t="shared" si="38"/>
        <v>975</v>
      </c>
      <c r="AA308" s="18">
        <f t="shared" si="39"/>
        <v>2</v>
      </c>
      <c r="AB308" s="18"/>
      <c r="AC308" s="18" t="str">
        <f>IF($AB308="","",IF($AB308&gt;$AA308,"PASS",IF($AB308&lt;=$AA308*(1-'Parametri Modello'!$B$68),"BID","ATTENZIONE")))</f>
        <v/>
      </c>
      <c r="AD308" s="28">
        <f t="shared" si="40"/>
        <v>59</v>
      </c>
      <c r="AE308" s="5" t="str">
        <f>IFERROR(IF($AF308="Titolare",INDEX('Stato Asta'!$G$9:$G$12,MATCH($B308,'Stato Asta'!$A$9:$A$12,0)),INDEX('Stato Asta'!$P$9:$P$12,MATCH($B308,'Stato Asta'!$A$9:$A$12,0))),"")</f>
        <v>🟢 Riserve abbondanti</v>
      </c>
      <c r="AF308" t="str">
        <f>IFERROR(IF($V308&lt;=INDEX('Parametri Modello'!$C$57:$C$60,MATCH($B308,'Parametri Modello'!$A$57:$A$60,0)),"Titolare","Riserva"),"")</f>
        <v>Riserva</v>
      </c>
      <c r="AG308" t="str">
        <f>IFERROR(INDEX('Pressione Competitiva'!$F$3:$F$6,MATCH($B308,'Pressione Competitiva'!$B$3:$B$6,0)),"")</f>
        <v>🔴 Molto Alta</v>
      </c>
      <c r="AH308" t="str">
        <f t="shared" si="41"/>
        <v/>
      </c>
      <c r="AI308" t="str">
        <f>IFERROR(IF($AH308="","",IF($AH308&gt;=$AA308*'Parametri Modello'!$B$68,"🟢 Opportunita'",IF($AH308&lt;=$AA308*'Parametri Modello'!$B$69,"🔴 Sovrapprezzo","🟡 Prezzo Corretto"))),"")</f>
        <v/>
      </c>
      <c r="AJ308" t="str">
        <f t="shared" si="42"/>
        <v/>
      </c>
      <c r="AK308">
        <f t="shared" si="43"/>
        <v>44</v>
      </c>
      <c r="AL308" t="str">
        <f t="shared" si="44"/>
        <v>D|Nella Media|44</v>
      </c>
    </row>
    <row r="309" spans="1:38" ht="14.25" customHeight="1" x14ac:dyDescent="0.25">
      <c r="A309" s="18">
        <v>6631</v>
      </c>
      <c r="B309" s="18" t="s">
        <v>88</v>
      </c>
      <c r="C309" s="18" t="s">
        <v>190</v>
      </c>
      <c r="E309" s="23" t="str">
        <f>IF(COUNTIF('Info Strategia'!$D$2:$D$51,$C309)&gt;0,"SI","NO")</f>
        <v>NO</v>
      </c>
      <c r="F309" s="24">
        <f>IFERROR(ROUND(($G309+($H309-$G309)*'Info Strategia'!$B$6)*(1+IF($E309="SI",'Parametri Modello'!$B$7*'Info Strategia'!$B$6,0)),0),"")</f>
        <v>2</v>
      </c>
      <c r="G309" s="24">
        <f>IFERROR(ROUND(MAX(1,(IF($V309&lt;=INDEX('Parametri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1</v>
      </c>
      <c r="H309" s="24">
        <f>IFERROR(ROUND((IF($V309&lt;=INDEX('Parametri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2</v>
      </c>
      <c r="I309" s="23">
        <f>IFERROR(INDEX('Input Statistiche 2025_26'!$F$3:$F$665,MATCH($A309,'Input Statistiche 2025_26'!$A$3:$A$665,0)),"")</f>
        <v>21</v>
      </c>
      <c r="J309" s="23">
        <f t="shared" si="36"/>
        <v>17</v>
      </c>
      <c r="K309" s="23">
        <f>IFERROR(INDEX('Input Statistiche 2025_26'!$I$3:$I$665,MATCH($A309,'Input Statistiche 2025_26'!$A$3:$A$665,0)),"")</f>
        <v>0</v>
      </c>
      <c r="L309" s="23">
        <f>IFERROR(INDEX('Input Statistiche 2025_26'!$O$3:$O$665,MATCH($A309,'Input Statistiche 2025_26'!$A$3:$A$665,0)),"")</f>
        <v>0</v>
      </c>
      <c r="M309" s="25"/>
      <c r="N309" s="24">
        <f>IFERROR(INDEX('Input Giocatori 2026_27'!$E$3:$E$493,MATCH($A309,'Input Giocatori 2026_27'!$A$3:$A$493,0)),"")</f>
        <v>4</v>
      </c>
      <c r="O309" s="24">
        <f>IFERROR(INDEX('Input Giocatori 2026_27'!$G$3:$G$493,MATCH($A309,'Input Giocatori 2026_27'!$A$3:$A$493,0)),"")</f>
        <v>10</v>
      </c>
      <c r="P309" s="23" t="str">
        <f>IFERROR(IF($O309="","",IF((1-(COUNTIFS($B$2:$B$492,$B309,$O$2:$O$492,"&gt;"&amp;$O309)+1-1)/COUNTIF($B$2:$B$492,$B309))&gt;='Parametri Modello'!$B$63,"Top",IF((1-(COUNTIFS($B$2:$B$492,$B309,$O$2:$O$492,"&gt;"&amp;$O309)+1-1)/COUNTIF($B$2:$B$492,$B309))&gt;='Parametri Modello'!$B$64,"Buono",IF((1-(COUNTIFS($B$2:$B$492,$B309,$O$2:$O$492,"&gt;"&amp;$O309)+1-1)/COUNTIF($B$2:$B$492,$B309))&gt;='Parametri Modello'!$B$65,"Nella Media","Scommessa/Riserva")))),"")</f>
        <v>Nella Media</v>
      </c>
      <c r="Q309" s="26">
        <f>IF(AND($D309="",$N309&gt;1),SUMPRODUCT(($D$2:$D309="")*($N$2:$N309&gt;1)),"")</f>
        <v>308</v>
      </c>
      <c r="R309" s="26" t="str">
        <f>IF($D309='Info Lega'!$B$28,COUNTIFS($D$2:$D309,'Info Lega'!$B$28),"")</f>
        <v/>
      </c>
      <c r="S309" s="27">
        <f>IFERROR(INDEX('Input Statistiche 2025_26'!$G$3:$G$665,MATCH($A309,'Input Statistiche 2025_26'!$A$3:$A$665,0)),"")</f>
        <v>5.98</v>
      </c>
      <c r="T309" s="27">
        <f>IFERROR(INDEX('Input Statistiche 2025_26'!$H$3:$H$665,MATCH($A309,'Input Statistiche 2025_26'!$A$3:$A$665,0)),"")</f>
        <v>5.95</v>
      </c>
      <c r="U309" s="23" t="str">
        <f>IF(OR('La Mia Rosa'!$O$12="",$D309&lt;&gt;""),"",IF($F309&lt;='La Mia Rosa'!$O$12*'Parametri Modello'!$B$24,"OK",IF($F309&lt;='La Mia Rosa'!$O$12*'Parametri Modello'!$B$25,"Attenzione","Rischio Alto")))</f>
        <v>OK</v>
      </c>
      <c r="V309" s="23">
        <f t="shared" si="37"/>
        <v>99</v>
      </c>
      <c r="W309" s="18">
        <f>'Info Lega'!$B$4-SUMIFS($M$2:$M$492,$D$2:$D$492,'Info Lega'!$B$28)</f>
        <v>1000</v>
      </c>
      <c r="X309" s="18">
        <f>('Info Lega'!$B$5-COUNTIFS($D$2:$D$492,'Info Lega'!$B$28,$B$2:$B$492,"P"))+('Info Lega'!$B$6-COUNTIFS($D$2:$D$492,'Info Lega'!$B$28,$B$2:$B$492,"D"))+('Info Lega'!$B$7-COUNTIFS($D$2:$D$492,'Info Lega'!$B$28,$B$2:$B$492,"C"))+('Info Lega'!$B$8-COUNTIFS($D$2:$D$492,'Info Lega'!$B$28,$B$2:$B$492,"A"))</f>
        <v>25</v>
      </c>
      <c r="Y309" s="18">
        <f>X309*'Parametri Modello'!$B$30</f>
        <v>25</v>
      </c>
      <c r="Z309" s="18">
        <f t="shared" si="38"/>
        <v>975</v>
      </c>
      <c r="AA309" s="18">
        <f t="shared" si="39"/>
        <v>2</v>
      </c>
      <c r="AB309" s="18"/>
      <c r="AC309" s="18" t="str">
        <f>IF($AB309="","",IF($AB309&gt;$AA309,"PASS",IF($AB309&lt;=$AA309*(1-'Parametri Modello'!$B$68),"BID","ATTENZIONE")))</f>
        <v/>
      </c>
      <c r="AD309" s="28">
        <f t="shared" si="40"/>
        <v>50</v>
      </c>
      <c r="AE309" s="5" t="str">
        <f>IFERROR(IF($AF309="Titolare",INDEX('Stato Asta'!$G$9:$G$12,MATCH($B309,'Stato Asta'!$A$9:$A$12,0)),INDEX('Stato Asta'!$P$9:$P$12,MATCH($B309,'Stato Asta'!$A$9:$A$12,0))),"")</f>
        <v>🟢 Riserve abbondanti</v>
      </c>
      <c r="AF309" t="str">
        <f>IFERROR(IF($V309&lt;=INDEX('Parametri Modello'!$C$57:$C$60,MATCH($B309,'Parametri Modello'!$A$57:$A$60,0)),"Titolare","Riserva"),"")</f>
        <v>Riserva</v>
      </c>
      <c r="AG309" t="str">
        <f>IFERROR(INDEX('Pressione Competitiva'!$F$3:$F$6,MATCH($B309,'Pressione Competitiva'!$B$3:$B$6,0)),"")</f>
        <v>🔴 Molto Alta</v>
      </c>
      <c r="AH309" t="str">
        <f t="shared" si="41"/>
        <v/>
      </c>
      <c r="AI309" t="str">
        <f>IFERROR(IF($AH309="","",IF($AH309&gt;=$AA309*'Parametri Modello'!$B$68,"🟢 Opportunita'",IF($AH309&lt;=$AA309*'Parametri Modello'!$B$69,"🔴 Sovrapprezzo","🟡 Prezzo Corretto"))),"")</f>
        <v/>
      </c>
      <c r="AJ309" t="str">
        <f t="shared" si="42"/>
        <v/>
      </c>
      <c r="AK309">
        <f t="shared" si="43"/>
        <v>44</v>
      </c>
      <c r="AL309" t="str">
        <f t="shared" si="44"/>
        <v>D|Nella Media|44</v>
      </c>
    </row>
    <row r="310" spans="1:38" ht="14.25" customHeight="1" x14ac:dyDescent="0.25">
      <c r="A310" s="18">
        <v>4374</v>
      </c>
      <c r="B310" s="18" t="s">
        <v>88</v>
      </c>
      <c r="C310" s="18" t="s">
        <v>191</v>
      </c>
      <c r="E310" s="23" t="str">
        <f>IF(COUNTIF('Info Strategia'!$D$2:$D$51,$C310)&gt;0,"SI","NO")</f>
        <v>NO</v>
      </c>
      <c r="F310" s="24">
        <f>IFERROR(ROUND(($G310+($H310-$G310)*'Info Strategia'!$B$6)*(1+IF($E310="SI",'Parametri Modello'!$B$7*'Info Strategia'!$B$6,0)),0),"")</f>
        <v>2</v>
      </c>
      <c r="G310" s="24">
        <f>IFERROR(ROUND(MAX(1,(IF($V310&lt;=INDEX('Parametri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1</v>
      </c>
      <c r="H310" s="24">
        <f>IFERROR(ROUND((IF($V310&lt;=INDEX('Parametri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2</v>
      </c>
      <c r="I310" s="23">
        <f>IFERROR(INDEX('Input Statistiche 2025_26'!$F$3:$F$665,MATCH($A310,'Input Statistiche 2025_26'!$A$3:$A$665,0)),"")</f>
        <v>34</v>
      </c>
      <c r="J310" s="23">
        <f t="shared" si="36"/>
        <v>4</v>
      </c>
      <c r="K310" s="23">
        <f>IFERROR(INDEX('Input Statistiche 2025_26'!$I$3:$I$665,MATCH($A310,'Input Statistiche 2025_26'!$A$3:$A$665,0)),"")</f>
        <v>0</v>
      </c>
      <c r="L310" s="23">
        <f>IFERROR(INDEX('Input Statistiche 2025_26'!$O$3:$O$665,MATCH($A310,'Input Statistiche 2025_26'!$A$3:$A$665,0)),"")</f>
        <v>1</v>
      </c>
      <c r="M310" s="25"/>
      <c r="N310" s="24">
        <f>IFERROR(INDEX('Input Giocatori 2026_27'!$E$3:$E$493,MATCH($A310,'Input Giocatori 2026_27'!$A$3:$A$493,0)),"")</f>
        <v>4</v>
      </c>
      <c r="O310" s="24">
        <f>IFERROR(INDEX('Input Giocatori 2026_27'!$G$3:$G$493,MATCH($A310,'Input Giocatori 2026_27'!$A$3:$A$493,0)),"")</f>
        <v>10</v>
      </c>
      <c r="P310" s="23" t="str">
        <f>IFERROR(IF($O310="","",IF((1-(COUNTIFS($B$2:$B$492,$B310,$O$2:$O$492,"&gt;"&amp;$O310)+1-1)/COUNTIF($B$2:$B$492,$B310))&gt;='Parametri Modello'!$B$63,"Top",IF((1-(COUNTIFS($B$2:$B$492,$B310,$O$2:$O$492,"&gt;"&amp;$O310)+1-1)/COUNTIF($B$2:$B$492,$B310))&gt;='Parametri Modello'!$B$64,"Buono",IF((1-(COUNTIFS($B$2:$B$492,$B310,$O$2:$O$492,"&gt;"&amp;$O310)+1-1)/COUNTIF($B$2:$B$492,$B310))&gt;='Parametri Modello'!$B$65,"Nella Media","Scommessa/Riserva")))),"")</f>
        <v>Nella Media</v>
      </c>
      <c r="Q310" s="26">
        <f>IF(AND($D310="",$N310&gt;1),SUMPRODUCT(($D$2:$D310="")*($N$2:$N310&gt;1)),"")</f>
        <v>309</v>
      </c>
      <c r="R310" s="26" t="str">
        <f>IF($D310='Info Lega'!$B$28,COUNTIFS($D$2:$D310,'Info Lega'!$B$28),"")</f>
        <v/>
      </c>
      <c r="S310" s="27">
        <f>IFERROR(INDEX('Input Statistiche 2025_26'!$G$3:$G$665,MATCH($A310,'Input Statistiche 2025_26'!$A$3:$A$665,0)),"")</f>
        <v>5.81</v>
      </c>
      <c r="T310" s="27">
        <f>IFERROR(INDEX('Input Statistiche 2025_26'!$H$3:$H$665,MATCH($A310,'Input Statistiche 2025_26'!$A$3:$A$665,0)),"")</f>
        <v>5.74</v>
      </c>
      <c r="U310" s="23" t="str">
        <f>IF(OR('La Mia Rosa'!$O$12="",$D310&lt;&gt;""),"",IF($F310&lt;='La Mia Rosa'!$O$12*'Parametri Modello'!$B$24,"OK",IF($F310&lt;='La Mia Rosa'!$O$12*'Parametri Modello'!$B$25,"Attenzione","Rischio Alto")))</f>
        <v>OK</v>
      </c>
      <c r="V310" s="23">
        <f t="shared" si="37"/>
        <v>99</v>
      </c>
      <c r="W310" s="18">
        <f>'Info Lega'!$B$4-SUMIFS($M$2:$M$492,$D$2:$D$492,'Info Lega'!$B$28)</f>
        <v>1000</v>
      </c>
      <c r="X310" s="18">
        <f>('Info Lega'!$B$5-COUNTIFS($D$2:$D$492,'Info Lega'!$B$28,$B$2:$B$492,"P"))+('Info Lega'!$B$6-COUNTIFS($D$2:$D$492,'Info Lega'!$B$28,$B$2:$B$492,"D"))+('Info Lega'!$B$7-COUNTIFS($D$2:$D$492,'Info Lega'!$B$28,$B$2:$B$492,"C"))+('Info Lega'!$B$8-COUNTIFS($D$2:$D$492,'Info Lega'!$B$28,$B$2:$B$492,"A"))</f>
        <v>25</v>
      </c>
      <c r="Y310" s="18">
        <f>X310*'Parametri Modello'!$B$30</f>
        <v>25</v>
      </c>
      <c r="Z310" s="18">
        <f t="shared" si="38"/>
        <v>975</v>
      </c>
      <c r="AA310" s="18">
        <f t="shared" si="39"/>
        <v>2</v>
      </c>
      <c r="AB310" s="18"/>
      <c r="AC310" s="18" t="str">
        <f>IF($AB310="","",IF($AB310&gt;$AA310,"PASS",IF($AB310&lt;=$AA310*(1-'Parametri Modello'!$B$68),"BID","ATTENZIONE")))</f>
        <v/>
      </c>
      <c r="AD310" s="28">
        <f t="shared" si="40"/>
        <v>68</v>
      </c>
      <c r="AE310" s="5" t="str">
        <f>IFERROR(IF($AF310="Titolare",INDEX('Stato Asta'!$G$9:$G$12,MATCH($B310,'Stato Asta'!$A$9:$A$12,0)),INDEX('Stato Asta'!$P$9:$P$12,MATCH($B310,'Stato Asta'!$A$9:$A$12,0))),"")</f>
        <v>🟢 Riserve abbondanti</v>
      </c>
      <c r="AF310" t="str">
        <f>IFERROR(IF($V310&lt;=INDEX('Parametri Modello'!$C$57:$C$60,MATCH($B310,'Parametri Modello'!$A$57:$A$60,0)),"Titolare","Riserva"),"")</f>
        <v>Riserva</v>
      </c>
      <c r="AG310" t="str">
        <f>IFERROR(INDEX('Pressione Competitiva'!$F$3:$F$6,MATCH($B310,'Pressione Competitiva'!$B$3:$B$6,0)),"")</f>
        <v>🔴 Molto Alta</v>
      </c>
      <c r="AH310" t="str">
        <f t="shared" si="41"/>
        <v/>
      </c>
      <c r="AI310" t="str">
        <f>IFERROR(IF($AH310="","",IF($AH310&gt;=$AA310*'Parametri Modello'!$B$68,"🟢 Opportunita'",IF($AH310&lt;=$AA310*'Parametri Modello'!$B$69,"🔴 Sovrapprezzo","🟡 Prezzo Corretto"))),"")</f>
        <v/>
      </c>
      <c r="AJ310" t="str">
        <f t="shared" si="42"/>
        <v/>
      </c>
      <c r="AK310">
        <f t="shared" si="43"/>
        <v>44</v>
      </c>
      <c r="AL310" t="str">
        <f t="shared" si="44"/>
        <v>D|Nella Media|44</v>
      </c>
    </row>
    <row r="311" spans="1:38" ht="14.25" customHeight="1" x14ac:dyDescent="0.25">
      <c r="A311" s="18">
        <v>7526</v>
      </c>
      <c r="B311" s="18" t="s">
        <v>88</v>
      </c>
      <c r="C311" s="18" t="s">
        <v>193</v>
      </c>
      <c r="E311" s="23" t="str">
        <f>IF(COUNTIF('Info Strategia'!$D$2:$D$51,$C311)&gt;0,"SI","NO")</f>
        <v>NO</v>
      </c>
      <c r="F311" s="24">
        <f>IFERROR(ROUND(($G311+($H311-$G311)*'Info Strategia'!$B$6)*(1+IF($E311="SI",'Parametri Modello'!$B$7*'Info Strategia'!$B$6,0)),0),"")</f>
        <v>2</v>
      </c>
      <c r="G311" s="24">
        <f>IFERROR(ROUND(MAX(1,(IF($V311&lt;=INDEX('Parametri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1</v>
      </c>
      <c r="H311" s="24">
        <f>IFERROR(ROUND((IF($V311&lt;=INDEX('Parametri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2</v>
      </c>
      <c r="I311" s="23" t="str">
        <f>IFERROR(INDEX('Input Statistiche 2025_26'!$F$3:$F$665,MATCH($A311,'Input Statistiche 2025_26'!$A$3:$A$665,0)),"")</f>
        <v/>
      </c>
      <c r="J311" s="23" t="str">
        <f t="shared" si="36"/>
        <v/>
      </c>
      <c r="K311" s="23" t="str">
        <f>IFERROR(INDEX('Input Statistiche 2025_26'!$I$3:$I$665,MATCH($A311,'Input Statistiche 2025_26'!$A$3:$A$665,0)),"")</f>
        <v/>
      </c>
      <c r="L311" s="23" t="str">
        <f>IFERROR(INDEX('Input Statistiche 2025_26'!$O$3:$O$665,MATCH($A311,'Input Statistiche 2025_26'!$A$3:$A$665,0)),"")</f>
        <v/>
      </c>
      <c r="M311" s="25"/>
      <c r="N311" s="24">
        <f>IFERROR(INDEX('Input Giocatori 2026_27'!$E$3:$E$493,MATCH($A311,'Input Giocatori 2026_27'!$A$3:$A$493,0)),"")</f>
        <v>4</v>
      </c>
      <c r="O311" s="24">
        <f>IFERROR(INDEX('Input Giocatori 2026_27'!$G$3:$G$493,MATCH($A311,'Input Giocatori 2026_27'!$A$3:$A$493,0)),"")</f>
        <v>10</v>
      </c>
      <c r="P311" s="23" t="str">
        <f>IFERROR(IF($O311="","",IF((1-(COUNTIFS($B$2:$B$492,$B311,$O$2:$O$492,"&gt;"&amp;$O311)+1-1)/COUNTIF($B$2:$B$492,$B311))&gt;='Parametri Modello'!$B$63,"Top",IF((1-(COUNTIFS($B$2:$B$492,$B311,$O$2:$O$492,"&gt;"&amp;$O311)+1-1)/COUNTIF($B$2:$B$492,$B311))&gt;='Parametri Modello'!$B$64,"Buono",IF((1-(COUNTIFS($B$2:$B$492,$B311,$O$2:$O$492,"&gt;"&amp;$O311)+1-1)/COUNTIF($B$2:$B$492,$B311))&gt;='Parametri Modello'!$B$65,"Nella Media","Scommessa/Riserva")))),"")</f>
        <v>Nella Media</v>
      </c>
      <c r="Q311" s="26">
        <f>IF(AND($D311="",$N311&gt;1),SUMPRODUCT(($D$2:$D311="")*($N$2:$N311&gt;1)),"")</f>
        <v>310</v>
      </c>
      <c r="R311" s="26" t="str">
        <f>IF($D311='Info Lega'!$B$28,COUNTIFS($D$2:$D311,'Info Lega'!$B$28),"")</f>
        <v/>
      </c>
      <c r="S311" s="27" t="str">
        <f>IFERROR(INDEX('Input Statistiche 2025_26'!$G$3:$G$665,MATCH($A311,'Input Statistiche 2025_26'!$A$3:$A$665,0)),"")</f>
        <v/>
      </c>
      <c r="T311" s="27" t="str">
        <f>IFERROR(INDEX('Input Statistiche 2025_26'!$H$3:$H$665,MATCH($A311,'Input Statistiche 2025_26'!$A$3:$A$665,0)),"")</f>
        <v/>
      </c>
      <c r="U311" s="23" t="str">
        <f>IF(OR('La Mia Rosa'!$O$12="",$D311&lt;&gt;""),"",IF($F311&lt;='La Mia Rosa'!$O$12*'Parametri Modello'!$B$24,"OK",IF($F311&lt;='La Mia Rosa'!$O$12*'Parametri Modello'!$B$25,"Attenzione","Rischio Alto")))</f>
        <v>OK</v>
      </c>
      <c r="V311" s="23">
        <f t="shared" si="37"/>
        <v>99</v>
      </c>
      <c r="W311" s="18">
        <f>'Info Lega'!$B$4-SUMIFS($M$2:$M$492,$D$2:$D$492,'Info Lega'!$B$28)</f>
        <v>1000</v>
      </c>
      <c r="X311" s="18">
        <f>('Info Lega'!$B$5-COUNTIFS($D$2:$D$492,'Info Lega'!$B$28,$B$2:$B$492,"P"))+('Info Lega'!$B$6-COUNTIFS($D$2:$D$492,'Info Lega'!$B$28,$B$2:$B$492,"D"))+('Info Lega'!$B$7-COUNTIFS($D$2:$D$492,'Info Lega'!$B$28,$B$2:$B$492,"C"))+('Info Lega'!$B$8-COUNTIFS($D$2:$D$492,'Info Lega'!$B$28,$B$2:$B$492,"A"))</f>
        <v>25</v>
      </c>
      <c r="Y311" s="18">
        <f>X311*'Parametri Modello'!$B$30</f>
        <v>25</v>
      </c>
      <c r="Z311" s="18">
        <f t="shared" si="38"/>
        <v>975</v>
      </c>
      <c r="AA311" s="18">
        <f t="shared" si="39"/>
        <v>2</v>
      </c>
      <c r="AB311" s="18"/>
      <c r="AC311" s="18" t="str">
        <f>IF($AB311="","",IF($AB311&gt;$AA311,"PASS",IF($AB311&lt;=$AA311*(1-'Parametri Modello'!$B$68),"BID","ATTENZIONE")))</f>
        <v/>
      </c>
      <c r="AD311" s="28" t="str">
        <f t="shared" si="40"/>
        <v/>
      </c>
      <c r="AE311" s="5" t="str">
        <f>IFERROR(IF($AF311="Titolare",INDEX('Stato Asta'!$G$9:$G$12,MATCH($B311,'Stato Asta'!$A$9:$A$12,0)),INDEX('Stato Asta'!$P$9:$P$12,MATCH($B311,'Stato Asta'!$A$9:$A$12,0))),"")</f>
        <v>🟢 Riserve abbondanti</v>
      </c>
      <c r="AF311" t="str">
        <f>IFERROR(IF($V311&lt;=INDEX('Parametri Modello'!$C$57:$C$60,MATCH($B311,'Parametri Modello'!$A$57:$A$60,0)),"Titolare","Riserva"),"")</f>
        <v>Riserva</v>
      </c>
      <c r="AG311" t="str">
        <f>IFERROR(INDEX('Pressione Competitiva'!$F$3:$F$6,MATCH($B311,'Pressione Competitiva'!$B$3:$B$6,0)),"")</f>
        <v>🔴 Molto Alta</v>
      </c>
      <c r="AH311" t="str">
        <f t="shared" si="41"/>
        <v/>
      </c>
      <c r="AI311" t="str">
        <f>IFERROR(IF($AH311="","",IF($AH311&gt;=$AA311*'Parametri Modello'!$B$68,"🟢 Opportunita'",IF($AH311&lt;=$AA311*'Parametri Modello'!$B$69,"🔴 Sovrapprezzo","🟡 Prezzo Corretto"))),"")</f>
        <v/>
      </c>
      <c r="AJ311" t="str">
        <f t="shared" si="42"/>
        <v/>
      </c>
      <c r="AK311">
        <f t="shared" si="43"/>
        <v>44</v>
      </c>
      <c r="AL311" t="str">
        <f t="shared" si="44"/>
        <v>D|Nella Media|44</v>
      </c>
    </row>
    <row r="312" spans="1:38" ht="14.25" customHeight="1" x14ac:dyDescent="0.25">
      <c r="A312" s="18">
        <v>5820</v>
      </c>
      <c r="B312" s="18" t="s">
        <v>88</v>
      </c>
      <c r="C312" s="18" t="s">
        <v>195</v>
      </c>
      <c r="E312" s="23" t="str">
        <f>IF(COUNTIF('Info Strategia'!$D$2:$D$51,$C312)&gt;0,"SI","NO")</f>
        <v>NO</v>
      </c>
      <c r="F312" s="24">
        <f>IFERROR(ROUND(($G312+($H312-$G312)*'Info Strategia'!$B$6)*(1+IF($E312="SI",'Parametri Modello'!$B$7*'Info Strategia'!$B$6,0)),0),"")</f>
        <v>2</v>
      </c>
      <c r="G312" s="24">
        <f>IFERROR(ROUND(MAX(1,(IF($V312&lt;=INDEX('Parametri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1</v>
      </c>
      <c r="H312" s="24">
        <f>IFERROR(ROUND((IF($V312&lt;=INDEX('Parametri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2</v>
      </c>
      <c r="I312" s="23">
        <f>IFERROR(INDEX('Input Statistiche 2025_26'!$F$3:$F$665,MATCH($A312,'Input Statistiche 2025_26'!$A$3:$A$665,0)),"")</f>
        <v>25</v>
      </c>
      <c r="J312" s="23">
        <f t="shared" si="36"/>
        <v>13</v>
      </c>
      <c r="K312" s="23">
        <f>IFERROR(INDEX('Input Statistiche 2025_26'!$I$3:$I$665,MATCH($A312,'Input Statistiche 2025_26'!$A$3:$A$665,0)),"")</f>
        <v>0</v>
      </c>
      <c r="L312" s="23">
        <f>IFERROR(INDEX('Input Statistiche 2025_26'!$O$3:$O$665,MATCH($A312,'Input Statistiche 2025_26'!$A$3:$A$665,0)),"")</f>
        <v>1</v>
      </c>
      <c r="M312" s="25"/>
      <c r="N312" s="24">
        <f>IFERROR(INDEX('Input Giocatori 2026_27'!$E$3:$E$493,MATCH($A312,'Input Giocatori 2026_27'!$A$3:$A$493,0)),"")</f>
        <v>4</v>
      </c>
      <c r="O312" s="24">
        <f>IFERROR(INDEX('Input Giocatori 2026_27'!$G$3:$G$493,MATCH($A312,'Input Giocatori 2026_27'!$A$3:$A$493,0)),"")</f>
        <v>10</v>
      </c>
      <c r="P312" s="23" t="str">
        <f>IFERROR(IF($O312="","",IF((1-(COUNTIFS($B$2:$B$492,$B312,$O$2:$O$492,"&gt;"&amp;$O312)+1-1)/COUNTIF($B$2:$B$492,$B312))&gt;='Parametri Modello'!$B$63,"Top",IF((1-(COUNTIFS($B$2:$B$492,$B312,$O$2:$O$492,"&gt;"&amp;$O312)+1-1)/COUNTIF($B$2:$B$492,$B312))&gt;='Parametri Modello'!$B$64,"Buono",IF((1-(COUNTIFS($B$2:$B$492,$B312,$O$2:$O$492,"&gt;"&amp;$O312)+1-1)/COUNTIF($B$2:$B$492,$B312))&gt;='Parametri Modello'!$B$65,"Nella Media","Scommessa/Riserva")))),"")</f>
        <v>Nella Media</v>
      </c>
      <c r="Q312" s="26">
        <f>IF(AND($D312="",$N312&gt;1),SUMPRODUCT(($D$2:$D312="")*($N$2:$N312&gt;1)),"")</f>
        <v>311</v>
      </c>
      <c r="R312" s="26" t="str">
        <f>IF($D312='Info Lega'!$B$28,COUNTIFS($D$2:$D312,'Info Lega'!$B$28),"")</f>
        <v/>
      </c>
      <c r="S312" s="27">
        <f>IFERROR(INDEX('Input Statistiche 2025_26'!$G$3:$G$665,MATCH($A312,'Input Statistiche 2025_26'!$A$3:$A$665,0)),"")</f>
        <v>5.86</v>
      </c>
      <c r="T312" s="27">
        <f>IFERROR(INDEX('Input Statistiche 2025_26'!$H$3:$H$665,MATCH($A312,'Input Statistiche 2025_26'!$A$3:$A$665,0)),"")</f>
        <v>5.84</v>
      </c>
      <c r="U312" s="23" t="str">
        <f>IF(OR('La Mia Rosa'!$O$12="",$D312&lt;&gt;""),"",IF($F312&lt;='La Mia Rosa'!$O$12*'Parametri Modello'!$B$24,"OK",IF($F312&lt;='La Mia Rosa'!$O$12*'Parametri Modello'!$B$25,"Attenzione","Rischio Alto")))</f>
        <v>OK</v>
      </c>
      <c r="V312" s="23">
        <f t="shared" si="37"/>
        <v>99</v>
      </c>
      <c r="W312" s="18">
        <f>'Info Lega'!$B$4-SUMIFS($M$2:$M$492,$D$2:$D$492,'Info Lega'!$B$28)</f>
        <v>1000</v>
      </c>
      <c r="X312" s="18">
        <f>('Info Lega'!$B$5-COUNTIFS($D$2:$D$492,'Info Lega'!$B$28,$B$2:$B$492,"P"))+('Info Lega'!$B$6-COUNTIFS($D$2:$D$492,'Info Lega'!$B$28,$B$2:$B$492,"D"))+('Info Lega'!$B$7-COUNTIFS($D$2:$D$492,'Info Lega'!$B$28,$B$2:$B$492,"C"))+('Info Lega'!$B$8-COUNTIFS($D$2:$D$492,'Info Lega'!$B$28,$B$2:$B$492,"A"))</f>
        <v>25</v>
      </c>
      <c r="Y312" s="18">
        <f>X312*'Parametri Modello'!$B$30</f>
        <v>25</v>
      </c>
      <c r="Z312" s="18">
        <f t="shared" si="38"/>
        <v>975</v>
      </c>
      <c r="AA312" s="18">
        <f t="shared" si="39"/>
        <v>2</v>
      </c>
      <c r="AB312" s="18"/>
      <c r="AC312" s="18" t="str">
        <f>IF($AB312="","",IF($AB312&gt;$AA312,"PASS",IF($AB312&lt;=$AA312*(1-'Parametri Modello'!$B$68),"BID","ATTENZIONE")))</f>
        <v/>
      </c>
      <c r="AD312" s="28">
        <f t="shared" si="40"/>
        <v>57</v>
      </c>
      <c r="AE312" s="5" t="str">
        <f>IFERROR(IF($AF312="Titolare",INDEX('Stato Asta'!$G$9:$G$12,MATCH($B312,'Stato Asta'!$A$9:$A$12,0)),INDEX('Stato Asta'!$P$9:$P$12,MATCH($B312,'Stato Asta'!$A$9:$A$12,0))),"")</f>
        <v>🟢 Riserve abbondanti</v>
      </c>
      <c r="AF312" t="str">
        <f>IFERROR(IF($V312&lt;=INDEX('Parametri Modello'!$C$57:$C$60,MATCH($B312,'Parametri Modello'!$A$57:$A$60,0)),"Titolare","Riserva"),"")</f>
        <v>Riserva</v>
      </c>
      <c r="AG312" t="str">
        <f>IFERROR(INDEX('Pressione Competitiva'!$F$3:$F$6,MATCH($B312,'Pressione Competitiva'!$B$3:$B$6,0)),"")</f>
        <v>🔴 Molto Alta</v>
      </c>
      <c r="AH312" t="str">
        <f t="shared" si="41"/>
        <v/>
      </c>
      <c r="AI312" t="str">
        <f>IFERROR(IF($AH312="","",IF($AH312&gt;=$AA312*'Parametri Modello'!$B$68,"🟢 Opportunita'",IF($AH312&lt;=$AA312*'Parametri Modello'!$B$69,"🔴 Sovrapprezzo","🟡 Prezzo Corretto"))),"")</f>
        <v/>
      </c>
      <c r="AJ312" t="str">
        <f t="shared" si="42"/>
        <v/>
      </c>
      <c r="AK312">
        <f t="shared" si="43"/>
        <v>44</v>
      </c>
      <c r="AL312" t="str">
        <f t="shared" si="44"/>
        <v>D|Nella Media|44</v>
      </c>
    </row>
    <row r="313" spans="1:38" ht="14.25" customHeight="1" x14ac:dyDescent="0.25">
      <c r="A313" s="18">
        <v>5527</v>
      </c>
      <c r="B313" s="18" t="s">
        <v>88</v>
      </c>
      <c r="C313" s="18" t="s">
        <v>196</v>
      </c>
      <c r="E313" s="23" t="str">
        <f>IF(COUNTIF('Info Strategia'!$D$2:$D$51,$C313)&gt;0,"SI","NO")</f>
        <v>NO</v>
      </c>
      <c r="F313" s="24">
        <f>IFERROR(ROUND(($G313+($H313-$G313)*'Info Strategia'!$B$6)*(1+IF($E313="SI",'Parametri Modello'!$B$7*'Info Strategia'!$B$6,0)),0),"")</f>
        <v>2</v>
      </c>
      <c r="G313" s="24">
        <f>IFERROR(ROUND(MAX(1,(IF($V313&lt;=INDEX('Parametri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1</v>
      </c>
      <c r="H313" s="24">
        <f>IFERROR(ROUND((IF($V313&lt;=INDEX('Parametri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2</v>
      </c>
      <c r="I313" s="23">
        <f>IFERROR(INDEX('Input Statistiche 2025_26'!$F$3:$F$665,MATCH($A313,'Input Statistiche 2025_26'!$A$3:$A$665,0)),"")</f>
        <v>19</v>
      </c>
      <c r="J313" s="23">
        <f t="shared" si="36"/>
        <v>19</v>
      </c>
      <c r="K313" s="23">
        <f>IFERROR(INDEX('Input Statistiche 2025_26'!$I$3:$I$665,MATCH($A313,'Input Statistiche 2025_26'!$A$3:$A$665,0)),"")</f>
        <v>1</v>
      </c>
      <c r="L313" s="23">
        <f>IFERROR(INDEX('Input Statistiche 2025_26'!$O$3:$O$665,MATCH($A313,'Input Statistiche 2025_26'!$A$3:$A$665,0)),"")</f>
        <v>2</v>
      </c>
      <c r="M313" s="25"/>
      <c r="N313" s="24">
        <f>IFERROR(INDEX('Input Giocatori 2026_27'!$E$3:$E$493,MATCH($A313,'Input Giocatori 2026_27'!$A$3:$A$493,0)),"")</f>
        <v>4</v>
      </c>
      <c r="O313" s="24">
        <f>IFERROR(INDEX('Input Giocatori 2026_27'!$G$3:$G$493,MATCH($A313,'Input Giocatori 2026_27'!$A$3:$A$493,0)),"")</f>
        <v>10</v>
      </c>
      <c r="P313" s="23" t="str">
        <f>IFERROR(IF($O313="","",IF((1-(COUNTIFS($B$2:$B$492,$B313,$O$2:$O$492,"&gt;"&amp;$O313)+1-1)/COUNTIF($B$2:$B$492,$B313))&gt;='Parametri Modello'!$B$63,"Top",IF((1-(COUNTIFS($B$2:$B$492,$B313,$O$2:$O$492,"&gt;"&amp;$O313)+1-1)/COUNTIF($B$2:$B$492,$B313))&gt;='Parametri Modello'!$B$64,"Buono",IF((1-(COUNTIFS($B$2:$B$492,$B313,$O$2:$O$492,"&gt;"&amp;$O313)+1-1)/COUNTIF($B$2:$B$492,$B313))&gt;='Parametri Modello'!$B$65,"Nella Media","Scommessa/Riserva")))),"")</f>
        <v>Nella Media</v>
      </c>
      <c r="Q313" s="26">
        <f>IF(AND($D313="",$N313&gt;1),SUMPRODUCT(($D$2:$D313="")*($N$2:$N313&gt;1)),"")</f>
        <v>312</v>
      </c>
      <c r="R313" s="26" t="str">
        <f>IF($D313='Info Lega'!$B$28,COUNTIFS($D$2:$D313,'Info Lega'!$B$28),"")</f>
        <v/>
      </c>
      <c r="S313" s="27">
        <f>IFERROR(INDEX('Input Statistiche 2025_26'!$G$3:$G$665,MATCH($A313,'Input Statistiche 2025_26'!$A$3:$A$665,0)),"")</f>
        <v>6.05</v>
      </c>
      <c r="T313" s="27">
        <f>IFERROR(INDEX('Input Statistiche 2025_26'!$H$3:$H$665,MATCH($A313,'Input Statistiche 2025_26'!$A$3:$A$665,0)),"")</f>
        <v>6.29</v>
      </c>
      <c r="U313" s="23" t="str">
        <f>IF(OR('La Mia Rosa'!$O$12="",$D313&lt;&gt;""),"",IF($F313&lt;='La Mia Rosa'!$O$12*'Parametri Modello'!$B$24,"OK",IF($F313&lt;='La Mia Rosa'!$O$12*'Parametri Modello'!$B$25,"Attenzione","Rischio Alto")))</f>
        <v>OK</v>
      </c>
      <c r="V313" s="23">
        <f t="shared" si="37"/>
        <v>99</v>
      </c>
      <c r="W313" s="18">
        <f>'Info Lega'!$B$4-SUMIFS($M$2:$M$492,$D$2:$D$492,'Info Lega'!$B$28)</f>
        <v>1000</v>
      </c>
      <c r="X313" s="18">
        <f>('Info Lega'!$B$5-COUNTIFS($D$2:$D$492,'Info Lega'!$B$28,$B$2:$B$492,"P"))+('Info Lega'!$B$6-COUNTIFS($D$2:$D$492,'Info Lega'!$B$28,$B$2:$B$492,"D"))+('Info Lega'!$B$7-COUNTIFS($D$2:$D$492,'Info Lega'!$B$28,$B$2:$B$492,"C"))+('Info Lega'!$B$8-COUNTIFS($D$2:$D$492,'Info Lega'!$B$28,$B$2:$B$492,"A"))</f>
        <v>25</v>
      </c>
      <c r="Y313" s="18">
        <f>X313*'Parametri Modello'!$B$30</f>
        <v>25</v>
      </c>
      <c r="Z313" s="18">
        <f t="shared" si="38"/>
        <v>975</v>
      </c>
      <c r="AA313" s="18">
        <f t="shared" si="39"/>
        <v>2</v>
      </c>
      <c r="AB313" s="18"/>
      <c r="AC313" s="18" t="str">
        <f>IF($AB313="","",IF($AB313&gt;$AA313,"PASS",IF($AB313&lt;=$AA313*(1-'Parametri Modello'!$B$68),"BID","ATTENZIONE")))</f>
        <v/>
      </c>
      <c r="AD313" s="28">
        <f t="shared" si="40"/>
        <v>47</v>
      </c>
      <c r="AE313" s="5" t="str">
        <f>IFERROR(IF($AF313="Titolare",INDEX('Stato Asta'!$G$9:$G$12,MATCH($B313,'Stato Asta'!$A$9:$A$12,0)),INDEX('Stato Asta'!$P$9:$P$12,MATCH($B313,'Stato Asta'!$A$9:$A$12,0))),"")</f>
        <v>🟢 Riserve abbondanti</v>
      </c>
      <c r="AF313" t="str">
        <f>IFERROR(IF($V313&lt;=INDEX('Parametri Modello'!$C$57:$C$60,MATCH($B313,'Parametri Modello'!$A$57:$A$60,0)),"Titolare","Riserva"),"")</f>
        <v>Riserva</v>
      </c>
      <c r="AG313" t="str">
        <f>IFERROR(INDEX('Pressione Competitiva'!$F$3:$F$6,MATCH($B313,'Pressione Competitiva'!$B$3:$B$6,0)),"")</f>
        <v>🔴 Molto Alta</v>
      </c>
      <c r="AH313" t="str">
        <f t="shared" si="41"/>
        <v/>
      </c>
      <c r="AI313" t="str">
        <f>IFERROR(IF($AH313="","",IF($AH313&gt;=$AA313*'Parametri Modello'!$B$68,"🟢 Opportunita'",IF($AH313&lt;=$AA313*'Parametri Modello'!$B$69,"🔴 Sovrapprezzo","🟡 Prezzo Corretto"))),"")</f>
        <v/>
      </c>
      <c r="AJ313" t="str">
        <f t="shared" si="42"/>
        <v/>
      </c>
      <c r="AK313">
        <f t="shared" si="43"/>
        <v>44</v>
      </c>
      <c r="AL313" t="str">
        <f t="shared" si="44"/>
        <v>D|Nella Media|44</v>
      </c>
    </row>
    <row r="314" spans="1:38" ht="14.25" customHeight="1" x14ac:dyDescent="0.25">
      <c r="A314" s="18">
        <v>7538</v>
      </c>
      <c r="B314" s="18" t="s">
        <v>88</v>
      </c>
      <c r="C314" s="18" t="s">
        <v>198</v>
      </c>
      <c r="E314" s="23" t="str">
        <f>IF(COUNTIF('Info Strategia'!$D$2:$D$51,$C314)&gt;0,"SI","NO")</f>
        <v>NO</v>
      </c>
      <c r="F314" s="24">
        <f>IFERROR(ROUND(($G314+($H314-$G314)*'Info Strategia'!$B$6)*(1+IF($E314="SI",'Parametri Modello'!$B$7*'Info Strategia'!$B$6,0)),0),"")</f>
        <v>2</v>
      </c>
      <c r="G314" s="24">
        <f>IFERROR(ROUND(MAX(1,(IF($V314&lt;=INDEX('Parametri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1</v>
      </c>
      <c r="H314" s="24">
        <f>IFERROR(ROUND((IF($V314&lt;=INDEX('Parametri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2</v>
      </c>
      <c r="I314" s="23" t="str">
        <f>IFERROR(INDEX('Input Statistiche 2025_26'!$F$3:$F$665,MATCH($A314,'Input Statistiche 2025_26'!$A$3:$A$665,0)),"")</f>
        <v/>
      </c>
      <c r="J314" s="23" t="str">
        <f t="shared" si="36"/>
        <v/>
      </c>
      <c r="K314" s="23" t="str">
        <f>IFERROR(INDEX('Input Statistiche 2025_26'!$I$3:$I$665,MATCH($A314,'Input Statistiche 2025_26'!$A$3:$A$665,0)),"")</f>
        <v/>
      </c>
      <c r="L314" s="23" t="str">
        <f>IFERROR(INDEX('Input Statistiche 2025_26'!$O$3:$O$665,MATCH($A314,'Input Statistiche 2025_26'!$A$3:$A$665,0)),"")</f>
        <v/>
      </c>
      <c r="M314" s="25"/>
      <c r="N314" s="24">
        <f>IFERROR(INDEX('Input Giocatori 2026_27'!$E$3:$E$493,MATCH($A314,'Input Giocatori 2026_27'!$A$3:$A$493,0)),"")</f>
        <v>4</v>
      </c>
      <c r="O314" s="24">
        <f>IFERROR(INDEX('Input Giocatori 2026_27'!$G$3:$G$493,MATCH($A314,'Input Giocatori 2026_27'!$A$3:$A$493,0)),"")</f>
        <v>10</v>
      </c>
      <c r="P314" s="23" t="str">
        <f>IFERROR(IF($O314="","",IF((1-(COUNTIFS($B$2:$B$492,$B314,$O$2:$O$492,"&gt;"&amp;$O314)+1-1)/COUNTIF($B$2:$B$492,$B314))&gt;='Parametri Modello'!$B$63,"Top",IF((1-(COUNTIFS($B$2:$B$492,$B314,$O$2:$O$492,"&gt;"&amp;$O314)+1-1)/COUNTIF($B$2:$B$492,$B314))&gt;='Parametri Modello'!$B$64,"Buono",IF((1-(COUNTIFS($B$2:$B$492,$B314,$O$2:$O$492,"&gt;"&amp;$O314)+1-1)/COUNTIF($B$2:$B$492,$B314))&gt;='Parametri Modello'!$B$65,"Nella Media","Scommessa/Riserva")))),"")</f>
        <v>Nella Media</v>
      </c>
      <c r="Q314" s="26">
        <f>IF(AND($D314="",$N314&gt;1),SUMPRODUCT(($D$2:$D314="")*($N$2:$N314&gt;1)),"")</f>
        <v>313</v>
      </c>
      <c r="R314" s="26" t="str">
        <f>IF($D314='Info Lega'!$B$28,COUNTIFS($D$2:$D314,'Info Lega'!$B$28),"")</f>
        <v/>
      </c>
      <c r="S314" s="27" t="str">
        <f>IFERROR(INDEX('Input Statistiche 2025_26'!$G$3:$G$665,MATCH($A314,'Input Statistiche 2025_26'!$A$3:$A$665,0)),"")</f>
        <v/>
      </c>
      <c r="T314" s="27" t="str">
        <f>IFERROR(INDEX('Input Statistiche 2025_26'!$H$3:$H$665,MATCH($A314,'Input Statistiche 2025_26'!$A$3:$A$665,0)),"")</f>
        <v/>
      </c>
      <c r="U314" s="23" t="str">
        <f>IF(OR('La Mia Rosa'!$O$12="",$D314&lt;&gt;""),"",IF($F314&lt;='La Mia Rosa'!$O$12*'Parametri Modello'!$B$24,"OK",IF($F314&lt;='La Mia Rosa'!$O$12*'Parametri Modello'!$B$25,"Attenzione","Rischio Alto")))</f>
        <v>OK</v>
      </c>
      <c r="V314" s="23">
        <f t="shared" si="37"/>
        <v>99</v>
      </c>
      <c r="W314" s="18">
        <f>'Info Lega'!$B$4-SUMIFS($M$2:$M$492,$D$2:$D$492,'Info Lega'!$B$28)</f>
        <v>1000</v>
      </c>
      <c r="X314" s="18">
        <f>('Info Lega'!$B$5-COUNTIFS($D$2:$D$492,'Info Lega'!$B$28,$B$2:$B$492,"P"))+('Info Lega'!$B$6-COUNTIFS($D$2:$D$492,'Info Lega'!$B$28,$B$2:$B$492,"D"))+('Info Lega'!$B$7-COUNTIFS($D$2:$D$492,'Info Lega'!$B$28,$B$2:$B$492,"C"))+('Info Lega'!$B$8-COUNTIFS($D$2:$D$492,'Info Lega'!$B$28,$B$2:$B$492,"A"))</f>
        <v>25</v>
      </c>
      <c r="Y314" s="18">
        <f>X314*'Parametri Modello'!$B$30</f>
        <v>25</v>
      </c>
      <c r="Z314" s="18">
        <f t="shared" si="38"/>
        <v>975</v>
      </c>
      <c r="AA314" s="18">
        <f t="shared" si="39"/>
        <v>2</v>
      </c>
      <c r="AB314" s="18"/>
      <c r="AC314" s="18" t="str">
        <f>IF($AB314="","",IF($AB314&gt;$AA314,"PASS",IF($AB314&lt;=$AA314*(1-'Parametri Modello'!$B$68),"BID","ATTENZIONE")))</f>
        <v/>
      </c>
      <c r="AD314" s="28" t="str">
        <f t="shared" si="40"/>
        <v/>
      </c>
      <c r="AE314" s="5" t="str">
        <f>IFERROR(IF($AF314="Titolare",INDEX('Stato Asta'!$G$9:$G$12,MATCH($B314,'Stato Asta'!$A$9:$A$12,0)),INDEX('Stato Asta'!$P$9:$P$12,MATCH($B314,'Stato Asta'!$A$9:$A$12,0))),"")</f>
        <v>🟢 Riserve abbondanti</v>
      </c>
      <c r="AF314" t="str">
        <f>IFERROR(IF($V314&lt;=INDEX('Parametri Modello'!$C$57:$C$60,MATCH($B314,'Parametri Modello'!$A$57:$A$60,0)),"Titolare","Riserva"),"")</f>
        <v>Riserva</v>
      </c>
      <c r="AG314" t="str">
        <f>IFERROR(INDEX('Pressione Competitiva'!$F$3:$F$6,MATCH($B314,'Pressione Competitiva'!$B$3:$B$6,0)),"")</f>
        <v>🔴 Molto Alta</v>
      </c>
      <c r="AH314" t="str">
        <f t="shared" si="41"/>
        <v/>
      </c>
      <c r="AI314" t="str">
        <f>IFERROR(IF($AH314="","",IF($AH314&gt;=$AA314*'Parametri Modello'!$B$68,"🟢 Opportunita'",IF($AH314&lt;=$AA314*'Parametri Modello'!$B$69,"🔴 Sovrapprezzo","🟡 Prezzo Corretto"))),"")</f>
        <v/>
      </c>
      <c r="AJ314" t="str">
        <f t="shared" si="42"/>
        <v/>
      </c>
      <c r="AK314">
        <f t="shared" si="43"/>
        <v>44</v>
      </c>
      <c r="AL314" t="str">
        <f t="shared" si="44"/>
        <v>D|Nella Media|44</v>
      </c>
    </row>
    <row r="315" spans="1:38" ht="14.25" customHeight="1" x14ac:dyDescent="0.25">
      <c r="A315" s="18">
        <v>7268</v>
      </c>
      <c r="B315" s="18" t="s">
        <v>88</v>
      </c>
      <c r="C315" s="18" t="s">
        <v>202</v>
      </c>
      <c r="E315" s="23" t="str">
        <f>IF(COUNTIF('Info Strategia'!$D$2:$D$51,$C315)&gt;0,"SI","NO")</f>
        <v>NO</v>
      </c>
      <c r="F315" s="24">
        <f>IFERROR(ROUND(($G315+($H315-$G315)*'Info Strategia'!$B$6)*(1+IF($E315="SI",'Parametri Modello'!$B$7*'Info Strategia'!$B$6,0)),0),"")</f>
        <v>2</v>
      </c>
      <c r="G315" s="24">
        <f>IFERROR(ROUND(MAX(1,(IF($V315&lt;=INDEX('Parametri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1</v>
      </c>
      <c r="H315" s="24">
        <f>IFERROR(ROUND((IF($V315&lt;=INDEX('Parametri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2</v>
      </c>
      <c r="I315" s="23">
        <f>IFERROR(INDEX('Input Statistiche 2025_26'!$F$3:$F$665,MATCH($A315,'Input Statistiche 2025_26'!$A$3:$A$665,0)),"")</f>
        <v>16</v>
      </c>
      <c r="J315" s="23">
        <f t="shared" si="36"/>
        <v>22</v>
      </c>
      <c r="K315" s="23">
        <f>IFERROR(INDEX('Input Statistiche 2025_26'!$I$3:$I$665,MATCH($A315,'Input Statistiche 2025_26'!$A$3:$A$665,0)),"")</f>
        <v>1</v>
      </c>
      <c r="L315" s="23">
        <f>IFERROR(INDEX('Input Statistiche 2025_26'!$O$3:$O$665,MATCH($A315,'Input Statistiche 2025_26'!$A$3:$A$665,0)),"")</f>
        <v>0</v>
      </c>
      <c r="M315" s="25"/>
      <c r="N315" s="24">
        <f>IFERROR(INDEX('Input Giocatori 2026_27'!$E$3:$E$493,MATCH($A315,'Input Giocatori 2026_27'!$A$3:$A$493,0)),"")</f>
        <v>3</v>
      </c>
      <c r="O315" s="24">
        <f>IFERROR(INDEX('Input Giocatori 2026_27'!$G$3:$G$493,MATCH($A315,'Input Giocatori 2026_27'!$A$3:$A$493,0)),"")</f>
        <v>10</v>
      </c>
      <c r="P315" s="23" t="str">
        <f>IFERROR(IF($O315="","",IF((1-(COUNTIFS($B$2:$B$492,$B315,$O$2:$O$492,"&gt;"&amp;$O315)+1-1)/COUNTIF($B$2:$B$492,$B315))&gt;='Parametri Modello'!$B$63,"Top",IF((1-(COUNTIFS($B$2:$B$492,$B315,$O$2:$O$492,"&gt;"&amp;$O315)+1-1)/COUNTIF($B$2:$B$492,$B315))&gt;='Parametri Modello'!$B$64,"Buono",IF((1-(COUNTIFS($B$2:$B$492,$B315,$O$2:$O$492,"&gt;"&amp;$O315)+1-1)/COUNTIF($B$2:$B$492,$B315))&gt;='Parametri Modello'!$B$65,"Nella Media","Scommessa/Riserva")))),"")</f>
        <v>Nella Media</v>
      </c>
      <c r="Q315" s="26">
        <f>IF(AND($D315="",$N315&gt;1),SUMPRODUCT(($D$2:$D315="")*($N$2:$N315&gt;1)),"")</f>
        <v>314</v>
      </c>
      <c r="R315" s="26" t="str">
        <f>IF($D315='Info Lega'!$B$28,COUNTIFS($D$2:$D315,'Info Lega'!$B$28),"")</f>
        <v/>
      </c>
      <c r="S315" s="27">
        <f>IFERROR(INDEX('Input Statistiche 2025_26'!$G$3:$G$665,MATCH($A315,'Input Statistiche 2025_26'!$A$3:$A$665,0)),"")</f>
        <v>5.62</v>
      </c>
      <c r="T315" s="27">
        <f>IFERROR(INDEX('Input Statistiche 2025_26'!$H$3:$H$665,MATCH($A315,'Input Statistiche 2025_26'!$A$3:$A$665,0)),"")</f>
        <v>5.72</v>
      </c>
      <c r="U315" s="23" t="str">
        <f>IF(OR('La Mia Rosa'!$O$12="",$D315&lt;&gt;""),"",IF($F315&lt;='La Mia Rosa'!$O$12*'Parametri Modello'!$B$24,"OK",IF($F315&lt;='La Mia Rosa'!$O$12*'Parametri Modello'!$B$25,"Attenzione","Rischio Alto")))</f>
        <v>OK</v>
      </c>
      <c r="V315" s="23">
        <f t="shared" si="37"/>
        <v>99</v>
      </c>
      <c r="W315" s="18">
        <f>'Info Lega'!$B$4-SUMIFS($M$2:$M$492,$D$2:$D$492,'Info Lega'!$B$28)</f>
        <v>1000</v>
      </c>
      <c r="X315" s="18">
        <f>('Info Lega'!$B$5-COUNTIFS($D$2:$D$492,'Info Lega'!$B$28,$B$2:$B$492,"P"))+('Info Lega'!$B$6-COUNTIFS($D$2:$D$492,'Info Lega'!$B$28,$B$2:$B$492,"D"))+('Info Lega'!$B$7-COUNTIFS($D$2:$D$492,'Info Lega'!$B$28,$B$2:$B$492,"C"))+('Info Lega'!$B$8-COUNTIFS($D$2:$D$492,'Info Lega'!$B$28,$B$2:$B$492,"A"))</f>
        <v>25</v>
      </c>
      <c r="Y315" s="18">
        <f>X315*'Parametri Modello'!$B$30</f>
        <v>25</v>
      </c>
      <c r="Z315" s="18">
        <f t="shared" si="38"/>
        <v>975</v>
      </c>
      <c r="AA315" s="18">
        <f t="shared" si="39"/>
        <v>2</v>
      </c>
      <c r="AB315" s="18"/>
      <c r="AC315" s="18" t="str">
        <f>IF($AB315="","",IF($AB315&gt;$AA315,"PASS",IF($AB315&lt;=$AA315*(1-'Parametri Modello'!$B$68),"BID","ATTENZIONE")))</f>
        <v/>
      </c>
      <c r="AD315" s="28">
        <f t="shared" si="40"/>
        <v>41</v>
      </c>
      <c r="AE315" s="5" t="str">
        <f>IFERROR(IF($AF315="Titolare",INDEX('Stato Asta'!$G$9:$G$12,MATCH($B315,'Stato Asta'!$A$9:$A$12,0)),INDEX('Stato Asta'!$P$9:$P$12,MATCH($B315,'Stato Asta'!$A$9:$A$12,0))),"")</f>
        <v>🟢 Riserve abbondanti</v>
      </c>
      <c r="AF315" t="str">
        <f>IFERROR(IF($V315&lt;=INDEX('Parametri Modello'!$C$57:$C$60,MATCH($B315,'Parametri Modello'!$A$57:$A$60,0)),"Titolare","Riserva"),"")</f>
        <v>Riserva</v>
      </c>
      <c r="AG315" t="str">
        <f>IFERROR(INDEX('Pressione Competitiva'!$F$3:$F$6,MATCH($B315,'Pressione Competitiva'!$B$3:$B$6,0)),"")</f>
        <v>🔴 Molto Alta</v>
      </c>
      <c r="AH315" t="str">
        <f t="shared" si="41"/>
        <v/>
      </c>
      <c r="AI315" t="str">
        <f>IFERROR(IF($AH315="","",IF($AH315&gt;=$AA315*'Parametri Modello'!$B$68,"🟢 Opportunita'",IF($AH315&lt;=$AA315*'Parametri Modello'!$B$69,"🔴 Sovrapprezzo","🟡 Prezzo Corretto"))),"")</f>
        <v/>
      </c>
      <c r="AJ315" t="str">
        <f t="shared" si="42"/>
        <v/>
      </c>
      <c r="AK315">
        <f t="shared" si="43"/>
        <v>44</v>
      </c>
      <c r="AL315" t="str">
        <f t="shared" si="44"/>
        <v>D|Nella Media|44</v>
      </c>
    </row>
    <row r="316" spans="1:38" ht="14.25" customHeight="1" x14ac:dyDescent="0.25">
      <c r="A316" s="18">
        <v>7012</v>
      </c>
      <c r="B316" s="18" t="s">
        <v>88</v>
      </c>
      <c r="C316" s="18" t="s">
        <v>208</v>
      </c>
      <c r="E316" s="23" t="str">
        <f>IF(COUNTIF('Info Strategia'!$D$2:$D$51,$C316)&gt;0,"SI","NO")</f>
        <v>NO</v>
      </c>
      <c r="F316" s="24">
        <f>IFERROR(ROUND(($G316+($H316-$G316)*'Info Strategia'!$B$6)*(1+IF($E316="SI",'Parametri Modello'!$B$7*'Info Strategia'!$B$6,0)),0),"")</f>
        <v>2</v>
      </c>
      <c r="G316" s="24">
        <f>IFERROR(ROUND(MAX(1,(IF($V316&lt;=INDEX('Parametri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1</v>
      </c>
      <c r="H316" s="24">
        <f>IFERROR(ROUND((IF($V316&lt;=INDEX('Parametri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2</v>
      </c>
      <c r="I316" s="23">
        <f>IFERROR(INDEX('Input Statistiche 2025_26'!$F$3:$F$665,MATCH($A316,'Input Statistiche 2025_26'!$A$3:$A$665,0)),"")</f>
        <v>23</v>
      </c>
      <c r="J316" s="23">
        <f t="shared" si="36"/>
        <v>15</v>
      </c>
      <c r="K316" s="23">
        <f>IFERROR(INDEX('Input Statistiche 2025_26'!$I$3:$I$665,MATCH($A316,'Input Statistiche 2025_26'!$A$3:$A$665,0)),"")</f>
        <v>0</v>
      </c>
      <c r="L316" s="23">
        <f>IFERROR(INDEX('Input Statistiche 2025_26'!$O$3:$O$665,MATCH($A316,'Input Statistiche 2025_26'!$A$3:$A$665,0)),"")</f>
        <v>0</v>
      </c>
      <c r="M316" s="25"/>
      <c r="N316" s="24">
        <f>IFERROR(INDEX('Input Giocatori 2026_27'!$E$3:$E$493,MATCH($A316,'Input Giocatori 2026_27'!$A$3:$A$493,0)),"")</f>
        <v>3</v>
      </c>
      <c r="O316" s="24">
        <f>IFERROR(INDEX('Input Giocatori 2026_27'!$G$3:$G$493,MATCH($A316,'Input Giocatori 2026_27'!$A$3:$A$493,0)),"")</f>
        <v>10</v>
      </c>
      <c r="P316" s="23" t="str">
        <f>IFERROR(IF($O316="","",IF((1-(COUNTIFS($B$2:$B$492,$B316,$O$2:$O$492,"&gt;"&amp;$O316)+1-1)/COUNTIF($B$2:$B$492,$B316))&gt;='Parametri Modello'!$B$63,"Top",IF((1-(COUNTIFS($B$2:$B$492,$B316,$O$2:$O$492,"&gt;"&amp;$O316)+1-1)/COUNTIF($B$2:$B$492,$B316))&gt;='Parametri Modello'!$B$64,"Buono",IF((1-(COUNTIFS($B$2:$B$492,$B316,$O$2:$O$492,"&gt;"&amp;$O316)+1-1)/COUNTIF($B$2:$B$492,$B316))&gt;='Parametri Modello'!$B$65,"Nella Media","Scommessa/Riserva")))),"")</f>
        <v>Nella Media</v>
      </c>
      <c r="Q316" s="26">
        <f>IF(AND($D316="",$N316&gt;1),SUMPRODUCT(($D$2:$D316="")*($N$2:$N316&gt;1)),"")</f>
        <v>315</v>
      </c>
      <c r="R316" s="26" t="str">
        <f>IF($D316='Info Lega'!$B$28,COUNTIFS($D$2:$D316,'Info Lega'!$B$28),"")</f>
        <v/>
      </c>
      <c r="S316" s="27">
        <f>IFERROR(INDEX('Input Statistiche 2025_26'!$G$3:$G$665,MATCH($A316,'Input Statistiche 2025_26'!$A$3:$A$665,0)),"")</f>
        <v>5.91</v>
      </c>
      <c r="T316" s="27">
        <f>IFERROR(INDEX('Input Statistiche 2025_26'!$H$3:$H$665,MATCH($A316,'Input Statistiche 2025_26'!$A$3:$A$665,0)),"")</f>
        <v>5.85</v>
      </c>
      <c r="U316" s="23" t="str">
        <f>IF(OR('La Mia Rosa'!$O$12="",$D316&lt;&gt;""),"",IF($F316&lt;='La Mia Rosa'!$O$12*'Parametri Modello'!$B$24,"OK",IF($F316&lt;='La Mia Rosa'!$O$12*'Parametri Modello'!$B$25,"Attenzione","Rischio Alto")))</f>
        <v>OK</v>
      </c>
      <c r="V316" s="23">
        <f t="shared" si="37"/>
        <v>99</v>
      </c>
      <c r="W316" s="18">
        <f>'Info Lega'!$B$4-SUMIFS($M$2:$M$492,$D$2:$D$492,'Info Lega'!$B$28)</f>
        <v>1000</v>
      </c>
      <c r="X316" s="18">
        <f>('Info Lega'!$B$5-COUNTIFS($D$2:$D$492,'Info Lega'!$B$28,$B$2:$B$492,"P"))+('Info Lega'!$B$6-COUNTIFS($D$2:$D$492,'Info Lega'!$B$28,$B$2:$B$492,"D"))+('Info Lega'!$B$7-COUNTIFS($D$2:$D$492,'Info Lega'!$B$28,$B$2:$B$492,"C"))+('Info Lega'!$B$8-COUNTIFS($D$2:$D$492,'Info Lega'!$B$28,$B$2:$B$492,"A"))</f>
        <v>25</v>
      </c>
      <c r="Y316" s="18">
        <f>X316*'Parametri Modello'!$B$30</f>
        <v>25</v>
      </c>
      <c r="Z316" s="18">
        <f t="shared" si="38"/>
        <v>975</v>
      </c>
      <c r="AA316" s="18">
        <f t="shared" si="39"/>
        <v>2</v>
      </c>
      <c r="AB316" s="18"/>
      <c r="AC316" s="18" t="str">
        <f>IF($AB316="","",IF($AB316&gt;$AA316,"PASS",IF($AB316&lt;=$AA316*(1-'Parametri Modello'!$B$68),"BID","ATTENZIONE")))</f>
        <v/>
      </c>
      <c r="AD316" s="28">
        <f t="shared" si="40"/>
        <v>54</v>
      </c>
      <c r="AE316" s="5" t="str">
        <f>IFERROR(IF($AF316="Titolare",INDEX('Stato Asta'!$G$9:$G$12,MATCH($B316,'Stato Asta'!$A$9:$A$12,0)),INDEX('Stato Asta'!$P$9:$P$12,MATCH($B316,'Stato Asta'!$A$9:$A$12,0))),"")</f>
        <v>🟢 Riserve abbondanti</v>
      </c>
      <c r="AF316" t="str">
        <f>IFERROR(IF($V316&lt;=INDEX('Parametri Modello'!$C$57:$C$60,MATCH($B316,'Parametri Modello'!$A$57:$A$60,0)),"Titolare","Riserva"),"")</f>
        <v>Riserva</v>
      </c>
      <c r="AG316" t="str">
        <f>IFERROR(INDEX('Pressione Competitiva'!$F$3:$F$6,MATCH($B316,'Pressione Competitiva'!$B$3:$B$6,0)),"")</f>
        <v>🔴 Molto Alta</v>
      </c>
      <c r="AH316" t="str">
        <f t="shared" si="41"/>
        <v/>
      </c>
      <c r="AI316" t="str">
        <f>IFERROR(IF($AH316="","",IF($AH316&gt;=$AA316*'Parametri Modello'!$B$68,"🟢 Opportunita'",IF($AH316&lt;=$AA316*'Parametri Modello'!$B$69,"🔴 Sovrapprezzo","🟡 Prezzo Corretto"))),"")</f>
        <v/>
      </c>
      <c r="AJ316" t="str">
        <f t="shared" si="42"/>
        <v/>
      </c>
      <c r="AK316">
        <f t="shared" si="43"/>
        <v>44</v>
      </c>
      <c r="AL316" t="str">
        <f t="shared" si="44"/>
        <v>D|Nella Media|44</v>
      </c>
    </row>
    <row r="317" spans="1:38" ht="14.25" customHeight="1" x14ac:dyDescent="0.25">
      <c r="A317" s="18">
        <v>7255</v>
      </c>
      <c r="B317" s="18" t="s">
        <v>88</v>
      </c>
      <c r="C317" s="18" t="s">
        <v>216</v>
      </c>
      <c r="E317" s="23" t="str">
        <f>IF(COUNTIF('Info Strategia'!$D$2:$D$51,$C317)&gt;0,"SI","NO")</f>
        <v>NO</v>
      </c>
      <c r="F317" s="24">
        <f>IFERROR(ROUND(($G317+($H317-$G317)*'Info Strategia'!$B$6)*(1+IF($E317="SI",'Parametri Modello'!$B$7*'Info Strategia'!$B$6,0)),0),"")</f>
        <v>2</v>
      </c>
      <c r="G317" s="24">
        <f>IFERROR(ROUND(MAX(1,(IF($V317&lt;=INDEX('Parametri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1</v>
      </c>
      <c r="H317" s="24">
        <f>IFERROR(ROUND((IF($V317&lt;=INDEX('Parametri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2</v>
      </c>
      <c r="I317" s="23">
        <f>IFERROR(INDEX('Input Statistiche 2025_26'!$F$3:$F$665,MATCH($A317,'Input Statistiche 2025_26'!$A$3:$A$665,0)),"")</f>
        <v>28</v>
      </c>
      <c r="J317" s="23">
        <f t="shared" si="36"/>
        <v>10</v>
      </c>
      <c r="K317" s="23">
        <f>IFERROR(INDEX('Input Statistiche 2025_26'!$I$3:$I$665,MATCH($A317,'Input Statistiche 2025_26'!$A$3:$A$665,0)),"")</f>
        <v>0</v>
      </c>
      <c r="L317" s="23">
        <f>IFERROR(INDEX('Input Statistiche 2025_26'!$O$3:$O$665,MATCH($A317,'Input Statistiche 2025_26'!$A$3:$A$665,0)),"")</f>
        <v>2</v>
      </c>
      <c r="M317" s="25"/>
      <c r="N317" s="24">
        <f>IFERROR(INDEX('Input Giocatori 2026_27'!$E$3:$E$493,MATCH($A317,'Input Giocatori 2026_27'!$A$3:$A$493,0)),"")</f>
        <v>3</v>
      </c>
      <c r="O317" s="24">
        <f>IFERROR(INDEX('Input Giocatori 2026_27'!$G$3:$G$493,MATCH($A317,'Input Giocatori 2026_27'!$A$3:$A$493,0)),"")</f>
        <v>10</v>
      </c>
      <c r="P317" s="23" t="str">
        <f>IFERROR(IF($O317="","",IF((1-(COUNTIFS($B$2:$B$492,$B317,$O$2:$O$492,"&gt;"&amp;$O317)+1-1)/COUNTIF($B$2:$B$492,$B317))&gt;='Parametri Modello'!$B$63,"Top",IF((1-(COUNTIFS($B$2:$B$492,$B317,$O$2:$O$492,"&gt;"&amp;$O317)+1-1)/COUNTIF($B$2:$B$492,$B317))&gt;='Parametri Modello'!$B$64,"Buono",IF((1-(COUNTIFS($B$2:$B$492,$B317,$O$2:$O$492,"&gt;"&amp;$O317)+1-1)/COUNTIF($B$2:$B$492,$B317))&gt;='Parametri Modello'!$B$65,"Nella Media","Scommessa/Riserva")))),"")</f>
        <v>Nella Media</v>
      </c>
      <c r="Q317" s="26">
        <f>IF(AND($D317="",$N317&gt;1),SUMPRODUCT(($D$2:$D317="")*($N$2:$N317&gt;1)),"")</f>
        <v>316</v>
      </c>
      <c r="R317" s="26" t="str">
        <f>IF($D317='Info Lega'!$B$28,COUNTIFS($D$2:$D317,'Info Lega'!$B$28),"")</f>
        <v/>
      </c>
      <c r="S317" s="27">
        <f>IFERROR(INDEX('Input Statistiche 2025_26'!$G$3:$G$665,MATCH($A317,'Input Statistiche 2025_26'!$A$3:$A$665,0)),"")</f>
        <v>5.75</v>
      </c>
      <c r="T317" s="27">
        <f>IFERROR(INDEX('Input Statistiche 2025_26'!$H$3:$H$665,MATCH($A317,'Input Statistiche 2025_26'!$A$3:$A$665,0)),"")</f>
        <v>5.7</v>
      </c>
      <c r="U317" s="23" t="str">
        <f>IF(OR('La Mia Rosa'!$O$12="",$D317&lt;&gt;""),"",IF($F317&lt;='La Mia Rosa'!$O$12*'Parametri Modello'!$B$24,"OK",IF($F317&lt;='La Mia Rosa'!$O$12*'Parametri Modello'!$B$25,"Attenzione","Rischio Alto")))</f>
        <v>OK</v>
      </c>
      <c r="V317" s="23">
        <f t="shared" si="37"/>
        <v>99</v>
      </c>
      <c r="W317" s="18">
        <f>'Info Lega'!$B$4-SUMIFS($M$2:$M$492,$D$2:$D$492,'Info Lega'!$B$28)</f>
        <v>1000</v>
      </c>
      <c r="X317" s="18">
        <f>('Info Lega'!$B$5-COUNTIFS($D$2:$D$492,'Info Lega'!$B$28,$B$2:$B$492,"P"))+('Info Lega'!$B$6-COUNTIFS($D$2:$D$492,'Info Lega'!$B$28,$B$2:$B$492,"D"))+('Info Lega'!$B$7-COUNTIFS($D$2:$D$492,'Info Lega'!$B$28,$B$2:$B$492,"C"))+('Info Lega'!$B$8-COUNTIFS($D$2:$D$492,'Info Lega'!$B$28,$B$2:$B$492,"A"))</f>
        <v>25</v>
      </c>
      <c r="Y317" s="18">
        <f>X317*'Parametri Modello'!$B$30</f>
        <v>25</v>
      </c>
      <c r="Z317" s="18">
        <f t="shared" si="38"/>
        <v>975</v>
      </c>
      <c r="AA317" s="18">
        <f t="shared" si="39"/>
        <v>2</v>
      </c>
      <c r="AB317" s="18"/>
      <c r="AC317" s="18" t="str">
        <f>IF($AB317="","",IF($AB317&gt;$AA317,"PASS",IF($AB317&lt;=$AA317*(1-'Parametri Modello'!$B$68),"BID","ATTENZIONE")))</f>
        <v/>
      </c>
      <c r="AD317" s="28">
        <f t="shared" si="40"/>
        <v>61</v>
      </c>
      <c r="AE317" s="5" t="str">
        <f>IFERROR(IF($AF317="Titolare",INDEX('Stato Asta'!$G$9:$G$12,MATCH($B317,'Stato Asta'!$A$9:$A$12,0)),INDEX('Stato Asta'!$P$9:$P$12,MATCH($B317,'Stato Asta'!$A$9:$A$12,0))),"")</f>
        <v>🟢 Riserve abbondanti</v>
      </c>
      <c r="AF317" t="str">
        <f>IFERROR(IF($V317&lt;=INDEX('Parametri Modello'!$C$57:$C$60,MATCH($B317,'Parametri Modello'!$A$57:$A$60,0)),"Titolare","Riserva"),"")</f>
        <v>Riserva</v>
      </c>
      <c r="AG317" t="str">
        <f>IFERROR(INDEX('Pressione Competitiva'!$F$3:$F$6,MATCH($B317,'Pressione Competitiva'!$B$3:$B$6,0)),"")</f>
        <v>🔴 Molto Alta</v>
      </c>
      <c r="AH317" t="str">
        <f t="shared" si="41"/>
        <v/>
      </c>
      <c r="AI317" t="str">
        <f>IFERROR(IF($AH317="","",IF($AH317&gt;=$AA317*'Parametri Modello'!$B$68,"🟢 Opportunita'",IF($AH317&lt;=$AA317*'Parametri Modello'!$B$69,"🔴 Sovrapprezzo","🟡 Prezzo Corretto"))),"")</f>
        <v/>
      </c>
      <c r="AJ317" t="str">
        <f t="shared" si="42"/>
        <v/>
      </c>
      <c r="AK317">
        <f t="shared" si="43"/>
        <v>44</v>
      </c>
      <c r="AL317" t="str">
        <f t="shared" si="44"/>
        <v>D|Nella Media|44</v>
      </c>
    </row>
    <row r="318" spans="1:38" ht="14.25" customHeight="1" x14ac:dyDescent="0.25">
      <c r="A318" s="18">
        <v>6640</v>
      </c>
      <c r="B318" s="18" t="s">
        <v>264</v>
      </c>
      <c r="C318" s="18" t="s">
        <v>347</v>
      </c>
      <c r="E318" s="23" t="str">
        <f>IF(COUNTIF('Info Strategia'!$D$2:$D$51,$C318)&gt;0,"SI","NO")</f>
        <v>NO</v>
      </c>
      <c r="F318" s="24">
        <f>IFERROR(ROUND(($G318+($H318-$G318)*'Info Strategia'!$B$6)*(1+IF($E318="SI",'Parametri Modello'!$B$7*'Info Strategia'!$B$6,0)),0),"")</f>
        <v>1</v>
      </c>
      <c r="G318" s="24">
        <f>IFERROR(ROUND(MAX(1,(IF($V318&lt;=INDEX('Parametri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H318" s="24">
        <f>IFERROR(ROUND((IF($V318&lt;=INDEX('Parametri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I318" s="23">
        <f>IFERROR(INDEX('Input Statistiche 2025_26'!$F$3:$F$665,MATCH($A318,'Input Statistiche 2025_26'!$A$3:$A$665,0)),"")</f>
        <v>11</v>
      </c>
      <c r="J318" s="23">
        <f t="shared" si="36"/>
        <v>27</v>
      </c>
      <c r="K318" s="23">
        <f>IFERROR(INDEX('Input Statistiche 2025_26'!$I$3:$I$665,MATCH($A318,'Input Statistiche 2025_26'!$A$3:$A$665,0)),"")</f>
        <v>2</v>
      </c>
      <c r="L318" s="23">
        <f>IFERROR(INDEX('Input Statistiche 2025_26'!$O$3:$O$665,MATCH($A318,'Input Statistiche 2025_26'!$A$3:$A$665,0)),"")</f>
        <v>1</v>
      </c>
      <c r="M318" s="25"/>
      <c r="N318" s="24">
        <f>IFERROR(INDEX('Input Giocatori 2026_27'!$E$3:$E$493,MATCH($A318,'Input Giocatori 2026_27'!$A$3:$A$493,0)),"")</f>
        <v>5</v>
      </c>
      <c r="O318" s="24">
        <f>IFERROR(INDEX('Input Giocatori 2026_27'!$G$3:$G$493,MATCH($A318,'Input Giocatori 2026_27'!$A$3:$A$493,0)),"")</f>
        <v>10</v>
      </c>
      <c r="P318" s="23" t="str">
        <f>IFERROR(IF($O318="","",IF((1-(COUNTIFS($B$2:$B$492,$B318,$O$2:$O$492,"&gt;"&amp;$O318)+1-1)/COUNTIF($B$2:$B$492,$B318))&gt;='Parametri Modello'!$B$63,"Top",IF((1-(COUNTIFS($B$2:$B$492,$B318,$O$2:$O$492,"&gt;"&amp;$O318)+1-1)/COUNTIF($B$2:$B$492,$B318))&gt;='Parametri Modello'!$B$64,"Buono",IF((1-(COUNTIFS($B$2:$B$492,$B318,$O$2:$O$492,"&gt;"&amp;$O318)+1-1)/COUNTIF($B$2:$B$492,$B318))&gt;='Parametri Modello'!$B$65,"Nella Media","Scommessa/Riserva")))),"")</f>
        <v>Scommessa/Riserva</v>
      </c>
      <c r="Q318" s="26">
        <f>IF(AND($D318="",$N318&gt;1),SUMPRODUCT(($D$2:$D318="")*($N$2:$N318&gt;1)),"")</f>
        <v>317</v>
      </c>
      <c r="R318" s="26" t="str">
        <f>IF($D318='Info Lega'!$B$28,COUNTIFS($D$2:$D318,'Info Lega'!$B$28),"")</f>
        <v/>
      </c>
      <c r="S318" s="27">
        <f>IFERROR(INDEX('Input Statistiche 2025_26'!$G$3:$G$665,MATCH($A318,'Input Statistiche 2025_26'!$A$3:$A$665,0)),"")</f>
        <v>6.05</v>
      </c>
      <c r="T318" s="27">
        <f>IFERROR(INDEX('Input Statistiche 2025_26'!$H$3:$H$665,MATCH($A318,'Input Statistiche 2025_26'!$A$3:$A$665,0)),"")</f>
        <v>6.55</v>
      </c>
      <c r="U318" s="23" t="str">
        <f>IF(OR('La Mia Rosa'!$O$12="",$D318&lt;&gt;""),"",IF($F318&lt;='La Mia Rosa'!$O$12*'Parametri Modello'!$B$24,"OK",IF($F318&lt;='La Mia Rosa'!$O$12*'Parametri Modello'!$B$25,"Attenzione","Rischio Alto")))</f>
        <v>OK</v>
      </c>
      <c r="V318" s="23">
        <f t="shared" si="37"/>
        <v>124</v>
      </c>
      <c r="W318" s="18">
        <f>'Info Lega'!$B$4-SUMIFS($M$2:$M$492,$D$2:$D$492,'Info Lega'!$B$28)</f>
        <v>1000</v>
      </c>
      <c r="X318" s="18">
        <f>('Info Lega'!$B$5-COUNTIFS($D$2:$D$492,'Info Lega'!$B$28,$B$2:$B$492,"P"))+('Info Lega'!$B$6-COUNTIFS($D$2:$D$492,'Info Lega'!$B$28,$B$2:$B$492,"D"))+('Info Lega'!$B$7-COUNTIFS($D$2:$D$492,'Info Lega'!$B$28,$B$2:$B$492,"C"))+('Info Lega'!$B$8-COUNTIFS($D$2:$D$492,'Info Lega'!$B$28,$B$2:$B$492,"A"))</f>
        <v>25</v>
      </c>
      <c r="Y318" s="18">
        <f>X318*'Parametri Modello'!$B$30</f>
        <v>25</v>
      </c>
      <c r="Z318" s="18">
        <f t="shared" si="38"/>
        <v>975</v>
      </c>
      <c r="AA318" s="18">
        <f t="shared" si="39"/>
        <v>1</v>
      </c>
      <c r="AB318" s="18"/>
      <c r="AC318" s="18" t="str">
        <f>IF($AB318="","",IF($AB318&gt;$AA318,"PASS",IF($AB318&lt;=$AA318*(1-'Parametri Modello'!$B$68),"BID","ATTENZIONE")))</f>
        <v/>
      </c>
      <c r="AD318" s="28">
        <f t="shared" si="40"/>
        <v>31</v>
      </c>
      <c r="AE318" s="5" t="str">
        <f>IFERROR(IF($AF318="Titolare",INDEX('Stato Asta'!$G$9:$G$12,MATCH($B318,'Stato Asta'!$A$9:$A$12,0)),INDEX('Stato Asta'!$P$9:$P$12,MATCH($B318,'Stato Asta'!$A$9:$A$12,0))),"")</f>
        <v>🟢 Riserve abbondanti</v>
      </c>
      <c r="AF318" t="str">
        <f>IFERROR(IF($V318&lt;=INDEX('Parametri Modello'!$C$57:$C$60,MATCH($B318,'Parametri Modello'!$A$57:$A$60,0)),"Titolare","Riserva"),"")</f>
        <v>Riserva</v>
      </c>
      <c r="AG318" t="str">
        <f>IFERROR(INDEX('Pressione Competitiva'!$F$3:$F$6,MATCH($B318,'Pressione Competitiva'!$B$3:$B$6,0)),"")</f>
        <v>🔴 Molto Alta</v>
      </c>
      <c r="AH318" t="str">
        <f t="shared" si="41"/>
        <v/>
      </c>
      <c r="AI318" t="str">
        <f>IFERROR(IF($AH318="","",IF($AH318&gt;=$AA318*'Parametri Modello'!$B$68,"🟢 Opportunita'",IF($AH318&lt;=$AA318*'Parametri Modello'!$B$69,"🔴 Sovrapprezzo","🟡 Prezzo Corretto"))),"")</f>
        <v/>
      </c>
      <c r="AJ318" t="str">
        <f t="shared" si="42"/>
        <v/>
      </c>
      <c r="AK318">
        <f t="shared" si="43"/>
        <v>20</v>
      </c>
      <c r="AL318" t="str">
        <f t="shared" si="44"/>
        <v>C|Scommessa/Riserva|20</v>
      </c>
    </row>
    <row r="319" spans="1:38" ht="14.25" customHeight="1" x14ac:dyDescent="0.25">
      <c r="A319" s="18">
        <v>7127</v>
      </c>
      <c r="B319" s="18" t="s">
        <v>264</v>
      </c>
      <c r="C319" s="18" t="s">
        <v>349</v>
      </c>
      <c r="E319" s="23" t="str">
        <f>IF(COUNTIF('Info Strategia'!$D$2:$D$51,$C319)&gt;0,"SI","NO")</f>
        <v>NO</v>
      </c>
      <c r="F319" s="24">
        <f>IFERROR(ROUND(($G319+($H319-$G319)*'Info Strategia'!$B$6)*(1+IF($E319="SI",'Parametri Modello'!$B$7*'Info Strategia'!$B$6,0)),0),"")</f>
        <v>1</v>
      </c>
      <c r="G319" s="24">
        <f>IFERROR(ROUND(MAX(1,(IF($V319&lt;=INDEX('Parametri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H319" s="24">
        <f>IFERROR(ROUND((IF($V319&lt;=INDEX('Parametri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I319" s="23">
        <f>IFERROR(INDEX('Input Statistiche 2025_26'!$F$3:$F$665,MATCH($A319,'Input Statistiche 2025_26'!$A$3:$A$665,0)),"")</f>
        <v>12</v>
      </c>
      <c r="J319" s="23">
        <f t="shared" si="36"/>
        <v>26</v>
      </c>
      <c r="K319" s="23">
        <f>IFERROR(INDEX('Input Statistiche 2025_26'!$I$3:$I$665,MATCH($A319,'Input Statistiche 2025_26'!$A$3:$A$665,0)),"")</f>
        <v>3</v>
      </c>
      <c r="L319" s="23">
        <f>IFERROR(INDEX('Input Statistiche 2025_26'!$O$3:$O$665,MATCH($A319,'Input Statistiche 2025_26'!$A$3:$A$665,0)),"")</f>
        <v>0</v>
      </c>
      <c r="M319" s="25"/>
      <c r="N319" s="24">
        <f>IFERROR(INDEX('Input Giocatori 2026_27'!$E$3:$E$493,MATCH($A319,'Input Giocatori 2026_27'!$A$3:$A$493,0)),"")</f>
        <v>5</v>
      </c>
      <c r="O319" s="24">
        <f>IFERROR(INDEX('Input Giocatori 2026_27'!$G$3:$G$493,MATCH($A319,'Input Giocatori 2026_27'!$A$3:$A$493,0)),"")</f>
        <v>10</v>
      </c>
      <c r="P319" s="23" t="str">
        <f>IFERROR(IF($O319="","",IF((1-(COUNTIFS($B$2:$B$492,$B319,$O$2:$O$492,"&gt;"&amp;$O319)+1-1)/COUNTIF($B$2:$B$492,$B319))&gt;='Parametri Modello'!$B$63,"Top",IF((1-(COUNTIFS($B$2:$B$492,$B319,$O$2:$O$492,"&gt;"&amp;$O319)+1-1)/COUNTIF($B$2:$B$492,$B319))&gt;='Parametri Modello'!$B$64,"Buono",IF((1-(COUNTIFS($B$2:$B$492,$B319,$O$2:$O$492,"&gt;"&amp;$O319)+1-1)/COUNTIF($B$2:$B$492,$B319))&gt;='Parametri Modello'!$B$65,"Nella Media","Scommessa/Riserva")))),"")</f>
        <v>Scommessa/Riserva</v>
      </c>
      <c r="Q319" s="26">
        <f>IF(AND($D319="",$N319&gt;1),SUMPRODUCT(($D$2:$D319="")*($N$2:$N319&gt;1)),"")</f>
        <v>318</v>
      </c>
      <c r="R319" s="26" t="str">
        <f>IF($D319='Info Lega'!$B$28,COUNTIFS($D$2:$D319,'Info Lega'!$B$28),"")</f>
        <v/>
      </c>
      <c r="S319" s="27">
        <f>IFERROR(INDEX('Input Statistiche 2025_26'!$G$3:$G$665,MATCH($A319,'Input Statistiche 2025_26'!$A$3:$A$665,0)),"")</f>
        <v>5.96</v>
      </c>
      <c r="T319" s="27">
        <f>IFERROR(INDEX('Input Statistiche 2025_26'!$H$3:$H$665,MATCH($A319,'Input Statistiche 2025_26'!$A$3:$A$665,0)),"")</f>
        <v>6.54</v>
      </c>
      <c r="U319" s="23" t="str">
        <f>IF(OR('La Mia Rosa'!$O$12="",$D319&lt;&gt;""),"",IF($F319&lt;='La Mia Rosa'!$O$12*'Parametri Modello'!$B$24,"OK",IF($F319&lt;='La Mia Rosa'!$O$12*'Parametri Modello'!$B$25,"Attenzione","Rischio Alto")))</f>
        <v>OK</v>
      </c>
      <c r="V319" s="23">
        <f t="shared" si="37"/>
        <v>124</v>
      </c>
      <c r="W319" s="18">
        <f>'Info Lega'!$B$4-SUMIFS($M$2:$M$492,$D$2:$D$492,'Info Lega'!$B$28)</f>
        <v>1000</v>
      </c>
      <c r="X319" s="18">
        <f>('Info Lega'!$B$5-COUNTIFS($D$2:$D$492,'Info Lega'!$B$28,$B$2:$B$492,"P"))+('Info Lega'!$B$6-COUNTIFS($D$2:$D$492,'Info Lega'!$B$28,$B$2:$B$492,"D"))+('Info Lega'!$B$7-COUNTIFS($D$2:$D$492,'Info Lega'!$B$28,$B$2:$B$492,"C"))+('Info Lega'!$B$8-COUNTIFS($D$2:$D$492,'Info Lega'!$B$28,$B$2:$B$492,"A"))</f>
        <v>25</v>
      </c>
      <c r="Y319" s="18">
        <f>X319*'Parametri Modello'!$B$30</f>
        <v>25</v>
      </c>
      <c r="Z319" s="18">
        <f t="shared" si="38"/>
        <v>975</v>
      </c>
      <c r="AA319" s="18">
        <f t="shared" si="39"/>
        <v>1</v>
      </c>
      <c r="AB319" s="18"/>
      <c r="AC319" s="18" t="str">
        <f>IF($AB319="","",IF($AB319&gt;$AA319,"PASS",IF($AB319&lt;=$AA319*(1-'Parametri Modello'!$B$68),"BID","ATTENZIONE")))</f>
        <v/>
      </c>
      <c r="AD319" s="28">
        <f t="shared" si="40"/>
        <v>33</v>
      </c>
      <c r="AE319" s="5" t="str">
        <f>IFERROR(IF($AF319="Titolare",INDEX('Stato Asta'!$G$9:$G$12,MATCH($B319,'Stato Asta'!$A$9:$A$12,0)),INDEX('Stato Asta'!$P$9:$P$12,MATCH($B319,'Stato Asta'!$A$9:$A$12,0))),"")</f>
        <v>🟢 Riserve abbondanti</v>
      </c>
      <c r="AF319" t="str">
        <f>IFERROR(IF($V319&lt;=INDEX('Parametri Modello'!$C$57:$C$60,MATCH($B319,'Parametri Modello'!$A$57:$A$60,0)),"Titolare","Riserva"),"")</f>
        <v>Riserva</v>
      </c>
      <c r="AG319" t="str">
        <f>IFERROR(INDEX('Pressione Competitiva'!$F$3:$F$6,MATCH($B319,'Pressione Competitiva'!$B$3:$B$6,0)),"")</f>
        <v>🔴 Molto Alta</v>
      </c>
      <c r="AH319" t="str">
        <f t="shared" si="41"/>
        <v/>
      </c>
      <c r="AI319" t="str">
        <f>IFERROR(IF($AH319="","",IF($AH319&gt;=$AA319*'Parametri Modello'!$B$68,"🟢 Opportunita'",IF($AH319&lt;=$AA319*'Parametri Modello'!$B$69,"🔴 Sovrapprezzo","🟡 Prezzo Corretto"))),"")</f>
        <v/>
      </c>
      <c r="AJ319" t="str">
        <f t="shared" si="42"/>
        <v/>
      </c>
      <c r="AK319">
        <f t="shared" si="43"/>
        <v>20</v>
      </c>
      <c r="AL319" t="str">
        <f t="shared" si="44"/>
        <v>C|Scommessa/Riserva|20</v>
      </c>
    </row>
    <row r="320" spans="1:38" ht="14.25" customHeight="1" x14ac:dyDescent="0.25">
      <c r="A320" s="18">
        <v>6054</v>
      </c>
      <c r="B320" s="18" t="s">
        <v>264</v>
      </c>
      <c r="C320" s="18" t="s">
        <v>372</v>
      </c>
      <c r="E320" s="23" t="str">
        <f>IF(COUNTIF('Info Strategia'!$D$2:$D$51,$C320)&gt;0,"SI","NO")</f>
        <v>NO</v>
      </c>
      <c r="F320" s="24">
        <f>IFERROR(ROUND(($G320+($H320-$G320)*'Info Strategia'!$B$6)*(1+IF($E320="SI",'Parametri Modello'!$B$7*'Info Strategia'!$B$6,0)),0),"")</f>
        <v>1</v>
      </c>
      <c r="G320" s="24">
        <f>IFERROR(ROUND(MAX(1,(IF($V320&lt;=INDEX('Parametri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H320" s="24">
        <f>IFERROR(ROUND((IF($V320&lt;=INDEX('Parametri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I320" s="23">
        <f>IFERROR(INDEX('Input Statistiche 2025_26'!$F$3:$F$665,MATCH($A320,'Input Statistiche 2025_26'!$A$3:$A$665,0)),"")</f>
        <v>28</v>
      </c>
      <c r="J320" s="23">
        <f t="shared" si="36"/>
        <v>10</v>
      </c>
      <c r="K320" s="23">
        <f>IFERROR(INDEX('Input Statistiche 2025_26'!$I$3:$I$665,MATCH($A320,'Input Statistiche 2025_26'!$A$3:$A$665,0)),"")</f>
        <v>2</v>
      </c>
      <c r="L320" s="23">
        <f>IFERROR(INDEX('Input Statistiche 2025_26'!$O$3:$O$665,MATCH($A320,'Input Statistiche 2025_26'!$A$3:$A$665,0)),"")</f>
        <v>0</v>
      </c>
      <c r="M320" s="25"/>
      <c r="N320" s="24">
        <f>IFERROR(INDEX('Input Giocatori 2026_27'!$E$3:$E$493,MATCH($A320,'Input Giocatori 2026_27'!$A$3:$A$493,0)),"")</f>
        <v>4</v>
      </c>
      <c r="O320" s="24">
        <f>IFERROR(INDEX('Input Giocatori 2026_27'!$G$3:$G$493,MATCH($A320,'Input Giocatori 2026_27'!$A$3:$A$493,0)),"")</f>
        <v>10</v>
      </c>
      <c r="P320" s="23" t="str">
        <f>IFERROR(IF($O320="","",IF((1-(COUNTIFS($B$2:$B$492,$B320,$O$2:$O$492,"&gt;"&amp;$O320)+1-1)/COUNTIF($B$2:$B$492,$B320))&gt;='Parametri Modello'!$B$63,"Top",IF((1-(COUNTIFS($B$2:$B$492,$B320,$O$2:$O$492,"&gt;"&amp;$O320)+1-1)/COUNTIF($B$2:$B$492,$B320))&gt;='Parametri Modello'!$B$64,"Buono",IF((1-(COUNTIFS($B$2:$B$492,$B320,$O$2:$O$492,"&gt;"&amp;$O320)+1-1)/COUNTIF($B$2:$B$492,$B320))&gt;='Parametri Modello'!$B$65,"Nella Media","Scommessa/Riserva")))),"")</f>
        <v>Scommessa/Riserva</v>
      </c>
      <c r="Q320" s="26">
        <f>IF(AND($D320="",$N320&gt;1),SUMPRODUCT(($D$2:$D320="")*($N$2:$N320&gt;1)),"")</f>
        <v>319</v>
      </c>
      <c r="R320" s="26" t="str">
        <f>IF($D320='Info Lega'!$B$28,COUNTIFS($D$2:$D320,'Info Lega'!$B$28),"")</f>
        <v/>
      </c>
      <c r="S320" s="27">
        <f>IFERROR(INDEX('Input Statistiche 2025_26'!$G$3:$G$665,MATCH($A320,'Input Statistiche 2025_26'!$A$3:$A$665,0)),"")</f>
        <v>5.93</v>
      </c>
      <c r="T320" s="27">
        <f>IFERROR(INDEX('Input Statistiche 2025_26'!$H$3:$H$665,MATCH($A320,'Input Statistiche 2025_26'!$A$3:$A$665,0)),"")</f>
        <v>6.12</v>
      </c>
      <c r="U320" s="23" t="str">
        <f>IF(OR('La Mia Rosa'!$O$12="",$D320&lt;&gt;""),"",IF($F320&lt;='La Mia Rosa'!$O$12*'Parametri Modello'!$B$24,"OK",IF($F320&lt;='La Mia Rosa'!$O$12*'Parametri Modello'!$B$25,"Attenzione","Rischio Alto")))</f>
        <v>OK</v>
      </c>
      <c r="V320" s="23">
        <f t="shared" si="37"/>
        <v>124</v>
      </c>
      <c r="W320" s="18">
        <f>'Info Lega'!$B$4-SUMIFS($M$2:$M$492,$D$2:$D$492,'Info Lega'!$B$28)</f>
        <v>1000</v>
      </c>
      <c r="X320" s="18">
        <f>('Info Lega'!$B$5-COUNTIFS($D$2:$D$492,'Info Lega'!$B$28,$B$2:$B$492,"P"))+('Info Lega'!$B$6-COUNTIFS($D$2:$D$492,'Info Lega'!$B$28,$B$2:$B$492,"D"))+('Info Lega'!$B$7-COUNTIFS($D$2:$D$492,'Info Lega'!$B$28,$B$2:$B$492,"C"))+('Info Lega'!$B$8-COUNTIFS($D$2:$D$492,'Info Lega'!$B$28,$B$2:$B$492,"A"))</f>
        <v>25</v>
      </c>
      <c r="Y320" s="18">
        <f>X320*'Parametri Modello'!$B$30</f>
        <v>25</v>
      </c>
      <c r="Z320" s="18">
        <f t="shared" si="38"/>
        <v>975</v>
      </c>
      <c r="AA320" s="18">
        <f t="shared" si="39"/>
        <v>1</v>
      </c>
      <c r="AB320" s="18"/>
      <c r="AC320" s="18" t="str">
        <f>IF($AB320="","",IF($AB320&gt;$AA320,"PASS",IF($AB320&lt;=$AA320*(1-'Parametri Modello'!$B$68),"BID","ATTENZIONE")))</f>
        <v/>
      </c>
      <c r="AD320" s="28">
        <f t="shared" si="40"/>
        <v>61</v>
      </c>
      <c r="AE320" s="5" t="str">
        <f>IFERROR(IF($AF320="Titolare",INDEX('Stato Asta'!$G$9:$G$12,MATCH($B320,'Stato Asta'!$A$9:$A$12,0)),INDEX('Stato Asta'!$P$9:$P$12,MATCH($B320,'Stato Asta'!$A$9:$A$12,0))),"")</f>
        <v>🟢 Riserve abbondanti</v>
      </c>
      <c r="AF320" t="str">
        <f>IFERROR(IF($V320&lt;=INDEX('Parametri Modello'!$C$57:$C$60,MATCH($B320,'Parametri Modello'!$A$57:$A$60,0)),"Titolare","Riserva"),"")</f>
        <v>Riserva</v>
      </c>
      <c r="AG320" t="str">
        <f>IFERROR(INDEX('Pressione Competitiva'!$F$3:$F$6,MATCH($B320,'Pressione Competitiva'!$B$3:$B$6,0)),"")</f>
        <v>🔴 Molto Alta</v>
      </c>
      <c r="AH320" t="str">
        <f t="shared" si="41"/>
        <v/>
      </c>
      <c r="AI320" t="str">
        <f>IFERROR(IF($AH320="","",IF($AH320&gt;=$AA320*'Parametri Modello'!$B$68,"🟢 Opportunita'",IF($AH320&lt;=$AA320*'Parametri Modello'!$B$69,"🔴 Sovrapprezzo","🟡 Prezzo Corretto"))),"")</f>
        <v/>
      </c>
      <c r="AJ320" t="str">
        <f t="shared" si="42"/>
        <v/>
      </c>
      <c r="AK320">
        <f t="shared" si="43"/>
        <v>20</v>
      </c>
      <c r="AL320" t="str">
        <f t="shared" si="44"/>
        <v>C|Scommessa/Riserva|20</v>
      </c>
    </row>
    <row r="321" spans="1:38" ht="14.25" customHeight="1" x14ac:dyDescent="0.25">
      <c r="A321" s="18">
        <v>6252</v>
      </c>
      <c r="B321" s="18" t="s">
        <v>264</v>
      </c>
      <c r="C321" s="18" t="s">
        <v>385</v>
      </c>
      <c r="E321" s="23" t="str">
        <f>IF(COUNTIF('Info Strategia'!$D$2:$D$51,$C321)&gt;0,"SI","NO")</f>
        <v>NO</v>
      </c>
      <c r="F321" s="24">
        <f>IFERROR(ROUND(($G321+($H321-$G321)*'Info Strategia'!$B$6)*(1+IF($E321="SI",'Parametri Modello'!$B$7*'Info Strategia'!$B$6,0)),0),"")</f>
        <v>1</v>
      </c>
      <c r="G321" s="24">
        <f>IFERROR(ROUND(MAX(1,(IF($V321&lt;=INDEX('Parametri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H321" s="24">
        <f>IFERROR(ROUND((IF($V321&lt;=INDEX('Parametri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I321" s="23">
        <f>IFERROR(INDEX('Input Statistiche 2025_26'!$F$3:$F$665,MATCH($A321,'Input Statistiche 2025_26'!$A$3:$A$665,0)),"")</f>
        <v>26</v>
      </c>
      <c r="J321" s="23">
        <f t="shared" si="36"/>
        <v>12</v>
      </c>
      <c r="K321" s="23">
        <f>IFERROR(INDEX('Input Statistiche 2025_26'!$I$3:$I$665,MATCH($A321,'Input Statistiche 2025_26'!$A$3:$A$665,0)),"")</f>
        <v>2</v>
      </c>
      <c r="L321" s="23">
        <f>IFERROR(INDEX('Input Statistiche 2025_26'!$O$3:$O$665,MATCH($A321,'Input Statistiche 2025_26'!$A$3:$A$665,0)),"")</f>
        <v>0</v>
      </c>
      <c r="M321" s="25"/>
      <c r="N321" s="24">
        <f>IFERROR(INDEX('Input Giocatori 2026_27'!$E$3:$E$493,MATCH($A321,'Input Giocatori 2026_27'!$A$3:$A$493,0)),"")</f>
        <v>4</v>
      </c>
      <c r="O321" s="24">
        <f>IFERROR(INDEX('Input Giocatori 2026_27'!$G$3:$G$493,MATCH($A321,'Input Giocatori 2026_27'!$A$3:$A$493,0)),"")</f>
        <v>10</v>
      </c>
      <c r="P321" s="23" t="str">
        <f>IFERROR(IF($O321="","",IF((1-(COUNTIFS($B$2:$B$492,$B321,$O$2:$O$492,"&gt;"&amp;$O321)+1-1)/COUNTIF($B$2:$B$492,$B321))&gt;='Parametri Modello'!$B$63,"Top",IF((1-(COUNTIFS($B$2:$B$492,$B321,$O$2:$O$492,"&gt;"&amp;$O321)+1-1)/COUNTIF($B$2:$B$492,$B321))&gt;='Parametri Modello'!$B$64,"Buono",IF((1-(COUNTIFS($B$2:$B$492,$B321,$O$2:$O$492,"&gt;"&amp;$O321)+1-1)/COUNTIF($B$2:$B$492,$B321))&gt;='Parametri Modello'!$B$65,"Nella Media","Scommessa/Riserva")))),"")</f>
        <v>Scommessa/Riserva</v>
      </c>
      <c r="Q321" s="26">
        <f>IF(AND($D321="",$N321&gt;1),SUMPRODUCT(($D$2:$D321="")*($N$2:$N321&gt;1)),"")</f>
        <v>320</v>
      </c>
      <c r="R321" s="26" t="str">
        <f>IF($D321='Info Lega'!$B$28,COUNTIFS($D$2:$D321,'Info Lega'!$B$28),"")</f>
        <v/>
      </c>
      <c r="S321" s="27">
        <f>IFERROR(INDEX('Input Statistiche 2025_26'!$G$3:$G$665,MATCH($A321,'Input Statistiche 2025_26'!$A$3:$A$665,0)),"")</f>
        <v>6.04</v>
      </c>
      <c r="T321" s="27">
        <f>IFERROR(INDEX('Input Statistiche 2025_26'!$H$3:$H$665,MATCH($A321,'Input Statistiche 2025_26'!$A$3:$A$665,0)),"")</f>
        <v>6.21</v>
      </c>
      <c r="U321" s="23" t="str">
        <f>IF(OR('La Mia Rosa'!$O$12="",$D321&lt;&gt;""),"",IF($F321&lt;='La Mia Rosa'!$O$12*'Parametri Modello'!$B$24,"OK",IF($F321&lt;='La Mia Rosa'!$O$12*'Parametri Modello'!$B$25,"Attenzione","Rischio Alto")))</f>
        <v>OK</v>
      </c>
      <c r="V321" s="23">
        <f t="shared" si="37"/>
        <v>124</v>
      </c>
      <c r="W321" s="18">
        <f>'Info Lega'!$B$4-SUMIFS($M$2:$M$492,$D$2:$D$492,'Info Lega'!$B$28)</f>
        <v>1000</v>
      </c>
      <c r="X321" s="18">
        <f>('Info Lega'!$B$5-COUNTIFS($D$2:$D$492,'Info Lega'!$B$28,$B$2:$B$492,"P"))+('Info Lega'!$B$6-COUNTIFS($D$2:$D$492,'Info Lega'!$B$28,$B$2:$B$492,"D"))+('Info Lega'!$B$7-COUNTIFS($D$2:$D$492,'Info Lega'!$B$28,$B$2:$B$492,"C"))+('Info Lega'!$B$8-COUNTIFS($D$2:$D$492,'Info Lega'!$B$28,$B$2:$B$492,"A"))</f>
        <v>25</v>
      </c>
      <c r="Y321" s="18">
        <f>X321*'Parametri Modello'!$B$30</f>
        <v>25</v>
      </c>
      <c r="Z321" s="18">
        <f t="shared" si="38"/>
        <v>975</v>
      </c>
      <c r="AA321" s="18">
        <f t="shared" si="39"/>
        <v>1</v>
      </c>
      <c r="AB321" s="18"/>
      <c r="AC321" s="18" t="str">
        <f>IF($AB321="","",IF($AB321&gt;$AA321,"PASS",IF($AB321&lt;=$AA321*(1-'Parametri Modello'!$B$68),"BID","ATTENZIONE")))</f>
        <v/>
      </c>
      <c r="AD321" s="28">
        <f t="shared" si="40"/>
        <v>58</v>
      </c>
      <c r="AE321" s="5" t="str">
        <f>IFERROR(IF($AF321="Titolare",INDEX('Stato Asta'!$G$9:$G$12,MATCH($B321,'Stato Asta'!$A$9:$A$12,0)),INDEX('Stato Asta'!$P$9:$P$12,MATCH($B321,'Stato Asta'!$A$9:$A$12,0))),"")</f>
        <v>🟢 Riserve abbondanti</v>
      </c>
      <c r="AF321" t="str">
        <f>IFERROR(IF($V321&lt;=INDEX('Parametri Modello'!$C$57:$C$60,MATCH($B321,'Parametri Modello'!$A$57:$A$60,0)),"Titolare","Riserva"),"")</f>
        <v>Riserva</v>
      </c>
      <c r="AG321" t="str">
        <f>IFERROR(INDEX('Pressione Competitiva'!$F$3:$F$6,MATCH($B321,'Pressione Competitiva'!$B$3:$B$6,0)),"")</f>
        <v>🔴 Molto Alta</v>
      </c>
      <c r="AH321" t="str">
        <f t="shared" si="41"/>
        <v/>
      </c>
      <c r="AI321" t="str">
        <f>IFERROR(IF($AH321="","",IF($AH321&gt;=$AA321*'Parametri Modello'!$B$68,"🟢 Opportunita'",IF($AH321&lt;=$AA321*'Parametri Modello'!$B$69,"🔴 Sovrapprezzo","🟡 Prezzo Corretto"))),"")</f>
        <v/>
      </c>
      <c r="AJ321" t="str">
        <f t="shared" si="42"/>
        <v/>
      </c>
      <c r="AK321">
        <f t="shared" si="43"/>
        <v>20</v>
      </c>
      <c r="AL321" t="str">
        <f t="shared" si="44"/>
        <v>C|Scommessa/Riserva|20</v>
      </c>
    </row>
    <row r="322" spans="1:38" ht="14.25" customHeight="1" x14ac:dyDescent="0.25">
      <c r="A322" s="18">
        <v>6005</v>
      </c>
      <c r="B322" s="18" t="s">
        <v>264</v>
      </c>
      <c r="C322" s="18" t="s">
        <v>389</v>
      </c>
      <c r="E322" s="23" t="str">
        <f>IF(COUNTIF('Info Strategia'!$D$2:$D$51,$C322)&gt;0,"SI","NO")</f>
        <v>NO</v>
      </c>
      <c r="F322" s="24">
        <f>IFERROR(ROUND(($G322+($H322-$G322)*'Info Strategia'!$B$6)*(1+IF($E322="SI",'Parametri Modello'!$B$7*'Info Strategia'!$B$6,0)),0),"")</f>
        <v>1</v>
      </c>
      <c r="G322" s="24">
        <f>IFERROR(ROUND(MAX(1,(IF($V322&lt;=INDEX('Parametri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H322" s="24">
        <f>IFERROR(ROUND((IF($V322&lt;=INDEX('Parametri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I322" s="23">
        <f>IFERROR(INDEX('Input Statistiche 2025_26'!$F$3:$F$665,MATCH($A322,'Input Statistiche 2025_26'!$A$3:$A$665,0)),"")</f>
        <v>17</v>
      </c>
      <c r="J322" s="23">
        <f t="shared" ref="J322:J385" si="45">IFERROR(IF($I322="","",MAX(0,38-$I322)),"")</f>
        <v>21</v>
      </c>
      <c r="K322" s="23">
        <f>IFERROR(INDEX('Input Statistiche 2025_26'!$I$3:$I$665,MATCH($A322,'Input Statistiche 2025_26'!$A$3:$A$665,0)),"")</f>
        <v>1</v>
      </c>
      <c r="L322" s="23">
        <f>IFERROR(INDEX('Input Statistiche 2025_26'!$O$3:$O$665,MATCH($A322,'Input Statistiche 2025_26'!$A$3:$A$665,0)),"")</f>
        <v>2</v>
      </c>
      <c r="M322" s="25"/>
      <c r="N322" s="24">
        <f>IFERROR(INDEX('Input Giocatori 2026_27'!$E$3:$E$493,MATCH($A322,'Input Giocatori 2026_27'!$A$3:$A$493,0)),"")</f>
        <v>4</v>
      </c>
      <c r="O322" s="24">
        <f>IFERROR(INDEX('Input Giocatori 2026_27'!$G$3:$G$493,MATCH($A322,'Input Giocatori 2026_27'!$A$3:$A$493,0)),"")</f>
        <v>10</v>
      </c>
      <c r="P322" s="23" t="str">
        <f>IFERROR(IF($O322="","",IF((1-(COUNTIFS($B$2:$B$492,$B322,$O$2:$O$492,"&gt;"&amp;$O322)+1-1)/COUNTIF($B$2:$B$492,$B322))&gt;='Parametri Modello'!$B$63,"Top",IF((1-(COUNTIFS($B$2:$B$492,$B322,$O$2:$O$492,"&gt;"&amp;$O322)+1-1)/COUNTIF($B$2:$B$492,$B322))&gt;='Parametri Modello'!$B$64,"Buono",IF((1-(COUNTIFS($B$2:$B$492,$B322,$O$2:$O$492,"&gt;"&amp;$O322)+1-1)/COUNTIF($B$2:$B$492,$B322))&gt;='Parametri Modello'!$B$65,"Nella Media","Scommessa/Riserva")))),"")</f>
        <v>Scommessa/Riserva</v>
      </c>
      <c r="Q322" s="26">
        <f>IF(AND($D322="",$N322&gt;1),SUMPRODUCT(($D$2:$D322="")*($N$2:$N322&gt;1)),"")</f>
        <v>321</v>
      </c>
      <c r="R322" s="26" t="str">
        <f>IF($D322='Info Lega'!$B$28,COUNTIFS($D$2:$D322,'Info Lega'!$B$28),"")</f>
        <v/>
      </c>
      <c r="S322" s="27">
        <f>IFERROR(INDEX('Input Statistiche 2025_26'!$G$3:$G$665,MATCH($A322,'Input Statistiche 2025_26'!$A$3:$A$665,0)),"")</f>
        <v>5.82</v>
      </c>
      <c r="T322" s="27">
        <f>IFERROR(INDEX('Input Statistiche 2025_26'!$H$3:$H$665,MATCH($A322,'Input Statistiche 2025_26'!$A$3:$A$665,0)),"")</f>
        <v>6</v>
      </c>
      <c r="U322" s="23" t="str">
        <f>IF(OR('La Mia Rosa'!$O$12="",$D322&lt;&gt;""),"",IF($F322&lt;='La Mia Rosa'!$O$12*'Parametri Modello'!$B$24,"OK",IF($F322&lt;='La Mia Rosa'!$O$12*'Parametri Modello'!$B$25,"Attenzione","Rischio Alto")))</f>
        <v>OK</v>
      </c>
      <c r="V322" s="23">
        <f t="shared" ref="V322:V385" si="46">IFERROR(COUNTIFS($B$2:$B$492,$B322,$O$2:$O$492,"&gt;"&amp;$O322)+1,"")</f>
        <v>124</v>
      </c>
      <c r="W322" s="18">
        <f>'Info Lega'!$B$4-SUMIFS($M$2:$M$492,$D$2:$D$492,'Info Lega'!$B$28)</f>
        <v>1000</v>
      </c>
      <c r="X322" s="18">
        <f>('Info Lega'!$B$5-COUNTIFS($D$2:$D$492,'Info Lega'!$B$28,$B$2:$B$492,"P"))+('Info Lega'!$B$6-COUNTIFS($D$2:$D$492,'Info Lega'!$B$28,$B$2:$B$492,"D"))+('Info Lega'!$B$7-COUNTIFS($D$2:$D$492,'Info Lega'!$B$28,$B$2:$B$492,"C"))+('Info Lega'!$B$8-COUNTIFS($D$2:$D$492,'Info Lega'!$B$28,$B$2:$B$492,"A"))</f>
        <v>25</v>
      </c>
      <c r="Y322" s="18">
        <f>X322*'Parametri Modello'!$B$30</f>
        <v>25</v>
      </c>
      <c r="Z322" s="18">
        <f t="shared" ref="Z322:Z385" si="47">MAX(0,W322-Y322)</f>
        <v>975</v>
      </c>
      <c r="AA322" s="18">
        <f t="shared" ref="AA322:AA385" si="48">MIN(F322,Z322)</f>
        <v>1</v>
      </c>
      <c r="AB322" s="18"/>
      <c r="AC322" s="18" t="str">
        <f>IF($AB322="","",IF($AB322&gt;$AA322,"PASS",IF($AB322&lt;=$AA322*(1-'Parametri Modello'!$B$68),"BID","ATTENZIONE")))</f>
        <v/>
      </c>
      <c r="AD322" s="28">
        <f t="shared" ref="AD322:AD385" si="49">IF(I322="","",ROUND(100*(1-EXP(-I322/30)),0))</f>
        <v>43</v>
      </c>
      <c r="AE322" s="5" t="str">
        <f>IFERROR(IF($AF322="Titolare",INDEX('Stato Asta'!$G$9:$G$12,MATCH($B322,'Stato Asta'!$A$9:$A$12,0)),INDEX('Stato Asta'!$P$9:$P$12,MATCH($B322,'Stato Asta'!$A$9:$A$12,0))),"")</f>
        <v>🟢 Riserve abbondanti</v>
      </c>
      <c r="AF322" t="str">
        <f>IFERROR(IF($V322&lt;=INDEX('Parametri Modello'!$C$57:$C$60,MATCH($B322,'Parametri Modello'!$A$57:$A$60,0)),"Titolare","Riserva"),"")</f>
        <v>Riserva</v>
      </c>
      <c r="AG322" t="str">
        <f>IFERROR(INDEX('Pressione Competitiva'!$F$3:$F$6,MATCH($B322,'Pressione Competitiva'!$B$3:$B$6,0)),"")</f>
        <v>🔴 Molto Alta</v>
      </c>
      <c r="AH322" t="str">
        <f t="shared" ref="AH322:AH385" si="50">IF($AB322="","",$AA322-$AB322)</f>
        <v/>
      </c>
      <c r="AI322" t="str">
        <f>IFERROR(IF($AH322="","",IF($AH322&gt;=$AA322*'Parametri Modello'!$B$68,"🟢 Opportunita'",IF($AH322&lt;=$AA322*'Parametri Modello'!$B$69,"🔴 Sovrapprezzo","🟡 Prezzo Corretto"))),"")</f>
        <v/>
      </c>
      <c r="AJ322" t="str">
        <f t="shared" ref="AJ322:AJ385" si="51">IF($AB322="","",IF($AC322="PASS","Prezzo sopra la tua Offerta Max Dinamica ("&amp;$AA322&amp;" cr).",IF($AC322="BID","Margine ampio sul tuo tetto (+"&amp;($AA322-$AB322)&amp;" cr).","Margine ridotto: sei vicino al tuo tetto ("&amp;($AA322-$AB322)&amp;" cr residui).")))</f>
        <v/>
      </c>
      <c r="AK322">
        <f t="shared" ref="AK322:AK385" si="52">IF(AND($D322="",$N322&gt;1),COUNTIFS($B$2:$B$492,$B322,$P$2:$P$492,$P322,$D$2:$D$492,"",$N$2:$N$492,"&gt;1",$O$2:$O$492,"&gt;"&amp;$O322)+1,"")</f>
        <v>20</v>
      </c>
      <c r="AL322" t="str">
        <f t="shared" ref="AL322:AL385" si="53">IF($AK322="","",$B322&amp;"|"&amp;$P322&amp;"|"&amp;$AK322)</f>
        <v>C|Scommessa/Riserva|20</v>
      </c>
    </row>
    <row r="323" spans="1:38" ht="14.25" customHeight="1" x14ac:dyDescent="0.25">
      <c r="A323" s="18">
        <v>6503</v>
      </c>
      <c r="B323" s="18" t="s">
        <v>264</v>
      </c>
      <c r="C323" s="18" t="s">
        <v>398</v>
      </c>
      <c r="E323" s="23" t="str">
        <f>IF(COUNTIF('Info Strategia'!$D$2:$D$51,$C323)&gt;0,"SI","NO")</f>
        <v>NO</v>
      </c>
      <c r="F323" s="24">
        <f>IFERROR(ROUND(($G323+($H323-$G323)*'Info Strategia'!$B$6)*(1+IF($E323="SI",'Parametri Modello'!$B$7*'Info Strategia'!$B$6,0)),0),"")</f>
        <v>1</v>
      </c>
      <c r="G323" s="24">
        <f>IFERROR(ROUND(MAX(1,(IF($V323&lt;=INDEX('Parametri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H323" s="24">
        <f>IFERROR(ROUND((IF($V323&lt;=INDEX('Parametri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I323" s="23" t="str">
        <f>IFERROR(INDEX('Input Statistiche 2025_26'!$F$3:$F$665,MATCH($A323,'Input Statistiche 2025_26'!$A$3:$A$665,0)),"")</f>
        <v/>
      </c>
      <c r="J323" s="23" t="str">
        <f t="shared" si="45"/>
        <v/>
      </c>
      <c r="K323" s="23" t="str">
        <f>IFERROR(INDEX('Input Statistiche 2025_26'!$I$3:$I$665,MATCH($A323,'Input Statistiche 2025_26'!$A$3:$A$665,0)),"")</f>
        <v/>
      </c>
      <c r="L323" s="23" t="str">
        <f>IFERROR(INDEX('Input Statistiche 2025_26'!$O$3:$O$665,MATCH($A323,'Input Statistiche 2025_26'!$A$3:$A$665,0)),"")</f>
        <v/>
      </c>
      <c r="M323" s="25"/>
      <c r="N323" s="24">
        <f>IFERROR(INDEX('Input Giocatori 2026_27'!$E$3:$E$493,MATCH($A323,'Input Giocatori 2026_27'!$A$3:$A$493,0)),"")</f>
        <v>3</v>
      </c>
      <c r="O323" s="24">
        <f>IFERROR(INDEX('Input Giocatori 2026_27'!$G$3:$G$493,MATCH($A323,'Input Giocatori 2026_27'!$A$3:$A$493,0)),"")</f>
        <v>10</v>
      </c>
      <c r="P323" s="23" t="str">
        <f>IFERROR(IF($O323="","",IF((1-(COUNTIFS($B$2:$B$492,$B323,$O$2:$O$492,"&gt;"&amp;$O323)+1-1)/COUNTIF($B$2:$B$492,$B323))&gt;='Parametri Modello'!$B$63,"Top",IF((1-(COUNTIFS($B$2:$B$492,$B323,$O$2:$O$492,"&gt;"&amp;$O323)+1-1)/COUNTIF($B$2:$B$492,$B323))&gt;='Parametri Modello'!$B$64,"Buono",IF((1-(COUNTIFS($B$2:$B$492,$B323,$O$2:$O$492,"&gt;"&amp;$O323)+1-1)/COUNTIF($B$2:$B$492,$B323))&gt;='Parametri Modello'!$B$65,"Nella Media","Scommessa/Riserva")))),"")</f>
        <v>Scommessa/Riserva</v>
      </c>
      <c r="Q323" s="26">
        <f>IF(AND($D323="",$N323&gt;1),SUMPRODUCT(($D$2:$D323="")*($N$2:$N323&gt;1)),"")</f>
        <v>322</v>
      </c>
      <c r="R323" s="26" t="str">
        <f>IF($D323='Info Lega'!$B$28,COUNTIFS($D$2:$D323,'Info Lega'!$B$28),"")</f>
        <v/>
      </c>
      <c r="S323" s="27" t="str">
        <f>IFERROR(INDEX('Input Statistiche 2025_26'!$G$3:$G$665,MATCH($A323,'Input Statistiche 2025_26'!$A$3:$A$665,0)),"")</f>
        <v/>
      </c>
      <c r="T323" s="27" t="str">
        <f>IFERROR(INDEX('Input Statistiche 2025_26'!$H$3:$H$665,MATCH($A323,'Input Statistiche 2025_26'!$A$3:$A$665,0)),"")</f>
        <v/>
      </c>
      <c r="U323" s="23" t="str">
        <f>IF(OR('La Mia Rosa'!$O$12="",$D323&lt;&gt;""),"",IF($F323&lt;='La Mia Rosa'!$O$12*'Parametri Modello'!$B$24,"OK",IF($F323&lt;='La Mia Rosa'!$O$12*'Parametri Modello'!$B$25,"Attenzione","Rischio Alto")))</f>
        <v>OK</v>
      </c>
      <c r="V323" s="23">
        <f t="shared" si="46"/>
        <v>124</v>
      </c>
      <c r="W323" s="18">
        <f>'Info Lega'!$B$4-SUMIFS($M$2:$M$492,$D$2:$D$492,'Info Lega'!$B$28)</f>
        <v>1000</v>
      </c>
      <c r="X323" s="18">
        <f>('Info Lega'!$B$5-COUNTIFS($D$2:$D$492,'Info Lega'!$B$28,$B$2:$B$492,"P"))+('Info Lega'!$B$6-COUNTIFS($D$2:$D$492,'Info Lega'!$B$28,$B$2:$B$492,"D"))+('Info Lega'!$B$7-COUNTIFS($D$2:$D$492,'Info Lega'!$B$28,$B$2:$B$492,"C"))+('Info Lega'!$B$8-COUNTIFS($D$2:$D$492,'Info Lega'!$B$28,$B$2:$B$492,"A"))</f>
        <v>25</v>
      </c>
      <c r="Y323" s="18">
        <f>X323*'Parametri Modello'!$B$30</f>
        <v>25</v>
      </c>
      <c r="Z323" s="18">
        <f t="shared" si="47"/>
        <v>975</v>
      </c>
      <c r="AA323" s="18">
        <f t="shared" si="48"/>
        <v>1</v>
      </c>
      <c r="AB323" s="18"/>
      <c r="AC323" s="18" t="str">
        <f>IF($AB323="","",IF($AB323&gt;$AA323,"PASS",IF($AB323&lt;=$AA323*(1-'Parametri Modello'!$B$68),"BID","ATTENZIONE")))</f>
        <v/>
      </c>
      <c r="AD323" s="28" t="str">
        <f t="shared" si="49"/>
        <v/>
      </c>
      <c r="AE323" s="5" t="str">
        <f>IFERROR(IF($AF323="Titolare",INDEX('Stato Asta'!$G$9:$G$12,MATCH($B323,'Stato Asta'!$A$9:$A$12,0)),INDEX('Stato Asta'!$P$9:$P$12,MATCH($B323,'Stato Asta'!$A$9:$A$12,0))),"")</f>
        <v>🟢 Riserve abbondanti</v>
      </c>
      <c r="AF323" t="str">
        <f>IFERROR(IF($V323&lt;=INDEX('Parametri Modello'!$C$57:$C$60,MATCH($B323,'Parametri Modello'!$A$57:$A$60,0)),"Titolare","Riserva"),"")</f>
        <v>Riserva</v>
      </c>
      <c r="AG323" t="str">
        <f>IFERROR(INDEX('Pressione Competitiva'!$F$3:$F$6,MATCH($B323,'Pressione Competitiva'!$B$3:$B$6,0)),"")</f>
        <v>🔴 Molto Alta</v>
      </c>
      <c r="AH323" t="str">
        <f t="shared" si="50"/>
        <v/>
      </c>
      <c r="AI323" t="str">
        <f>IFERROR(IF($AH323="","",IF($AH323&gt;=$AA323*'Parametri Modello'!$B$68,"🟢 Opportunita'",IF($AH323&lt;=$AA323*'Parametri Modello'!$B$69,"🔴 Sovrapprezzo","🟡 Prezzo Corretto"))),"")</f>
        <v/>
      </c>
      <c r="AJ323" t="str">
        <f t="shared" si="51"/>
        <v/>
      </c>
      <c r="AK323">
        <f t="shared" si="52"/>
        <v>20</v>
      </c>
      <c r="AL323" t="str">
        <f t="shared" si="53"/>
        <v>C|Scommessa/Riserva|20</v>
      </c>
    </row>
    <row r="324" spans="1:38" ht="14.25" customHeight="1" x14ac:dyDescent="0.25">
      <c r="A324" s="18">
        <v>313</v>
      </c>
      <c r="B324" s="18" t="s">
        <v>437</v>
      </c>
      <c r="C324" s="18" t="s">
        <v>500</v>
      </c>
      <c r="E324" s="23" t="str">
        <f>IF(COUNTIF('Info Strategia'!$D$2:$D$51,$C324)&gt;0,"SI","NO")</f>
        <v>NO</v>
      </c>
      <c r="F324" s="24">
        <f>IFERROR(ROUND(($G324+($H324-$G324)*'Info Strategia'!$B$6)*(1+IF($E324="SI",'Parametri Modello'!$B$7*'Info Strategia'!$B$6,0)),0),"")</f>
        <v>3</v>
      </c>
      <c r="G324" s="24">
        <f>IFERROR(ROUND(MAX(1,(IF($V324&lt;=INDEX('Parametri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2</v>
      </c>
      <c r="H324" s="24">
        <f>IFERROR(ROUND((IF($V324&lt;=INDEX('Parametri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4</v>
      </c>
      <c r="I324" s="23">
        <f>IFERROR(INDEX('Input Statistiche 2025_26'!$F$3:$F$665,MATCH($A324,'Input Statistiche 2025_26'!$A$3:$A$665,0)),"")</f>
        <v>17</v>
      </c>
      <c r="J324" s="23">
        <f t="shared" si="45"/>
        <v>21</v>
      </c>
      <c r="K324" s="23">
        <f>IFERROR(INDEX('Input Statistiche 2025_26'!$I$3:$I$665,MATCH($A324,'Input Statistiche 2025_26'!$A$3:$A$665,0)),"")</f>
        <v>0</v>
      </c>
      <c r="L324" s="23">
        <f>IFERROR(INDEX('Input Statistiche 2025_26'!$O$3:$O$665,MATCH($A324,'Input Statistiche 2025_26'!$A$3:$A$665,0)),"")</f>
        <v>0</v>
      </c>
      <c r="M324" s="25"/>
      <c r="N324" s="24">
        <f>IFERROR(INDEX('Input Giocatori 2026_27'!$E$3:$E$493,MATCH($A324,'Input Giocatori 2026_27'!$A$3:$A$493,0)),"")</f>
        <v>4</v>
      </c>
      <c r="O324" s="24">
        <f>IFERROR(INDEX('Input Giocatori 2026_27'!$G$3:$G$493,MATCH($A324,'Input Giocatori 2026_27'!$A$3:$A$493,0)),"")</f>
        <v>10</v>
      </c>
      <c r="P324" s="23" t="str">
        <f>IFERROR(IF($O324="","",IF((1-(COUNTIFS($B$2:$B$492,$B324,$O$2:$O$492,"&gt;"&amp;$O324)+1-1)/COUNTIF($B$2:$B$492,$B324))&gt;='Parametri Modello'!$B$63,"Top",IF((1-(COUNTIFS($B$2:$B$492,$B324,$O$2:$O$492,"&gt;"&amp;$O324)+1-1)/COUNTIF($B$2:$B$492,$B324))&gt;='Parametri Modello'!$B$64,"Buono",IF((1-(COUNTIFS($B$2:$B$492,$B324,$O$2:$O$492,"&gt;"&amp;$O324)+1-1)/COUNTIF($B$2:$B$492,$B324))&gt;='Parametri Modello'!$B$65,"Nella Media","Scommessa/Riserva")))),"")</f>
        <v>Scommessa/Riserva</v>
      </c>
      <c r="Q324" s="26">
        <f>IF(AND($D324="",$N324&gt;1),SUMPRODUCT(($D$2:$D324="")*($N$2:$N324&gt;1)),"")</f>
        <v>323</v>
      </c>
      <c r="R324" s="26" t="str">
        <f>IF($D324='Info Lega'!$B$28,COUNTIFS($D$2:$D324,'Info Lega'!$B$28),"")</f>
        <v/>
      </c>
      <c r="S324" s="27">
        <f>IFERROR(INDEX('Input Statistiche 2025_26'!$G$3:$G$665,MATCH($A324,'Input Statistiche 2025_26'!$A$3:$A$665,0)),"")</f>
        <v>5.5</v>
      </c>
      <c r="T324" s="27">
        <f>IFERROR(INDEX('Input Statistiche 2025_26'!$H$3:$H$665,MATCH($A324,'Input Statistiche 2025_26'!$A$3:$A$665,0)),"")</f>
        <v>5.21</v>
      </c>
      <c r="U324" s="23" t="str">
        <f>IF(OR('La Mia Rosa'!$O$12="",$D324&lt;&gt;""),"",IF($F324&lt;='La Mia Rosa'!$O$12*'Parametri Modello'!$B$24,"OK",IF($F324&lt;='La Mia Rosa'!$O$12*'Parametri Modello'!$B$25,"Attenzione","Rischio Alto")))</f>
        <v>OK</v>
      </c>
      <c r="V324" s="23">
        <f t="shared" si="46"/>
        <v>63</v>
      </c>
      <c r="W324" s="18">
        <f>'Info Lega'!$B$4-SUMIFS($M$2:$M$492,$D$2:$D$492,'Info Lega'!$B$28)</f>
        <v>1000</v>
      </c>
      <c r="X324" s="18">
        <f>('Info Lega'!$B$5-COUNTIFS($D$2:$D$492,'Info Lega'!$B$28,$B$2:$B$492,"P"))+('Info Lega'!$B$6-COUNTIFS($D$2:$D$492,'Info Lega'!$B$28,$B$2:$B$492,"D"))+('Info Lega'!$B$7-COUNTIFS($D$2:$D$492,'Info Lega'!$B$28,$B$2:$B$492,"C"))+('Info Lega'!$B$8-COUNTIFS($D$2:$D$492,'Info Lega'!$B$28,$B$2:$B$492,"A"))</f>
        <v>25</v>
      </c>
      <c r="Y324" s="18">
        <f>X324*'Parametri Modello'!$B$30</f>
        <v>25</v>
      </c>
      <c r="Z324" s="18">
        <f t="shared" si="47"/>
        <v>975</v>
      </c>
      <c r="AA324" s="18">
        <f t="shared" si="48"/>
        <v>3</v>
      </c>
      <c r="AB324" s="18"/>
      <c r="AC324" s="18" t="str">
        <f>IF($AB324="","",IF($AB324&gt;$AA324,"PASS",IF($AB324&lt;=$AA324*(1-'Parametri Modello'!$B$68),"BID","ATTENZIONE")))</f>
        <v/>
      </c>
      <c r="AD324" s="28">
        <f t="shared" si="49"/>
        <v>43</v>
      </c>
      <c r="AE324" s="5" t="str">
        <f>IFERROR(IF($AF324="Titolare",INDEX('Stato Asta'!$G$9:$G$12,MATCH($B324,'Stato Asta'!$A$9:$A$12,0)),INDEX('Stato Asta'!$P$9:$P$12,MATCH($B324,'Stato Asta'!$A$9:$A$12,0))),"")</f>
        <v>🟢 Riserve abbondanti</v>
      </c>
      <c r="AF324" t="str">
        <f>IFERROR(IF($V324&lt;=INDEX('Parametri Modello'!$C$57:$C$60,MATCH($B324,'Parametri Modello'!$A$57:$A$60,0)),"Titolare","Riserva"),"")</f>
        <v>Riserva</v>
      </c>
      <c r="AG324" t="str">
        <f>IFERROR(INDEX('Pressione Competitiva'!$F$3:$F$6,MATCH($B324,'Pressione Competitiva'!$B$3:$B$6,0)),"")</f>
        <v>🔴 Molto Alta</v>
      </c>
      <c r="AH324" t="str">
        <f t="shared" si="50"/>
        <v/>
      </c>
      <c r="AI324" t="str">
        <f>IFERROR(IF($AH324="","",IF($AH324&gt;=$AA324*'Parametri Modello'!$B$68,"🟢 Opportunita'",IF($AH324&lt;=$AA324*'Parametri Modello'!$B$69,"🔴 Sovrapprezzo","🟡 Prezzo Corretto"))),"")</f>
        <v/>
      </c>
      <c r="AJ324" t="str">
        <f t="shared" si="51"/>
        <v/>
      </c>
      <c r="AK324">
        <f t="shared" si="52"/>
        <v>9</v>
      </c>
      <c r="AL324" t="str">
        <f t="shared" si="53"/>
        <v>A|Scommessa/Riserva|9</v>
      </c>
    </row>
    <row r="325" spans="1:38" ht="14.25" customHeight="1" x14ac:dyDescent="0.25">
      <c r="A325" s="18">
        <v>7162</v>
      </c>
      <c r="B325" s="18" t="s">
        <v>437</v>
      </c>
      <c r="C325" s="18" t="s">
        <v>503</v>
      </c>
      <c r="E325" s="23" t="str">
        <f>IF(COUNTIF('Info Strategia'!$D$2:$D$51,$C325)&gt;0,"SI","NO")</f>
        <v>NO</v>
      </c>
      <c r="F325" s="24">
        <f>IFERROR(ROUND(($G325+($H325-$G325)*'Info Strategia'!$B$6)*(1+IF($E325="SI",'Parametri Modello'!$B$7*'Info Strategia'!$B$6,0)),0),"")</f>
        <v>3</v>
      </c>
      <c r="G325" s="24">
        <f>IFERROR(ROUND(MAX(1,(IF($V325&lt;=INDEX('Parametri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2</v>
      </c>
      <c r="H325" s="24">
        <f>IFERROR(ROUND((IF($V325&lt;=INDEX('Parametri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4</v>
      </c>
      <c r="I325" s="23">
        <f>IFERROR(INDEX('Input Statistiche 2025_26'!$F$3:$F$665,MATCH($A325,'Input Statistiche 2025_26'!$A$3:$A$665,0)),"")</f>
        <v>31</v>
      </c>
      <c r="J325" s="23">
        <f t="shared" si="45"/>
        <v>7</v>
      </c>
      <c r="K325" s="23">
        <f>IFERROR(INDEX('Input Statistiche 2025_26'!$I$3:$I$665,MATCH($A325,'Input Statistiche 2025_26'!$A$3:$A$665,0)),"")</f>
        <v>3</v>
      </c>
      <c r="L325" s="23">
        <f>IFERROR(INDEX('Input Statistiche 2025_26'!$O$3:$O$665,MATCH($A325,'Input Statistiche 2025_26'!$A$3:$A$665,0)),"")</f>
        <v>6</v>
      </c>
      <c r="M325" s="25"/>
      <c r="N325" s="24">
        <f>IFERROR(INDEX('Input Giocatori 2026_27'!$E$3:$E$493,MATCH($A325,'Input Giocatori 2026_27'!$A$3:$A$493,0)),"")</f>
        <v>4</v>
      </c>
      <c r="O325" s="24">
        <f>IFERROR(INDEX('Input Giocatori 2026_27'!$G$3:$G$493,MATCH($A325,'Input Giocatori 2026_27'!$A$3:$A$493,0)),"")</f>
        <v>10</v>
      </c>
      <c r="P325" s="23" t="str">
        <f>IFERROR(IF($O325="","",IF((1-(COUNTIFS($B$2:$B$492,$B325,$O$2:$O$492,"&gt;"&amp;$O325)+1-1)/COUNTIF($B$2:$B$492,$B325))&gt;='Parametri Modello'!$B$63,"Top",IF((1-(COUNTIFS($B$2:$B$492,$B325,$O$2:$O$492,"&gt;"&amp;$O325)+1-1)/COUNTIF($B$2:$B$492,$B325))&gt;='Parametri Modello'!$B$64,"Buono",IF((1-(COUNTIFS($B$2:$B$492,$B325,$O$2:$O$492,"&gt;"&amp;$O325)+1-1)/COUNTIF($B$2:$B$492,$B325))&gt;='Parametri Modello'!$B$65,"Nella Media","Scommessa/Riserva")))),"")</f>
        <v>Scommessa/Riserva</v>
      </c>
      <c r="Q325" s="26">
        <f>IF(AND($D325="",$N325&gt;1),SUMPRODUCT(($D$2:$D325="")*($N$2:$N325&gt;1)),"")</f>
        <v>324</v>
      </c>
      <c r="R325" s="26" t="str">
        <f>IF($D325='Info Lega'!$B$28,COUNTIFS($D$2:$D325,'Info Lega'!$B$28),"")</f>
        <v/>
      </c>
      <c r="S325" s="27">
        <f>IFERROR(INDEX('Input Statistiche 2025_26'!$G$3:$G$665,MATCH($A325,'Input Statistiche 2025_26'!$A$3:$A$665,0)),"")</f>
        <v>6</v>
      </c>
      <c r="T325" s="27">
        <f>IFERROR(INDEX('Input Statistiche 2025_26'!$H$3:$H$665,MATCH($A325,'Input Statistiche 2025_26'!$A$3:$A$665,0)),"")</f>
        <v>6.45</v>
      </c>
      <c r="U325" s="23" t="str">
        <f>IF(OR('La Mia Rosa'!$O$12="",$D325&lt;&gt;""),"",IF($F325&lt;='La Mia Rosa'!$O$12*'Parametri Modello'!$B$24,"OK",IF($F325&lt;='La Mia Rosa'!$O$12*'Parametri Modello'!$B$25,"Attenzione","Rischio Alto")))</f>
        <v>OK</v>
      </c>
      <c r="V325" s="23">
        <f t="shared" si="46"/>
        <v>63</v>
      </c>
      <c r="W325" s="18">
        <f>'Info Lega'!$B$4-SUMIFS($M$2:$M$492,$D$2:$D$492,'Info Lega'!$B$28)</f>
        <v>1000</v>
      </c>
      <c r="X325" s="18">
        <f>('Info Lega'!$B$5-COUNTIFS($D$2:$D$492,'Info Lega'!$B$28,$B$2:$B$492,"P"))+('Info Lega'!$B$6-COUNTIFS($D$2:$D$492,'Info Lega'!$B$28,$B$2:$B$492,"D"))+('Info Lega'!$B$7-COUNTIFS($D$2:$D$492,'Info Lega'!$B$28,$B$2:$B$492,"C"))+('Info Lega'!$B$8-COUNTIFS($D$2:$D$492,'Info Lega'!$B$28,$B$2:$B$492,"A"))</f>
        <v>25</v>
      </c>
      <c r="Y325" s="18">
        <f>X325*'Parametri Modello'!$B$30</f>
        <v>25</v>
      </c>
      <c r="Z325" s="18">
        <f t="shared" si="47"/>
        <v>975</v>
      </c>
      <c r="AA325" s="18">
        <f t="shared" si="48"/>
        <v>3</v>
      </c>
      <c r="AB325" s="18"/>
      <c r="AC325" s="18" t="str">
        <f>IF($AB325="","",IF($AB325&gt;$AA325,"PASS",IF($AB325&lt;=$AA325*(1-'Parametri Modello'!$B$68),"BID","ATTENZIONE")))</f>
        <v/>
      </c>
      <c r="AD325" s="28">
        <f t="shared" si="49"/>
        <v>64</v>
      </c>
      <c r="AE325" s="5" t="str">
        <f>IFERROR(IF($AF325="Titolare",INDEX('Stato Asta'!$G$9:$G$12,MATCH($B325,'Stato Asta'!$A$9:$A$12,0)),INDEX('Stato Asta'!$P$9:$P$12,MATCH($B325,'Stato Asta'!$A$9:$A$12,0))),"")</f>
        <v>🟢 Riserve abbondanti</v>
      </c>
      <c r="AF325" t="str">
        <f>IFERROR(IF($V325&lt;=INDEX('Parametri Modello'!$C$57:$C$60,MATCH($B325,'Parametri Modello'!$A$57:$A$60,0)),"Titolare","Riserva"),"")</f>
        <v>Riserva</v>
      </c>
      <c r="AG325" t="str">
        <f>IFERROR(INDEX('Pressione Competitiva'!$F$3:$F$6,MATCH($B325,'Pressione Competitiva'!$B$3:$B$6,0)),"")</f>
        <v>🔴 Molto Alta</v>
      </c>
      <c r="AH325" t="str">
        <f t="shared" si="50"/>
        <v/>
      </c>
      <c r="AI325" t="str">
        <f>IFERROR(IF($AH325="","",IF($AH325&gt;=$AA325*'Parametri Modello'!$B$68,"🟢 Opportunita'",IF($AH325&lt;=$AA325*'Parametri Modello'!$B$69,"🔴 Sovrapprezzo","🟡 Prezzo Corretto"))),"")</f>
        <v/>
      </c>
      <c r="AJ325" t="str">
        <f t="shared" si="51"/>
        <v/>
      </c>
      <c r="AK325">
        <f t="shared" si="52"/>
        <v>9</v>
      </c>
      <c r="AL325" t="str">
        <f t="shared" si="53"/>
        <v>A|Scommessa/Riserva|9</v>
      </c>
    </row>
    <row r="326" spans="1:38" ht="14.25" customHeight="1" x14ac:dyDescent="0.25">
      <c r="A326" s="18">
        <v>6822</v>
      </c>
      <c r="B326" s="18" t="s">
        <v>437</v>
      </c>
      <c r="C326" s="18" t="s">
        <v>507</v>
      </c>
      <c r="E326" s="23" t="str">
        <f>IF(COUNTIF('Info Strategia'!$D$2:$D$51,$C326)&gt;0,"SI","NO")</f>
        <v>NO</v>
      </c>
      <c r="F326" s="24">
        <f>IFERROR(ROUND(($G326+($H326-$G326)*'Info Strategia'!$B$6)*(1+IF($E326="SI",'Parametri Modello'!$B$7*'Info Strategia'!$B$6,0)),0),"")</f>
        <v>3</v>
      </c>
      <c r="G326" s="24">
        <f>IFERROR(ROUND(MAX(1,(IF($V326&lt;=INDEX('Parametri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2</v>
      </c>
      <c r="H326" s="24">
        <f>IFERROR(ROUND((IF($V326&lt;=INDEX('Parametri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4</v>
      </c>
      <c r="I326" s="23">
        <f>IFERROR(INDEX('Input Statistiche 2025_26'!$F$3:$F$665,MATCH($A326,'Input Statistiche 2025_26'!$A$3:$A$665,0)),"")</f>
        <v>25</v>
      </c>
      <c r="J326" s="23">
        <f t="shared" si="45"/>
        <v>13</v>
      </c>
      <c r="K326" s="23">
        <f>IFERROR(INDEX('Input Statistiche 2025_26'!$I$3:$I$665,MATCH($A326,'Input Statistiche 2025_26'!$A$3:$A$665,0)),"")</f>
        <v>3</v>
      </c>
      <c r="L326" s="23">
        <f>IFERROR(INDEX('Input Statistiche 2025_26'!$O$3:$O$665,MATCH($A326,'Input Statistiche 2025_26'!$A$3:$A$665,0)),"")</f>
        <v>0</v>
      </c>
      <c r="M326" s="25"/>
      <c r="N326" s="24">
        <f>IFERROR(INDEX('Input Giocatori 2026_27'!$E$3:$E$493,MATCH($A326,'Input Giocatori 2026_27'!$A$3:$A$493,0)),"")</f>
        <v>3</v>
      </c>
      <c r="O326" s="24">
        <f>IFERROR(INDEX('Input Giocatori 2026_27'!$G$3:$G$493,MATCH($A326,'Input Giocatori 2026_27'!$A$3:$A$493,0)),"")</f>
        <v>10</v>
      </c>
      <c r="P326" s="23" t="str">
        <f>IFERROR(IF($O326="","",IF((1-(COUNTIFS($B$2:$B$492,$B326,$O$2:$O$492,"&gt;"&amp;$O326)+1-1)/COUNTIF($B$2:$B$492,$B326))&gt;='Parametri Modello'!$B$63,"Top",IF((1-(COUNTIFS($B$2:$B$492,$B326,$O$2:$O$492,"&gt;"&amp;$O326)+1-1)/COUNTIF($B$2:$B$492,$B326))&gt;='Parametri Modello'!$B$64,"Buono",IF((1-(COUNTIFS($B$2:$B$492,$B326,$O$2:$O$492,"&gt;"&amp;$O326)+1-1)/COUNTIF($B$2:$B$492,$B326))&gt;='Parametri Modello'!$B$65,"Nella Media","Scommessa/Riserva")))),"")</f>
        <v>Scommessa/Riserva</v>
      </c>
      <c r="Q326" s="26">
        <f>IF(AND($D326="",$N326&gt;1),SUMPRODUCT(($D$2:$D326="")*($N$2:$N326&gt;1)),"")</f>
        <v>325</v>
      </c>
      <c r="R326" s="26" t="str">
        <f>IF($D326='Info Lega'!$B$28,COUNTIFS($D$2:$D326,'Info Lega'!$B$28),"")</f>
        <v/>
      </c>
      <c r="S326" s="27">
        <f>IFERROR(INDEX('Input Statistiche 2025_26'!$G$3:$G$665,MATCH($A326,'Input Statistiche 2025_26'!$A$3:$A$665,0)),"")</f>
        <v>5.96</v>
      </c>
      <c r="T326" s="27">
        <f>IFERROR(INDEX('Input Statistiche 2025_26'!$H$3:$H$665,MATCH($A326,'Input Statistiche 2025_26'!$A$3:$A$665,0)),"")</f>
        <v>6.28</v>
      </c>
      <c r="U326" s="23" t="str">
        <f>IF(OR('La Mia Rosa'!$O$12="",$D326&lt;&gt;""),"",IF($F326&lt;='La Mia Rosa'!$O$12*'Parametri Modello'!$B$24,"OK",IF($F326&lt;='La Mia Rosa'!$O$12*'Parametri Modello'!$B$25,"Attenzione","Rischio Alto")))</f>
        <v>OK</v>
      </c>
      <c r="V326" s="23">
        <f t="shared" si="46"/>
        <v>63</v>
      </c>
      <c r="W326" s="18">
        <f>'Info Lega'!$B$4-SUMIFS($M$2:$M$492,$D$2:$D$492,'Info Lega'!$B$28)</f>
        <v>1000</v>
      </c>
      <c r="X326" s="18">
        <f>('Info Lega'!$B$5-COUNTIFS($D$2:$D$492,'Info Lega'!$B$28,$B$2:$B$492,"P"))+('Info Lega'!$B$6-COUNTIFS($D$2:$D$492,'Info Lega'!$B$28,$B$2:$B$492,"D"))+('Info Lega'!$B$7-COUNTIFS($D$2:$D$492,'Info Lega'!$B$28,$B$2:$B$492,"C"))+('Info Lega'!$B$8-COUNTIFS($D$2:$D$492,'Info Lega'!$B$28,$B$2:$B$492,"A"))</f>
        <v>25</v>
      </c>
      <c r="Y326" s="18">
        <f>X326*'Parametri Modello'!$B$30</f>
        <v>25</v>
      </c>
      <c r="Z326" s="18">
        <f t="shared" si="47"/>
        <v>975</v>
      </c>
      <c r="AA326" s="18">
        <f t="shared" si="48"/>
        <v>3</v>
      </c>
      <c r="AB326" s="18"/>
      <c r="AC326" s="18" t="str">
        <f>IF($AB326="","",IF($AB326&gt;$AA326,"PASS",IF($AB326&lt;=$AA326*(1-'Parametri Modello'!$B$68),"BID","ATTENZIONE")))</f>
        <v/>
      </c>
      <c r="AD326" s="28">
        <f t="shared" si="49"/>
        <v>57</v>
      </c>
      <c r="AE326" s="5" t="str">
        <f>IFERROR(IF($AF326="Titolare",INDEX('Stato Asta'!$G$9:$G$12,MATCH($B326,'Stato Asta'!$A$9:$A$12,0)),INDEX('Stato Asta'!$P$9:$P$12,MATCH($B326,'Stato Asta'!$A$9:$A$12,0))),"")</f>
        <v>🟢 Riserve abbondanti</v>
      </c>
      <c r="AF326" t="str">
        <f>IFERROR(IF($V326&lt;=INDEX('Parametri Modello'!$C$57:$C$60,MATCH($B326,'Parametri Modello'!$A$57:$A$60,0)),"Titolare","Riserva"),"")</f>
        <v>Riserva</v>
      </c>
      <c r="AG326" t="str">
        <f>IFERROR(INDEX('Pressione Competitiva'!$F$3:$F$6,MATCH($B326,'Pressione Competitiva'!$B$3:$B$6,0)),"")</f>
        <v>🔴 Molto Alta</v>
      </c>
      <c r="AH326" t="str">
        <f t="shared" si="50"/>
        <v/>
      </c>
      <c r="AI326" t="str">
        <f>IFERROR(IF($AH326="","",IF($AH326&gt;=$AA326*'Parametri Modello'!$B$68,"🟢 Opportunita'",IF($AH326&lt;=$AA326*'Parametri Modello'!$B$69,"🔴 Sovrapprezzo","🟡 Prezzo Corretto"))),"")</f>
        <v/>
      </c>
      <c r="AJ326" t="str">
        <f t="shared" si="51"/>
        <v/>
      </c>
      <c r="AK326">
        <f t="shared" si="52"/>
        <v>9</v>
      </c>
      <c r="AL326" t="str">
        <f t="shared" si="53"/>
        <v>A|Scommessa/Riserva|9</v>
      </c>
    </row>
    <row r="327" spans="1:38" ht="14.25" customHeight="1" x14ac:dyDescent="0.25">
      <c r="A327" s="18">
        <v>7120</v>
      </c>
      <c r="B327" s="18" t="s">
        <v>437</v>
      </c>
      <c r="C327" s="18" t="s">
        <v>510</v>
      </c>
      <c r="E327" s="23" t="str">
        <f>IF(COUNTIF('Info Strategia'!$D$2:$D$51,$C327)&gt;0,"SI","NO")</f>
        <v>NO</v>
      </c>
      <c r="F327" s="24">
        <f>IFERROR(ROUND(($G327+($H327-$G327)*'Info Strategia'!$B$6)*(1+IF($E327="SI",'Parametri Modello'!$B$7*'Info Strategia'!$B$6,0)),0),"")</f>
        <v>3</v>
      </c>
      <c r="G327" s="24">
        <f>IFERROR(ROUND(MAX(1,(IF($V327&lt;=INDEX('Parametri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2</v>
      </c>
      <c r="H327" s="24">
        <f>IFERROR(ROUND((IF($V327&lt;=INDEX('Parametri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4</v>
      </c>
      <c r="I327" s="23">
        <f>IFERROR(INDEX('Input Statistiche 2025_26'!$F$3:$F$665,MATCH($A327,'Input Statistiche 2025_26'!$A$3:$A$665,0)),"")</f>
        <v>14</v>
      </c>
      <c r="J327" s="23">
        <f t="shared" si="45"/>
        <v>24</v>
      </c>
      <c r="K327" s="23">
        <f>IFERROR(INDEX('Input Statistiche 2025_26'!$I$3:$I$665,MATCH($A327,'Input Statistiche 2025_26'!$A$3:$A$665,0)),"")</f>
        <v>1</v>
      </c>
      <c r="L327" s="23">
        <f>IFERROR(INDEX('Input Statistiche 2025_26'!$O$3:$O$665,MATCH($A327,'Input Statistiche 2025_26'!$A$3:$A$665,0)),"")</f>
        <v>2</v>
      </c>
      <c r="M327" s="25"/>
      <c r="N327" s="24">
        <f>IFERROR(INDEX('Input Giocatori 2026_27'!$E$3:$E$493,MATCH($A327,'Input Giocatori 2026_27'!$A$3:$A$493,0)),"")</f>
        <v>3</v>
      </c>
      <c r="O327" s="24">
        <f>IFERROR(INDEX('Input Giocatori 2026_27'!$G$3:$G$493,MATCH($A327,'Input Giocatori 2026_27'!$A$3:$A$493,0)),"")</f>
        <v>10</v>
      </c>
      <c r="P327" s="23" t="str">
        <f>IFERROR(IF($O327="","",IF((1-(COUNTIFS($B$2:$B$492,$B327,$O$2:$O$492,"&gt;"&amp;$O327)+1-1)/COUNTIF($B$2:$B$492,$B327))&gt;='Parametri Modello'!$B$63,"Top",IF((1-(COUNTIFS($B$2:$B$492,$B327,$O$2:$O$492,"&gt;"&amp;$O327)+1-1)/COUNTIF($B$2:$B$492,$B327))&gt;='Parametri Modello'!$B$64,"Buono",IF((1-(COUNTIFS($B$2:$B$492,$B327,$O$2:$O$492,"&gt;"&amp;$O327)+1-1)/COUNTIF($B$2:$B$492,$B327))&gt;='Parametri Modello'!$B$65,"Nella Media","Scommessa/Riserva")))),"")</f>
        <v>Scommessa/Riserva</v>
      </c>
      <c r="Q327" s="26">
        <f>IF(AND($D327="",$N327&gt;1),SUMPRODUCT(($D$2:$D327="")*($N$2:$N327&gt;1)),"")</f>
        <v>326</v>
      </c>
      <c r="R327" s="26" t="str">
        <f>IF($D327='Info Lega'!$B$28,COUNTIFS($D$2:$D327,'Info Lega'!$B$28),"")</f>
        <v/>
      </c>
      <c r="S327" s="27">
        <f>IFERROR(INDEX('Input Statistiche 2025_26'!$G$3:$G$665,MATCH($A327,'Input Statistiche 2025_26'!$A$3:$A$665,0)),"")</f>
        <v>6.04</v>
      </c>
      <c r="T327" s="27">
        <f>IFERROR(INDEX('Input Statistiche 2025_26'!$H$3:$H$665,MATCH($A327,'Input Statistiche 2025_26'!$A$3:$A$665,0)),"")</f>
        <v>6.32</v>
      </c>
      <c r="U327" s="23" t="str">
        <f>IF(OR('La Mia Rosa'!$O$12="",$D327&lt;&gt;""),"",IF($F327&lt;='La Mia Rosa'!$O$12*'Parametri Modello'!$B$24,"OK",IF($F327&lt;='La Mia Rosa'!$O$12*'Parametri Modello'!$B$25,"Attenzione","Rischio Alto")))</f>
        <v>OK</v>
      </c>
      <c r="V327" s="23">
        <f t="shared" si="46"/>
        <v>63</v>
      </c>
      <c r="W327" s="18">
        <f>'Info Lega'!$B$4-SUMIFS($M$2:$M$492,$D$2:$D$492,'Info Lega'!$B$28)</f>
        <v>1000</v>
      </c>
      <c r="X327" s="18">
        <f>('Info Lega'!$B$5-COUNTIFS($D$2:$D$492,'Info Lega'!$B$28,$B$2:$B$492,"P"))+('Info Lega'!$B$6-COUNTIFS($D$2:$D$492,'Info Lega'!$B$28,$B$2:$B$492,"D"))+('Info Lega'!$B$7-COUNTIFS($D$2:$D$492,'Info Lega'!$B$28,$B$2:$B$492,"C"))+('Info Lega'!$B$8-COUNTIFS($D$2:$D$492,'Info Lega'!$B$28,$B$2:$B$492,"A"))</f>
        <v>25</v>
      </c>
      <c r="Y327" s="18">
        <f>X327*'Parametri Modello'!$B$30</f>
        <v>25</v>
      </c>
      <c r="Z327" s="18">
        <f t="shared" si="47"/>
        <v>975</v>
      </c>
      <c r="AA327" s="18">
        <f t="shared" si="48"/>
        <v>3</v>
      </c>
      <c r="AB327" s="18"/>
      <c r="AC327" s="18" t="str">
        <f>IF($AB327="","",IF($AB327&gt;$AA327,"PASS",IF($AB327&lt;=$AA327*(1-'Parametri Modello'!$B$68),"BID","ATTENZIONE")))</f>
        <v/>
      </c>
      <c r="AD327" s="28">
        <f t="shared" si="49"/>
        <v>37</v>
      </c>
      <c r="AE327" s="5" t="str">
        <f>IFERROR(IF($AF327="Titolare",INDEX('Stato Asta'!$G$9:$G$12,MATCH($B327,'Stato Asta'!$A$9:$A$12,0)),INDEX('Stato Asta'!$P$9:$P$12,MATCH($B327,'Stato Asta'!$A$9:$A$12,0))),"")</f>
        <v>🟢 Riserve abbondanti</v>
      </c>
      <c r="AF327" t="str">
        <f>IFERROR(IF($V327&lt;=INDEX('Parametri Modello'!$C$57:$C$60,MATCH($B327,'Parametri Modello'!$A$57:$A$60,0)),"Titolare","Riserva"),"")</f>
        <v>Riserva</v>
      </c>
      <c r="AG327" t="str">
        <f>IFERROR(INDEX('Pressione Competitiva'!$F$3:$F$6,MATCH($B327,'Pressione Competitiva'!$B$3:$B$6,0)),"")</f>
        <v>🔴 Molto Alta</v>
      </c>
      <c r="AH327" t="str">
        <f t="shared" si="50"/>
        <v/>
      </c>
      <c r="AI327" t="str">
        <f>IFERROR(IF($AH327="","",IF($AH327&gt;=$AA327*'Parametri Modello'!$B$68,"🟢 Opportunita'",IF($AH327&lt;=$AA327*'Parametri Modello'!$B$69,"🔴 Sovrapprezzo","🟡 Prezzo Corretto"))),"")</f>
        <v/>
      </c>
      <c r="AJ327" t="str">
        <f t="shared" si="51"/>
        <v/>
      </c>
      <c r="AK327">
        <f t="shared" si="52"/>
        <v>9</v>
      </c>
      <c r="AL327" t="str">
        <f t="shared" si="53"/>
        <v>A|Scommessa/Riserva|9</v>
      </c>
    </row>
    <row r="328" spans="1:38" ht="14.25" customHeight="1" x14ac:dyDescent="0.25">
      <c r="A328" s="18">
        <v>6215</v>
      </c>
      <c r="B328" s="18" t="s">
        <v>437</v>
      </c>
      <c r="C328" s="18" t="s">
        <v>511</v>
      </c>
      <c r="E328" s="23" t="str">
        <f>IF(COUNTIF('Info Strategia'!$D$2:$D$51,$C328)&gt;0,"SI","NO")</f>
        <v>NO</v>
      </c>
      <c r="F328" s="24">
        <f>IFERROR(ROUND(($G328+($H328-$G328)*'Info Strategia'!$B$6)*(1+IF($E328="SI",'Parametri Modello'!$B$7*'Info Strategia'!$B$6,0)),0),"")</f>
        <v>3</v>
      </c>
      <c r="G328" s="24">
        <f>IFERROR(ROUND(MAX(1,(IF($V328&lt;=INDEX('Parametri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2</v>
      </c>
      <c r="H328" s="24">
        <f>IFERROR(ROUND((IF($V328&lt;=INDEX('Parametri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4</v>
      </c>
      <c r="I328" s="23">
        <f>IFERROR(INDEX('Input Statistiche 2025_26'!$F$3:$F$665,MATCH($A328,'Input Statistiche 2025_26'!$A$3:$A$665,0)),"")</f>
        <v>9</v>
      </c>
      <c r="J328" s="23">
        <f t="shared" si="45"/>
        <v>29</v>
      </c>
      <c r="K328" s="23">
        <f>IFERROR(INDEX('Input Statistiche 2025_26'!$I$3:$I$665,MATCH($A328,'Input Statistiche 2025_26'!$A$3:$A$665,0)),"")</f>
        <v>1</v>
      </c>
      <c r="L328" s="23">
        <f>IFERROR(INDEX('Input Statistiche 2025_26'!$O$3:$O$665,MATCH($A328,'Input Statistiche 2025_26'!$A$3:$A$665,0)),"")</f>
        <v>0</v>
      </c>
      <c r="M328" s="25"/>
      <c r="N328" s="24">
        <f>IFERROR(INDEX('Input Giocatori 2026_27'!$E$3:$E$493,MATCH($A328,'Input Giocatori 2026_27'!$A$3:$A$493,0)),"")</f>
        <v>3</v>
      </c>
      <c r="O328" s="24">
        <f>IFERROR(INDEX('Input Giocatori 2026_27'!$G$3:$G$493,MATCH($A328,'Input Giocatori 2026_27'!$A$3:$A$493,0)),"")</f>
        <v>10</v>
      </c>
      <c r="P328" s="23" t="str">
        <f>IFERROR(IF($O328="","",IF((1-(COUNTIFS($B$2:$B$492,$B328,$O$2:$O$492,"&gt;"&amp;$O328)+1-1)/COUNTIF($B$2:$B$492,$B328))&gt;='Parametri Modello'!$B$63,"Top",IF((1-(COUNTIFS($B$2:$B$492,$B328,$O$2:$O$492,"&gt;"&amp;$O328)+1-1)/COUNTIF($B$2:$B$492,$B328))&gt;='Parametri Modello'!$B$64,"Buono",IF((1-(COUNTIFS($B$2:$B$492,$B328,$O$2:$O$492,"&gt;"&amp;$O328)+1-1)/COUNTIF($B$2:$B$492,$B328))&gt;='Parametri Modello'!$B$65,"Nella Media","Scommessa/Riserva")))),"")</f>
        <v>Scommessa/Riserva</v>
      </c>
      <c r="Q328" s="26">
        <f>IF(AND($D328="",$N328&gt;1),SUMPRODUCT(($D$2:$D328="")*($N$2:$N328&gt;1)),"")</f>
        <v>327</v>
      </c>
      <c r="R328" s="26" t="str">
        <f>IF($D328='Info Lega'!$B$28,COUNTIFS($D$2:$D328,'Info Lega'!$B$28),"")</f>
        <v/>
      </c>
      <c r="S328" s="27">
        <f>IFERROR(INDEX('Input Statistiche 2025_26'!$G$3:$G$665,MATCH($A328,'Input Statistiche 2025_26'!$A$3:$A$665,0)),"")</f>
        <v>5.72</v>
      </c>
      <c r="T328" s="27">
        <f>IFERROR(INDEX('Input Statistiche 2025_26'!$H$3:$H$665,MATCH($A328,'Input Statistiche 2025_26'!$A$3:$A$665,0)),"")</f>
        <v>6</v>
      </c>
      <c r="U328" s="23" t="str">
        <f>IF(OR('La Mia Rosa'!$O$12="",$D328&lt;&gt;""),"",IF($F328&lt;='La Mia Rosa'!$O$12*'Parametri Modello'!$B$24,"OK",IF($F328&lt;='La Mia Rosa'!$O$12*'Parametri Modello'!$B$25,"Attenzione","Rischio Alto")))</f>
        <v>OK</v>
      </c>
      <c r="V328" s="23">
        <f t="shared" si="46"/>
        <v>63</v>
      </c>
      <c r="W328" s="18">
        <f>'Info Lega'!$B$4-SUMIFS($M$2:$M$492,$D$2:$D$492,'Info Lega'!$B$28)</f>
        <v>1000</v>
      </c>
      <c r="X328" s="18">
        <f>('Info Lega'!$B$5-COUNTIFS($D$2:$D$492,'Info Lega'!$B$28,$B$2:$B$492,"P"))+('Info Lega'!$B$6-COUNTIFS($D$2:$D$492,'Info Lega'!$B$28,$B$2:$B$492,"D"))+('Info Lega'!$B$7-COUNTIFS($D$2:$D$492,'Info Lega'!$B$28,$B$2:$B$492,"C"))+('Info Lega'!$B$8-COUNTIFS($D$2:$D$492,'Info Lega'!$B$28,$B$2:$B$492,"A"))</f>
        <v>25</v>
      </c>
      <c r="Y328" s="18">
        <f>X328*'Parametri Modello'!$B$30</f>
        <v>25</v>
      </c>
      <c r="Z328" s="18">
        <f t="shared" si="47"/>
        <v>975</v>
      </c>
      <c r="AA328" s="18">
        <f t="shared" si="48"/>
        <v>3</v>
      </c>
      <c r="AB328" s="18"/>
      <c r="AC328" s="18" t="str">
        <f>IF($AB328="","",IF($AB328&gt;$AA328,"PASS",IF($AB328&lt;=$AA328*(1-'Parametri Modello'!$B$68),"BID","ATTENZIONE")))</f>
        <v/>
      </c>
      <c r="AD328" s="28">
        <f t="shared" si="49"/>
        <v>26</v>
      </c>
      <c r="AE328" s="5" t="str">
        <f>IFERROR(IF($AF328="Titolare",INDEX('Stato Asta'!$G$9:$G$12,MATCH($B328,'Stato Asta'!$A$9:$A$12,0)),INDEX('Stato Asta'!$P$9:$P$12,MATCH($B328,'Stato Asta'!$A$9:$A$12,0))),"")</f>
        <v>🟢 Riserve abbondanti</v>
      </c>
      <c r="AF328" t="str">
        <f>IFERROR(IF($V328&lt;=INDEX('Parametri Modello'!$C$57:$C$60,MATCH($B328,'Parametri Modello'!$A$57:$A$60,0)),"Titolare","Riserva"),"")</f>
        <v>Riserva</v>
      </c>
      <c r="AG328" t="str">
        <f>IFERROR(INDEX('Pressione Competitiva'!$F$3:$F$6,MATCH($B328,'Pressione Competitiva'!$B$3:$B$6,0)),"")</f>
        <v>🔴 Molto Alta</v>
      </c>
      <c r="AH328" t="str">
        <f t="shared" si="50"/>
        <v/>
      </c>
      <c r="AI328" t="str">
        <f>IFERROR(IF($AH328="","",IF($AH328&gt;=$AA328*'Parametri Modello'!$B$68,"🟢 Opportunita'",IF($AH328&lt;=$AA328*'Parametri Modello'!$B$69,"🔴 Sovrapprezzo","🟡 Prezzo Corretto"))),"")</f>
        <v/>
      </c>
      <c r="AJ328" t="str">
        <f t="shared" si="51"/>
        <v/>
      </c>
      <c r="AK328">
        <f t="shared" si="52"/>
        <v>9</v>
      </c>
      <c r="AL328" t="str">
        <f t="shared" si="53"/>
        <v>A|Scommessa/Riserva|9</v>
      </c>
    </row>
    <row r="329" spans="1:38" ht="14.25" customHeight="1" x14ac:dyDescent="0.25">
      <c r="A329" s="18">
        <v>4461</v>
      </c>
      <c r="B329" s="18" t="s">
        <v>88</v>
      </c>
      <c r="C329" s="18" t="s">
        <v>179</v>
      </c>
      <c r="E329" s="23" t="str">
        <f>IF(COUNTIF('Info Strategia'!$D$2:$D$51,$C329)&gt;0,"SI","NO")</f>
        <v>NO</v>
      </c>
      <c r="F329" s="24">
        <f>IFERROR(ROUND(($G329+($H329-$G329)*'Info Strategia'!$B$6)*(1+IF($E329="SI",'Parametri Modello'!$B$7*'Info Strategia'!$B$6,0)),0),"")</f>
        <v>2</v>
      </c>
      <c r="G329" s="24">
        <f>IFERROR(ROUND(MAX(1,(IF($V329&lt;=INDEX('Parametri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1</v>
      </c>
      <c r="H329" s="24">
        <f>IFERROR(ROUND((IF($V329&lt;=INDEX('Parametri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2</v>
      </c>
      <c r="I329" s="23">
        <f>IFERROR(INDEX('Input Statistiche 2025_26'!$F$3:$F$665,MATCH($A329,'Input Statistiche 2025_26'!$A$3:$A$665,0)),"")</f>
        <v>25</v>
      </c>
      <c r="J329" s="23">
        <f t="shared" si="45"/>
        <v>13</v>
      </c>
      <c r="K329" s="23">
        <f>IFERROR(INDEX('Input Statistiche 2025_26'!$I$3:$I$665,MATCH($A329,'Input Statistiche 2025_26'!$A$3:$A$665,0)),"")</f>
        <v>0</v>
      </c>
      <c r="L329" s="23">
        <f>IFERROR(INDEX('Input Statistiche 2025_26'!$O$3:$O$665,MATCH($A329,'Input Statistiche 2025_26'!$A$3:$A$665,0)),"")</f>
        <v>3</v>
      </c>
      <c r="M329" s="25"/>
      <c r="N329" s="24">
        <f>IFERROR(INDEX('Input Giocatori 2026_27'!$E$3:$E$493,MATCH($A329,'Input Giocatori 2026_27'!$A$3:$A$493,0)),"")</f>
        <v>4</v>
      </c>
      <c r="O329" s="24">
        <f>IFERROR(INDEX('Input Giocatori 2026_27'!$G$3:$G$493,MATCH($A329,'Input Giocatori 2026_27'!$A$3:$A$493,0)),"")</f>
        <v>9</v>
      </c>
      <c r="P329" s="23" t="str">
        <f>IFERROR(IF($O329="","",IF((1-(COUNTIFS($B$2:$B$492,$B329,$O$2:$O$492,"&gt;"&amp;$O329)+1-1)/COUNTIF($B$2:$B$492,$B329))&gt;='Parametri Modello'!$B$63,"Top",IF((1-(COUNTIFS($B$2:$B$492,$B329,$O$2:$O$492,"&gt;"&amp;$O329)+1-1)/COUNTIF($B$2:$B$492,$B329))&gt;='Parametri Modello'!$B$64,"Buono",IF((1-(COUNTIFS($B$2:$B$492,$B329,$O$2:$O$492,"&gt;"&amp;$O329)+1-1)/COUNTIF($B$2:$B$492,$B329))&gt;='Parametri Modello'!$B$65,"Nella Media","Scommessa/Riserva")))),"")</f>
        <v>Scommessa/Riserva</v>
      </c>
      <c r="Q329" s="26">
        <f>IF(AND($D329="",$N329&gt;1),SUMPRODUCT(($D$2:$D329="")*($N$2:$N329&gt;1)),"")</f>
        <v>328</v>
      </c>
      <c r="R329" s="26" t="str">
        <f>IF($D329='Info Lega'!$B$28,COUNTIFS($D$2:$D329,'Info Lega'!$B$28),"")</f>
        <v/>
      </c>
      <c r="S329" s="27">
        <f>IFERROR(INDEX('Input Statistiche 2025_26'!$G$3:$G$665,MATCH($A329,'Input Statistiche 2025_26'!$A$3:$A$665,0)),"")</f>
        <v>5.9</v>
      </c>
      <c r="T329" s="27">
        <f>IFERROR(INDEX('Input Statistiche 2025_26'!$H$3:$H$665,MATCH($A329,'Input Statistiche 2025_26'!$A$3:$A$665,0)),"")</f>
        <v>5.98</v>
      </c>
      <c r="U329" s="23" t="str">
        <f>IF(OR('La Mia Rosa'!$O$12="",$D329&lt;&gt;""),"",IF($F329&lt;='La Mia Rosa'!$O$12*'Parametri Modello'!$B$24,"OK",IF($F329&lt;='La Mia Rosa'!$O$12*'Parametri Modello'!$B$25,"Attenzione","Rischio Alto")))</f>
        <v>OK</v>
      </c>
      <c r="V329" s="23">
        <f t="shared" si="46"/>
        <v>112</v>
      </c>
      <c r="W329" s="18">
        <f>'Info Lega'!$B$4-SUMIFS($M$2:$M$492,$D$2:$D$492,'Info Lega'!$B$28)</f>
        <v>1000</v>
      </c>
      <c r="X329" s="18">
        <f>('Info Lega'!$B$5-COUNTIFS($D$2:$D$492,'Info Lega'!$B$28,$B$2:$B$492,"P"))+('Info Lega'!$B$6-COUNTIFS($D$2:$D$492,'Info Lega'!$B$28,$B$2:$B$492,"D"))+('Info Lega'!$B$7-COUNTIFS($D$2:$D$492,'Info Lega'!$B$28,$B$2:$B$492,"C"))+('Info Lega'!$B$8-COUNTIFS($D$2:$D$492,'Info Lega'!$B$28,$B$2:$B$492,"A"))</f>
        <v>25</v>
      </c>
      <c r="Y329" s="18">
        <f>X329*'Parametri Modello'!$B$30</f>
        <v>25</v>
      </c>
      <c r="Z329" s="18">
        <f t="shared" si="47"/>
        <v>975</v>
      </c>
      <c r="AA329" s="18">
        <f t="shared" si="48"/>
        <v>2</v>
      </c>
      <c r="AB329" s="18"/>
      <c r="AC329" s="18" t="str">
        <f>IF($AB329="","",IF($AB329&gt;$AA329,"PASS",IF($AB329&lt;=$AA329*(1-'Parametri Modello'!$B$68),"BID","ATTENZIONE")))</f>
        <v/>
      </c>
      <c r="AD329" s="28">
        <f t="shared" si="49"/>
        <v>57</v>
      </c>
      <c r="AE329" s="5" t="str">
        <f>IFERROR(IF($AF329="Titolare",INDEX('Stato Asta'!$G$9:$G$12,MATCH($B329,'Stato Asta'!$A$9:$A$12,0)),INDEX('Stato Asta'!$P$9:$P$12,MATCH($B329,'Stato Asta'!$A$9:$A$12,0))),"")</f>
        <v>🟢 Riserve abbondanti</v>
      </c>
      <c r="AF329" t="str">
        <f>IFERROR(IF($V329&lt;=INDEX('Parametri Modello'!$C$57:$C$60,MATCH($B329,'Parametri Modello'!$A$57:$A$60,0)),"Titolare","Riserva"),"")</f>
        <v>Riserva</v>
      </c>
      <c r="AG329" t="str">
        <f>IFERROR(INDEX('Pressione Competitiva'!$F$3:$F$6,MATCH($B329,'Pressione Competitiva'!$B$3:$B$6,0)),"")</f>
        <v>🔴 Molto Alta</v>
      </c>
      <c r="AH329" t="str">
        <f t="shared" si="50"/>
        <v/>
      </c>
      <c r="AI329" t="str">
        <f>IFERROR(IF($AH329="","",IF($AH329&gt;=$AA329*'Parametri Modello'!$B$68,"🟢 Opportunita'",IF($AH329&lt;=$AA329*'Parametri Modello'!$B$69,"🔴 Sovrapprezzo","🟡 Prezzo Corretto"))),"")</f>
        <v/>
      </c>
      <c r="AJ329" t="str">
        <f t="shared" si="51"/>
        <v/>
      </c>
      <c r="AK329">
        <f t="shared" si="52"/>
        <v>1</v>
      </c>
      <c r="AL329" t="str">
        <f t="shared" si="53"/>
        <v>D|Scommessa/Riserva|1</v>
      </c>
    </row>
    <row r="330" spans="1:38" ht="14.25" customHeight="1" x14ac:dyDescent="0.25">
      <c r="A330" s="18">
        <v>7537</v>
      </c>
      <c r="B330" s="18" t="s">
        <v>88</v>
      </c>
      <c r="C330" s="18" t="s">
        <v>183</v>
      </c>
      <c r="E330" s="23" t="str">
        <f>IF(COUNTIF('Info Strategia'!$D$2:$D$51,$C330)&gt;0,"SI","NO")</f>
        <v>NO</v>
      </c>
      <c r="F330" s="24">
        <f>IFERROR(ROUND(($G330+($H330-$G330)*'Info Strategia'!$B$6)*(1+IF($E330="SI",'Parametri Modello'!$B$7*'Info Strategia'!$B$6,0)),0),"")</f>
        <v>2</v>
      </c>
      <c r="G330" s="24">
        <f>IFERROR(ROUND(MAX(1,(IF($V330&lt;=INDEX('Parametri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1</v>
      </c>
      <c r="H330" s="24">
        <f>IFERROR(ROUND((IF($V330&lt;=INDEX('Parametri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2</v>
      </c>
      <c r="I330" s="23" t="str">
        <f>IFERROR(INDEX('Input Statistiche 2025_26'!$F$3:$F$665,MATCH($A330,'Input Statistiche 2025_26'!$A$3:$A$665,0)),"")</f>
        <v/>
      </c>
      <c r="J330" s="23" t="str">
        <f t="shared" si="45"/>
        <v/>
      </c>
      <c r="K330" s="23" t="str">
        <f>IFERROR(INDEX('Input Statistiche 2025_26'!$I$3:$I$665,MATCH($A330,'Input Statistiche 2025_26'!$A$3:$A$665,0)),"")</f>
        <v/>
      </c>
      <c r="L330" s="23" t="str">
        <f>IFERROR(INDEX('Input Statistiche 2025_26'!$O$3:$O$665,MATCH($A330,'Input Statistiche 2025_26'!$A$3:$A$665,0)),"")</f>
        <v/>
      </c>
      <c r="M330" s="25"/>
      <c r="N330" s="24">
        <f>IFERROR(INDEX('Input Giocatori 2026_27'!$E$3:$E$493,MATCH($A330,'Input Giocatori 2026_27'!$A$3:$A$493,0)),"")</f>
        <v>4</v>
      </c>
      <c r="O330" s="24">
        <f>IFERROR(INDEX('Input Giocatori 2026_27'!$G$3:$G$493,MATCH($A330,'Input Giocatori 2026_27'!$A$3:$A$493,0)),"")</f>
        <v>9</v>
      </c>
      <c r="P330" s="23" t="str">
        <f>IFERROR(IF($O330="","",IF((1-(COUNTIFS($B$2:$B$492,$B330,$O$2:$O$492,"&gt;"&amp;$O330)+1-1)/COUNTIF($B$2:$B$492,$B330))&gt;='Parametri Modello'!$B$63,"Top",IF((1-(COUNTIFS($B$2:$B$492,$B330,$O$2:$O$492,"&gt;"&amp;$O330)+1-1)/COUNTIF($B$2:$B$492,$B330))&gt;='Parametri Modello'!$B$64,"Buono",IF((1-(COUNTIFS($B$2:$B$492,$B330,$O$2:$O$492,"&gt;"&amp;$O330)+1-1)/COUNTIF($B$2:$B$492,$B330))&gt;='Parametri Modello'!$B$65,"Nella Media","Scommessa/Riserva")))),"")</f>
        <v>Scommessa/Riserva</v>
      </c>
      <c r="Q330" s="26">
        <f>IF(AND($D330="",$N330&gt;1),SUMPRODUCT(($D$2:$D330="")*($N$2:$N330&gt;1)),"")</f>
        <v>329</v>
      </c>
      <c r="R330" s="26" t="str">
        <f>IF($D330='Info Lega'!$B$28,COUNTIFS($D$2:$D330,'Info Lega'!$B$28),"")</f>
        <v/>
      </c>
      <c r="S330" s="27" t="str">
        <f>IFERROR(INDEX('Input Statistiche 2025_26'!$G$3:$G$665,MATCH($A330,'Input Statistiche 2025_26'!$A$3:$A$665,0)),"")</f>
        <v/>
      </c>
      <c r="T330" s="27" t="str">
        <f>IFERROR(INDEX('Input Statistiche 2025_26'!$H$3:$H$665,MATCH($A330,'Input Statistiche 2025_26'!$A$3:$A$665,0)),"")</f>
        <v/>
      </c>
      <c r="U330" s="23" t="str">
        <f>IF(OR('La Mia Rosa'!$O$12="",$D330&lt;&gt;""),"",IF($F330&lt;='La Mia Rosa'!$O$12*'Parametri Modello'!$B$24,"OK",IF($F330&lt;='La Mia Rosa'!$O$12*'Parametri Modello'!$B$25,"Attenzione","Rischio Alto")))</f>
        <v>OK</v>
      </c>
      <c r="V330" s="23">
        <f t="shared" si="46"/>
        <v>112</v>
      </c>
      <c r="W330" s="18">
        <f>'Info Lega'!$B$4-SUMIFS($M$2:$M$492,$D$2:$D$492,'Info Lega'!$B$28)</f>
        <v>1000</v>
      </c>
      <c r="X330" s="18">
        <f>('Info Lega'!$B$5-COUNTIFS($D$2:$D$492,'Info Lega'!$B$28,$B$2:$B$492,"P"))+('Info Lega'!$B$6-COUNTIFS($D$2:$D$492,'Info Lega'!$B$28,$B$2:$B$492,"D"))+('Info Lega'!$B$7-COUNTIFS($D$2:$D$492,'Info Lega'!$B$28,$B$2:$B$492,"C"))+('Info Lega'!$B$8-COUNTIFS($D$2:$D$492,'Info Lega'!$B$28,$B$2:$B$492,"A"))</f>
        <v>25</v>
      </c>
      <c r="Y330" s="18">
        <f>X330*'Parametri Modello'!$B$30</f>
        <v>25</v>
      </c>
      <c r="Z330" s="18">
        <f t="shared" si="47"/>
        <v>975</v>
      </c>
      <c r="AA330" s="18">
        <f t="shared" si="48"/>
        <v>2</v>
      </c>
      <c r="AB330" s="18"/>
      <c r="AC330" s="18" t="str">
        <f>IF($AB330="","",IF($AB330&gt;$AA330,"PASS",IF($AB330&lt;=$AA330*(1-'Parametri Modello'!$B$68),"BID","ATTENZIONE")))</f>
        <v/>
      </c>
      <c r="AD330" s="28" t="str">
        <f t="shared" si="49"/>
        <v/>
      </c>
      <c r="AE330" s="5" t="str">
        <f>IFERROR(IF($AF330="Titolare",INDEX('Stato Asta'!$G$9:$G$12,MATCH($B330,'Stato Asta'!$A$9:$A$12,0)),INDEX('Stato Asta'!$P$9:$P$12,MATCH($B330,'Stato Asta'!$A$9:$A$12,0))),"")</f>
        <v>🟢 Riserve abbondanti</v>
      </c>
      <c r="AF330" t="str">
        <f>IFERROR(IF($V330&lt;=INDEX('Parametri Modello'!$C$57:$C$60,MATCH($B330,'Parametri Modello'!$A$57:$A$60,0)),"Titolare","Riserva"),"")</f>
        <v>Riserva</v>
      </c>
      <c r="AG330" t="str">
        <f>IFERROR(INDEX('Pressione Competitiva'!$F$3:$F$6,MATCH($B330,'Pressione Competitiva'!$B$3:$B$6,0)),"")</f>
        <v>🔴 Molto Alta</v>
      </c>
      <c r="AH330" t="str">
        <f t="shared" si="50"/>
        <v/>
      </c>
      <c r="AI330" t="str">
        <f>IFERROR(IF($AH330="","",IF($AH330&gt;=$AA330*'Parametri Modello'!$B$68,"🟢 Opportunita'",IF($AH330&lt;=$AA330*'Parametri Modello'!$B$69,"🔴 Sovrapprezzo","🟡 Prezzo Corretto"))),"")</f>
        <v/>
      </c>
      <c r="AJ330" t="str">
        <f t="shared" si="51"/>
        <v/>
      </c>
      <c r="AK330">
        <f t="shared" si="52"/>
        <v>1</v>
      </c>
      <c r="AL330" t="str">
        <f t="shared" si="53"/>
        <v>D|Scommessa/Riserva|1</v>
      </c>
    </row>
    <row r="331" spans="1:38" ht="14.25" customHeight="1" x14ac:dyDescent="0.25">
      <c r="A331" s="18">
        <v>4263</v>
      </c>
      <c r="B331" s="18" t="s">
        <v>88</v>
      </c>
      <c r="C331" s="18" t="s">
        <v>194</v>
      </c>
      <c r="E331" s="23" t="str">
        <f>IF(COUNTIF('Info Strategia'!$D$2:$D$51,$C331)&gt;0,"SI","NO")</f>
        <v>NO</v>
      </c>
      <c r="F331" s="24">
        <f>IFERROR(ROUND(($G331+($H331-$G331)*'Info Strategia'!$B$6)*(1+IF($E331="SI",'Parametri Modello'!$B$7*'Info Strategia'!$B$6,0)),0),"")</f>
        <v>2</v>
      </c>
      <c r="G331" s="24">
        <f>IFERROR(ROUND(MAX(1,(IF($V331&lt;=INDEX('Parametri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1</v>
      </c>
      <c r="H331" s="24">
        <f>IFERROR(ROUND((IF($V331&lt;=INDEX('Parametri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2</v>
      </c>
      <c r="I331" s="23">
        <f>IFERROR(INDEX('Input Statistiche 2025_26'!$F$3:$F$665,MATCH($A331,'Input Statistiche 2025_26'!$A$3:$A$665,0)),"")</f>
        <v>28</v>
      </c>
      <c r="J331" s="23">
        <f t="shared" si="45"/>
        <v>10</v>
      </c>
      <c r="K331" s="23">
        <f>IFERROR(INDEX('Input Statistiche 2025_26'!$I$3:$I$665,MATCH($A331,'Input Statistiche 2025_26'!$A$3:$A$665,0)),"")</f>
        <v>3</v>
      </c>
      <c r="L331" s="23">
        <f>IFERROR(INDEX('Input Statistiche 2025_26'!$O$3:$O$665,MATCH($A331,'Input Statistiche 2025_26'!$A$3:$A$665,0)),"")</f>
        <v>0</v>
      </c>
      <c r="M331" s="25"/>
      <c r="N331" s="24">
        <f>IFERROR(INDEX('Input Giocatori 2026_27'!$E$3:$E$493,MATCH($A331,'Input Giocatori 2026_27'!$A$3:$A$493,0)),"")</f>
        <v>4</v>
      </c>
      <c r="O331" s="24">
        <f>IFERROR(INDEX('Input Giocatori 2026_27'!$G$3:$G$493,MATCH($A331,'Input Giocatori 2026_27'!$A$3:$A$493,0)),"")</f>
        <v>9</v>
      </c>
      <c r="P331" s="23" t="str">
        <f>IFERROR(IF($O331="","",IF((1-(COUNTIFS($B$2:$B$492,$B331,$O$2:$O$492,"&gt;"&amp;$O331)+1-1)/COUNTIF($B$2:$B$492,$B331))&gt;='Parametri Modello'!$B$63,"Top",IF((1-(COUNTIFS($B$2:$B$492,$B331,$O$2:$O$492,"&gt;"&amp;$O331)+1-1)/COUNTIF($B$2:$B$492,$B331))&gt;='Parametri Modello'!$B$64,"Buono",IF((1-(COUNTIFS($B$2:$B$492,$B331,$O$2:$O$492,"&gt;"&amp;$O331)+1-1)/COUNTIF($B$2:$B$492,$B331))&gt;='Parametri Modello'!$B$65,"Nella Media","Scommessa/Riserva")))),"")</f>
        <v>Scommessa/Riserva</v>
      </c>
      <c r="Q331" s="26">
        <f>IF(AND($D331="",$N331&gt;1),SUMPRODUCT(($D$2:$D331="")*($N$2:$N331&gt;1)),"")</f>
        <v>330</v>
      </c>
      <c r="R331" s="26" t="str">
        <f>IF($D331='Info Lega'!$B$28,COUNTIFS($D$2:$D331,'Info Lega'!$B$28),"")</f>
        <v/>
      </c>
      <c r="S331" s="27">
        <f>IFERROR(INDEX('Input Statistiche 2025_26'!$G$3:$G$665,MATCH($A331,'Input Statistiche 2025_26'!$A$3:$A$665,0)),"")</f>
        <v>5.98</v>
      </c>
      <c r="T331" s="27">
        <f>IFERROR(INDEX('Input Statistiche 2025_26'!$H$3:$H$665,MATCH($A331,'Input Statistiche 2025_26'!$A$3:$A$665,0)),"")</f>
        <v>6.18</v>
      </c>
      <c r="U331" s="23" t="str">
        <f>IF(OR('La Mia Rosa'!$O$12="",$D331&lt;&gt;""),"",IF($F331&lt;='La Mia Rosa'!$O$12*'Parametri Modello'!$B$24,"OK",IF($F331&lt;='La Mia Rosa'!$O$12*'Parametri Modello'!$B$25,"Attenzione","Rischio Alto")))</f>
        <v>OK</v>
      </c>
      <c r="V331" s="23">
        <f t="shared" si="46"/>
        <v>112</v>
      </c>
      <c r="W331" s="18">
        <f>'Info Lega'!$B$4-SUMIFS($M$2:$M$492,$D$2:$D$492,'Info Lega'!$B$28)</f>
        <v>1000</v>
      </c>
      <c r="X331" s="18">
        <f>('Info Lega'!$B$5-COUNTIFS($D$2:$D$492,'Info Lega'!$B$28,$B$2:$B$492,"P"))+('Info Lega'!$B$6-COUNTIFS($D$2:$D$492,'Info Lega'!$B$28,$B$2:$B$492,"D"))+('Info Lega'!$B$7-COUNTIFS($D$2:$D$492,'Info Lega'!$B$28,$B$2:$B$492,"C"))+('Info Lega'!$B$8-COUNTIFS($D$2:$D$492,'Info Lega'!$B$28,$B$2:$B$492,"A"))</f>
        <v>25</v>
      </c>
      <c r="Y331" s="18">
        <f>X331*'Parametri Modello'!$B$30</f>
        <v>25</v>
      </c>
      <c r="Z331" s="18">
        <f t="shared" si="47"/>
        <v>975</v>
      </c>
      <c r="AA331" s="18">
        <f t="shared" si="48"/>
        <v>2</v>
      </c>
      <c r="AB331" s="18"/>
      <c r="AC331" s="18" t="str">
        <f>IF($AB331="","",IF($AB331&gt;$AA331,"PASS",IF($AB331&lt;=$AA331*(1-'Parametri Modello'!$B$68),"BID","ATTENZIONE")))</f>
        <v/>
      </c>
      <c r="AD331" s="28">
        <f t="shared" si="49"/>
        <v>61</v>
      </c>
      <c r="AE331" s="5" t="str">
        <f>IFERROR(IF($AF331="Titolare",INDEX('Stato Asta'!$G$9:$G$12,MATCH($B331,'Stato Asta'!$A$9:$A$12,0)),INDEX('Stato Asta'!$P$9:$P$12,MATCH($B331,'Stato Asta'!$A$9:$A$12,0))),"")</f>
        <v>🟢 Riserve abbondanti</v>
      </c>
      <c r="AF331" t="str">
        <f>IFERROR(IF($V331&lt;=INDEX('Parametri Modello'!$C$57:$C$60,MATCH($B331,'Parametri Modello'!$A$57:$A$60,0)),"Titolare","Riserva"),"")</f>
        <v>Riserva</v>
      </c>
      <c r="AG331" t="str">
        <f>IFERROR(INDEX('Pressione Competitiva'!$F$3:$F$6,MATCH($B331,'Pressione Competitiva'!$B$3:$B$6,0)),"")</f>
        <v>🔴 Molto Alta</v>
      </c>
      <c r="AH331" t="str">
        <f t="shared" si="50"/>
        <v/>
      </c>
      <c r="AI331" t="str">
        <f>IFERROR(IF($AH331="","",IF($AH331&gt;=$AA331*'Parametri Modello'!$B$68,"🟢 Opportunita'",IF($AH331&lt;=$AA331*'Parametri Modello'!$B$69,"🔴 Sovrapprezzo","🟡 Prezzo Corretto"))),"")</f>
        <v/>
      </c>
      <c r="AJ331" t="str">
        <f t="shared" si="51"/>
        <v/>
      </c>
      <c r="AK331">
        <f t="shared" si="52"/>
        <v>1</v>
      </c>
      <c r="AL331" t="str">
        <f t="shared" si="53"/>
        <v>D|Scommessa/Riserva|1</v>
      </c>
    </row>
    <row r="332" spans="1:38" ht="14.25" customHeight="1" x14ac:dyDescent="0.25">
      <c r="A332" s="18">
        <v>5273</v>
      </c>
      <c r="B332" s="18" t="s">
        <v>88</v>
      </c>
      <c r="C332" s="18" t="s">
        <v>212</v>
      </c>
      <c r="E332" s="23" t="str">
        <f>IF(COUNTIF('Info Strategia'!$D$2:$D$51,$C332)&gt;0,"SI","NO")</f>
        <v>NO</v>
      </c>
      <c r="F332" s="24">
        <f>IFERROR(ROUND(($G332+($H332-$G332)*'Info Strategia'!$B$6)*(1+IF($E332="SI",'Parametri Modello'!$B$7*'Info Strategia'!$B$6,0)),0),"")</f>
        <v>2</v>
      </c>
      <c r="G332" s="24">
        <f>IFERROR(ROUND(MAX(1,(IF($V332&lt;=INDEX('Parametri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1</v>
      </c>
      <c r="H332" s="24">
        <f>IFERROR(ROUND((IF($V332&lt;=INDEX('Parametri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2</v>
      </c>
      <c r="I332" s="23">
        <f>IFERROR(INDEX('Input Statistiche 2025_26'!$F$3:$F$665,MATCH($A332,'Input Statistiche 2025_26'!$A$3:$A$665,0)),"")</f>
        <v>14</v>
      </c>
      <c r="J332" s="23">
        <f t="shared" si="45"/>
        <v>24</v>
      </c>
      <c r="K332" s="23">
        <f>IFERROR(INDEX('Input Statistiche 2025_26'!$I$3:$I$665,MATCH($A332,'Input Statistiche 2025_26'!$A$3:$A$665,0)),"")</f>
        <v>1</v>
      </c>
      <c r="L332" s="23">
        <f>IFERROR(INDEX('Input Statistiche 2025_26'!$O$3:$O$665,MATCH($A332,'Input Statistiche 2025_26'!$A$3:$A$665,0)),"")</f>
        <v>1</v>
      </c>
      <c r="M332" s="25"/>
      <c r="N332" s="24">
        <f>IFERROR(INDEX('Input Giocatori 2026_27'!$E$3:$E$493,MATCH($A332,'Input Giocatori 2026_27'!$A$3:$A$493,0)),"")</f>
        <v>3</v>
      </c>
      <c r="O332" s="24">
        <f>IFERROR(INDEX('Input Giocatori 2026_27'!$G$3:$G$493,MATCH($A332,'Input Giocatori 2026_27'!$A$3:$A$493,0)),"")</f>
        <v>9</v>
      </c>
      <c r="P332" s="23" t="str">
        <f>IFERROR(IF($O332="","",IF((1-(COUNTIFS($B$2:$B$492,$B332,$O$2:$O$492,"&gt;"&amp;$O332)+1-1)/COUNTIF($B$2:$B$492,$B332))&gt;='Parametri Modello'!$B$63,"Top",IF((1-(COUNTIFS($B$2:$B$492,$B332,$O$2:$O$492,"&gt;"&amp;$O332)+1-1)/COUNTIF($B$2:$B$492,$B332))&gt;='Parametri Modello'!$B$64,"Buono",IF((1-(COUNTIFS($B$2:$B$492,$B332,$O$2:$O$492,"&gt;"&amp;$O332)+1-1)/COUNTIF($B$2:$B$492,$B332))&gt;='Parametri Modello'!$B$65,"Nella Media","Scommessa/Riserva")))),"")</f>
        <v>Scommessa/Riserva</v>
      </c>
      <c r="Q332" s="26">
        <f>IF(AND($D332="",$N332&gt;1),SUMPRODUCT(($D$2:$D332="")*($N$2:$N332&gt;1)),"")</f>
        <v>331</v>
      </c>
      <c r="R332" s="26" t="str">
        <f>IF($D332='Info Lega'!$B$28,COUNTIFS($D$2:$D332,'Info Lega'!$B$28),"")</f>
        <v/>
      </c>
      <c r="S332" s="27">
        <f>IFERROR(INDEX('Input Statistiche 2025_26'!$G$3:$G$665,MATCH($A332,'Input Statistiche 2025_26'!$A$3:$A$665,0)),"")</f>
        <v>5.64</v>
      </c>
      <c r="T332" s="27">
        <f>IFERROR(INDEX('Input Statistiche 2025_26'!$H$3:$H$665,MATCH($A332,'Input Statistiche 2025_26'!$A$3:$A$665,0)),"")</f>
        <v>5.71</v>
      </c>
      <c r="U332" s="23" t="str">
        <f>IF(OR('La Mia Rosa'!$O$12="",$D332&lt;&gt;""),"",IF($F332&lt;='La Mia Rosa'!$O$12*'Parametri Modello'!$B$24,"OK",IF($F332&lt;='La Mia Rosa'!$O$12*'Parametri Modello'!$B$25,"Attenzione","Rischio Alto")))</f>
        <v>OK</v>
      </c>
      <c r="V332" s="23">
        <f t="shared" si="46"/>
        <v>112</v>
      </c>
      <c r="W332" s="18">
        <f>'Info Lega'!$B$4-SUMIFS($M$2:$M$492,$D$2:$D$492,'Info Lega'!$B$28)</f>
        <v>1000</v>
      </c>
      <c r="X332" s="18">
        <f>('Info Lega'!$B$5-COUNTIFS($D$2:$D$492,'Info Lega'!$B$28,$B$2:$B$492,"P"))+('Info Lega'!$B$6-COUNTIFS($D$2:$D$492,'Info Lega'!$B$28,$B$2:$B$492,"D"))+('Info Lega'!$B$7-COUNTIFS($D$2:$D$492,'Info Lega'!$B$28,$B$2:$B$492,"C"))+('Info Lega'!$B$8-COUNTIFS($D$2:$D$492,'Info Lega'!$B$28,$B$2:$B$492,"A"))</f>
        <v>25</v>
      </c>
      <c r="Y332" s="18">
        <f>X332*'Parametri Modello'!$B$30</f>
        <v>25</v>
      </c>
      <c r="Z332" s="18">
        <f t="shared" si="47"/>
        <v>975</v>
      </c>
      <c r="AA332" s="18">
        <f t="shared" si="48"/>
        <v>2</v>
      </c>
      <c r="AB332" s="18"/>
      <c r="AC332" s="18" t="str">
        <f>IF($AB332="","",IF($AB332&gt;$AA332,"PASS",IF($AB332&lt;=$AA332*(1-'Parametri Modello'!$B$68),"BID","ATTENZIONE")))</f>
        <v/>
      </c>
      <c r="AD332" s="28">
        <f t="shared" si="49"/>
        <v>37</v>
      </c>
      <c r="AE332" s="5" t="str">
        <f>IFERROR(IF($AF332="Titolare",INDEX('Stato Asta'!$G$9:$G$12,MATCH($B332,'Stato Asta'!$A$9:$A$12,0)),INDEX('Stato Asta'!$P$9:$P$12,MATCH($B332,'Stato Asta'!$A$9:$A$12,0))),"")</f>
        <v>🟢 Riserve abbondanti</v>
      </c>
      <c r="AF332" t="str">
        <f>IFERROR(IF($V332&lt;=INDEX('Parametri Modello'!$C$57:$C$60,MATCH($B332,'Parametri Modello'!$A$57:$A$60,0)),"Titolare","Riserva"),"")</f>
        <v>Riserva</v>
      </c>
      <c r="AG332" t="str">
        <f>IFERROR(INDEX('Pressione Competitiva'!$F$3:$F$6,MATCH($B332,'Pressione Competitiva'!$B$3:$B$6,0)),"")</f>
        <v>🔴 Molto Alta</v>
      </c>
      <c r="AH332" t="str">
        <f t="shared" si="50"/>
        <v/>
      </c>
      <c r="AI332" t="str">
        <f>IFERROR(IF($AH332="","",IF($AH332&gt;=$AA332*'Parametri Modello'!$B$68,"🟢 Opportunita'",IF($AH332&lt;=$AA332*'Parametri Modello'!$B$69,"🔴 Sovrapprezzo","🟡 Prezzo Corretto"))),"")</f>
        <v/>
      </c>
      <c r="AJ332" t="str">
        <f t="shared" si="51"/>
        <v/>
      </c>
      <c r="AK332">
        <f t="shared" si="52"/>
        <v>1</v>
      </c>
      <c r="AL332" t="str">
        <f t="shared" si="53"/>
        <v>D|Scommessa/Riserva|1</v>
      </c>
    </row>
    <row r="333" spans="1:38" ht="14.25" customHeight="1" x14ac:dyDescent="0.25">
      <c r="A333" s="18">
        <v>7238</v>
      </c>
      <c r="B333" s="18" t="s">
        <v>88</v>
      </c>
      <c r="C333" s="18" t="s">
        <v>213</v>
      </c>
      <c r="E333" s="23" t="str">
        <f>IF(COUNTIF('Info Strategia'!$D$2:$D$51,$C333)&gt;0,"SI","NO")</f>
        <v>NO</v>
      </c>
      <c r="F333" s="24">
        <f>IFERROR(ROUND(($G333+($H333-$G333)*'Info Strategia'!$B$6)*(1+IF($E333="SI",'Parametri Modello'!$B$7*'Info Strategia'!$B$6,0)),0),"")</f>
        <v>2</v>
      </c>
      <c r="G333" s="24">
        <f>IFERROR(ROUND(MAX(1,(IF($V333&lt;=INDEX('Parametri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1</v>
      </c>
      <c r="H333" s="24">
        <f>IFERROR(ROUND((IF($V333&lt;=INDEX('Parametri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2</v>
      </c>
      <c r="I333" s="23">
        <f>IFERROR(INDEX('Input Statistiche 2025_26'!$F$3:$F$665,MATCH($A333,'Input Statistiche 2025_26'!$A$3:$A$665,0)),"")</f>
        <v>1</v>
      </c>
      <c r="J333" s="23">
        <f t="shared" si="45"/>
        <v>37</v>
      </c>
      <c r="K333" s="23">
        <f>IFERROR(INDEX('Input Statistiche 2025_26'!$I$3:$I$665,MATCH($A333,'Input Statistiche 2025_26'!$A$3:$A$665,0)),"")</f>
        <v>0</v>
      </c>
      <c r="L333" s="23">
        <f>IFERROR(INDEX('Input Statistiche 2025_26'!$O$3:$O$665,MATCH($A333,'Input Statistiche 2025_26'!$A$3:$A$665,0)),"")</f>
        <v>0</v>
      </c>
      <c r="M333" s="25"/>
      <c r="N333" s="24">
        <f>IFERROR(INDEX('Input Giocatori 2026_27'!$E$3:$E$493,MATCH($A333,'Input Giocatori 2026_27'!$A$3:$A$493,0)),"")</f>
        <v>3</v>
      </c>
      <c r="O333" s="24">
        <f>IFERROR(INDEX('Input Giocatori 2026_27'!$G$3:$G$493,MATCH($A333,'Input Giocatori 2026_27'!$A$3:$A$493,0)),"")</f>
        <v>9</v>
      </c>
      <c r="P333" s="23" t="str">
        <f>IFERROR(IF($O333="","",IF((1-(COUNTIFS($B$2:$B$492,$B333,$O$2:$O$492,"&gt;"&amp;$O333)+1-1)/COUNTIF($B$2:$B$492,$B333))&gt;='Parametri Modello'!$B$63,"Top",IF((1-(COUNTIFS($B$2:$B$492,$B333,$O$2:$O$492,"&gt;"&amp;$O333)+1-1)/COUNTIF($B$2:$B$492,$B333))&gt;='Parametri Modello'!$B$64,"Buono",IF((1-(COUNTIFS($B$2:$B$492,$B333,$O$2:$O$492,"&gt;"&amp;$O333)+1-1)/COUNTIF($B$2:$B$492,$B333))&gt;='Parametri Modello'!$B$65,"Nella Media","Scommessa/Riserva")))),"")</f>
        <v>Scommessa/Riserva</v>
      </c>
      <c r="Q333" s="26">
        <f>IF(AND($D333="",$N333&gt;1),SUMPRODUCT(($D$2:$D333="")*($N$2:$N333&gt;1)),"")</f>
        <v>332</v>
      </c>
      <c r="R333" s="26" t="str">
        <f>IF($D333='Info Lega'!$B$28,COUNTIFS($D$2:$D333,'Info Lega'!$B$28),"")</f>
        <v/>
      </c>
      <c r="S333" s="27">
        <f>IFERROR(INDEX('Input Statistiche 2025_26'!$G$3:$G$665,MATCH($A333,'Input Statistiche 2025_26'!$A$3:$A$665,0)),"")</f>
        <v>6</v>
      </c>
      <c r="T333" s="27">
        <f>IFERROR(INDEX('Input Statistiche 2025_26'!$H$3:$H$665,MATCH($A333,'Input Statistiche 2025_26'!$A$3:$A$665,0)),"")</f>
        <v>6</v>
      </c>
      <c r="U333" s="23" t="str">
        <f>IF(OR('La Mia Rosa'!$O$12="",$D333&lt;&gt;""),"",IF($F333&lt;='La Mia Rosa'!$O$12*'Parametri Modello'!$B$24,"OK",IF($F333&lt;='La Mia Rosa'!$O$12*'Parametri Modello'!$B$25,"Attenzione","Rischio Alto")))</f>
        <v>OK</v>
      </c>
      <c r="V333" s="23">
        <f t="shared" si="46"/>
        <v>112</v>
      </c>
      <c r="W333" s="18">
        <f>'Info Lega'!$B$4-SUMIFS($M$2:$M$492,$D$2:$D$492,'Info Lega'!$B$28)</f>
        <v>1000</v>
      </c>
      <c r="X333" s="18">
        <f>('Info Lega'!$B$5-COUNTIFS($D$2:$D$492,'Info Lega'!$B$28,$B$2:$B$492,"P"))+('Info Lega'!$B$6-COUNTIFS($D$2:$D$492,'Info Lega'!$B$28,$B$2:$B$492,"D"))+('Info Lega'!$B$7-COUNTIFS($D$2:$D$492,'Info Lega'!$B$28,$B$2:$B$492,"C"))+('Info Lega'!$B$8-COUNTIFS($D$2:$D$492,'Info Lega'!$B$28,$B$2:$B$492,"A"))</f>
        <v>25</v>
      </c>
      <c r="Y333" s="18">
        <f>X333*'Parametri Modello'!$B$30</f>
        <v>25</v>
      </c>
      <c r="Z333" s="18">
        <f t="shared" si="47"/>
        <v>975</v>
      </c>
      <c r="AA333" s="18">
        <f t="shared" si="48"/>
        <v>2</v>
      </c>
      <c r="AB333" s="18"/>
      <c r="AC333" s="18" t="str">
        <f>IF($AB333="","",IF($AB333&gt;$AA333,"PASS",IF($AB333&lt;=$AA333*(1-'Parametri Modello'!$B$68),"BID","ATTENZIONE")))</f>
        <v/>
      </c>
      <c r="AD333" s="28">
        <f t="shared" si="49"/>
        <v>3</v>
      </c>
      <c r="AE333" s="5" t="str">
        <f>IFERROR(IF($AF333="Titolare",INDEX('Stato Asta'!$G$9:$G$12,MATCH($B333,'Stato Asta'!$A$9:$A$12,0)),INDEX('Stato Asta'!$P$9:$P$12,MATCH($B333,'Stato Asta'!$A$9:$A$12,0))),"")</f>
        <v>🟢 Riserve abbondanti</v>
      </c>
      <c r="AF333" t="str">
        <f>IFERROR(IF($V333&lt;=INDEX('Parametri Modello'!$C$57:$C$60,MATCH($B333,'Parametri Modello'!$A$57:$A$60,0)),"Titolare","Riserva"),"")</f>
        <v>Riserva</v>
      </c>
      <c r="AG333" t="str">
        <f>IFERROR(INDEX('Pressione Competitiva'!$F$3:$F$6,MATCH($B333,'Pressione Competitiva'!$B$3:$B$6,0)),"")</f>
        <v>🔴 Molto Alta</v>
      </c>
      <c r="AH333" t="str">
        <f t="shared" si="50"/>
        <v/>
      </c>
      <c r="AI333" t="str">
        <f>IFERROR(IF($AH333="","",IF($AH333&gt;=$AA333*'Parametri Modello'!$B$68,"🟢 Opportunita'",IF($AH333&lt;=$AA333*'Parametri Modello'!$B$69,"🔴 Sovrapprezzo","🟡 Prezzo Corretto"))),"")</f>
        <v/>
      </c>
      <c r="AJ333" t="str">
        <f t="shared" si="51"/>
        <v/>
      </c>
      <c r="AK333">
        <f t="shared" si="52"/>
        <v>1</v>
      </c>
      <c r="AL333" t="str">
        <f t="shared" si="53"/>
        <v>D|Scommessa/Riserva|1</v>
      </c>
    </row>
    <row r="334" spans="1:38" ht="14.25" customHeight="1" x14ac:dyDescent="0.25">
      <c r="A334" s="18">
        <v>4925</v>
      </c>
      <c r="B334" s="18" t="s">
        <v>88</v>
      </c>
      <c r="C334" s="18" t="s">
        <v>214</v>
      </c>
      <c r="E334" s="23" t="str">
        <f>IF(COUNTIF('Info Strategia'!$D$2:$D$51,$C334)&gt;0,"SI","NO")</f>
        <v>NO</v>
      </c>
      <c r="F334" s="24">
        <f>IFERROR(ROUND(($G334+($H334-$G334)*'Info Strategia'!$B$6)*(1+IF($E334="SI",'Parametri Modello'!$B$7*'Info Strategia'!$B$6,0)),0),"")</f>
        <v>2</v>
      </c>
      <c r="G334" s="24">
        <f>IFERROR(ROUND(MAX(1,(IF($V334&lt;=INDEX('Parametri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1</v>
      </c>
      <c r="H334" s="24">
        <f>IFERROR(ROUND((IF($V334&lt;=INDEX('Parametri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2</v>
      </c>
      <c r="I334" s="23" t="str">
        <f>IFERROR(INDEX('Input Statistiche 2025_26'!$F$3:$F$665,MATCH($A334,'Input Statistiche 2025_26'!$A$3:$A$665,0)),"")</f>
        <v/>
      </c>
      <c r="J334" s="23" t="str">
        <f t="shared" si="45"/>
        <v/>
      </c>
      <c r="K334" s="23" t="str">
        <f>IFERROR(INDEX('Input Statistiche 2025_26'!$I$3:$I$665,MATCH($A334,'Input Statistiche 2025_26'!$A$3:$A$665,0)),"")</f>
        <v/>
      </c>
      <c r="L334" s="23" t="str">
        <f>IFERROR(INDEX('Input Statistiche 2025_26'!$O$3:$O$665,MATCH($A334,'Input Statistiche 2025_26'!$A$3:$A$665,0)),"")</f>
        <v/>
      </c>
      <c r="M334" s="25"/>
      <c r="N334" s="24">
        <f>IFERROR(INDEX('Input Giocatori 2026_27'!$E$3:$E$493,MATCH($A334,'Input Giocatori 2026_27'!$A$3:$A$493,0)),"")</f>
        <v>3</v>
      </c>
      <c r="O334" s="24">
        <f>IFERROR(INDEX('Input Giocatori 2026_27'!$G$3:$G$493,MATCH($A334,'Input Giocatori 2026_27'!$A$3:$A$493,0)),"")</f>
        <v>9</v>
      </c>
      <c r="P334" s="23" t="str">
        <f>IFERROR(IF($O334="","",IF((1-(COUNTIFS($B$2:$B$492,$B334,$O$2:$O$492,"&gt;"&amp;$O334)+1-1)/COUNTIF($B$2:$B$492,$B334))&gt;='Parametri Modello'!$B$63,"Top",IF((1-(COUNTIFS($B$2:$B$492,$B334,$O$2:$O$492,"&gt;"&amp;$O334)+1-1)/COUNTIF($B$2:$B$492,$B334))&gt;='Parametri Modello'!$B$64,"Buono",IF((1-(COUNTIFS($B$2:$B$492,$B334,$O$2:$O$492,"&gt;"&amp;$O334)+1-1)/COUNTIF($B$2:$B$492,$B334))&gt;='Parametri Modello'!$B$65,"Nella Media","Scommessa/Riserva")))),"")</f>
        <v>Scommessa/Riserva</v>
      </c>
      <c r="Q334" s="26">
        <f>IF(AND($D334="",$N334&gt;1),SUMPRODUCT(($D$2:$D334="")*($N$2:$N334&gt;1)),"")</f>
        <v>333</v>
      </c>
      <c r="R334" s="26" t="str">
        <f>IF($D334='Info Lega'!$B$28,COUNTIFS($D$2:$D334,'Info Lega'!$B$28),"")</f>
        <v/>
      </c>
      <c r="S334" s="27" t="str">
        <f>IFERROR(INDEX('Input Statistiche 2025_26'!$G$3:$G$665,MATCH($A334,'Input Statistiche 2025_26'!$A$3:$A$665,0)),"")</f>
        <v/>
      </c>
      <c r="T334" s="27" t="str">
        <f>IFERROR(INDEX('Input Statistiche 2025_26'!$H$3:$H$665,MATCH($A334,'Input Statistiche 2025_26'!$A$3:$A$665,0)),"")</f>
        <v/>
      </c>
      <c r="U334" s="23" t="str">
        <f>IF(OR('La Mia Rosa'!$O$12="",$D334&lt;&gt;""),"",IF($F334&lt;='La Mia Rosa'!$O$12*'Parametri Modello'!$B$24,"OK",IF($F334&lt;='La Mia Rosa'!$O$12*'Parametri Modello'!$B$25,"Attenzione","Rischio Alto")))</f>
        <v>OK</v>
      </c>
      <c r="V334" s="23">
        <f t="shared" si="46"/>
        <v>112</v>
      </c>
      <c r="W334" s="18">
        <f>'Info Lega'!$B$4-SUMIFS($M$2:$M$492,$D$2:$D$492,'Info Lega'!$B$28)</f>
        <v>1000</v>
      </c>
      <c r="X334" s="18">
        <f>('Info Lega'!$B$5-COUNTIFS($D$2:$D$492,'Info Lega'!$B$28,$B$2:$B$492,"P"))+('Info Lega'!$B$6-COUNTIFS($D$2:$D$492,'Info Lega'!$B$28,$B$2:$B$492,"D"))+('Info Lega'!$B$7-COUNTIFS($D$2:$D$492,'Info Lega'!$B$28,$B$2:$B$492,"C"))+('Info Lega'!$B$8-COUNTIFS($D$2:$D$492,'Info Lega'!$B$28,$B$2:$B$492,"A"))</f>
        <v>25</v>
      </c>
      <c r="Y334" s="18">
        <f>X334*'Parametri Modello'!$B$30</f>
        <v>25</v>
      </c>
      <c r="Z334" s="18">
        <f t="shared" si="47"/>
        <v>975</v>
      </c>
      <c r="AA334" s="18">
        <f t="shared" si="48"/>
        <v>2</v>
      </c>
      <c r="AB334" s="18"/>
      <c r="AC334" s="18" t="str">
        <f>IF($AB334="","",IF($AB334&gt;$AA334,"PASS",IF($AB334&lt;=$AA334*(1-'Parametri Modello'!$B$68),"BID","ATTENZIONE")))</f>
        <v/>
      </c>
      <c r="AD334" s="28" t="str">
        <f t="shared" si="49"/>
        <v/>
      </c>
      <c r="AE334" s="5" t="str">
        <f>IFERROR(IF($AF334="Titolare",INDEX('Stato Asta'!$G$9:$G$12,MATCH($B334,'Stato Asta'!$A$9:$A$12,0)),INDEX('Stato Asta'!$P$9:$P$12,MATCH($B334,'Stato Asta'!$A$9:$A$12,0))),"")</f>
        <v>🟢 Riserve abbondanti</v>
      </c>
      <c r="AF334" t="str">
        <f>IFERROR(IF($V334&lt;=INDEX('Parametri Modello'!$C$57:$C$60,MATCH($B334,'Parametri Modello'!$A$57:$A$60,0)),"Titolare","Riserva"),"")</f>
        <v>Riserva</v>
      </c>
      <c r="AG334" t="str">
        <f>IFERROR(INDEX('Pressione Competitiva'!$F$3:$F$6,MATCH($B334,'Pressione Competitiva'!$B$3:$B$6,0)),"")</f>
        <v>🔴 Molto Alta</v>
      </c>
      <c r="AH334" t="str">
        <f t="shared" si="50"/>
        <v/>
      </c>
      <c r="AI334" t="str">
        <f>IFERROR(IF($AH334="","",IF($AH334&gt;=$AA334*'Parametri Modello'!$B$68,"🟢 Opportunita'",IF($AH334&lt;=$AA334*'Parametri Modello'!$B$69,"🔴 Sovrapprezzo","🟡 Prezzo Corretto"))),"")</f>
        <v/>
      </c>
      <c r="AJ334" t="str">
        <f t="shared" si="51"/>
        <v/>
      </c>
      <c r="AK334">
        <f t="shared" si="52"/>
        <v>1</v>
      </c>
      <c r="AL334" t="str">
        <f t="shared" si="53"/>
        <v>D|Scommessa/Riserva|1</v>
      </c>
    </row>
    <row r="335" spans="1:38" ht="14.25" customHeight="1" x14ac:dyDescent="0.25">
      <c r="A335" s="18">
        <v>6506</v>
      </c>
      <c r="B335" s="18" t="s">
        <v>264</v>
      </c>
      <c r="C335" s="18" t="s">
        <v>396</v>
      </c>
      <c r="E335" s="23" t="str">
        <f>IF(COUNTIF('Info Strategia'!$D$2:$D$51,$C335)&gt;0,"SI","NO")</f>
        <v>NO</v>
      </c>
      <c r="F335" s="24">
        <f>IFERROR(ROUND(($G335+($H335-$G335)*'Info Strategia'!$B$6)*(1+IF($E335="SI",'Parametri Modello'!$B$7*'Info Strategia'!$B$6,0)),0),"")</f>
        <v>1</v>
      </c>
      <c r="G335" s="24">
        <f>IFERROR(ROUND(MAX(1,(IF($V335&lt;=INDEX('Parametri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H335" s="24">
        <f>IFERROR(ROUND((IF($V335&lt;=INDEX('Parametri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I335" s="23">
        <f>IFERROR(INDEX('Input Statistiche 2025_26'!$F$3:$F$665,MATCH($A335,'Input Statistiche 2025_26'!$A$3:$A$665,0)),"")</f>
        <v>1</v>
      </c>
      <c r="J335" s="23">
        <f t="shared" si="45"/>
        <v>37</v>
      </c>
      <c r="K335" s="23">
        <f>IFERROR(INDEX('Input Statistiche 2025_26'!$I$3:$I$665,MATCH($A335,'Input Statistiche 2025_26'!$A$3:$A$665,0)),"")</f>
        <v>0</v>
      </c>
      <c r="L335" s="23">
        <f>IFERROR(INDEX('Input Statistiche 2025_26'!$O$3:$O$665,MATCH($A335,'Input Statistiche 2025_26'!$A$3:$A$665,0)),"")</f>
        <v>0</v>
      </c>
      <c r="M335" s="25"/>
      <c r="N335" s="24">
        <f>IFERROR(INDEX('Input Giocatori 2026_27'!$E$3:$E$493,MATCH($A335,'Input Giocatori 2026_27'!$A$3:$A$493,0)),"")</f>
        <v>3</v>
      </c>
      <c r="O335" s="24">
        <f>IFERROR(INDEX('Input Giocatori 2026_27'!$G$3:$G$493,MATCH($A335,'Input Giocatori 2026_27'!$A$3:$A$493,0)),"")</f>
        <v>9</v>
      </c>
      <c r="P335" s="23" t="str">
        <f>IFERROR(IF($O335="","",IF((1-(COUNTIFS($B$2:$B$492,$B335,$O$2:$O$492,"&gt;"&amp;$O335)+1-1)/COUNTIF($B$2:$B$492,$B335))&gt;='Parametri Modello'!$B$63,"Top",IF((1-(COUNTIFS($B$2:$B$492,$B335,$O$2:$O$492,"&gt;"&amp;$O335)+1-1)/COUNTIF($B$2:$B$492,$B335))&gt;='Parametri Modello'!$B$64,"Buono",IF((1-(COUNTIFS($B$2:$B$492,$B335,$O$2:$O$492,"&gt;"&amp;$O335)+1-1)/COUNTIF($B$2:$B$492,$B335))&gt;='Parametri Modello'!$B$65,"Nella Media","Scommessa/Riserva")))),"")</f>
        <v>Scommessa/Riserva</v>
      </c>
      <c r="Q335" s="26">
        <f>IF(AND($D335="",$N335&gt;1),SUMPRODUCT(($D$2:$D335="")*($N$2:$N335&gt;1)),"")</f>
        <v>334</v>
      </c>
      <c r="R335" s="26" t="str">
        <f>IF($D335='Info Lega'!$B$28,COUNTIFS($D$2:$D335,'Info Lega'!$B$28),"")</f>
        <v/>
      </c>
      <c r="S335" s="27">
        <f>IFERROR(INDEX('Input Statistiche 2025_26'!$G$3:$G$665,MATCH($A335,'Input Statistiche 2025_26'!$A$3:$A$665,0)),"")</f>
        <v>5.5</v>
      </c>
      <c r="T335" s="27">
        <f>IFERROR(INDEX('Input Statistiche 2025_26'!$H$3:$H$665,MATCH($A335,'Input Statistiche 2025_26'!$A$3:$A$665,0)),"")</f>
        <v>5.5</v>
      </c>
      <c r="U335" s="23" t="str">
        <f>IF(OR('La Mia Rosa'!$O$12="",$D335&lt;&gt;""),"",IF($F335&lt;='La Mia Rosa'!$O$12*'Parametri Modello'!$B$24,"OK",IF($F335&lt;='La Mia Rosa'!$O$12*'Parametri Modello'!$B$25,"Attenzione","Rischio Alto")))</f>
        <v>OK</v>
      </c>
      <c r="V335" s="23">
        <f t="shared" si="46"/>
        <v>130</v>
      </c>
      <c r="W335" s="18">
        <f>'Info Lega'!$B$4-SUMIFS($M$2:$M$492,$D$2:$D$492,'Info Lega'!$B$28)</f>
        <v>1000</v>
      </c>
      <c r="X335" s="18">
        <f>('Info Lega'!$B$5-COUNTIFS($D$2:$D$492,'Info Lega'!$B$28,$B$2:$B$492,"P"))+('Info Lega'!$B$6-COUNTIFS($D$2:$D$492,'Info Lega'!$B$28,$B$2:$B$492,"D"))+('Info Lega'!$B$7-COUNTIFS($D$2:$D$492,'Info Lega'!$B$28,$B$2:$B$492,"C"))+('Info Lega'!$B$8-COUNTIFS($D$2:$D$492,'Info Lega'!$B$28,$B$2:$B$492,"A"))</f>
        <v>25</v>
      </c>
      <c r="Y335" s="18">
        <f>X335*'Parametri Modello'!$B$30</f>
        <v>25</v>
      </c>
      <c r="Z335" s="18">
        <f t="shared" si="47"/>
        <v>975</v>
      </c>
      <c r="AA335" s="18">
        <f t="shared" si="48"/>
        <v>1</v>
      </c>
      <c r="AB335" s="18"/>
      <c r="AC335" s="18" t="str">
        <f>IF($AB335="","",IF($AB335&gt;$AA335,"PASS",IF($AB335&lt;=$AA335*(1-'Parametri Modello'!$B$68),"BID","ATTENZIONE")))</f>
        <v/>
      </c>
      <c r="AD335" s="28">
        <f t="shared" si="49"/>
        <v>3</v>
      </c>
      <c r="AE335" s="5" t="str">
        <f>IFERROR(IF($AF335="Titolare",INDEX('Stato Asta'!$G$9:$G$12,MATCH($B335,'Stato Asta'!$A$9:$A$12,0)),INDEX('Stato Asta'!$P$9:$P$12,MATCH($B335,'Stato Asta'!$A$9:$A$12,0))),"")</f>
        <v>🟢 Riserve abbondanti</v>
      </c>
      <c r="AF335" t="str">
        <f>IFERROR(IF($V335&lt;=INDEX('Parametri Modello'!$C$57:$C$60,MATCH($B335,'Parametri Modello'!$A$57:$A$60,0)),"Titolare","Riserva"),"")</f>
        <v>Riserva</v>
      </c>
      <c r="AG335" t="str">
        <f>IFERROR(INDEX('Pressione Competitiva'!$F$3:$F$6,MATCH($B335,'Pressione Competitiva'!$B$3:$B$6,0)),"")</f>
        <v>🔴 Molto Alta</v>
      </c>
      <c r="AH335" t="str">
        <f t="shared" si="50"/>
        <v/>
      </c>
      <c r="AI335" t="str">
        <f>IFERROR(IF($AH335="","",IF($AH335&gt;=$AA335*'Parametri Modello'!$B$68,"🟢 Opportunita'",IF($AH335&lt;=$AA335*'Parametri Modello'!$B$69,"🔴 Sovrapprezzo","🟡 Prezzo Corretto"))),"")</f>
        <v/>
      </c>
      <c r="AJ335" t="str">
        <f t="shared" si="51"/>
        <v/>
      </c>
      <c r="AK335">
        <f t="shared" si="52"/>
        <v>26</v>
      </c>
      <c r="AL335" t="str">
        <f t="shared" si="53"/>
        <v>C|Scommessa/Riserva|26</v>
      </c>
    </row>
    <row r="336" spans="1:38" ht="14.25" customHeight="1" x14ac:dyDescent="0.25">
      <c r="A336" s="18">
        <v>5131</v>
      </c>
      <c r="B336" s="18" t="s">
        <v>264</v>
      </c>
      <c r="C336" s="18" t="s">
        <v>401</v>
      </c>
      <c r="E336" s="23" t="str">
        <f>IF(COUNTIF('Info Strategia'!$D$2:$D$51,$C336)&gt;0,"SI","NO")</f>
        <v>NO</v>
      </c>
      <c r="F336" s="24">
        <f>IFERROR(ROUND(($G336+($H336-$G336)*'Info Strategia'!$B$6)*(1+IF($E336="SI",'Parametri Modello'!$B$7*'Info Strategia'!$B$6,0)),0),"")</f>
        <v>1</v>
      </c>
      <c r="G336" s="24">
        <f>IFERROR(ROUND(MAX(1,(IF($V336&lt;=INDEX('Parametri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H336" s="24">
        <f>IFERROR(ROUND((IF($V336&lt;=INDEX('Parametri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I336" s="23">
        <f>IFERROR(INDEX('Input Statistiche 2025_26'!$F$3:$F$665,MATCH($A336,'Input Statistiche 2025_26'!$A$3:$A$665,0)),"")</f>
        <v>13</v>
      </c>
      <c r="J336" s="23">
        <f t="shared" si="45"/>
        <v>25</v>
      </c>
      <c r="K336" s="23">
        <f>IFERROR(INDEX('Input Statistiche 2025_26'!$I$3:$I$665,MATCH($A336,'Input Statistiche 2025_26'!$A$3:$A$665,0)),"")</f>
        <v>1</v>
      </c>
      <c r="L336" s="23">
        <f>IFERROR(INDEX('Input Statistiche 2025_26'!$O$3:$O$665,MATCH($A336,'Input Statistiche 2025_26'!$A$3:$A$665,0)),"")</f>
        <v>0</v>
      </c>
      <c r="M336" s="25"/>
      <c r="N336" s="24">
        <f>IFERROR(INDEX('Input Giocatori 2026_27'!$E$3:$E$493,MATCH($A336,'Input Giocatori 2026_27'!$A$3:$A$493,0)),"")</f>
        <v>3</v>
      </c>
      <c r="O336" s="24">
        <f>IFERROR(INDEX('Input Giocatori 2026_27'!$G$3:$G$493,MATCH($A336,'Input Giocatori 2026_27'!$A$3:$A$493,0)),"")</f>
        <v>9</v>
      </c>
      <c r="P336" s="23" t="str">
        <f>IFERROR(IF($O336="","",IF((1-(COUNTIFS($B$2:$B$492,$B336,$O$2:$O$492,"&gt;"&amp;$O336)+1-1)/COUNTIF($B$2:$B$492,$B336))&gt;='Parametri Modello'!$B$63,"Top",IF((1-(COUNTIFS($B$2:$B$492,$B336,$O$2:$O$492,"&gt;"&amp;$O336)+1-1)/COUNTIF($B$2:$B$492,$B336))&gt;='Parametri Modello'!$B$64,"Buono",IF((1-(COUNTIFS($B$2:$B$492,$B336,$O$2:$O$492,"&gt;"&amp;$O336)+1-1)/COUNTIF($B$2:$B$492,$B336))&gt;='Parametri Modello'!$B$65,"Nella Media","Scommessa/Riserva")))),"")</f>
        <v>Scommessa/Riserva</v>
      </c>
      <c r="Q336" s="26">
        <f>IF(AND($D336="",$N336&gt;1),SUMPRODUCT(($D$2:$D336="")*($N$2:$N336&gt;1)),"")</f>
        <v>335</v>
      </c>
      <c r="R336" s="26" t="str">
        <f>IF($D336='Info Lega'!$B$28,COUNTIFS($D$2:$D336,'Info Lega'!$B$28),"")</f>
        <v/>
      </c>
      <c r="S336" s="27">
        <f>IFERROR(INDEX('Input Statistiche 2025_26'!$G$3:$G$665,MATCH($A336,'Input Statistiche 2025_26'!$A$3:$A$665,0)),"")</f>
        <v>6.08</v>
      </c>
      <c r="T336" s="27">
        <f>IFERROR(INDEX('Input Statistiche 2025_26'!$H$3:$H$665,MATCH($A336,'Input Statistiche 2025_26'!$A$3:$A$665,0)),"")</f>
        <v>6.27</v>
      </c>
      <c r="U336" s="23" t="str">
        <f>IF(OR('La Mia Rosa'!$O$12="",$D336&lt;&gt;""),"",IF($F336&lt;='La Mia Rosa'!$O$12*'Parametri Modello'!$B$24,"OK",IF($F336&lt;='La Mia Rosa'!$O$12*'Parametri Modello'!$B$25,"Attenzione","Rischio Alto")))</f>
        <v>OK</v>
      </c>
      <c r="V336" s="23">
        <f t="shared" si="46"/>
        <v>130</v>
      </c>
      <c r="W336" s="18">
        <f>'Info Lega'!$B$4-SUMIFS($M$2:$M$492,$D$2:$D$492,'Info Lega'!$B$28)</f>
        <v>1000</v>
      </c>
      <c r="X336" s="18">
        <f>('Info Lega'!$B$5-COUNTIFS($D$2:$D$492,'Info Lega'!$B$28,$B$2:$B$492,"P"))+('Info Lega'!$B$6-COUNTIFS($D$2:$D$492,'Info Lega'!$B$28,$B$2:$B$492,"D"))+('Info Lega'!$B$7-COUNTIFS($D$2:$D$492,'Info Lega'!$B$28,$B$2:$B$492,"C"))+('Info Lega'!$B$8-COUNTIFS($D$2:$D$492,'Info Lega'!$B$28,$B$2:$B$492,"A"))</f>
        <v>25</v>
      </c>
      <c r="Y336" s="18">
        <f>X336*'Parametri Modello'!$B$30</f>
        <v>25</v>
      </c>
      <c r="Z336" s="18">
        <f t="shared" si="47"/>
        <v>975</v>
      </c>
      <c r="AA336" s="18">
        <f t="shared" si="48"/>
        <v>1</v>
      </c>
      <c r="AB336" s="18"/>
      <c r="AC336" s="18" t="str">
        <f>IF($AB336="","",IF($AB336&gt;$AA336,"PASS",IF($AB336&lt;=$AA336*(1-'Parametri Modello'!$B$68),"BID","ATTENZIONE")))</f>
        <v/>
      </c>
      <c r="AD336" s="28">
        <f t="shared" si="49"/>
        <v>35</v>
      </c>
      <c r="AE336" s="5" t="str">
        <f>IFERROR(IF($AF336="Titolare",INDEX('Stato Asta'!$G$9:$G$12,MATCH($B336,'Stato Asta'!$A$9:$A$12,0)),INDEX('Stato Asta'!$P$9:$P$12,MATCH($B336,'Stato Asta'!$A$9:$A$12,0))),"")</f>
        <v>🟢 Riserve abbondanti</v>
      </c>
      <c r="AF336" t="str">
        <f>IFERROR(IF($V336&lt;=INDEX('Parametri Modello'!$C$57:$C$60,MATCH($B336,'Parametri Modello'!$A$57:$A$60,0)),"Titolare","Riserva"),"")</f>
        <v>Riserva</v>
      </c>
      <c r="AG336" t="str">
        <f>IFERROR(INDEX('Pressione Competitiva'!$F$3:$F$6,MATCH($B336,'Pressione Competitiva'!$B$3:$B$6,0)),"")</f>
        <v>🔴 Molto Alta</v>
      </c>
      <c r="AH336" t="str">
        <f t="shared" si="50"/>
        <v/>
      </c>
      <c r="AI336" t="str">
        <f>IFERROR(IF($AH336="","",IF($AH336&gt;=$AA336*'Parametri Modello'!$B$68,"🟢 Opportunita'",IF($AH336&lt;=$AA336*'Parametri Modello'!$B$69,"🔴 Sovrapprezzo","🟡 Prezzo Corretto"))),"")</f>
        <v/>
      </c>
      <c r="AJ336" t="str">
        <f t="shared" si="51"/>
        <v/>
      </c>
      <c r="AK336">
        <f t="shared" si="52"/>
        <v>26</v>
      </c>
      <c r="AL336" t="str">
        <f t="shared" si="53"/>
        <v>C|Scommessa/Riserva|26</v>
      </c>
    </row>
    <row r="337" spans="1:38" ht="14.25" customHeight="1" x14ac:dyDescent="0.25">
      <c r="A337" s="18">
        <v>6243</v>
      </c>
      <c r="B337" s="18" t="s">
        <v>437</v>
      </c>
      <c r="C337" s="18" t="s">
        <v>498</v>
      </c>
      <c r="E337" s="23" t="str">
        <f>IF(COUNTIF('Info Strategia'!$D$2:$D$51,$C337)&gt;0,"SI","NO")</f>
        <v>NO</v>
      </c>
      <c r="F337" s="24">
        <f>IFERROR(ROUND(($G337+($H337-$G337)*'Info Strategia'!$B$6)*(1+IF($E337="SI",'Parametri Modello'!$B$7*'Info Strategia'!$B$6,0)),0),"")</f>
        <v>3</v>
      </c>
      <c r="G337" s="24">
        <f>IFERROR(ROUND(MAX(1,(IF($V337&lt;=INDEX('Parametri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2</v>
      </c>
      <c r="H337" s="24">
        <f>IFERROR(ROUND((IF($V337&lt;=INDEX('Parametri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3</v>
      </c>
      <c r="I337" s="23">
        <f>IFERROR(INDEX('Input Statistiche 2025_26'!$F$3:$F$665,MATCH($A337,'Input Statistiche 2025_26'!$A$3:$A$665,0)),"")</f>
        <v>26</v>
      </c>
      <c r="J337" s="23">
        <f t="shared" si="45"/>
        <v>12</v>
      </c>
      <c r="K337" s="23">
        <f>IFERROR(INDEX('Input Statistiche 2025_26'!$I$3:$I$665,MATCH($A337,'Input Statistiche 2025_26'!$A$3:$A$665,0)),"")</f>
        <v>5</v>
      </c>
      <c r="L337" s="23">
        <f>IFERROR(INDEX('Input Statistiche 2025_26'!$O$3:$O$665,MATCH($A337,'Input Statistiche 2025_26'!$A$3:$A$665,0)),"")</f>
        <v>1</v>
      </c>
      <c r="M337" s="25"/>
      <c r="N337" s="24">
        <f>IFERROR(INDEX('Input Giocatori 2026_27'!$E$3:$E$493,MATCH($A337,'Input Giocatori 2026_27'!$A$3:$A$493,0)),"")</f>
        <v>4</v>
      </c>
      <c r="O337" s="24">
        <f>IFERROR(INDEX('Input Giocatori 2026_27'!$G$3:$G$493,MATCH($A337,'Input Giocatori 2026_27'!$A$3:$A$493,0)),"")</f>
        <v>9</v>
      </c>
      <c r="P337" s="23" t="str">
        <f>IFERROR(IF($O337="","",IF((1-(COUNTIFS($B$2:$B$492,$B337,$O$2:$O$492,"&gt;"&amp;$O337)+1-1)/COUNTIF($B$2:$B$492,$B337))&gt;='Parametri Modello'!$B$63,"Top",IF((1-(COUNTIFS($B$2:$B$492,$B337,$O$2:$O$492,"&gt;"&amp;$O337)+1-1)/COUNTIF($B$2:$B$492,$B337))&gt;='Parametri Modello'!$B$64,"Buono",IF((1-(COUNTIFS($B$2:$B$492,$B337,$O$2:$O$492,"&gt;"&amp;$O337)+1-1)/COUNTIF($B$2:$B$492,$B337))&gt;='Parametri Modello'!$B$65,"Nella Media","Scommessa/Riserva")))),"")</f>
        <v>Scommessa/Riserva</v>
      </c>
      <c r="Q337" s="26">
        <f>IF(AND($D337="",$N337&gt;1),SUMPRODUCT(($D$2:$D337="")*($N$2:$N337&gt;1)),"")</f>
        <v>336</v>
      </c>
      <c r="R337" s="26" t="str">
        <f>IF($D337='Info Lega'!$B$28,COUNTIFS($D$2:$D337,'Info Lega'!$B$28),"")</f>
        <v/>
      </c>
      <c r="S337" s="27">
        <f>IFERROR(INDEX('Input Statistiche 2025_26'!$G$3:$G$665,MATCH($A337,'Input Statistiche 2025_26'!$A$3:$A$665,0)),"")</f>
        <v>5.92</v>
      </c>
      <c r="T337" s="27">
        <f>IFERROR(INDEX('Input Statistiche 2025_26'!$H$3:$H$665,MATCH($A337,'Input Statistiche 2025_26'!$A$3:$A$665,0)),"")</f>
        <v>6.46</v>
      </c>
      <c r="U337" s="23" t="str">
        <f>IF(OR('La Mia Rosa'!$O$12="",$D337&lt;&gt;""),"",IF($F337&lt;='La Mia Rosa'!$O$12*'Parametri Modello'!$B$24,"OK",IF($F337&lt;='La Mia Rosa'!$O$12*'Parametri Modello'!$B$25,"Attenzione","Rischio Alto")))</f>
        <v>OK</v>
      </c>
      <c r="V337" s="23">
        <f t="shared" si="46"/>
        <v>68</v>
      </c>
      <c r="W337" s="18">
        <f>'Info Lega'!$B$4-SUMIFS($M$2:$M$492,$D$2:$D$492,'Info Lega'!$B$28)</f>
        <v>1000</v>
      </c>
      <c r="X337" s="18">
        <f>('Info Lega'!$B$5-COUNTIFS($D$2:$D$492,'Info Lega'!$B$28,$B$2:$B$492,"P"))+('Info Lega'!$B$6-COUNTIFS($D$2:$D$492,'Info Lega'!$B$28,$B$2:$B$492,"D"))+('Info Lega'!$B$7-COUNTIFS($D$2:$D$492,'Info Lega'!$B$28,$B$2:$B$492,"C"))+('Info Lega'!$B$8-COUNTIFS($D$2:$D$492,'Info Lega'!$B$28,$B$2:$B$492,"A"))</f>
        <v>25</v>
      </c>
      <c r="Y337" s="18">
        <f>X337*'Parametri Modello'!$B$30</f>
        <v>25</v>
      </c>
      <c r="Z337" s="18">
        <f t="shared" si="47"/>
        <v>975</v>
      </c>
      <c r="AA337" s="18">
        <f t="shared" si="48"/>
        <v>3</v>
      </c>
      <c r="AB337" s="18"/>
      <c r="AC337" s="18" t="str">
        <f>IF($AB337="","",IF($AB337&gt;$AA337,"PASS",IF($AB337&lt;=$AA337*(1-'Parametri Modello'!$B$68),"BID","ATTENZIONE")))</f>
        <v/>
      </c>
      <c r="AD337" s="28">
        <f t="shared" si="49"/>
        <v>58</v>
      </c>
      <c r="AE337" s="5" t="str">
        <f>IFERROR(IF($AF337="Titolare",INDEX('Stato Asta'!$G$9:$G$12,MATCH($B337,'Stato Asta'!$A$9:$A$12,0)),INDEX('Stato Asta'!$P$9:$P$12,MATCH($B337,'Stato Asta'!$A$9:$A$12,0))),"")</f>
        <v>🟢 Riserve abbondanti</v>
      </c>
      <c r="AF337" t="str">
        <f>IFERROR(IF($V337&lt;=INDEX('Parametri Modello'!$C$57:$C$60,MATCH($B337,'Parametri Modello'!$A$57:$A$60,0)),"Titolare","Riserva"),"")</f>
        <v>Riserva</v>
      </c>
      <c r="AG337" t="str">
        <f>IFERROR(INDEX('Pressione Competitiva'!$F$3:$F$6,MATCH($B337,'Pressione Competitiva'!$B$3:$B$6,0)),"")</f>
        <v>🔴 Molto Alta</v>
      </c>
      <c r="AH337" t="str">
        <f t="shared" si="50"/>
        <v/>
      </c>
      <c r="AI337" t="str">
        <f>IFERROR(IF($AH337="","",IF($AH337&gt;=$AA337*'Parametri Modello'!$B$68,"🟢 Opportunita'",IF($AH337&lt;=$AA337*'Parametri Modello'!$B$69,"🔴 Sovrapprezzo","🟡 Prezzo Corretto"))),"")</f>
        <v/>
      </c>
      <c r="AJ337" t="str">
        <f t="shared" si="51"/>
        <v/>
      </c>
      <c r="AK337">
        <f t="shared" si="52"/>
        <v>14</v>
      </c>
      <c r="AL337" t="str">
        <f t="shared" si="53"/>
        <v>A|Scommessa/Riserva|14</v>
      </c>
    </row>
    <row r="338" spans="1:38" ht="14.25" customHeight="1" x14ac:dyDescent="0.25">
      <c r="A338" s="18">
        <v>7374</v>
      </c>
      <c r="B338" s="18" t="s">
        <v>437</v>
      </c>
      <c r="C338" s="18" t="s">
        <v>499</v>
      </c>
      <c r="E338" s="23" t="str">
        <f>IF(COUNTIF('Info Strategia'!$D$2:$D$51,$C338)&gt;0,"SI","NO")</f>
        <v>NO</v>
      </c>
      <c r="F338" s="24">
        <f>IFERROR(ROUND(($G338+($H338-$G338)*'Info Strategia'!$B$6)*(1+IF($E338="SI",'Parametri Modello'!$B$7*'Info Strategia'!$B$6,0)),0),"")</f>
        <v>3</v>
      </c>
      <c r="G338" s="24">
        <f>IFERROR(ROUND(MAX(1,(IF($V338&lt;=INDEX('Parametri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2</v>
      </c>
      <c r="H338" s="24">
        <f>IFERROR(ROUND((IF($V338&lt;=INDEX('Parametri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3</v>
      </c>
      <c r="I338" s="23">
        <f>IFERROR(INDEX('Input Statistiche 2025_26'!$F$3:$F$665,MATCH($A338,'Input Statistiche 2025_26'!$A$3:$A$665,0)),"")</f>
        <v>8</v>
      </c>
      <c r="J338" s="23">
        <f t="shared" si="45"/>
        <v>30</v>
      </c>
      <c r="K338" s="23">
        <f>IFERROR(INDEX('Input Statistiche 2025_26'!$I$3:$I$665,MATCH($A338,'Input Statistiche 2025_26'!$A$3:$A$665,0)),"")</f>
        <v>2</v>
      </c>
      <c r="L338" s="23">
        <f>IFERROR(INDEX('Input Statistiche 2025_26'!$O$3:$O$665,MATCH($A338,'Input Statistiche 2025_26'!$A$3:$A$665,0)),"")</f>
        <v>0</v>
      </c>
      <c r="M338" s="25"/>
      <c r="N338" s="24">
        <f>IFERROR(INDEX('Input Giocatori 2026_27'!$E$3:$E$493,MATCH($A338,'Input Giocatori 2026_27'!$A$3:$A$493,0)),"")</f>
        <v>4</v>
      </c>
      <c r="O338" s="24">
        <f>IFERROR(INDEX('Input Giocatori 2026_27'!$G$3:$G$493,MATCH($A338,'Input Giocatori 2026_27'!$A$3:$A$493,0)),"")</f>
        <v>9</v>
      </c>
      <c r="P338" s="23" t="str">
        <f>IFERROR(IF($O338="","",IF((1-(COUNTIFS($B$2:$B$492,$B338,$O$2:$O$492,"&gt;"&amp;$O338)+1-1)/COUNTIF($B$2:$B$492,$B338))&gt;='Parametri Modello'!$B$63,"Top",IF((1-(COUNTIFS($B$2:$B$492,$B338,$O$2:$O$492,"&gt;"&amp;$O338)+1-1)/COUNTIF($B$2:$B$492,$B338))&gt;='Parametri Modello'!$B$64,"Buono",IF((1-(COUNTIFS($B$2:$B$492,$B338,$O$2:$O$492,"&gt;"&amp;$O338)+1-1)/COUNTIF($B$2:$B$492,$B338))&gt;='Parametri Modello'!$B$65,"Nella Media","Scommessa/Riserva")))),"")</f>
        <v>Scommessa/Riserva</v>
      </c>
      <c r="Q338" s="26">
        <f>IF(AND($D338="",$N338&gt;1),SUMPRODUCT(($D$2:$D338="")*($N$2:$N338&gt;1)),"")</f>
        <v>337</v>
      </c>
      <c r="R338" s="26" t="str">
        <f>IF($D338='Info Lega'!$B$28,COUNTIFS($D$2:$D338,'Info Lega'!$B$28),"")</f>
        <v/>
      </c>
      <c r="S338" s="27">
        <f>IFERROR(INDEX('Input Statistiche 2025_26'!$G$3:$G$665,MATCH($A338,'Input Statistiche 2025_26'!$A$3:$A$665,0)),"")</f>
        <v>5.94</v>
      </c>
      <c r="T338" s="27">
        <f>IFERROR(INDEX('Input Statistiche 2025_26'!$H$3:$H$665,MATCH($A338,'Input Statistiche 2025_26'!$A$3:$A$665,0)),"")</f>
        <v>6.62</v>
      </c>
      <c r="U338" s="23" t="str">
        <f>IF(OR('La Mia Rosa'!$O$12="",$D338&lt;&gt;""),"",IF($F338&lt;='La Mia Rosa'!$O$12*'Parametri Modello'!$B$24,"OK",IF($F338&lt;='La Mia Rosa'!$O$12*'Parametri Modello'!$B$25,"Attenzione","Rischio Alto")))</f>
        <v>OK</v>
      </c>
      <c r="V338" s="23">
        <f t="shared" si="46"/>
        <v>68</v>
      </c>
      <c r="W338" s="18">
        <f>'Info Lega'!$B$4-SUMIFS($M$2:$M$492,$D$2:$D$492,'Info Lega'!$B$28)</f>
        <v>1000</v>
      </c>
      <c r="X338" s="18">
        <f>('Info Lega'!$B$5-COUNTIFS($D$2:$D$492,'Info Lega'!$B$28,$B$2:$B$492,"P"))+('Info Lega'!$B$6-COUNTIFS($D$2:$D$492,'Info Lega'!$B$28,$B$2:$B$492,"D"))+('Info Lega'!$B$7-COUNTIFS($D$2:$D$492,'Info Lega'!$B$28,$B$2:$B$492,"C"))+('Info Lega'!$B$8-COUNTIFS($D$2:$D$492,'Info Lega'!$B$28,$B$2:$B$492,"A"))</f>
        <v>25</v>
      </c>
      <c r="Y338" s="18">
        <f>X338*'Parametri Modello'!$B$30</f>
        <v>25</v>
      </c>
      <c r="Z338" s="18">
        <f t="shared" si="47"/>
        <v>975</v>
      </c>
      <c r="AA338" s="18">
        <f t="shared" si="48"/>
        <v>3</v>
      </c>
      <c r="AB338" s="18"/>
      <c r="AC338" s="18" t="str">
        <f>IF($AB338="","",IF($AB338&gt;$AA338,"PASS",IF($AB338&lt;=$AA338*(1-'Parametri Modello'!$B$68),"BID","ATTENZIONE")))</f>
        <v/>
      </c>
      <c r="AD338" s="28">
        <f t="shared" si="49"/>
        <v>23</v>
      </c>
      <c r="AE338" s="5" t="str">
        <f>IFERROR(IF($AF338="Titolare",INDEX('Stato Asta'!$G$9:$G$12,MATCH($B338,'Stato Asta'!$A$9:$A$12,0)),INDEX('Stato Asta'!$P$9:$P$12,MATCH($B338,'Stato Asta'!$A$9:$A$12,0))),"")</f>
        <v>🟢 Riserve abbondanti</v>
      </c>
      <c r="AF338" t="str">
        <f>IFERROR(IF($V338&lt;=INDEX('Parametri Modello'!$C$57:$C$60,MATCH($B338,'Parametri Modello'!$A$57:$A$60,0)),"Titolare","Riserva"),"")</f>
        <v>Riserva</v>
      </c>
      <c r="AG338" t="str">
        <f>IFERROR(INDEX('Pressione Competitiva'!$F$3:$F$6,MATCH($B338,'Pressione Competitiva'!$B$3:$B$6,0)),"")</f>
        <v>🔴 Molto Alta</v>
      </c>
      <c r="AH338" t="str">
        <f t="shared" si="50"/>
        <v/>
      </c>
      <c r="AI338" t="str">
        <f>IFERROR(IF($AH338="","",IF($AH338&gt;=$AA338*'Parametri Modello'!$B$68,"🟢 Opportunita'",IF($AH338&lt;=$AA338*'Parametri Modello'!$B$69,"🔴 Sovrapprezzo","🟡 Prezzo Corretto"))),"")</f>
        <v/>
      </c>
      <c r="AJ338" t="str">
        <f t="shared" si="51"/>
        <v/>
      </c>
      <c r="AK338">
        <f t="shared" si="52"/>
        <v>14</v>
      </c>
      <c r="AL338" t="str">
        <f t="shared" si="53"/>
        <v>A|Scommessa/Riserva|14</v>
      </c>
    </row>
    <row r="339" spans="1:38" ht="14.25" customHeight="1" x14ac:dyDescent="0.25">
      <c r="A339" s="18">
        <v>7453</v>
      </c>
      <c r="B339" s="18" t="s">
        <v>437</v>
      </c>
      <c r="C339" s="18" t="s">
        <v>502</v>
      </c>
      <c r="E339" s="23" t="str">
        <f>IF(COUNTIF('Info Strategia'!$D$2:$D$51,$C339)&gt;0,"SI","NO")</f>
        <v>NO</v>
      </c>
      <c r="F339" s="24">
        <f>IFERROR(ROUND(($G339+($H339-$G339)*'Info Strategia'!$B$6)*(1+IF($E339="SI",'Parametri Modello'!$B$7*'Info Strategia'!$B$6,0)),0),"")</f>
        <v>3</v>
      </c>
      <c r="G339" s="24">
        <f>IFERROR(ROUND(MAX(1,(IF($V339&lt;=INDEX('Parametri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2</v>
      </c>
      <c r="H339" s="24">
        <f>IFERROR(ROUND((IF($V339&lt;=INDEX('Parametri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3</v>
      </c>
      <c r="I339" s="23" t="str">
        <f>IFERROR(INDEX('Input Statistiche 2025_26'!$F$3:$F$665,MATCH($A339,'Input Statistiche 2025_26'!$A$3:$A$665,0)),"")</f>
        <v/>
      </c>
      <c r="J339" s="23" t="str">
        <f t="shared" si="45"/>
        <v/>
      </c>
      <c r="K339" s="23" t="str">
        <f>IFERROR(INDEX('Input Statistiche 2025_26'!$I$3:$I$665,MATCH($A339,'Input Statistiche 2025_26'!$A$3:$A$665,0)),"")</f>
        <v/>
      </c>
      <c r="L339" s="23" t="str">
        <f>IFERROR(INDEX('Input Statistiche 2025_26'!$O$3:$O$665,MATCH($A339,'Input Statistiche 2025_26'!$A$3:$A$665,0)),"")</f>
        <v/>
      </c>
      <c r="M339" s="25"/>
      <c r="N339" s="24">
        <f>IFERROR(INDEX('Input Giocatori 2026_27'!$E$3:$E$493,MATCH($A339,'Input Giocatori 2026_27'!$A$3:$A$493,0)),"")</f>
        <v>4</v>
      </c>
      <c r="O339" s="24">
        <f>IFERROR(INDEX('Input Giocatori 2026_27'!$G$3:$G$493,MATCH($A339,'Input Giocatori 2026_27'!$A$3:$A$493,0)),"")</f>
        <v>9</v>
      </c>
      <c r="P339" s="23" t="str">
        <f>IFERROR(IF($O339="","",IF((1-(COUNTIFS($B$2:$B$492,$B339,$O$2:$O$492,"&gt;"&amp;$O339)+1-1)/COUNTIF($B$2:$B$492,$B339))&gt;='Parametri Modello'!$B$63,"Top",IF((1-(COUNTIFS($B$2:$B$492,$B339,$O$2:$O$492,"&gt;"&amp;$O339)+1-1)/COUNTIF($B$2:$B$492,$B339))&gt;='Parametri Modello'!$B$64,"Buono",IF((1-(COUNTIFS($B$2:$B$492,$B339,$O$2:$O$492,"&gt;"&amp;$O339)+1-1)/COUNTIF($B$2:$B$492,$B339))&gt;='Parametri Modello'!$B$65,"Nella Media","Scommessa/Riserva")))),"")</f>
        <v>Scommessa/Riserva</v>
      </c>
      <c r="Q339" s="26">
        <f>IF(AND($D339="",$N339&gt;1),SUMPRODUCT(($D$2:$D339="")*($N$2:$N339&gt;1)),"")</f>
        <v>338</v>
      </c>
      <c r="R339" s="26" t="str">
        <f>IF($D339='Info Lega'!$B$28,COUNTIFS($D$2:$D339,'Info Lega'!$B$28),"")</f>
        <v/>
      </c>
      <c r="S339" s="27" t="str">
        <f>IFERROR(INDEX('Input Statistiche 2025_26'!$G$3:$G$665,MATCH($A339,'Input Statistiche 2025_26'!$A$3:$A$665,0)),"")</f>
        <v/>
      </c>
      <c r="T339" s="27" t="str">
        <f>IFERROR(INDEX('Input Statistiche 2025_26'!$H$3:$H$665,MATCH($A339,'Input Statistiche 2025_26'!$A$3:$A$665,0)),"")</f>
        <v/>
      </c>
      <c r="U339" s="23" t="str">
        <f>IF(OR('La Mia Rosa'!$O$12="",$D339&lt;&gt;""),"",IF($F339&lt;='La Mia Rosa'!$O$12*'Parametri Modello'!$B$24,"OK",IF($F339&lt;='La Mia Rosa'!$O$12*'Parametri Modello'!$B$25,"Attenzione","Rischio Alto")))</f>
        <v>OK</v>
      </c>
      <c r="V339" s="23">
        <f t="shared" si="46"/>
        <v>68</v>
      </c>
      <c r="W339" s="18">
        <f>'Info Lega'!$B$4-SUMIFS($M$2:$M$492,$D$2:$D$492,'Info Lega'!$B$28)</f>
        <v>1000</v>
      </c>
      <c r="X339" s="18">
        <f>('Info Lega'!$B$5-COUNTIFS($D$2:$D$492,'Info Lega'!$B$28,$B$2:$B$492,"P"))+('Info Lega'!$B$6-COUNTIFS($D$2:$D$492,'Info Lega'!$B$28,$B$2:$B$492,"D"))+('Info Lega'!$B$7-COUNTIFS($D$2:$D$492,'Info Lega'!$B$28,$B$2:$B$492,"C"))+('Info Lega'!$B$8-COUNTIFS($D$2:$D$492,'Info Lega'!$B$28,$B$2:$B$492,"A"))</f>
        <v>25</v>
      </c>
      <c r="Y339" s="18">
        <f>X339*'Parametri Modello'!$B$30</f>
        <v>25</v>
      </c>
      <c r="Z339" s="18">
        <f t="shared" si="47"/>
        <v>975</v>
      </c>
      <c r="AA339" s="18">
        <f t="shared" si="48"/>
        <v>3</v>
      </c>
      <c r="AB339" s="18"/>
      <c r="AC339" s="18" t="str">
        <f>IF($AB339="","",IF($AB339&gt;$AA339,"PASS",IF($AB339&lt;=$AA339*(1-'Parametri Modello'!$B$68),"BID","ATTENZIONE")))</f>
        <v/>
      </c>
      <c r="AD339" s="28" t="str">
        <f t="shared" si="49"/>
        <v/>
      </c>
      <c r="AE339" s="5" t="str">
        <f>IFERROR(IF($AF339="Titolare",INDEX('Stato Asta'!$G$9:$G$12,MATCH($B339,'Stato Asta'!$A$9:$A$12,0)),INDEX('Stato Asta'!$P$9:$P$12,MATCH($B339,'Stato Asta'!$A$9:$A$12,0))),"")</f>
        <v>🟢 Riserve abbondanti</v>
      </c>
      <c r="AF339" t="str">
        <f>IFERROR(IF($V339&lt;=INDEX('Parametri Modello'!$C$57:$C$60,MATCH($B339,'Parametri Modello'!$A$57:$A$60,0)),"Titolare","Riserva"),"")</f>
        <v>Riserva</v>
      </c>
      <c r="AG339" t="str">
        <f>IFERROR(INDEX('Pressione Competitiva'!$F$3:$F$6,MATCH($B339,'Pressione Competitiva'!$B$3:$B$6,0)),"")</f>
        <v>🔴 Molto Alta</v>
      </c>
      <c r="AH339" t="str">
        <f t="shared" si="50"/>
        <v/>
      </c>
      <c r="AI339" t="str">
        <f>IFERROR(IF($AH339="","",IF($AH339&gt;=$AA339*'Parametri Modello'!$B$68,"🟢 Opportunita'",IF($AH339&lt;=$AA339*'Parametri Modello'!$B$69,"🔴 Sovrapprezzo","🟡 Prezzo Corretto"))),"")</f>
        <v/>
      </c>
      <c r="AJ339" t="str">
        <f t="shared" si="51"/>
        <v/>
      </c>
      <c r="AK339">
        <f t="shared" si="52"/>
        <v>14</v>
      </c>
      <c r="AL339" t="str">
        <f t="shared" si="53"/>
        <v>A|Scommessa/Riserva|14</v>
      </c>
    </row>
    <row r="340" spans="1:38" ht="14.25" customHeight="1" x14ac:dyDescent="0.25">
      <c r="A340" s="18">
        <v>7349</v>
      </c>
      <c r="B340" s="18" t="s">
        <v>437</v>
      </c>
      <c r="C340" s="18" t="s">
        <v>504</v>
      </c>
      <c r="E340" s="23" t="str">
        <f>IF(COUNTIF('Info Strategia'!$D$2:$D$51,$C340)&gt;0,"SI","NO")</f>
        <v>NO</v>
      </c>
      <c r="F340" s="24">
        <f>IFERROR(ROUND(($G340+($H340-$G340)*'Info Strategia'!$B$6)*(1+IF($E340="SI",'Parametri Modello'!$B$7*'Info Strategia'!$B$6,0)),0),"")</f>
        <v>3</v>
      </c>
      <c r="G340" s="24">
        <f>IFERROR(ROUND(MAX(1,(IF($V340&lt;=INDEX('Parametri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2</v>
      </c>
      <c r="H340" s="24">
        <f>IFERROR(ROUND((IF($V340&lt;=INDEX('Parametri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3</v>
      </c>
      <c r="I340" s="23">
        <f>IFERROR(INDEX('Input Statistiche 2025_26'!$F$3:$F$665,MATCH($A340,'Input Statistiche 2025_26'!$A$3:$A$665,0)),"")</f>
        <v>7</v>
      </c>
      <c r="J340" s="23">
        <f t="shared" si="45"/>
        <v>31</v>
      </c>
      <c r="K340" s="23">
        <f>IFERROR(INDEX('Input Statistiche 2025_26'!$I$3:$I$665,MATCH($A340,'Input Statistiche 2025_26'!$A$3:$A$665,0)),"")</f>
        <v>0</v>
      </c>
      <c r="L340" s="23">
        <f>IFERROR(INDEX('Input Statistiche 2025_26'!$O$3:$O$665,MATCH($A340,'Input Statistiche 2025_26'!$A$3:$A$665,0)),"")</f>
        <v>1</v>
      </c>
      <c r="M340" s="25"/>
      <c r="N340" s="24">
        <f>IFERROR(INDEX('Input Giocatori 2026_27'!$E$3:$E$493,MATCH($A340,'Input Giocatori 2026_27'!$A$3:$A$493,0)),"")</f>
        <v>4</v>
      </c>
      <c r="O340" s="24">
        <f>IFERROR(INDEX('Input Giocatori 2026_27'!$G$3:$G$493,MATCH($A340,'Input Giocatori 2026_27'!$A$3:$A$493,0)),"")</f>
        <v>9</v>
      </c>
      <c r="P340" s="23" t="str">
        <f>IFERROR(IF($O340="","",IF((1-(COUNTIFS($B$2:$B$492,$B340,$O$2:$O$492,"&gt;"&amp;$O340)+1-1)/COUNTIF($B$2:$B$492,$B340))&gt;='Parametri Modello'!$B$63,"Top",IF((1-(COUNTIFS($B$2:$B$492,$B340,$O$2:$O$492,"&gt;"&amp;$O340)+1-1)/COUNTIF($B$2:$B$492,$B340))&gt;='Parametri Modello'!$B$64,"Buono",IF((1-(COUNTIFS($B$2:$B$492,$B340,$O$2:$O$492,"&gt;"&amp;$O340)+1-1)/COUNTIF($B$2:$B$492,$B340))&gt;='Parametri Modello'!$B$65,"Nella Media","Scommessa/Riserva")))),"")</f>
        <v>Scommessa/Riserva</v>
      </c>
      <c r="Q340" s="26">
        <f>IF(AND($D340="",$N340&gt;1),SUMPRODUCT(($D$2:$D340="")*($N$2:$N340&gt;1)),"")</f>
        <v>339</v>
      </c>
      <c r="R340" s="26" t="str">
        <f>IF($D340='Info Lega'!$B$28,COUNTIFS($D$2:$D340,'Info Lega'!$B$28),"")</f>
        <v/>
      </c>
      <c r="S340" s="27">
        <f>IFERROR(INDEX('Input Statistiche 2025_26'!$G$3:$G$665,MATCH($A340,'Input Statistiche 2025_26'!$A$3:$A$665,0)),"")</f>
        <v>5.71</v>
      </c>
      <c r="T340" s="27">
        <f>IFERROR(INDEX('Input Statistiche 2025_26'!$H$3:$H$665,MATCH($A340,'Input Statistiche 2025_26'!$A$3:$A$665,0)),"")</f>
        <v>5.79</v>
      </c>
      <c r="U340" s="23" t="str">
        <f>IF(OR('La Mia Rosa'!$O$12="",$D340&lt;&gt;""),"",IF($F340&lt;='La Mia Rosa'!$O$12*'Parametri Modello'!$B$24,"OK",IF($F340&lt;='La Mia Rosa'!$O$12*'Parametri Modello'!$B$25,"Attenzione","Rischio Alto")))</f>
        <v>OK</v>
      </c>
      <c r="V340" s="23">
        <f t="shared" si="46"/>
        <v>68</v>
      </c>
      <c r="W340" s="18">
        <f>'Info Lega'!$B$4-SUMIFS($M$2:$M$492,$D$2:$D$492,'Info Lega'!$B$28)</f>
        <v>1000</v>
      </c>
      <c r="X340" s="18">
        <f>('Info Lega'!$B$5-COUNTIFS($D$2:$D$492,'Info Lega'!$B$28,$B$2:$B$492,"P"))+('Info Lega'!$B$6-COUNTIFS($D$2:$D$492,'Info Lega'!$B$28,$B$2:$B$492,"D"))+('Info Lega'!$B$7-COUNTIFS($D$2:$D$492,'Info Lega'!$B$28,$B$2:$B$492,"C"))+('Info Lega'!$B$8-COUNTIFS($D$2:$D$492,'Info Lega'!$B$28,$B$2:$B$492,"A"))</f>
        <v>25</v>
      </c>
      <c r="Y340" s="18">
        <f>X340*'Parametri Modello'!$B$30</f>
        <v>25</v>
      </c>
      <c r="Z340" s="18">
        <f t="shared" si="47"/>
        <v>975</v>
      </c>
      <c r="AA340" s="18">
        <f t="shared" si="48"/>
        <v>3</v>
      </c>
      <c r="AB340" s="18"/>
      <c r="AC340" s="18" t="str">
        <f>IF($AB340="","",IF($AB340&gt;$AA340,"PASS",IF($AB340&lt;=$AA340*(1-'Parametri Modello'!$B$68),"BID","ATTENZIONE")))</f>
        <v/>
      </c>
      <c r="AD340" s="28">
        <f t="shared" si="49"/>
        <v>21</v>
      </c>
      <c r="AE340" s="5" t="str">
        <f>IFERROR(IF($AF340="Titolare",INDEX('Stato Asta'!$G$9:$G$12,MATCH($B340,'Stato Asta'!$A$9:$A$12,0)),INDEX('Stato Asta'!$P$9:$P$12,MATCH($B340,'Stato Asta'!$A$9:$A$12,0))),"")</f>
        <v>🟢 Riserve abbondanti</v>
      </c>
      <c r="AF340" t="str">
        <f>IFERROR(IF($V340&lt;=INDEX('Parametri Modello'!$C$57:$C$60,MATCH($B340,'Parametri Modello'!$A$57:$A$60,0)),"Titolare","Riserva"),"")</f>
        <v>Riserva</v>
      </c>
      <c r="AG340" t="str">
        <f>IFERROR(INDEX('Pressione Competitiva'!$F$3:$F$6,MATCH($B340,'Pressione Competitiva'!$B$3:$B$6,0)),"")</f>
        <v>🔴 Molto Alta</v>
      </c>
      <c r="AH340" t="str">
        <f t="shared" si="50"/>
        <v/>
      </c>
      <c r="AI340" t="str">
        <f>IFERROR(IF($AH340="","",IF($AH340&gt;=$AA340*'Parametri Modello'!$B$68,"🟢 Opportunita'",IF($AH340&lt;=$AA340*'Parametri Modello'!$B$69,"🔴 Sovrapprezzo","🟡 Prezzo Corretto"))),"")</f>
        <v/>
      </c>
      <c r="AJ340" t="str">
        <f t="shared" si="51"/>
        <v/>
      </c>
      <c r="AK340">
        <f t="shared" si="52"/>
        <v>14</v>
      </c>
      <c r="AL340" t="str">
        <f t="shared" si="53"/>
        <v>A|Scommessa/Riserva|14</v>
      </c>
    </row>
    <row r="341" spans="1:38" ht="14.25" customHeight="1" x14ac:dyDescent="0.25">
      <c r="A341" s="18">
        <v>7001</v>
      </c>
      <c r="B341" s="18" t="s">
        <v>437</v>
      </c>
      <c r="C341" s="18" t="s">
        <v>508</v>
      </c>
      <c r="E341" s="23" t="str">
        <f>IF(COUNTIF('Info Strategia'!$D$2:$D$51,$C341)&gt;0,"SI","NO")</f>
        <v>NO</v>
      </c>
      <c r="F341" s="24">
        <f>IFERROR(ROUND(($G341+($H341-$G341)*'Info Strategia'!$B$6)*(1+IF($E341="SI",'Parametri Modello'!$B$7*'Info Strategia'!$B$6,0)),0),"")</f>
        <v>3</v>
      </c>
      <c r="G341" s="24">
        <f>IFERROR(ROUND(MAX(1,(IF($V341&lt;=INDEX('Parametri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2</v>
      </c>
      <c r="H341" s="24">
        <f>IFERROR(ROUND((IF($V341&lt;=INDEX('Parametri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3</v>
      </c>
      <c r="I341" s="23">
        <f>IFERROR(INDEX('Input Statistiche 2025_26'!$F$3:$F$665,MATCH($A341,'Input Statistiche 2025_26'!$A$3:$A$665,0)),"")</f>
        <v>17</v>
      </c>
      <c r="J341" s="23">
        <f t="shared" si="45"/>
        <v>21</v>
      </c>
      <c r="K341" s="23">
        <f>IFERROR(INDEX('Input Statistiche 2025_26'!$I$3:$I$665,MATCH($A341,'Input Statistiche 2025_26'!$A$3:$A$665,0)),"")</f>
        <v>2</v>
      </c>
      <c r="L341" s="23">
        <f>IFERROR(INDEX('Input Statistiche 2025_26'!$O$3:$O$665,MATCH($A341,'Input Statistiche 2025_26'!$A$3:$A$665,0)),"")</f>
        <v>0</v>
      </c>
      <c r="M341" s="25"/>
      <c r="N341" s="24">
        <f>IFERROR(INDEX('Input Giocatori 2026_27'!$E$3:$E$493,MATCH($A341,'Input Giocatori 2026_27'!$A$3:$A$493,0)),"")</f>
        <v>3</v>
      </c>
      <c r="O341" s="24">
        <f>IFERROR(INDEX('Input Giocatori 2026_27'!$G$3:$G$493,MATCH($A341,'Input Giocatori 2026_27'!$A$3:$A$493,0)),"")</f>
        <v>9</v>
      </c>
      <c r="P341" s="23" t="str">
        <f>IFERROR(IF($O341="","",IF((1-(COUNTIFS($B$2:$B$492,$B341,$O$2:$O$492,"&gt;"&amp;$O341)+1-1)/COUNTIF($B$2:$B$492,$B341))&gt;='Parametri Modello'!$B$63,"Top",IF((1-(COUNTIFS($B$2:$B$492,$B341,$O$2:$O$492,"&gt;"&amp;$O341)+1-1)/COUNTIF($B$2:$B$492,$B341))&gt;='Parametri Modello'!$B$64,"Buono",IF((1-(COUNTIFS($B$2:$B$492,$B341,$O$2:$O$492,"&gt;"&amp;$O341)+1-1)/COUNTIF($B$2:$B$492,$B341))&gt;='Parametri Modello'!$B$65,"Nella Media","Scommessa/Riserva")))),"")</f>
        <v>Scommessa/Riserva</v>
      </c>
      <c r="Q341" s="26">
        <f>IF(AND($D341="",$N341&gt;1),SUMPRODUCT(($D$2:$D341="")*($N$2:$N341&gt;1)),"")</f>
        <v>340</v>
      </c>
      <c r="R341" s="26" t="str">
        <f>IF($D341='Info Lega'!$B$28,COUNTIFS($D$2:$D341,'Info Lega'!$B$28),"")</f>
        <v/>
      </c>
      <c r="S341" s="27">
        <f>IFERROR(INDEX('Input Statistiche 2025_26'!$G$3:$G$665,MATCH($A341,'Input Statistiche 2025_26'!$A$3:$A$665,0)),"")</f>
        <v>5.82</v>
      </c>
      <c r="T341" s="27">
        <f>IFERROR(INDEX('Input Statistiche 2025_26'!$H$3:$H$665,MATCH($A341,'Input Statistiche 2025_26'!$A$3:$A$665,0)),"")</f>
        <v>6.09</v>
      </c>
      <c r="U341" s="23" t="str">
        <f>IF(OR('La Mia Rosa'!$O$12="",$D341&lt;&gt;""),"",IF($F341&lt;='La Mia Rosa'!$O$12*'Parametri Modello'!$B$24,"OK",IF($F341&lt;='La Mia Rosa'!$O$12*'Parametri Modello'!$B$25,"Attenzione","Rischio Alto")))</f>
        <v>OK</v>
      </c>
      <c r="V341" s="23">
        <f t="shared" si="46"/>
        <v>68</v>
      </c>
      <c r="W341" s="18">
        <f>'Info Lega'!$B$4-SUMIFS($M$2:$M$492,$D$2:$D$492,'Info Lega'!$B$28)</f>
        <v>1000</v>
      </c>
      <c r="X341" s="18">
        <f>('Info Lega'!$B$5-COUNTIFS($D$2:$D$492,'Info Lega'!$B$28,$B$2:$B$492,"P"))+('Info Lega'!$B$6-COUNTIFS($D$2:$D$492,'Info Lega'!$B$28,$B$2:$B$492,"D"))+('Info Lega'!$B$7-COUNTIFS($D$2:$D$492,'Info Lega'!$B$28,$B$2:$B$492,"C"))+('Info Lega'!$B$8-COUNTIFS($D$2:$D$492,'Info Lega'!$B$28,$B$2:$B$492,"A"))</f>
        <v>25</v>
      </c>
      <c r="Y341" s="18">
        <f>X341*'Parametri Modello'!$B$30</f>
        <v>25</v>
      </c>
      <c r="Z341" s="18">
        <f t="shared" si="47"/>
        <v>975</v>
      </c>
      <c r="AA341" s="18">
        <f t="shared" si="48"/>
        <v>3</v>
      </c>
      <c r="AB341" s="18"/>
      <c r="AC341" s="18" t="str">
        <f>IF($AB341="","",IF($AB341&gt;$AA341,"PASS",IF($AB341&lt;=$AA341*(1-'Parametri Modello'!$B$68),"BID","ATTENZIONE")))</f>
        <v/>
      </c>
      <c r="AD341" s="28">
        <f t="shared" si="49"/>
        <v>43</v>
      </c>
      <c r="AE341" s="5" t="str">
        <f>IFERROR(IF($AF341="Titolare",INDEX('Stato Asta'!$G$9:$G$12,MATCH($B341,'Stato Asta'!$A$9:$A$12,0)),INDEX('Stato Asta'!$P$9:$P$12,MATCH($B341,'Stato Asta'!$A$9:$A$12,0))),"")</f>
        <v>🟢 Riserve abbondanti</v>
      </c>
      <c r="AF341" t="str">
        <f>IFERROR(IF($V341&lt;=INDEX('Parametri Modello'!$C$57:$C$60,MATCH($B341,'Parametri Modello'!$A$57:$A$60,0)),"Titolare","Riserva"),"")</f>
        <v>Riserva</v>
      </c>
      <c r="AG341" t="str">
        <f>IFERROR(INDEX('Pressione Competitiva'!$F$3:$F$6,MATCH($B341,'Pressione Competitiva'!$B$3:$B$6,0)),"")</f>
        <v>🔴 Molto Alta</v>
      </c>
      <c r="AH341" t="str">
        <f t="shared" si="50"/>
        <v/>
      </c>
      <c r="AI341" t="str">
        <f>IFERROR(IF($AH341="","",IF($AH341&gt;=$AA341*'Parametri Modello'!$B$68,"🟢 Opportunita'",IF($AH341&lt;=$AA341*'Parametri Modello'!$B$69,"🔴 Sovrapprezzo","🟡 Prezzo Corretto"))),"")</f>
        <v/>
      </c>
      <c r="AJ341" t="str">
        <f t="shared" si="51"/>
        <v/>
      </c>
      <c r="AK341">
        <f t="shared" si="52"/>
        <v>14</v>
      </c>
      <c r="AL341" t="str">
        <f t="shared" si="53"/>
        <v>A|Scommessa/Riserva|14</v>
      </c>
    </row>
    <row r="342" spans="1:38" ht="14.25" customHeight="1" x14ac:dyDescent="0.25">
      <c r="A342" s="18">
        <v>6415</v>
      </c>
      <c r="B342" s="18" t="s">
        <v>8</v>
      </c>
      <c r="C342" s="18" t="s">
        <v>48</v>
      </c>
      <c r="E342" s="23" t="str">
        <f>IF(COUNTIF('Info Strategia'!$D$2:$D$51,$C342)&gt;0,"SI","NO")</f>
        <v>NO</v>
      </c>
      <c r="F342" s="24">
        <f>IFERROR(ROUND(($G342+($H342-$G342)*'Info Strategia'!$B$6)*(1+IF($E342="SI",'Parametri Modello'!$B$7*'Info Strategia'!$B$6,0)),0),"")</f>
        <v>3</v>
      </c>
      <c r="G342" s="24">
        <f>IFERROR(ROUND(MAX(1,(IF($V342&lt;=INDEX('Parametri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2</v>
      </c>
      <c r="H342" s="24">
        <f>IFERROR(ROUND((IF($V342&lt;=INDEX('Parametri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3</v>
      </c>
      <c r="I342" s="23" t="str">
        <f>IFERROR(INDEX('Input Statistiche 2025_26'!$F$3:$F$665,MATCH($A342,'Input Statistiche 2025_26'!$A$3:$A$665,0)),"")</f>
        <v/>
      </c>
      <c r="J342" s="23" t="str">
        <f t="shared" si="45"/>
        <v/>
      </c>
      <c r="K342" s="23" t="str">
        <f>IFERROR(INDEX('Input Statistiche 2025_26'!$I$3:$I$665,MATCH($A342,'Input Statistiche 2025_26'!$A$3:$A$665,0)),"")</f>
        <v/>
      </c>
      <c r="L342" s="23" t="str">
        <f>IFERROR(INDEX('Input Statistiche 2025_26'!$O$3:$O$665,MATCH($A342,'Input Statistiche 2025_26'!$A$3:$A$665,0)),"")</f>
        <v/>
      </c>
      <c r="M342" s="25"/>
      <c r="N342" s="24">
        <f>IFERROR(INDEX('Input Giocatori 2026_27'!$E$3:$E$493,MATCH($A342,'Input Giocatori 2026_27'!$A$3:$A$493,0)),"")</f>
        <v>4</v>
      </c>
      <c r="O342" s="24">
        <f>IFERROR(INDEX('Input Giocatori 2026_27'!$G$3:$G$493,MATCH($A342,'Input Giocatori 2026_27'!$A$3:$A$493,0)),"")</f>
        <v>8</v>
      </c>
      <c r="P342" s="23" t="str">
        <f>IFERROR(IF($O342="","",IF((1-(COUNTIFS($B$2:$B$492,$B342,$O$2:$O$492,"&gt;"&amp;$O342)+1-1)/COUNTIF($B$2:$B$492,$B342))&gt;='Parametri Modello'!$B$63,"Top",IF((1-(COUNTIFS($B$2:$B$492,$B342,$O$2:$O$492,"&gt;"&amp;$O342)+1-1)/COUNTIF($B$2:$B$492,$B342))&gt;='Parametri Modello'!$B$64,"Buono",IF((1-(COUNTIFS($B$2:$B$492,$B342,$O$2:$O$492,"&gt;"&amp;$O342)+1-1)/COUNTIF($B$2:$B$492,$B342))&gt;='Parametri Modello'!$B$65,"Nella Media","Scommessa/Riserva")))),"")</f>
        <v>Nella Media</v>
      </c>
      <c r="Q342" s="26">
        <f>IF(AND($D342="",$N342&gt;1),SUMPRODUCT(($D$2:$D342="")*($N$2:$N342&gt;1)),"")</f>
        <v>341</v>
      </c>
      <c r="R342" s="26" t="str">
        <f>IF($D342='Info Lega'!$B$28,COUNTIFS($D$2:$D342,'Info Lega'!$B$28),"")</f>
        <v/>
      </c>
      <c r="S342" s="27" t="str">
        <f>IFERROR(INDEX('Input Statistiche 2025_26'!$G$3:$G$665,MATCH($A342,'Input Statistiche 2025_26'!$A$3:$A$665,0)),"")</f>
        <v/>
      </c>
      <c r="T342" s="27" t="str">
        <f>IFERROR(INDEX('Input Statistiche 2025_26'!$H$3:$H$665,MATCH($A342,'Input Statistiche 2025_26'!$A$3:$A$665,0)),"")</f>
        <v/>
      </c>
      <c r="U342" s="23" t="str">
        <f>IF(OR('La Mia Rosa'!$O$12="",$D342&lt;&gt;""),"",IF($F342&lt;='La Mia Rosa'!$O$12*'Parametri Modello'!$B$24,"OK",IF($F342&lt;='La Mia Rosa'!$O$12*'Parametri Modello'!$B$25,"Attenzione","Rischio Alto")))</f>
        <v>OK</v>
      </c>
      <c r="V342" s="23">
        <f t="shared" si="46"/>
        <v>21</v>
      </c>
      <c r="W342" s="18">
        <f>'Info Lega'!$B$4-SUMIFS($M$2:$M$492,$D$2:$D$492,'Info Lega'!$B$28)</f>
        <v>1000</v>
      </c>
      <c r="X342" s="18">
        <f>('Info Lega'!$B$5-COUNTIFS($D$2:$D$492,'Info Lega'!$B$28,$B$2:$B$492,"P"))+('Info Lega'!$B$6-COUNTIFS($D$2:$D$492,'Info Lega'!$B$28,$B$2:$B$492,"D"))+('Info Lega'!$B$7-COUNTIFS($D$2:$D$492,'Info Lega'!$B$28,$B$2:$B$492,"C"))+('Info Lega'!$B$8-COUNTIFS($D$2:$D$492,'Info Lega'!$B$28,$B$2:$B$492,"A"))</f>
        <v>25</v>
      </c>
      <c r="Y342" s="18">
        <f>X342*'Parametri Modello'!$B$30</f>
        <v>25</v>
      </c>
      <c r="Z342" s="18">
        <f t="shared" si="47"/>
        <v>975</v>
      </c>
      <c r="AA342" s="18">
        <f t="shared" si="48"/>
        <v>3</v>
      </c>
      <c r="AB342" s="18"/>
      <c r="AC342" s="18" t="str">
        <f>IF($AB342="","",IF($AB342&gt;$AA342,"PASS",IF($AB342&lt;=$AA342*(1-'Parametri Modello'!$B$68),"BID","ATTENZIONE")))</f>
        <v/>
      </c>
      <c r="AD342" s="28" t="str">
        <f t="shared" si="49"/>
        <v/>
      </c>
      <c r="AE342" s="5" t="str">
        <f>IFERROR(IF($AF342="Titolare",INDEX('Stato Asta'!$G$9:$G$12,MATCH($B342,'Stato Asta'!$A$9:$A$12,0)),INDEX('Stato Asta'!$P$9:$P$12,MATCH($B342,'Stato Asta'!$A$9:$A$12,0))),"")</f>
        <v>🔴 Riserve scarse</v>
      </c>
      <c r="AF342" t="str">
        <f>IFERROR(IF($V342&lt;=INDEX('Parametri Modello'!$C$57:$C$60,MATCH($B342,'Parametri Modello'!$A$57:$A$60,0)),"Titolare","Riserva"),"")</f>
        <v>Riserva</v>
      </c>
      <c r="AG342" t="str">
        <f>IFERROR(INDEX('Pressione Competitiva'!$F$3:$F$6,MATCH($B342,'Pressione Competitiva'!$B$3:$B$6,0)),"")</f>
        <v>🔴 Molto Alta</v>
      </c>
      <c r="AH342" t="str">
        <f t="shared" si="50"/>
        <v/>
      </c>
      <c r="AI342" t="str">
        <f>IFERROR(IF($AH342="","",IF($AH342&gt;=$AA342*'Parametri Modello'!$B$68,"🟢 Opportunita'",IF($AH342&lt;=$AA342*'Parametri Modello'!$B$69,"🔴 Sovrapprezzo","🟡 Prezzo Corretto"))),"")</f>
        <v/>
      </c>
      <c r="AJ342" t="str">
        <f t="shared" si="51"/>
        <v/>
      </c>
      <c r="AK342">
        <f t="shared" si="52"/>
        <v>3</v>
      </c>
      <c r="AL342" t="str">
        <f t="shared" si="53"/>
        <v>P|Nella Media|3</v>
      </c>
    </row>
    <row r="343" spans="1:38" ht="14.25" customHeight="1" x14ac:dyDescent="0.25">
      <c r="A343" s="18">
        <v>7463</v>
      </c>
      <c r="B343" s="18" t="s">
        <v>8</v>
      </c>
      <c r="C343" s="18" t="s">
        <v>50</v>
      </c>
      <c r="E343" s="23" t="str">
        <f>IF(COUNTIF('Info Strategia'!$D$2:$D$51,$C343)&gt;0,"SI","NO")</f>
        <v>NO</v>
      </c>
      <c r="F343" s="24">
        <f>IFERROR(ROUND(($G343+($H343-$G343)*'Info Strategia'!$B$6)*(1+IF($E343="SI",'Parametri Modello'!$B$7*'Info Strategia'!$B$6,0)),0),"")</f>
        <v>3</v>
      </c>
      <c r="G343" s="24">
        <f>IFERROR(ROUND(MAX(1,(IF($V343&lt;=INDEX('Parametri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2</v>
      </c>
      <c r="H343" s="24">
        <f>IFERROR(ROUND((IF($V343&lt;=INDEX('Parametri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3</v>
      </c>
      <c r="I343" s="23" t="str">
        <f>IFERROR(INDEX('Input Statistiche 2025_26'!$F$3:$F$665,MATCH($A343,'Input Statistiche 2025_26'!$A$3:$A$665,0)),"")</f>
        <v/>
      </c>
      <c r="J343" s="23" t="str">
        <f t="shared" si="45"/>
        <v/>
      </c>
      <c r="K343" s="23" t="str">
        <f>IFERROR(INDEX('Input Statistiche 2025_26'!$I$3:$I$665,MATCH($A343,'Input Statistiche 2025_26'!$A$3:$A$665,0)),"")</f>
        <v/>
      </c>
      <c r="L343" s="23" t="str">
        <f>IFERROR(INDEX('Input Statistiche 2025_26'!$O$3:$O$665,MATCH($A343,'Input Statistiche 2025_26'!$A$3:$A$665,0)),"")</f>
        <v/>
      </c>
      <c r="M343" s="25"/>
      <c r="N343" s="24">
        <f>IFERROR(INDEX('Input Giocatori 2026_27'!$E$3:$E$493,MATCH($A343,'Input Giocatori 2026_27'!$A$3:$A$493,0)),"")</f>
        <v>2</v>
      </c>
      <c r="O343" s="24">
        <f>IFERROR(INDEX('Input Giocatori 2026_27'!$G$3:$G$493,MATCH($A343,'Input Giocatori 2026_27'!$A$3:$A$493,0)),"")</f>
        <v>8</v>
      </c>
      <c r="P343" s="23" t="str">
        <f>IFERROR(IF($O343="","",IF((1-(COUNTIFS($B$2:$B$492,$B343,$O$2:$O$492,"&gt;"&amp;$O343)+1-1)/COUNTIF($B$2:$B$492,$B343))&gt;='Parametri Modello'!$B$63,"Top",IF((1-(COUNTIFS($B$2:$B$492,$B343,$O$2:$O$492,"&gt;"&amp;$O343)+1-1)/COUNTIF($B$2:$B$492,$B343))&gt;='Parametri Modello'!$B$64,"Buono",IF((1-(COUNTIFS($B$2:$B$492,$B343,$O$2:$O$492,"&gt;"&amp;$O343)+1-1)/COUNTIF($B$2:$B$492,$B343))&gt;='Parametri Modello'!$B$65,"Nella Media","Scommessa/Riserva")))),"")</f>
        <v>Nella Media</v>
      </c>
      <c r="Q343" s="26">
        <f>IF(AND($D343="",$N343&gt;1),SUMPRODUCT(($D$2:$D343="")*($N$2:$N343&gt;1)),"")</f>
        <v>342</v>
      </c>
      <c r="R343" s="26" t="str">
        <f>IF($D343='Info Lega'!$B$28,COUNTIFS($D$2:$D343,'Info Lega'!$B$28),"")</f>
        <v/>
      </c>
      <c r="S343" s="27" t="str">
        <f>IFERROR(INDEX('Input Statistiche 2025_26'!$G$3:$G$665,MATCH($A343,'Input Statistiche 2025_26'!$A$3:$A$665,0)),"")</f>
        <v/>
      </c>
      <c r="T343" s="27" t="str">
        <f>IFERROR(INDEX('Input Statistiche 2025_26'!$H$3:$H$665,MATCH($A343,'Input Statistiche 2025_26'!$A$3:$A$665,0)),"")</f>
        <v/>
      </c>
      <c r="U343" s="23" t="str">
        <f>IF(OR('La Mia Rosa'!$O$12="",$D343&lt;&gt;""),"",IF($F343&lt;='La Mia Rosa'!$O$12*'Parametri Modello'!$B$24,"OK",IF($F343&lt;='La Mia Rosa'!$O$12*'Parametri Modello'!$B$25,"Attenzione","Rischio Alto")))</f>
        <v>OK</v>
      </c>
      <c r="V343" s="23">
        <f t="shared" si="46"/>
        <v>21</v>
      </c>
      <c r="W343" s="18">
        <f>'Info Lega'!$B$4-SUMIFS($M$2:$M$492,$D$2:$D$492,'Info Lega'!$B$28)</f>
        <v>1000</v>
      </c>
      <c r="X343" s="18">
        <f>('Info Lega'!$B$5-COUNTIFS($D$2:$D$492,'Info Lega'!$B$28,$B$2:$B$492,"P"))+('Info Lega'!$B$6-COUNTIFS($D$2:$D$492,'Info Lega'!$B$28,$B$2:$B$492,"D"))+('Info Lega'!$B$7-COUNTIFS($D$2:$D$492,'Info Lega'!$B$28,$B$2:$B$492,"C"))+('Info Lega'!$B$8-COUNTIFS($D$2:$D$492,'Info Lega'!$B$28,$B$2:$B$492,"A"))</f>
        <v>25</v>
      </c>
      <c r="Y343" s="18">
        <f>X343*'Parametri Modello'!$B$30</f>
        <v>25</v>
      </c>
      <c r="Z343" s="18">
        <f t="shared" si="47"/>
        <v>975</v>
      </c>
      <c r="AA343" s="18">
        <f t="shared" si="48"/>
        <v>3</v>
      </c>
      <c r="AB343" s="18"/>
      <c r="AC343" s="18" t="str">
        <f>IF($AB343="","",IF($AB343&gt;$AA343,"PASS",IF($AB343&lt;=$AA343*(1-'Parametri Modello'!$B$68),"BID","ATTENZIONE")))</f>
        <v/>
      </c>
      <c r="AD343" s="28" t="str">
        <f t="shared" si="49"/>
        <v/>
      </c>
      <c r="AE343" s="5" t="str">
        <f>IFERROR(IF($AF343="Titolare",INDEX('Stato Asta'!$G$9:$G$12,MATCH($B343,'Stato Asta'!$A$9:$A$12,0)),INDEX('Stato Asta'!$P$9:$P$12,MATCH($B343,'Stato Asta'!$A$9:$A$12,0))),"")</f>
        <v>🔴 Riserve scarse</v>
      </c>
      <c r="AF343" t="str">
        <f>IFERROR(IF($V343&lt;=INDEX('Parametri Modello'!$C$57:$C$60,MATCH($B343,'Parametri Modello'!$A$57:$A$60,0)),"Titolare","Riserva"),"")</f>
        <v>Riserva</v>
      </c>
      <c r="AG343" t="str">
        <f>IFERROR(INDEX('Pressione Competitiva'!$F$3:$F$6,MATCH($B343,'Pressione Competitiva'!$B$3:$B$6,0)),"")</f>
        <v>🔴 Molto Alta</v>
      </c>
      <c r="AH343" t="str">
        <f t="shared" si="50"/>
        <v/>
      </c>
      <c r="AI343" t="str">
        <f>IFERROR(IF($AH343="","",IF($AH343&gt;=$AA343*'Parametri Modello'!$B$68,"🟢 Opportunita'",IF($AH343&lt;=$AA343*'Parametri Modello'!$B$69,"🔴 Sovrapprezzo","🟡 Prezzo Corretto"))),"")</f>
        <v/>
      </c>
      <c r="AJ343" t="str">
        <f t="shared" si="51"/>
        <v/>
      </c>
      <c r="AK343">
        <f t="shared" si="52"/>
        <v>3</v>
      </c>
      <c r="AL343" t="str">
        <f t="shared" si="53"/>
        <v>P|Nella Media|3</v>
      </c>
    </row>
    <row r="344" spans="1:38" ht="14.25" customHeight="1" x14ac:dyDescent="0.25">
      <c r="A344" s="18">
        <v>5603</v>
      </c>
      <c r="B344" s="18" t="s">
        <v>88</v>
      </c>
      <c r="C344" s="18" t="s">
        <v>181</v>
      </c>
      <c r="E344" s="23" t="str">
        <f>IF(COUNTIF('Info Strategia'!$D$2:$D$51,$C344)&gt;0,"SI","NO")</f>
        <v>NO</v>
      </c>
      <c r="F344" s="24">
        <f>IFERROR(ROUND(($G344+($H344-$G344)*'Info Strategia'!$B$6)*(1+IF($E344="SI",'Parametri Modello'!$B$7*'Info Strategia'!$B$6,0)),0),"")</f>
        <v>2</v>
      </c>
      <c r="G344" s="24">
        <f>IFERROR(ROUND(MAX(1,(IF($V344&lt;=INDEX('Parametri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1</v>
      </c>
      <c r="H344" s="24">
        <f>IFERROR(ROUND((IF($V344&lt;=INDEX('Parametri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2</v>
      </c>
      <c r="I344" s="23">
        <f>IFERROR(INDEX('Input Statistiche 2025_26'!$F$3:$F$665,MATCH($A344,'Input Statistiche 2025_26'!$A$3:$A$665,0)),"")</f>
        <v>35</v>
      </c>
      <c r="J344" s="23">
        <f t="shared" si="45"/>
        <v>3</v>
      </c>
      <c r="K344" s="23">
        <f>IFERROR(INDEX('Input Statistiche 2025_26'!$I$3:$I$665,MATCH($A344,'Input Statistiche 2025_26'!$A$3:$A$665,0)),"")</f>
        <v>0</v>
      </c>
      <c r="L344" s="23">
        <f>IFERROR(INDEX('Input Statistiche 2025_26'!$O$3:$O$665,MATCH($A344,'Input Statistiche 2025_26'!$A$3:$A$665,0)),"")</f>
        <v>0</v>
      </c>
      <c r="M344" s="25"/>
      <c r="N344" s="24">
        <f>IFERROR(INDEX('Input Giocatori 2026_27'!$E$3:$E$493,MATCH($A344,'Input Giocatori 2026_27'!$A$3:$A$493,0)),"")</f>
        <v>4</v>
      </c>
      <c r="O344" s="24">
        <f>IFERROR(INDEX('Input Giocatori 2026_27'!$G$3:$G$493,MATCH($A344,'Input Giocatori 2026_27'!$A$3:$A$493,0)),"")</f>
        <v>8</v>
      </c>
      <c r="P344" s="23" t="str">
        <f>IFERROR(IF($O344="","",IF((1-(COUNTIFS($B$2:$B$492,$B344,$O$2:$O$492,"&gt;"&amp;$O344)+1-1)/COUNTIF($B$2:$B$492,$B344))&gt;='Parametri Modello'!$B$63,"Top",IF((1-(COUNTIFS($B$2:$B$492,$B344,$O$2:$O$492,"&gt;"&amp;$O344)+1-1)/COUNTIF($B$2:$B$492,$B344))&gt;='Parametri Modello'!$B$64,"Buono",IF((1-(COUNTIFS($B$2:$B$492,$B344,$O$2:$O$492,"&gt;"&amp;$O344)+1-1)/COUNTIF($B$2:$B$492,$B344))&gt;='Parametri Modello'!$B$65,"Nella Media","Scommessa/Riserva")))),"")</f>
        <v>Scommessa/Riserva</v>
      </c>
      <c r="Q344" s="26">
        <f>IF(AND($D344="",$N344&gt;1),SUMPRODUCT(($D$2:$D344="")*($N$2:$N344&gt;1)),"")</f>
        <v>343</v>
      </c>
      <c r="R344" s="26" t="str">
        <f>IF($D344='Info Lega'!$B$28,COUNTIFS($D$2:$D344,'Info Lega'!$B$28),"")</f>
        <v/>
      </c>
      <c r="S344" s="27">
        <f>IFERROR(INDEX('Input Statistiche 2025_26'!$G$3:$G$665,MATCH($A344,'Input Statistiche 2025_26'!$A$3:$A$665,0)),"")</f>
        <v>5.84</v>
      </c>
      <c r="T344" s="27">
        <f>IFERROR(INDEX('Input Statistiche 2025_26'!$H$3:$H$665,MATCH($A344,'Input Statistiche 2025_26'!$A$3:$A$665,0)),"")</f>
        <v>5.67</v>
      </c>
      <c r="U344" s="23" t="str">
        <f>IF(OR('La Mia Rosa'!$O$12="",$D344&lt;&gt;""),"",IF($F344&lt;='La Mia Rosa'!$O$12*'Parametri Modello'!$B$24,"OK",IF($F344&lt;='La Mia Rosa'!$O$12*'Parametri Modello'!$B$25,"Attenzione","Rischio Alto")))</f>
        <v>OK</v>
      </c>
      <c r="V344" s="23">
        <f t="shared" si="46"/>
        <v>118</v>
      </c>
      <c r="W344" s="18">
        <f>'Info Lega'!$B$4-SUMIFS($M$2:$M$492,$D$2:$D$492,'Info Lega'!$B$28)</f>
        <v>1000</v>
      </c>
      <c r="X344" s="18">
        <f>('Info Lega'!$B$5-COUNTIFS($D$2:$D$492,'Info Lega'!$B$28,$B$2:$B$492,"P"))+('Info Lega'!$B$6-COUNTIFS($D$2:$D$492,'Info Lega'!$B$28,$B$2:$B$492,"D"))+('Info Lega'!$B$7-COUNTIFS($D$2:$D$492,'Info Lega'!$B$28,$B$2:$B$492,"C"))+('Info Lega'!$B$8-COUNTIFS($D$2:$D$492,'Info Lega'!$B$28,$B$2:$B$492,"A"))</f>
        <v>25</v>
      </c>
      <c r="Y344" s="18">
        <f>X344*'Parametri Modello'!$B$30</f>
        <v>25</v>
      </c>
      <c r="Z344" s="18">
        <f t="shared" si="47"/>
        <v>975</v>
      </c>
      <c r="AA344" s="18">
        <f t="shared" si="48"/>
        <v>2</v>
      </c>
      <c r="AB344" s="18"/>
      <c r="AC344" s="18" t="str">
        <f>IF($AB344="","",IF($AB344&gt;$AA344,"PASS",IF($AB344&lt;=$AA344*(1-'Parametri Modello'!$B$68),"BID","ATTENZIONE")))</f>
        <v/>
      </c>
      <c r="AD344" s="28">
        <f t="shared" si="49"/>
        <v>69</v>
      </c>
      <c r="AE344" s="5" t="str">
        <f>IFERROR(IF($AF344="Titolare",INDEX('Stato Asta'!$G$9:$G$12,MATCH($B344,'Stato Asta'!$A$9:$A$12,0)),INDEX('Stato Asta'!$P$9:$P$12,MATCH($B344,'Stato Asta'!$A$9:$A$12,0))),"")</f>
        <v>🟢 Riserve abbondanti</v>
      </c>
      <c r="AF344" t="str">
        <f>IFERROR(IF($V344&lt;=INDEX('Parametri Modello'!$C$57:$C$60,MATCH($B344,'Parametri Modello'!$A$57:$A$60,0)),"Titolare","Riserva"),"")</f>
        <v>Riserva</v>
      </c>
      <c r="AG344" t="str">
        <f>IFERROR(INDEX('Pressione Competitiva'!$F$3:$F$6,MATCH($B344,'Pressione Competitiva'!$B$3:$B$6,0)),"")</f>
        <v>🔴 Molto Alta</v>
      </c>
      <c r="AH344" t="str">
        <f t="shared" si="50"/>
        <v/>
      </c>
      <c r="AI344" t="str">
        <f>IFERROR(IF($AH344="","",IF($AH344&gt;=$AA344*'Parametri Modello'!$B$68,"🟢 Opportunita'",IF($AH344&lt;=$AA344*'Parametri Modello'!$B$69,"🔴 Sovrapprezzo","🟡 Prezzo Corretto"))),"")</f>
        <v/>
      </c>
      <c r="AJ344" t="str">
        <f t="shared" si="51"/>
        <v/>
      </c>
      <c r="AK344">
        <f t="shared" si="52"/>
        <v>7</v>
      </c>
      <c r="AL344" t="str">
        <f t="shared" si="53"/>
        <v>D|Scommessa/Riserva|7</v>
      </c>
    </row>
    <row r="345" spans="1:38" ht="14.25" customHeight="1" x14ac:dyDescent="0.25">
      <c r="A345" s="18">
        <v>7312</v>
      </c>
      <c r="B345" s="18" t="s">
        <v>88</v>
      </c>
      <c r="C345" s="18" t="s">
        <v>197</v>
      </c>
      <c r="E345" s="23" t="str">
        <f>IF(COUNTIF('Info Strategia'!$D$2:$D$51,$C345)&gt;0,"SI","NO")</f>
        <v>NO</v>
      </c>
      <c r="F345" s="24">
        <f>IFERROR(ROUND(($G345+($H345-$G345)*'Info Strategia'!$B$6)*(1+IF($E345="SI",'Parametri Modello'!$B$7*'Info Strategia'!$B$6,0)),0),"")</f>
        <v>2</v>
      </c>
      <c r="G345" s="24">
        <f>IFERROR(ROUND(MAX(1,(IF($V345&lt;=INDEX('Parametri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1</v>
      </c>
      <c r="H345" s="24">
        <f>IFERROR(ROUND((IF($V345&lt;=INDEX('Parametri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2</v>
      </c>
      <c r="I345" s="23">
        <f>IFERROR(INDEX('Input Statistiche 2025_26'!$F$3:$F$665,MATCH($A345,'Input Statistiche 2025_26'!$A$3:$A$665,0)),"")</f>
        <v>5</v>
      </c>
      <c r="J345" s="23">
        <f t="shared" si="45"/>
        <v>33</v>
      </c>
      <c r="K345" s="23">
        <f>IFERROR(INDEX('Input Statistiche 2025_26'!$I$3:$I$665,MATCH($A345,'Input Statistiche 2025_26'!$A$3:$A$665,0)),"")</f>
        <v>0</v>
      </c>
      <c r="L345" s="23">
        <f>IFERROR(INDEX('Input Statistiche 2025_26'!$O$3:$O$665,MATCH($A345,'Input Statistiche 2025_26'!$A$3:$A$665,0)),"")</f>
        <v>0</v>
      </c>
      <c r="M345" s="25"/>
      <c r="N345" s="24">
        <f>IFERROR(INDEX('Input Giocatori 2026_27'!$E$3:$E$493,MATCH($A345,'Input Giocatori 2026_27'!$A$3:$A$493,0)),"")</f>
        <v>4</v>
      </c>
      <c r="O345" s="24">
        <f>IFERROR(INDEX('Input Giocatori 2026_27'!$G$3:$G$493,MATCH($A345,'Input Giocatori 2026_27'!$A$3:$A$493,0)),"")</f>
        <v>8</v>
      </c>
      <c r="P345" s="23" t="str">
        <f>IFERROR(IF($O345="","",IF((1-(COUNTIFS($B$2:$B$492,$B345,$O$2:$O$492,"&gt;"&amp;$O345)+1-1)/COUNTIF($B$2:$B$492,$B345))&gt;='Parametri Modello'!$B$63,"Top",IF((1-(COUNTIFS($B$2:$B$492,$B345,$O$2:$O$492,"&gt;"&amp;$O345)+1-1)/COUNTIF($B$2:$B$492,$B345))&gt;='Parametri Modello'!$B$64,"Buono",IF((1-(COUNTIFS($B$2:$B$492,$B345,$O$2:$O$492,"&gt;"&amp;$O345)+1-1)/COUNTIF($B$2:$B$492,$B345))&gt;='Parametri Modello'!$B$65,"Nella Media","Scommessa/Riserva")))),"")</f>
        <v>Scommessa/Riserva</v>
      </c>
      <c r="Q345" s="26">
        <f>IF(AND($D345="",$N345&gt;1),SUMPRODUCT(($D$2:$D345="")*($N$2:$N345&gt;1)),"")</f>
        <v>344</v>
      </c>
      <c r="R345" s="26" t="str">
        <f>IF($D345='Info Lega'!$B$28,COUNTIFS($D$2:$D345,'Info Lega'!$B$28),"")</f>
        <v/>
      </c>
      <c r="S345" s="27">
        <f>IFERROR(INDEX('Input Statistiche 2025_26'!$G$3:$G$665,MATCH($A345,'Input Statistiche 2025_26'!$A$3:$A$665,0)),"")</f>
        <v>5.8</v>
      </c>
      <c r="T345" s="27">
        <f>IFERROR(INDEX('Input Statistiche 2025_26'!$H$3:$H$665,MATCH($A345,'Input Statistiche 2025_26'!$A$3:$A$665,0)),"")</f>
        <v>5.8</v>
      </c>
      <c r="U345" s="23" t="str">
        <f>IF(OR('La Mia Rosa'!$O$12="",$D345&lt;&gt;""),"",IF($F345&lt;='La Mia Rosa'!$O$12*'Parametri Modello'!$B$24,"OK",IF($F345&lt;='La Mia Rosa'!$O$12*'Parametri Modello'!$B$25,"Attenzione","Rischio Alto")))</f>
        <v>OK</v>
      </c>
      <c r="V345" s="23">
        <f t="shared" si="46"/>
        <v>118</v>
      </c>
      <c r="W345" s="18">
        <f>'Info Lega'!$B$4-SUMIFS($M$2:$M$492,$D$2:$D$492,'Info Lega'!$B$28)</f>
        <v>1000</v>
      </c>
      <c r="X345" s="18">
        <f>('Info Lega'!$B$5-COUNTIFS($D$2:$D$492,'Info Lega'!$B$28,$B$2:$B$492,"P"))+('Info Lega'!$B$6-COUNTIFS($D$2:$D$492,'Info Lega'!$B$28,$B$2:$B$492,"D"))+('Info Lega'!$B$7-COUNTIFS($D$2:$D$492,'Info Lega'!$B$28,$B$2:$B$492,"C"))+('Info Lega'!$B$8-COUNTIFS($D$2:$D$492,'Info Lega'!$B$28,$B$2:$B$492,"A"))</f>
        <v>25</v>
      </c>
      <c r="Y345" s="18">
        <f>X345*'Parametri Modello'!$B$30</f>
        <v>25</v>
      </c>
      <c r="Z345" s="18">
        <f t="shared" si="47"/>
        <v>975</v>
      </c>
      <c r="AA345" s="18">
        <f t="shared" si="48"/>
        <v>2</v>
      </c>
      <c r="AB345" s="18"/>
      <c r="AC345" s="18" t="str">
        <f>IF($AB345="","",IF($AB345&gt;$AA345,"PASS",IF($AB345&lt;=$AA345*(1-'Parametri Modello'!$B$68),"BID","ATTENZIONE")))</f>
        <v/>
      </c>
      <c r="AD345" s="28">
        <f t="shared" si="49"/>
        <v>15</v>
      </c>
      <c r="AE345" s="5" t="str">
        <f>IFERROR(IF($AF345="Titolare",INDEX('Stato Asta'!$G$9:$G$12,MATCH($B345,'Stato Asta'!$A$9:$A$12,0)),INDEX('Stato Asta'!$P$9:$P$12,MATCH($B345,'Stato Asta'!$A$9:$A$12,0))),"")</f>
        <v>🟢 Riserve abbondanti</v>
      </c>
      <c r="AF345" t="str">
        <f>IFERROR(IF($V345&lt;=INDEX('Parametri Modello'!$C$57:$C$60,MATCH($B345,'Parametri Modello'!$A$57:$A$60,0)),"Titolare","Riserva"),"")</f>
        <v>Riserva</v>
      </c>
      <c r="AG345" t="str">
        <f>IFERROR(INDEX('Pressione Competitiva'!$F$3:$F$6,MATCH($B345,'Pressione Competitiva'!$B$3:$B$6,0)),"")</f>
        <v>🔴 Molto Alta</v>
      </c>
      <c r="AH345" t="str">
        <f t="shared" si="50"/>
        <v/>
      </c>
      <c r="AI345" t="str">
        <f>IFERROR(IF($AH345="","",IF($AH345&gt;=$AA345*'Parametri Modello'!$B$68,"🟢 Opportunita'",IF($AH345&lt;=$AA345*'Parametri Modello'!$B$69,"🔴 Sovrapprezzo","🟡 Prezzo Corretto"))),"")</f>
        <v/>
      </c>
      <c r="AJ345" t="str">
        <f t="shared" si="51"/>
        <v/>
      </c>
      <c r="AK345">
        <f t="shared" si="52"/>
        <v>7</v>
      </c>
      <c r="AL345" t="str">
        <f t="shared" si="53"/>
        <v>D|Scommessa/Riserva|7</v>
      </c>
    </row>
    <row r="346" spans="1:38" ht="14.25" customHeight="1" x14ac:dyDescent="0.25">
      <c r="A346" s="18">
        <v>5757</v>
      </c>
      <c r="B346" s="18" t="s">
        <v>88</v>
      </c>
      <c r="C346" s="18" t="s">
        <v>207</v>
      </c>
      <c r="E346" s="23" t="str">
        <f>IF(COUNTIF('Info Strategia'!$D$2:$D$51,$C346)&gt;0,"SI","NO")</f>
        <v>NO</v>
      </c>
      <c r="F346" s="24">
        <f>IFERROR(ROUND(($G346+($H346-$G346)*'Info Strategia'!$B$6)*(1+IF($E346="SI",'Parametri Modello'!$B$7*'Info Strategia'!$B$6,0)),0),"")</f>
        <v>2</v>
      </c>
      <c r="G346" s="24">
        <f>IFERROR(ROUND(MAX(1,(IF($V346&lt;=INDEX('Parametri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1</v>
      </c>
      <c r="H346" s="24">
        <f>IFERROR(ROUND((IF($V346&lt;=INDEX('Parametri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2</v>
      </c>
      <c r="I346" s="23" t="str">
        <f>IFERROR(INDEX('Input Statistiche 2025_26'!$F$3:$F$665,MATCH($A346,'Input Statistiche 2025_26'!$A$3:$A$665,0)),"")</f>
        <v/>
      </c>
      <c r="J346" s="23" t="str">
        <f t="shared" si="45"/>
        <v/>
      </c>
      <c r="K346" s="23" t="str">
        <f>IFERROR(INDEX('Input Statistiche 2025_26'!$I$3:$I$665,MATCH($A346,'Input Statistiche 2025_26'!$A$3:$A$665,0)),"")</f>
        <v/>
      </c>
      <c r="L346" s="23" t="str">
        <f>IFERROR(INDEX('Input Statistiche 2025_26'!$O$3:$O$665,MATCH($A346,'Input Statistiche 2025_26'!$A$3:$A$665,0)),"")</f>
        <v/>
      </c>
      <c r="M346" s="25"/>
      <c r="N346" s="24">
        <f>IFERROR(INDEX('Input Giocatori 2026_27'!$E$3:$E$493,MATCH($A346,'Input Giocatori 2026_27'!$A$3:$A$493,0)),"")</f>
        <v>3</v>
      </c>
      <c r="O346" s="24">
        <f>IFERROR(INDEX('Input Giocatori 2026_27'!$G$3:$G$493,MATCH($A346,'Input Giocatori 2026_27'!$A$3:$A$493,0)),"")</f>
        <v>8</v>
      </c>
      <c r="P346" s="23" t="str">
        <f>IFERROR(IF($O346="","",IF((1-(COUNTIFS($B$2:$B$492,$B346,$O$2:$O$492,"&gt;"&amp;$O346)+1-1)/COUNTIF($B$2:$B$492,$B346))&gt;='Parametri Modello'!$B$63,"Top",IF((1-(COUNTIFS($B$2:$B$492,$B346,$O$2:$O$492,"&gt;"&amp;$O346)+1-1)/COUNTIF($B$2:$B$492,$B346))&gt;='Parametri Modello'!$B$64,"Buono",IF((1-(COUNTIFS($B$2:$B$492,$B346,$O$2:$O$492,"&gt;"&amp;$O346)+1-1)/COUNTIF($B$2:$B$492,$B346))&gt;='Parametri Modello'!$B$65,"Nella Media","Scommessa/Riserva")))),"")</f>
        <v>Scommessa/Riserva</v>
      </c>
      <c r="Q346" s="26">
        <f>IF(AND($D346="",$N346&gt;1),SUMPRODUCT(($D$2:$D346="")*($N$2:$N346&gt;1)),"")</f>
        <v>345</v>
      </c>
      <c r="R346" s="26" t="str">
        <f>IF($D346='Info Lega'!$B$28,COUNTIFS($D$2:$D346,'Info Lega'!$B$28),"")</f>
        <v/>
      </c>
      <c r="S346" s="27" t="str">
        <f>IFERROR(INDEX('Input Statistiche 2025_26'!$G$3:$G$665,MATCH($A346,'Input Statistiche 2025_26'!$A$3:$A$665,0)),"")</f>
        <v/>
      </c>
      <c r="T346" s="27" t="str">
        <f>IFERROR(INDEX('Input Statistiche 2025_26'!$H$3:$H$665,MATCH($A346,'Input Statistiche 2025_26'!$A$3:$A$665,0)),"")</f>
        <v/>
      </c>
      <c r="U346" s="23" t="str">
        <f>IF(OR('La Mia Rosa'!$O$12="",$D346&lt;&gt;""),"",IF($F346&lt;='La Mia Rosa'!$O$12*'Parametri Modello'!$B$24,"OK",IF($F346&lt;='La Mia Rosa'!$O$12*'Parametri Modello'!$B$25,"Attenzione","Rischio Alto")))</f>
        <v>OK</v>
      </c>
      <c r="V346" s="23">
        <f t="shared" si="46"/>
        <v>118</v>
      </c>
      <c r="W346" s="18">
        <f>'Info Lega'!$B$4-SUMIFS($M$2:$M$492,$D$2:$D$492,'Info Lega'!$B$28)</f>
        <v>1000</v>
      </c>
      <c r="X346" s="18">
        <f>('Info Lega'!$B$5-COUNTIFS($D$2:$D$492,'Info Lega'!$B$28,$B$2:$B$492,"P"))+('Info Lega'!$B$6-COUNTIFS($D$2:$D$492,'Info Lega'!$B$28,$B$2:$B$492,"D"))+('Info Lega'!$B$7-COUNTIFS($D$2:$D$492,'Info Lega'!$B$28,$B$2:$B$492,"C"))+('Info Lega'!$B$8-COUNTIFS($D$2:$D$492,'Info Lega'!$B$28,$B$2:$B$492,"A"))</f>
        <v>25</v>
      </c>
      <c r="Y346" s="18">
        <f>X346*'Parametri Modello'!$B$30</f>
        <v>25</v>
      </c>
      <c r="Z346" s="18">
        <f t="shared" si="47"/>
        <v>975</v>
      </c>
      <c r="AA346" s="18">
        <f t="shared" si="48"/>
        <v>2</v>
      </c>
      <c r="AB346" s="18"/>
      <c r="AC346" s="18" t="str">
        <f>IF($AB346="","",IF($AB346&gt;$AA346,"PASS",IF($AB346&lt;=$AA346*(1-'Parametri Modello'!$B$68),"BID","ATTENZIONE")))</f>
        <v/>
      </c>
      <c r="AD346" s="28" t="str">
        <f t="shared" si="49"/>
        <v/>
      </c>
      <c r="AE346" s="5" t="str">
        <f>IFERROR(IF($AF346="Titolare",INDEX('Stato Asta'!$G$9:$G$12,MATCH($B346,'Stato Asta'!$A$9:$A$12,0)),INDEX('Stato Asta'!$P$9:$P$12,MATCH($B346,'Stato Asta'!$A$9:$A$12,0))),"")</f>
        <v>🟢 Riserve abbondanti</v>
      </c>
      <c r="AF346" t="str">
        <f>IFERROR(IF($V346&lt;=INDEX('Parametri Modello'!$C$57:$C$60,MATCH($B346,'Parametri Modello'!$A$57:$A$60,0)),"Titolare","Riserva"),"")</f>
        <v>Riserva</v>
      </c>
      <c r="AG346" t="str">
        <f>IFERROR(INDEX('Pressione Competitiva'!$F$3:$F$6,MATCH($B346,'Pressione Competitiva'!$B$3:$B$6,0)),"")</f>
        <v>🔴 Molto Alta</v>
      </c>
      <c r="AH346" t="str">
        <f t="shared" si="50"/>
        <v/>
      </c>
      <c r="AI346" t="str">
        <f>IFERROR(IF($AH346="","",IF($AH346&gt;=$AA346*'Parametri Modello'!$B$68,"🟢 Opportunita'",IF($AH346&lt;=$AA346*'Parametri Modello'!$B$69,"🔴 Sovrapprezzo","🟡 Prezzo Corretto"))),"")</f>
        <v/>
      </c>
      <c r="AJ346" t="str">
        <f t="shared" si="51"/>
        <v/>
      </c>
      <c r="AK346">
        <f t="shared" si="52"/>
        <v>7</v>
      </c>
      <c r="AL346" t="str">
        <f t="shared" si="53"/>
        <v>D|Scommessa/Riserva|7</v>
      </c>
    </row>
    <row r="347" spans="1:38" ht="14.25" customHeight="1" x14ac:dyDescent="0.25">
      <c r="A347" s="18">
        <v>7211</v>
      </c>
      <c r="B347" s="18" t="s">
        <v>88</v>
      </c>
      <c r="C347" s="18" t="s">
        <v>211</v>
      </c>
      <c r="E347" s="23" t="str">
        <f>IF(COUNTIF('Info Strategia'!$D$2:$D$51,$C347)&gt;0,"SI","NO")</f>
        <v>NO</v>
      </c>
      <c r="F347" s="24">
        <f>IFERROR(ROUND(($G347+($H347-$G347)*'Info Strategia'!$B$6)*(1+IF($E347="SI",'Parametri Modello'!$B$7*'Info Strategia'!$B$6,0)),0),"")</f>
        <v>2</v>
      </c>
      <c r="G347" s="24">
        <f>IFERROR(ROUND(MAX(1,(IF($V347&lt;=INDEX('Parametri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1</v>
      </c>
      <c r="H347" s="24">
        <f>IFERROR(ROUND((IF($V347&lt;=INDEX('Parametri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2</v>
      </c>
      <c r="I347" s="23">
        <f>IFERROR(INDEX('Input Statistiche 2025_26'!$F$3:$F$665,MATCH($A347,'Input Statistiche 2025_26'!$A$3:$A$665,0)),"")</f>
        <v>17</v>
      </c>
      <c r="J347" s="23">
        <f t="shared" si="45"/>
        <v>21</v>
      </c>
      <c r="K347" s="23">
        <f>IFERROR(INDEX('Input Statistiche 2025_26'!$I$3:$I$665,MATCH($A347,'Input Statistiche 2025_26'!$A$3:$A$665,0)),"")</f>
        <v>2</v>
      </c>
      <c r="L347" s="23">
        <f>IFERROR(INDEX('Input Statistiche 2025_26'!$O$3:$O$665,MATCH($A347,'Input Statistiche 2025_26'!$A$3:$A$665,0)),"")</f>
        <v>2</v>
      </c>
      <c r="M347" s="25"/>
      <c r="N347" s="24">
        <f>IFERROR(INDEX('Input Giocatori 2026_27'!$E$3:$E$493,MATCH($A347,'Input Giocatori 2026_27'!$A$3:$A$493,0)),"")</f>
        <v>3</v>
      </c>
      <c r="O347" s="24">
        <f>IFERROR(INDEX('Input Giocatori 2026_27'!$G$3:$G$493,MATCH($A347,'Input Giocatori 2026_27'!$A$3:$A$493,0)),"")</f>
        <v>8</v>
      </c>
      <c r="P347" s="23" t="str">
        <f>IFERROR(IF($O347="","",IF((1-(COUNTIFS($B$2:$B$492,$B347,$O$2:$O$492,"&gt;"&amp;$O347)+1-1)/COUNTIF($B$2:$B$492,$B347))&gt;='Parametri Modello'!$B$63,"Top",IF((1-(COUNTIFS($B$2:$B$492,$B347,$O$2:$O$492,"&gt;"&amp;$O347)+1-1)/COUNTIF($B$2:$B$492,$B347))&gt;='Parametri Modello'!$B$64,"Buono",IF((1-(COUNTIFS($B$2:$B$492,$B347,$O$2:$O$492,"&gt;"&amp;$O347)+1-1)/COUNTIF($B$2:$B$492,$B347))&gt;='Parametri Modello'!$B$65,"Nella Media","Scommessa/Riserva")))),"")</f>
        <v>Scommessa/Riserva</v>
      </c>
      <c r="Q347" s="26">
        <f>IF(AND($D347="",$N347&gt;1),SUMPRODUCT(($D$2:$D347="")*($N$2:$N347&gt;1)),"")</f>
        <v>346</v>
      </c>
      <c r="R347" s="26" t="str">
        <f>IF($D347='Info Lega'!$B$28,COUNTIFS($D$2:$D347,'Info Lega'!$B$28),"")</f>
        <v/>
      </c>
      <c r="S347" s="27">
        <f>IFERROR(INDEX('Input Statistiche 2025_26'!$G$3:$G$665,MATCH($A347,'Input Statistiche 2025_26'!$A$3:$A$665,0)),"")</f>
        <v>5.94</v>
      </c>
      <c r="T347" s="27">
        <f>IFERROR(INDEX('Input Statistiche 2025_26'!$H$3:$H$665,MATCH($A347,'Input Statistiche 2025_26'!$A$3:$A$665,0)),"")</f>
        <v>6.32</v>
      </c>
      <c r="U347" s="23" t="str">
        <f>IF(OR('La Mia Rosa'!$O$12="",$D347&lt;&gt;""),"",IF($F347&lt;='La Mia Rosa'!$O$12*'Parametri Modello'!$B$24,"OK",IF($F347&lt;='La Mia Rosa'!$O$12*'Parametri Modello'!$B$25,"Attenzione","Rischio Alto")))</f>
        <v>OK</v>
      </c>
      <c r="V347" s="23">
        <f t="shared" si="46"/>
        <v>118</v>
      </c>
      <c r="W347" s="18">
        <f>'Info Lega'!$B$4-SUMIFS($M$2:$M$492,$D$2:$D$492,'Info Lega'!$B$28)</f>
        <v>1000</v>
      </c>
      <c r="X347" s="18">
        <f>('Info Lega'!$B$5-COUNTIFS($D$2:$D$492,'Info Lega'!$B$28,$B$2:$B$492,"P"))+('Info Lega'!$B$6-COUNTIFS($D$2:$D$492,'Info Lega'!$B$28,$B$2:$B$492,"D"))+('Info Lega'!$B$7-COUNTIFS($D$2:$D$492,'Info Lega'!$B$28,$B$2:$B$492,"C"))+('Info Lega'!$B$8-COUNTIFS($D$2:$D$492,'Info Lega'!$B$28,$B$2:$B$492,"A"))</f>
        <v>25</v>
      </c>
      <c r="Y347" s="18">
        <f>X347*'Parametri Modello'!$B$30</f>
        <v>25</v>
      </c>
      <c r="Z347" s="18">
        <f t="shared" si="47"/>
        <v>975</v>
      </c>
      <c r="AA347" s="18">
        <f t="shared" si="48"/>
        <v>2</v>
      </c>
      <c r="AB347" s="18"/>
      <c r="AC347" s="18" t="str">
        <f>IF($AB347="","",IF($AB347&gt;$AA347,"PASS",IF($AB347&lt;=$AA347*(1-'Parametri Modello'!$B$68),"BID","ATTENZIONE")))</f>
        <v/>
      </c>
      <c r="AD347" s="28">
        <f t="shared" si="49"/>
        <v>43</v>
      </c>
      <c r="AE347" s="5" t="str">
        <f>IFERROR(IF($AF347="Titolare",INDEX('Stato Asta'!$G$9:$G$12,MATCH($B347,'Stato Asta'!$A$9:$A$12,0)),INDEX('Stato Asta'!$P$9:$P$12,MATCH($B347,'Stato Asta'!$A$9:$A$12,0))),"")</f>
        <v>🟢 Riserve abbondanti</v>
      </c>
      <c r="AF347" t="str">
        <f>IFERROR(IF($V347&lt;=INDEX('Parametri Modello'!$C$57:$C$60,MATCH($B347,'Parametri Modello'!$A$57:$A$60,0)),"Titolare","Riserva"),"")</f>
        <v>Riserva</v>
      </c>
      <c r="AG347" t="str">
        <f>IFERROR(INDEX('Pressione Competitiva'!$F$3:$F$6,MATCH($B347,'Pressione Competitiva'!$B$3:$B$6,0)),"")</f>
        <v>🔴 Molto Alta</v>
      </c>
      <c r="AH347" t="str">
        <f t="shared" si="50"/>
        <v/>
      </c>
      <c r="AI347" t="str">
        <f>IFERROR(IF($AH347="","",IF($AH347&gt;=$AA347*'Parametri Modello'!$B$68,"🟢 Opportunita'",IF($AH347&lt;=$AA347*'Parametri Modello'!$B$69,"🔴 Sovrapprezzo","🟡 Prezzo Corretto"))),"")</f>
        <v/>
      </c>
      <c r="AJ347" t="str">
        <f t="shared" si="51"/>
        <v/>
      </c>
      <c r="AK347">
        <f t="shared" si="52"/>
        <v>7</v>
      </c>
      <c r="AL347" t="str">
        <f t="shared" si="53"/>
        <v>D|Scommessa/Riserva|7</v>
      </c>
    </row>
    <row r="348" spans="1:38" ht="14.25" customHeight="1" x14ac:dyDescent="0.25">
      <c r="A348" s="18">
        <v>7235</v>
      </c>
      <c r="B348" s="18" t="s">
        <v>88</v>
      </c>
      <c r="C348" s="18" t="s">
        <v>215</v>
      </c>
      <c r="E348" s="23" t="str">
        <f>IF(COUNTIF('Info Strategia'!$D$2:$D$51,$C348)&gt;0,"SI","NO")</f>
        <v>NO</v>
      </c>
      <c r="F348" s="24">
        <f>IFERROR(ROUND(($G348+($H348-$G348)*'Info Strategia'!$B$6)*(1+IF($E348="SI",'Parametri Modello'!$B$7*'Info Strategia'!$B$6,0)),0),"")</f>
        <v>2</v>
      </c>
      <c r="G348" s="24">
        <f>IFERROR(ROUND(MAX(1,(IF($V348&lt;=INDEX('Parametri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1</v>
      </c>
      <c r="H348" s="24">
        <f>IFERROR(ROUND((IF($V348&lt;=INDEX('Parametri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2</v>
      </c>
      <c r="I348" s="23">
        <f>IFERROR(INDEX('Input Statistiche 2025_26'!$F$3:$F$665,MATCH($A348,'Input Statistiche 2025_26'!$A$3:$A$665,0)),"")</f>
        <v>21</v>
      </c>
      <c r="J348" s="23">
        <f t="shared" si="45"/>
        <v>17</v>
      </c>
      <c r="K348" s="23">
        <f>IFERROR(INDEX('Input Statistiche 2025_26'!$I$3:$I$665,MATCH($A348,'Input Statistiche 2025_26'!$A$3:$A$665,0)),"")</f>
        <v>1</v>
      </c>
      <c r="L348" s="23">
        <f>IFERROR(INDEX('Input Statistiche 2025_26'!$O$3:$O$665,MATCH($A348,'Input Statistiche 2025_26'!$A$3:$A$665,0)),"")</f>
        <v>0</v>
      </c>
      <c r="M348" s="25"/>
      <c r="N348" s="24">
        <f>IFERROR(INDEX('Input Giocatori 2026_27'!$E$3:$E$493,MATCH($A348,'Input Giocatori 2026_27'!$A$3:$A$493,0)),"")</f>
        <v>3</v>
      </c>
      <c r="O348" s="24">
        <f>IFERROR(INDEX('Input Giocatori 2026_27'!$G$3:$G$493,MATCH($A348,'Input Giocatori 2026_27'!$A$3:$A$493,0)),"")</f>
        <v>8</v>
      </c>
      <c r="P348" s="23" t="str">
        <f>IFERROR(IF($O348="","",IF((1-(COUNTIFS($B$2:$B$492,$B348,$O$2:$O$492,"&gt;"&amp;$O348)+1-1)/COUNTIF($B$2:$B$492,$B348))&gt;='Parametri Modello'!$B$63,"Top",IF((1-(COUNTIFS($B$2:$B$492,$B348,$O$2:$O$492,"&gt;"&amp;$O348)+1-1)/COUNTIF($B$2:$B$492,$B348))&gt;='Parametri Modello'!$B$64,"Buono",IF((1-(COUNTIFS($B$2:$B$492,$B348,$O$2:$O$492,"&gt;"&amp;$O348)+1-1)/COUNTIF($B$2:$B$492,$B348))&gt;='Parametri Modello'!$B$65,"Nella Media","Scommessa/Riserva")))),"")</f>
        <v>Scommessa/Riserva</v>
      </c>
      <c r="Q348" s="26">
        <f>IF(AND($D348="",$N348&gt;1),SUMPRODUCT(($D$2:$D348="")*($N$2:$N348&gt;1)),"")</f>
        <v>347</v>
      </c>
      <c r="R348" s="26" t="str">
        <f>IF($D348='Info Lega'!$B$28,COUNTIFS($D$2:$D348,'Info Lega'!$B$28),"")</f>
        <v/>
      </c>
      <c r="S348" s="27">
        <f>IFERROR(INDEX('Input Statistiche 2025_26'!$G$3:$G$665,MATCH($A348,'Input Statistiche 2025_26'!$A$3:$A$665,0)),"")</f>
        <v>5.79</v>
      </c>
      <c r="T348" s="27">
        <f>IFERROR(INDEX('Input Statistiche 2025_26'!$H$3:$H$665,MATCH($A348,'Input Statistiche 2025_26'!$A$3:$A$665,0)),"")</f>
        <v>5.71</v>
      </c>
      <c r="U348" s="23" t="str">
        <f>IF(OR('La Mia Rosa'!$O$12="",$D348&lt;&gt;""),"",IF($F348&lt;='La Mia Rosa'!$O$12*'Parametri Modello'!$B$24,"OK",IF($F348&lt;='La Mia Rosa'!$O$12*'Parametri Modello'!$B$25,"Attenzione","Rischio Alto")))</f>
        <v>OK</v>
      </c>
      <c r="V348" s="23">
        <f t="shared" si="46"/>
        <v>118</v>
      </c>
      <c r="W348" s="18">
        <f>'Info Lega'!$B$4-SUMIFS($M$2:$M$492,$D$2:$D$492,'Info Lega'!$B$28)</f>
        <v>1000</v>
      </c>
      <c r="X348" s="18">
        <f>('Info Lega'!$B$5-COUNTIFS($D$2:$D$492,'Info Lega'!$B$28,$B$2:$B$492,"P"))+('Info Lega'!$B$6-COUNTIFS($D$2:$D$492,'Info Lega'!$B$28,$B$2:$B$492,"D"))+('Info Lega'!$B$7-COUNTIFS($D$2:$D$492,'Info Lega'!$B$28,$B$2:$B$492,"C"))+('Info Lega'!$B$8-COUNTIFS($D$2:$D$492,'Info Lega'!$B$28,$B$2:$B$492,"A"))</f>
        <v>25</v>
      </c>
      <c r="Y348" s="18">
        <f>X348*'Parametri Modello'!$B$30</f>
        <v>25</v>
      </c>
      <c r="Z348" s="18">
        <f t="shared" si="47"/>
        <v>975</v>
      </c>
      <c r="AA348" s="18">
        <f t="shared" si="48"/>
        <v>2</v>
      </c>
      <c r="AB348" s="18"/>
      <c r="AC348" s="18" t="str">
        <f>IF($AB348="","",IF($AB348&gt;$AA348,"PASS",IF($AB348&lt;=$AA348*(1-'Parametri Modello'!$B$68),"BID","ATTENZIONE")))</f>
        <v/>
      </c>
      <c r="AD348" s="28">
        <f t="shared" si="49"/>
        <v>50</v>
      </c>
      <c r="AE348" s="5" t="str">
        <f>IFERROR(IF($AF348="Titolare",INDEX('Stato Asta'!$G$9:$G$12,MATCH($B348,'Stato Asta'!$A$9:$A$12,0)),INDEX('Stato Asta'!$P$9:$P$12,MATCH($B348,'Stato Asta'!$A$9:$A$12,0))),"")</f>
        <v>🟢 Riserve abbondanti</v>
      </c>
      <c r="AF348" t="str">
        <f>IFERROR(IF($V348&lt;=INDEX('Parametri Modello'!$C$57:$C$60,MATCH($B348,'Parametri Modello'!$A$57:$A$60,0)),"Titolare","Riserva"),"")</f>
        <v>Riserva</v>
      </c>
      <c r="AG348" t="str">
        <f>IFERROR(INDEX('Pressione Competitiva'!$F$3:$F$6,MATCH($B348,'Pressione Competitiva'!$B$3:$B$6,0)),"")</f>
        <v>🔴 Molto Alta</v>
      </c>
      <c r="AH348" t="str">
        <f t="shared" si="50"/>
        <v/>
      </c>
      <c r="AI348" t="str">
        <f>IFERROR(IF($AH348="","",IF($AH348&gt;=$AA348*'Parametri Modello'!$B$68,"🟢 Opportunita'",IF($AH348&lt;=$AA348*'Parametri Modello'!$B$69,"🔴 Sovrapprezzo","🟡 Prezzo Corretto"))),"")</f>
        <v/>
      </c>
      <c r="AJ348" t="str">
        <f t="shared" si="51"/>
        <v/>
      </c>
      <c r="AK348">
        <f t="shared" si="52"/>
        <v>7</v>
      </c>
      <c r="AL348" t="str">
        <f t="shared" si="53"/>
        <v>D|Scommessa/Riserva|7</v>
      </c>
    </row>
    <row r="349" spans="1:38" ht="14.25" customHeight="1" x14ac:dyDescent="0.25">
      <c r="A349" s="18">
        <v>2263</v>
      </c>
      <c r="B349" s="18" t="s">
        <v>88</v>
      </c>
      <c r="C349" s="18" t="s">
        <v>227</v>
      </c>
      <c r="E349" s="23" t="str">
        <f>IF(COUNTIF('Info Strategia'!$D$2:$D$51,$C349)&gt;0,"SI","NO")</f>
        <v>NO</v>
      </c>
      <c r="F349" s="24">
        <f>IFERROR(ROUND(($G349+($H349-$G349)*'Info Strategia'!$B$6)*(1+IF($E349="SI",'Parametri Modello'!$B$7*'Info Strategia'!$B$6,0)),0),"")</f>
        <v>2</v>
      </c>
      <c r="G349" s="24">
        <f>IFERROR(ROUND(MAX(1,(IF($V349&lt;=INDEX('Parametri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1</v>
      </c>
      <c r="H349" s="24">
        <f>IFERROR(ROUND((IF($V349&lt;=INDEX('Parametri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2</v>
      </c>
      <c r="I349" s="23">
        <f>IFERROR(INDEX('Input Statistiche 2025_26'!$F$3:$F$665,MATCH($A349,'Input Statistiche 2025_26'!$A$3:$A$665,0)),"")</f>
        <v>17</v>
      </c>
      <c r="J349" s="23">
        <f t="shared" si="45"/>
        <v>21</v>
      </c>
      <c r="K349" s="23">
        <f>IFERROR(INDEX('Input Statistiche 2025_26'!$I$3:$I$665,MATCH($A349,'Input Statistiche 2025_26'!$A$3:$A$665,0)),"")</f>
        <v>0</v>
      </c>
      <c r="L349" s="23">
        <f>IFERROR(INDEX('Input Statistiche 2025_26'!$O$3:$O$665,MATCH($A349,'Input Statistiche 2025_26'!$A$3:$A$665,0)),"")</f>
        <v>0</v>
      </c>
      <c r="M349" s="25"/>
      <c r="N349" s="24">
        <f>IFERROR(INDEX('Input Giocatori 2026_27'!$E$3:$E$493,MATCH($A349,'Input Giocatori 2026_27'!$A$3:$A$493,0)),"")</f>
        <v>2</v>
      </c>
      <c r="O349" s="24">
        <f>IFERROR(INDEX('Input Giocatori 2026_27'!$G$3:$G$493,MATCH($A349,'Input Giocatori 2026_27'!$A$3:$A$493,0)),"")</f>
        <v>8</v>
      </c>
      <c r="P349" s="23" t="str">
        <f>IFERROR(IF($O349="","",IF((1-(COUNTIFS($B$2:$B$492,$B349,$O$2:$O$492,"&gt;"&amp;$O349)+1-1)/COUNTIF($B$2:$B$492,$B349))&gt;='Parametri Modello'!$B$63,"Top",IF((1-(COUNTIFS($B$2:$B$492,$B349,$O$2:$O$492,"&gt;"&amp;$O349)+1-1)/COUNTIF($B$2:$B$492,$B349))&gt;='Parametri Modello'!$B$64,"Buono",IF((1-(COUNTIFS($B$2:$B$492,$B349,$O$2:$O$492,"&gt;"&amp;$O349)+1-1)/COUNTIF($B$2:$B$492,$B349))&gt;='Parametri Modello'!$B$65,"Nella Media","Scommessa/Riserva")))),"")</f>
        <v>Scommessa/Riserva</v>
      </c>
      <c r="Q349" s="26">
        <f>IF(AND($D349="",$N349&gt;1),SUMPRODUCT(($D$2:$D349="")*($N$2:$N349&gt;1)),"")</f>
        <v>348</v>
      </c>
      <c r="R349" s="26" t="str">
        <f>IF($D349='Info Lega'!$B$28,COUNTIFS($D$2:$D349,'Info Lega'!$B$28),"")</f>
        <v/>
      </c>
      <c r="S349" s="27">
        <f>IFERROR(INDEX('Input Statistiche 2025_26'!$G$3:$G$665,MATCH($A349,'Input Statistiche 2025_26'!$A$3:$A$665,0)),"")</f>
        <v>5.79</v>
      </c>
      <c r="T349" s="27">
        <f>IFERROR(INDEX('Input Statistiche 2025_26'!$H$3:$H$665,MATCH($A349,'Input Statistiche 2025_26'!$A$3:$A$665,0)),"")</f>
        <v>5.74</v>
      </c>
      <c r="U349" s="23" t="str">
        <f>IF(OR('La Mia Rosa'!$O$12="",$D349&lt;&gt;""),"",IF($F349&lt;='La Mia Rosa'!$O$12*'Parametri Modello'!$B$24,"OK",IF($F349&lt;='La Mia Rosa'!$O$12*'Parametri Modello'!$B$25,"Attenzione","Rischio Alto")))</f>
        <v>OK</v>
      </c>
      <c r="V349" s="23">
        <f t="shared" si="46"/>
        <v>118</v>
      </c>
      <c r="W349" s="18">
        <f>'Info Lega'!$B$4-SUMIFS($M$2:$M$492,$D$2:$D$492,'Info Lega'!$B$28)</f>
        <v>1000</v>
      </c>
      <c r="X349" s="18">
        <f>('Info Lega'!$B$5-COUNTIFS($D$2:$D$492,'Info Lega'!$B$28,$B$2:$B$492,"P"))+('Info Lega'!$B$6-COUNTIFS($D$2:$D$492,'Info Lega'!$B$28,$B$2:$B$492,"D"))+('Info Lega'!$B$7-COUNTIFS($D$2:$D$492,'Info Lega'!$B$28,$B$2:$B$492,"C"))+('Info Lega'!$B$8-COUNTIFS($D$2:$D$492,'Info Lega'!$B$28,$B$2:$B$492,"A"))</f>
        <v>25</v>
      </c>
      <c r="Y349" s="18">
        <f>X349*'Parametri Modello'!$B$30</f>
        <v>25</v>
      </c>
      <c r="Z349" s="18">
        <f t="shared" si="47"/>
        <v>975</v>
      </c>
      <c r="AA349" s="18">
        <f t="shared" si="48"/>
        <v>2</v>
      </c>
      <c r="AB349" s="18"/>
      <c r="AC349" s="18" t="str">
        <f>IF($AB349="","",IF($AB349&gt;$AA349,"PASS",IF($AB349&lt;=$AA349*(1-'Parametri Modello'!$B$68),"BID","ATTENZIONE")))</f>
        <v/>
      </c>
      <c r="AD349" s="28">
        <f t="shared" si="49"/>
        <v>43</v>
      </c>
      <c r="AE349" s="5" t="str">
        <f>IFERROR(IF($AF349="Titolare",INDEX('Stato Asta'!$G$9:$G$12,MATCH($B349,'Stato Asta'!$A$9:$A$12,0)),INDEX('Stato Asta'!$P$9:$P$12,MATCH($B349,'Stato Asta'!$A$9:$A$12,0))),"")</f>
        <v>🟢 Riserve abbondanti</v>
      </c>
      <c r="AF349" t="str">
        <f>IFERROR(IF($V349&lt;=INDEX('Parametri Modello'!$C$57:$C$60,MATCH($B349,'Parametri Modello'!$A$57:$A$60,0)),"Titolare","Riserva"),"")</f>
        <v>Riserva</v>
      </c>
      <c r="AG349" t="str">
        <f>IFERROR(INDEX('Pressione Competitiva'!$F$3:$F$6,MATCH($B349,'Pressione Competitiva'!$B$3:$B$6,0)),"")</f>
        <v>🔴 Molto Alta</v>
      </c>
      <c r="AH349" t="str">
        <f t="shared" si="50"/>
        <v/>
      </c>
      <c r="AI349" t="str">
        <f>IFERROR(IF($AH349="","",IF($AH349&gt;=$AA349*'Parametri Modello'!$B$68,"🟢 Opportunita'",IF($AH349&lt;=$AA349*'Parametri Modello'!$B$69,"🔴 Sovrapprezzo","🟡 Prezzo Corretto"))),"")</f>
        <v/>
      </c>
      <c r="AJ349" t="str">
        <f t="shared" si="51"/>
        <v/>
      </c>
      <c r="AK349">
        <f t="shared" si="52"/>
        <v>7</v>
      </c>
      <c r="AL349" t="str">
        <f t="shared" si="53"/>
        <v>D|Scommessa/Riserva|7</v>
      </c>
    </row>
    <row r="350" spans="1:38" ht="14.25" customHeight="1" x14ac:dyDescent="0.25">
      <c r="A350" s="18">
        <v>7407</v>
      </c>
      <c r="B350" s="18" t="s">
        <v>88</v>
      </c>
      <c r="C350" s="18" t="s">
        <v>240</v>
      </c>
      <c r="E350" s="23" t="str">
        <f>IF(COUNTIF('Info Strategia'!$D$2:$D$51,$C350)&gt;0,"SI","NO")</f>
        <v>NO</v>
      </c>
      <c r="F350" s="24">
        <f>IFERROR(ROUND(($G350+($H350-$G350)*'Info Strategia'!$B$6)*(1+IF($E350="SI",'Parametri Modello'!$B$7*'Info Strategia'!$B$6,0)),0),"")</f>
        <v>2</v>
      </c>
      <c r="G350" s="24">
        <f>IFERROR(ROUND(MAX(1,(IF($V350&lt;=INDEX('Parametri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1</v>
      </c>
      <c r="H350" s="24">
        <f>IFERROR(ROUND((IF($V350&lt;=INDEX('Parametri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2</v>
      </c>
      <c r="I350" s="23" t="str">
        <f>IFERROR(INDEX('Input Statistiche 2025_26'!$F$3:$F$665,MATCH($A350,'Input Statistiche 2025_26'!$A$3:$A$665,0)),"")</f>
        <v/>
      </c>
      <c r="J350" s="23" t="str">
        <f t="shared" si="45"/>
        <v/>
      </c>
      <c r="K350" s="23" t="str">
        <f>IFERROR(INDEX('Input Statistiche 2025_26'!$I$3:$I$665,MATCH($A350,'Input Statistiche 2025_26'!$A$3:$A$665,0)),"")</f>
        <v/>
      </c>
      <c r="L350" s="23" t="str">
        <f>IFERROR(INDEX('Input Statistiche 2025_26'!$O$3:$O$665,MATCH($A350,'Input Statistiche 2025_26'!$A$3:$A$665,0)),"")</f>
        <v/>
      </c>
      <c r="M350" s="25"/>
      <c r="N350" s="24">
        <f>IFERROR(INDEX('Input Giocatori 2026_27'!$E$3:$E$493,MATCH($A350,'Input Giocatori 2026_27'!$A$3:$A$493,0)),"")</f>
        <v>1</v>
      </c>
      <c r="O350" s="24">
        <f>IFERROR(INDEX('Input Giocatori 2026_27'!$G$3:$G$493,MATCH($A350,'Input Giocatori 2026_27'!$A$3:$A$493,0)),"")</f>
        <v>8</v>
      </c>
      <c r="P350" s="23" t="str">
        <f>IFERROR(IF($O350="","",IF((1-(COUNTIFS($B$2:$B$492,$B350,$O$2:$O$492,"&gt;"&amp;$O350)+1-1)/COUNTIF($B$2:$B$492,$B350))&gt;='Parametri Modello'!$B$63,"Top",IF((1-(COUNTIFS($B$2:$B$492,$B350,$O$2:$O$492,"&gt;"&amp;$O350)+1-1)/COUNTIF($B$2:$B$492,$B350))&gt;='Parametri Modello'!$B$64,"Buono",IF((1-(COUNTIFS($B$2:$B$492,$B350,$O$2:$O$492,"&gt;"&amp;$O350)+1-1)/COUNTIF($B$2:$B$492,$B350))&gt;='Parametri Modello'!$B$65,"Nella Media","Scommessa/Riserva")))),"")</f>
        <v>Scommessa/Riserva</v>
      </c>
      <c r="Q350" s="26" t="str">
        <f>IF(AND($D350="",$N350&gt;1),SUMPRODUCT(($D$2:$D350="")*($N$2:$N350&gt;1)),"")</f>
        <v/>
      </c>
      <c r="R350" s="26" t="str">
        <f>IF($D350='Info Lega'!$B$28,COUNTIFS($D$2:$D350,'Info Lega'!$B$28),"")</f>
        <v/>
      </c>
      <c r="S350" s="27" t="str">
        <f>IFERROR(INDEX('Input Statistiche 2025_26'!$G$3:$G$665,MATCH($A350,'Input Statistiche 2025_26'!$A$3:$A$665,0)),"")</f>
        <v/>
      </c>
      <c r="T350" s="27" t="str">
        <f>IFERROR(INDEX('Input Statistiche 2025_26'!$H$3:$H$665,MATCH($A350,'Input Statistiche 2025_26'!$A$3:$A$665,0)),"")</f>
        <v/>
      </c>
      <c r="U350" s="23" t="str">
        <f>IF(OR('La Mia Rosa'!$O$12="",$D350&lt;&gt;""),"",IF($F350&lt;='La Mia Rosa'!$O$12*'Parametri Modello'!$B$24,"OK",IF($F350&lt;='La Mia Rosa'!$O$12*'Parametri Modello'!$B$25,"Attenzione","Rischio Alto")))</f>
        <v>OK</v>
      </c>
      <c r="V350" s="23">
        <f t="shared" si="46"/>
        <v>118</v>
      </c>
      <c r="W350" s="18">
        <f>'Info Lega'!$B$4-SUMIFS($M$2:$M$492,$D$2:$D$492,'Info Lega'!$B$28)</f>
        <v>1000</v>
      </c>
      <c r="X350" s="18">
        <f>('Info Lega'!$B$5-COUNTIFS($D$2:$D$492,'Info Lega'!$B$28,$B$2:$B$492,"P"))+('Info Lega'!$B$6-COUNTIFS($D$2:$D$492,'Info Lega'!$B$28,$B$2:$B$492,"D"))+('Info Lega'!$B$7-COUNTIFS($D$2:$D$492,'Info Lega'!$B$28,$B$2:$B$492,"C"))+('Info Lega'!$B$8-COUNTIFS($D$2:$D$492,'Info Lega'!$B$28,$B$2:$B$492,"A"))</f>
        <v>25</v>
      </c>
      <c r="Y350" s="18">
        <f>X350*'Parametri Modello'!$B$30</f>
        <v>25</v>
      </c>
      <c r="Z350" s="18">
        <f t="shared" si="47"/>
        <v>975</v>
      </c>
      <c r="AA350" s="18">
        <f t="shared" si="48"/>
        <v>2</v>
      </c>
      <c r="AB350" s="18"/>
      <c r="AC350" s="18" t="str">
        <f>IF($AB350="","",IF($AB350&gt;$AA350,"PASS",IF($AB350&lt;=$AA350*(1-'Parametri Modello'!$B$68),"BID","ATTENZIONE")))</f>
        <v/>
      </c>
      <c r="AD350" s="28" t="str">
        <f t="shared" si="49"/>
        <v/>
      </c>
      <c r="AE350" s="5" t="str">
        <f>IFERROR(IF($AF350="Titolare",INDEX('Stato Asta'!$G$9:$G$12,MATCH($B350,'Stato Asta'!$A$9:$A$12,0)),INDEX('Stato Asta'!$P$9:$P$12,MATCH($B350,'Stato Asta'!$A$9:$A$12,0))),"")</f>
        <v>🟢 Riserve abbondanti</v>
      </c>
      <c r="AF350" t="str">
        <f>IFERROR(IF($V350&lt;=INDEX('Parametri Modello'!$C$57:$C$60,MATCH($B350,'Parametri Modello'!$A$57:$A$60,0)),"Titolare","Riserva"),"")</f>
        <v>Riserva</v>
      </c>
      <c r="AG350" t="str">
        <f>IFERROR(INDEX('Pressione Competitiva'!$F$3:$F$6,MATCH($B350,'Pressione Competitiva'!$B$3:$B$6,0)),"")</f>
        <v>🔴 Molto Alta</v>
      </c>
      <c r="AH350" t="str">
        <f t="shared" si="50"/>
        <v/>
      </c>
      <c r="AI350" t="str">
        <f>IFERROR(IF($AH350="","",IF($AH350&gt;=$AA350*'Parametri Modello'!$B$68,"🟢 Opportunita'",IF($AH350&lt;=$AA350*'Parametri Modello'!$B$69,"🔴 Sovrapprezzo","🟡 Prezzo Corretto"))),"")</f>
        <v/>
      </c>
      <c r="AJ350" t="str">
        <f t="shared" si="51"/>
        <v/>
      </c>
      <c r="AK350" t="str">
        <f t="shared" si="52"/>
        <v/>
      </c>
      <c r="AL350" t="str">
        <f t="shared" si="53"/>
        <v/>
      </c>
    </row>
    <row r="351" spans="1:38" ht="14.25" customHeight="1" x14ac:dyDescent="0.25">
      <c r="A351" s="18">
        <v>6206</v>
      </c>
      <c r="B351" s="18" t="s">
        <v>264</v>
      </c>
      <c r="C351" s="18" t="s">
        <v>374</v>
      </c>
      <c r="E351" s="23" t="str">
        <f>IF(COUNTIF('Info Strategia'!$D$2:$D$51,$C351)&gt;0,"SI","NO")</f>
        <v>NO</v>
      </c>
      <c r="F351" s="24">
        <f>IFERROR(ROUND(($G351+($H351-$G351)*'Info Strategia'!$B$6)*(1+IF($E351="SI",'Parametri Modello'!$B$7*'Info Strategia'!$B$6,0)),0),"")</f>
        <v>1</v>
      </c>
      <c r="G351" s="24">
        <f>IFERROR(ROUND(MAX(1,(IF($V351&lt;=INDEX('Parametri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H351" s="24">
        <f>IFERROR(ROUND((IF($V351&lt;=INDEX('Parametri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I351" s="23">
        <f>IFERROR(INDEX('Input Statistiche 2025_26'!$F$3:$F$665,MATCH($A351,'Input Statistiche 2025_26'!$A$3:$A$665,0)),"")</f>
        <v>22</v>
      </c>
      <c r="J351" s="23">
        <f t="shared" si="45"/>
        <v>16</v>
      </c>
      <c r="K351" s="23">
        <f>IFERROR(INDEX('Input Statistiche 2025_26'!$I$3:$I$665,MATCH($A351,'Input Statistiche 2025_26'!$A$3:$A$665,0)),"")</f>
        <v>2</v>
      </c>
      <c r="L351" s="23">
        <f>IFERROR(INDEX('Input Statistiche 2025_26'!$O$3:$O$665,MATCH($A351,'Input Statistiche 2025_26'!$A$3:$A$665,0)),"")</f>
        <v>0</v>
      </c>
      <c r="M351" s="25"/>
      <c r="N351" s="24">
        <f>IFERROR(INDEX('Input Giocatori 2026_27'!$E$3:$E$493,MATCH($A351,'Input Giocatori 2026_27'!$A$3:$A$493,0)),"")</f>
        <v>4</v>
      </c>
      <c r="O351" s="24">
        <f>IFERROR(INDEX('Input Giocatori 2026_27'!$G$3:$G$493,MATCH($A351,'Input Giocatori 2026_27'!$A$3:$A$493,0)),"")</f>
        <v>8</v>
      </c>
      <c r="P351" s="23" t="str">
        <f>IFERROR(IF($O351="","",IF((1-(COUNTIFS($B$2:$B$492,$B351,$O$2:$O$492,"&gt;"&amp;$O351)+1-1)/COUNTIF($B$2:$B$492,$B351))&gt;='Parametri Modello'!$B$63,"Top",IF((1-(COUNTIFS($B$2:$B$492,$B351,$O$2:$O$492,"&gt;"&amp;$O351)+1-1)/COUNTIF($B$2:$B$492,$B351))&gt;='Parametri Modello'!$B$64,"Buono",IF((1-(COUNTIFS($B$2:$B$492,$B351,$O$2:$O$492,"&gt;"&amp;$O351)+1-1)/COUNTIF($B$2:$B$492,$B351))&gt;='Parametri Modello'!$B$65,"Nella Media","Scommessa/Riserva")))),"")</f>
        <v>Scommessa/Riserva</v>
      </c>
      <c r="Q351" s="26">
        <f>IF(AND($D351="",$N351&gt;1),SUMPRODUCT(($D$2:$D351="")*($N$2:$N351&gt;1)),"")</f>
        <v>349</v>
      </c>
      <c r="R351" s="26" t="str">
        <f>IF($D351='Info Lega'!$B$28,COUNTIFS($D$2:$D351,'Info Lega'!$B$28),"")</f>
        <v/>
      </c>
      <c r="S351" s="27">
        <f>IFERROR(INDEX('Input Statistiche 2025_26'!$G$3:$G$665,MATCH($A351,'Input Statistiche 2025_26'!$A$3:$A$665,0)),"")</f>
        <v>5.8</v>
      </c>
      <c r="T351" s="27">
        <f>IFERROR(INDEX('Input Statistiche 2025_26'!$H$3:$H$665,MATCH($A351,'Input Statistiche 2025_26'!$A$3:$A$665,0)),"")</f>
        <v>6.05</v>
      </c>
      <c r="U351" s="23" t="str">
        <f>IF(OR('La Mia Rosa'!$O$12="",$D351&lt;&gt;""),"",IF($F351&lt;='La Mia Rosa'!$O$12*'Parametri Modello'!$B$24,"OK",IF($F351&lt;='La Mia Rosa'!$O$12*'Parametri Modello'!$B$25,"Attenzione","Rischio Alto")))</f>
        <v>OK</v>
      </c>
      <c r="V351" s="23">
        <f t="shared" si="46"/>
        <v>132</v>
      </c>
      <c r="W351" s="18">
        <f>'Info Lega'!$B$4-SUMIFS($M$2:$M$492,$D$2:$D$492,'Info Lega'!$B$28)</f>
        <v>1000</v>
      </c>
      <c r="X351" s="18">
        <f>('Info Lega'!$B$5-COUNTIFS($D$2:$D$492,'Info Lega'!$B$28,$B$2:$B$492,"P"))+('Info Lega'!$B$6-COUNTIFS($D$2:$D$492,'Info Lega'!$B$28,$B$2:$B$492,"D"))+('Info Lega'!$B$7-COUNTIFS($D$2:$D$492,'Info Lega'!$B$28,$B$2:$B$492,"C"))+('Info Lega'!$B$8-COUNTIFS($D$2:$D$492,'Info Lega'!$B$28,$B$2:$B$492,"A"))</f>
        <v>25</v>
      </c>
      <c r="Y351" s="18">
        <f>X351*'Parametri Modello'!$B$30</f>
        <v>25</v>
      </c>
      <c r="Z351" s="18">
        <f t="shared" si="47"/>
        <v>975</v>
      </c>
      <c r="AA351" s="18">
        <f t="shared" si="48"/>
        <v>1</v>
      </c>
      <c r="AB351" s="18"/>
      <c r="AC351" s="18" t="str">
        <f>IF($AB351="","",IF($AB351&gt;$AA351,"PASS",IF($AB351&lt;=$AA351*(1-'Parametri Modello'!$B$68),"BID","ATTENZIONE")))</f>
        <v/>
      </c>
      <c r="AD351" s="28">
        <f t="shared" si="49"/>
        <v>52</v>
      </c>
      <c r="AE351" s="5" t="str">
        <f>IFERROR(IF($AF351="Titolare",INDEX('Stato Asta'!$G$9:$G$12,MATCH($B351,'Stato Asta'!$A$9:$A$12,0)),INDEX('Stato Asta'!$P$9:$P$12,MATCH($B351,'Stato Asta'!$A$9:$A$12,0))),"")</f>
        <v>🟢 Riserve abbondanti</v>
      </c>
      <c r="AF351" t="str">
        <f>IFERROR(IF($V351&lt;=INDEX('Parametri Modello'!$C$57:$C$60,MATCH($B351,'Parametri Modello'!$A$57:$A$60,0)),"Titolare","Riserva"),"")</f>
        <v>Riserva</v>
      </c>
      <c r="AG351" t="str">
        <f>IFERROR(INDEX('Pressione Competitiva'!$F$3:$F$6,MATCH($B351,'Pressione Competitiva'!$B$3:$B$6,0)),"")</f>
        <v>🔴 Molto Alta</v>
      </c>
      <c r="AH351" t="str">
        <f t="shared" si="50"/>
        <v/>
      </c>
      <c r="AI351" t="str">
        <f>IFERROR(IF($AH351="","",IF($AH351&gt;=$AA351*'Parametri Modello'!$B$68,"🟢 Opportunita'",IF($AH351&lt;=$AA351*'Parametri Modello'!$B$69,"🔴 Sovrapprezzo","🟡 Prezzo Corretto"))),"")</f>
        <v/>
      </c>
      <c r="AJ351" t="str">
        <f t="shared" si="51"/>
        <v/>
      </c>
      <c r="AK351">
        <f t="shared" si="52"/>
        <v>28</v>
      </c>
      <c r="AL351" t="str">
        <f t="shared" si="53"/>
        <v>C|Scommessa/Riserva|28</v>
      </c>
    </row>
    <row r="352" spans="1:38" ht="14.25" customHeight="1" x14ac:dyDescent="0.25">
      <c r="A352" s="18">
        <v>6895</v>
      </c>
      <c r="B352" s="18" t="s">
        <v>264</v>
      </c>
      <c r="C352" s="18" t="s">
        <v>392</v>
      </c>
      <c r="E352" s="23" t="str">
        <f>IF(COUNTIF('Info Strategia'!$D$2:$D$51,$C352)&gt;0,"SI","NO")</f>
        <v>NO</v>
      </c>
      <c r="F352" s="24">
        <f>IFERROR(ROUND(($G352+($H352-$G352)*'Info Strategia'!$B$6)*(1+IF($E352="SI",'Parametri Modello'!$B$7*'Info Strategia'!$B$6,0)),0),"")</f>
        <v>1</v>
      </c>
      <c r="G352" s="24">
        <f>IFERROR(ROUND(MAX(1,(IF($V352&lt;=INDEX('Parametri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H352" s="24">
        <f>IFERROR(ROUND((IF($V352&lt;=INDEX('Parametri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I352" s="23">
        <f>IFERROR(INDEX('Input Statistiche 2025_26'!$F$3:$F$665,MATCH($A352,'Input Statistiche 2025_26'!$A$3:$A$665,0)),"")</f>
        <v>12</v>
      </c>
      <c r="J352" s="23">
        <f t="shared" si="45"/>
        <v>26</v>
      </c>
      <c r="K352" s="23">
        <f>IFERROR(INDEX('Input Statistiche 2025_26'!$I$3:$I$665,MATCH($A352,'Input Statistiche 2025_26'!$A$3:$A$665,0)),"")</f>
        <v>0</v>
      </c>
      <c r="L352" s="23">
        <f>IFERROR(INDEX('Input Statistiche 2025_26'!$O$3:$O$665,MATCH($A352,'Input Statistiche 2025_26'!$A$3:$A$665,0)),"")</f>
        <v>3</v>
      </c>
      <c r="M352" s="25"/>
      <c r="N352" s="24">
        <f>IFERROR(INDEX('Input Giocatori 2026_27'!$E$3:$E$493,MATCH($A352,'Input Giocatori 2026_27'!$A$3:$A$493,0)),"")</f>
        <v>3</v>
      </c>
      <c r="O352" s="24">
        <f>IFERROR(INDEX('Input Giocatori 2026_27'!$G$3:$G$493,MATCH($A352,'Input Giocatori 2026_27'!$A$3:$A$493,0)),"")</f>
        <v>8</v>
      </c>
      <c r="P352" s="23" t="str">
        <f>IFERROR(IF($O352="","",IF((1-(COUNTIFS($B$2:$B$492,$B352,$O$2:$O$492,"&gt;"&amp;$O352)+1-1)/COUNTIF($B$2:$B$492,$B352))&gt;='Parametri Modello'!$B$63,"Top",IF((1-(COUNTIFS($B$2:$B$492,$B352,$O$2:$O$492,"&gt;"&amp;$O352)+1-1)/COUNTIF($B$2:$B$492,$B352))&gt;='Parametri Modello'!$B$64,"Buono",IF((1-(COUNTIFS($B$2:$B$492,$B352,$O$2:$O$492,"&gt;"&amp;$O352)+1-1)/COUNTIF($B$2:$B$492,$B352))&gt;='Parametri Modello'!$B$65,"Nella Media","Scommessa/Riserva")))),"")</f>
        <v>Scommessa/Riserva</v>
      </c>
      <c r="Q352" s="26">
        <f>IF(AND($D352="",$N352&gt;1),SUMPRODUCT(($D$2:$D352="")*($N$2:$N352&gt;1)),"")</f>
        <v>350</v>
      </c>
      <c r="R352" s="26" t="str">
        <f>IF($D352='Info Lega'!$B$28,COUNTIFS($D$2:$D352,'Info Lega'!$B$28),"")</f>
        <v/>
      </c>
      <c r="S352" s="27">
        <f>IFERROR(INDEX('Input Statistiche 2025_26'!$G$3:$G$665,MATCH($A352,'Input Statistiche 2025_26'!$A$3:$A$665,0)),"")</f>
        <v>5.83</v>
      </c>
      <c r="T352" s="27">
        <f>IFERROR(INDEX('Input Statistiche 2025_26'!$H$3:$H$665,MATCH($A352,'Input Statistiche 2025_26'!$A$3:$A$665,0)),"")</f>
        <v>6.04</v>
      </c>
      <c r="U352" s="23" t="str">
        <f>IF(OR('La Mia Rosa'!$O$12="",$D352&lt;&gt;""),"",IF($F352&lt;='La Mia Rosa'!$O$12*'Parametri Modello'!$B$24,"OK",IF($F352&lt;='La Mia Rosa'!$O$12*'Parametri Modello'!$B$25,"Attenzione","Rischio Alto")))</f>
        <v>OK</v>
      </c>
      <c r="V352" s="23">
        <f t="shared" si="46"/>
        <v>132</v>
      </c>
      <c r="W352" s="18">
        <f>'Info Lega'!$B$4-SUMIFS($M$2:$M$492,$D$2:$D$492,'Info Lega'!$B$28)</f>
        <v>1000</v>
      </c>
      <c r="X352" s="18">
        <f>('Info Lega'!$B$5-COUNTIFS($D$2:$D$492,'Info Lega'!$B$28,$B$2:$B$492,"P"))+('Info Lega'!$B$6-COUNTIFS($D$2:$D$492,'Info Lega'!$B$28,$B$2:$B$492,"D"))+('Info Lega'!$B$7-COUNTIFS($D$2:$D$492,'Info Lega'!$B$28,$B$2:$B$492,"C"))+('Info Lega'!$B$8-COUNTIFS($D$2:$D$492,'Info Lega'!$B$28,$B$2:$B$492,"A"))</f>
        <v>25</v>
      </c>
      <c r="Y352" s="18">
        <f>X352*'Parametri Modello'!$B$30</f>
        <v>25</v>
      </c>
      <c r="Z352" s="18">
        <f t="shared" si="47"/>
        <v>975</v>
      </c>
      <c r="AA352" s="18">
        <f t="shared" si="48"/>
        <v>1</v>
      </c>
      <c r="AB352" s="18"/>
      <c r="AC352" s="18" t="str">
        <f>IF($AB352="","",IF($AB352&gt;$AA352,"PASS",IF($AB352&lt;=$AA352*(1-'Parametri Modello'!$B$68),"BID","ATTENZIONE")))</f>
        <v/>
      </c>
      <c r="AD352" s="28">
        <f t="shared" si="49"/>
        <v>33</v>
      </c>
      <c r="AE352" s="5" t="str">
        <f>IFERROR(IF($AF352="Titolare",INDEX('Stato Asta'!$G$9:$G$12,MATCH($B352,'Stato Asta'!$A$9:$A$12,0)),INDEX('Stato Asta'!$P$9:$P$12,MATCH($B352,'Stato Asta'!$A$9:$A$12,0))),"")</f>
        <v>🟢 Riserve abbondanti</v>
      </c>
      <c r="AF352" t="str">
        <f>IFERROR(IF($V352&lt;=INDEX('Parametri Modello'!$C$57:$C$60,MATCH($B352,'Parametri Modello'!$A$57:$A$60,0)),"Titolare","Riserva"),"")</f>
        <v>Riserva</v>
      </c>
      <c r="AG352" t="str">
        <f>IFERROR(INDEX('Pressione Competitiva'!$F$3:$F$6,MATCH($B352,'Pressione Competitiva'!$B$3:$B$6,0)),"")</f>
        <v>🔴 Molto Alta</v>
      </c>
      <c r="AH352" t="str">
        <f t="shared" si="50"/>
        <v/>
      </c>
      <c r="AI352" t="str">
        <f>IFERROR(IF($AH352="","",IF($AH352&gt;=$AA352*'Parametri Modello'!$B$68,"🟢 Opportunita'",IF($AH352&lt;=$AA352*'Parametri Modello'!$B$69,"🔴 Sovrapprezzo","🟡 Prezzo Corretto"))),"")</f>
        <v/>
      </c>
      <c r="AJ352" t="str">
        <f t="shared" si="51"/>
        <v/>
      </c>
      <c r="AK352">
        <f t="shared" si="52"/>
        <v>28</v>
      </c>
      <c r="AL352" t="str">
        <f t="shared" si="53"/>
        <v>C|Scommessa/Riserva|28</v>
      </c>
    </row>
    <row r="353" spans="1:38" ht="14.25" customHeight="1" x14ac:dyDescent="0.25">
      <c r="A353" s="18">
        <v>1871</v>
      </c>
      <c r="B353" s="18" t="s">
        <v>264</v>
      </c>
      <c r="C353" s="18" t="s">
        <v>393</v>
      </c>
      <c r="E353" s="23" t="str">
        <f>IF(COUNTIF('Info Strategia'!$D$2:$D$51,$C353)&gt;0,"SI","NO")</f>
        <v>NO</v>
      </c>
      <c r="F353" s="24">
        <f>IFERROR(ROUND(($G353+($H353-$G353)*'Info Strategia'!$B$6)*(1+IF($E353="SI",'Parametri Modello'!$B$7*'Info Strategia'!$B$6,0)),0),"")</f>
        <v>1</v>
      </c>
      <c r="G353" s="24">
        <f>IFERROR(ROUND(MAX(1,(IF($V353&lt;=INDEX('Parametri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H353" s="24">
        <f>IFERROR(ROUND((IF($V353&lt;=INDEX('Parametri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I353" s="23">
        <f>IFERROR(INDEX('Input Statistiche 2025_26'!$F$3:$F$665,MATCH($A353,'Input Statistiche 2025_26'!$A$3:$A$665,0)),"")</f>
        <v>20</v>
      </c>
      <c r="J353" s="23">
        <f t="shared" si="45"/>
        <v>18</v>
      </c>
      <c r="K353" s="23">
        <f>IFERROR(INDEX('Input Statistiche 2025_26'!$I$3:$I$665,MATCH($A353,'Input Statistiche 2025_26'!$A$3:$A$665,0)),"")</f>
        <v>0</v>
      </c>
      <c r="L353" s="23">
        <f>IFERROR(INDEX('Input Statistiche 2025_26'!$O$3:$O$665,MATCH($A353,'Input Statistiche 2025_26'!$A$3:$A$665,0)),"")</f>
        <v>1</v>
      </c>
      <c r="M353" s="25"/>
      <c r="N353" s="24">
        <f>IFERROR(INDEX('Input Giocatori 2026_27'!$E$3:$E$493,MATCH($A353,'Input Giocatori 2026_27'!$A$3:$A$493,0)),"")</f>
        <v>3</v>
      </c>
      <c r="O353" s="24">
        <f>IFERROR(INDEX('Input Giocatori 2026_27'!$G$3:$G$493,MATCH($A353,'Input Giocatori 2026_27'!$A$3:$A$493,0)),"")</f>
        <v>8</v>
      </c>
      <c r="P353" s="23" t="str">
        <f>IFERROR(IF($O353="","",IF((1-(COUNTIFS($B$2:$B$492,$B353,$O$2:$O$492,"&gt;"&amp;$O353)+1-1)/COUNTIF($B$2:$B$492,$B353))&gt;='Parametri Modello'!$B$63,"Top",IF((1-(COUNTIFS($B$2:$B$492,$B353,$O$2:$O$492,"&gt;"&amp;$O353)+1-1)/COUNTIF($B$2:$B$492,$B353))&gt;='Parametri Modello'!$B$64,"Buono",IF((1-(COUNTIFS($B$2:$B$492,$B353,$O$2:$O$492,"&gt;"&amp;$O353)+1-1)/COUNTIF($B$2:$B$492,$B353))&gt;='Parametri Modello'!$B$65,"Nella Media","Scommessa/Riserva")))),"")</f>
        <v>Scommessa/Riserva</v>
      </c>
      <c r="Q353" s="26">
        <f>IF(AND($D353="",$N353&gt;1),SUMPRODUCT(($D$2:$D353="")*($N$2:$N353&gt;1)),"")</f>
        <v>351</v>
      </c>
      <c r="R353" s="26" t="str">
        <f>IF($D353='Info Lega'!$B$28,COUNTIFS($D$2:$D353,'Info Lega'!$B$28),"")</f>
        <v/>
      </c>
      <c r="S353" s="27">
        <f>IFERROR(INDEX('Input Statistiche 2025_26'!$G$3:$G$665,MATCH($A353,'Input Statistiche 2025_26'!$A$3:$A$665,0)),"")</f>
        <v>5.98</v>
      </c>
      <c r="T353" s="27">
        <f>IFERROR(INDEX('Input Statistiche 2025_26'!$H$3:$H$665,MATCH($A353,'Input Statistiche 2025_26'!$A$3:$A$665,0)),"")</f>
        <v>5.95</v>
      </c>
      <c r="U353" s="23" t="str">
        <f>IF(OR('La Mia Rosa'!$O$12="",$D353&lt;&gt;""),"",IF($F353&lt;='La Mia Rosa'!$O$12*'Parametri Modello'!$B$24,"OK",IF($F353&lt;='La Mia Rosa'!$O$12*'Parametri Modello'!$B$25,"Attenzione","Rischio Alto")))</f>
        <v>OK</v>
      </c>
      <c r="V353" s="23">
        <f t="shared" si="46"/>
        <v>132</v>
      </c>
      <c r="W353" s="18">
        <f>'Info Lega'!$B$4-SUMIFS($M$2:$M$492,$D$2:$D$492,'Info Lega'!$B$28)</f>
        <v>1000</v>
      </c>
      <c r="X353" s="18">
        <f>('Info Lega'!$B$5-COUNTIFS($D$2:$D$492,'Info Lega'!$B$28,$B$2:$B$492,"P"))+('Info Lega'!$B$6-COUNTIFS($D$2:$D$492,'Info Lega'!$B$28,$B$2:$B$492,"D"))+('Info Lega'!$B$7-COUNTIFS($D$2:$D$492,'Info Lega'!$B$28,$B$2:$B$492,"C"))+('Info Lega'!$B$8-COUNTIFS($D$2:$D$492,'Info Lega'!$B$28,$B$2:$B$492,"A"))</f>
        <v>25</v>
      </c>
      <c r="Y353" s="18">
        <f>X353*'Parametri Modello'!$B$30</f>
        <v>25</v>
      </c>
      <c r="Z353" s="18">
        <f t="shared" si="47"/>
        <v>975</v>
      </c>
      <c r="AA353" s="18">
        <f t="shared" si="48"/>
        <v>1</v>
      </c>
      <c r="AB353" s="18"/>
      <c r="AC353" s="18" t="str">
        <f>IF($AB353="","",IF($AB353&gt;$AA353,"PASS",IF($AB353&lt;=$AA353*(1-'Parametri Modello'!$B$68),"BID","ATTENZIONE")))</f>
        <v/>
      </c>
      <c r="AD353" s="28">
        <f t="shared" si="49"/>
        <v>49</v>
      </c>
      <c r="AE353" s="5" t="str">
        <f>IFERROR(IF($AF353="Titolare",INDEX('Stato Asta'!$G$9:$G$12,MATCH($B353,'Stato Asta'!$A$9:$A$12,0)),INDEX('Stato Asta'!$P$9:$P$12,MATCH($B353,'Stato Asta'!$A$9:$A$12,0))),"")</f>
        <v>🟢 Riserve abbondanti</v>
      </c>
      <c r="AF353" t="str">
        <f>IFERROR(IF($V353&lt;=INDEX('Parametri Modello'!$C$57:$C$60,MATCH($B353,'Parametri Modello'!$A$57:$A$60,0)),"Titolare","Riserva"),"")</f>
        <v>Riserva</v>
      </c>
      <c r="AG353" t="str">
        <f>IFERROR(INDEX('Pressione Competitiva'!$F$3:$F$6,MATCH($B353,'Pressione Competitiva'!$B$3:$B$6,0)),"")</f>
        <v>🔴 Molto Alta</v>
      </c>
      <c r="AH353" t="str">
        <f t="shared" si="50"/>
        <v/>
      </c>
      <c r="AI353" t="str">
        <f>IFERROR(IF($AH353="","",IF($AH353&gt;=$AA353*'Parametri Modello'!$B$68,"🟢 Opportunita'",IF($AH353&lt;=$AA353*'Parametri Modello'!$B$69,"🔴 Sovrapprezzo","🟡 Prezzo Corretto"))),"")</f>
        <v/>
      </c>
      <c r="AJ353" t="str">
        <f t="shared" si="51"/>
        <v/>
      </c>
      <c r="AK353">
        <f t="shared" si="52"/>
        <v>28</v>
      </c>
      <c r="AL353" t="str">
        <f t="shared" si="53"/>
        <v>C|Scommessa/Riserva|28</v>
      </c>
    </row>
    <row r="354" spans="1:38" ht="14.25" customHeight="1" x14ac:dyDescent="0.25">
      <c r="A354" s="18">
        <v>6241</v>
      </c>
      <c r="B354" s="18" t="s">
        <v>264</v>
      </c>
      <c r="C354" s="18" t="s">
        <v>395</v>
      </c>
      <c r="E354" s="23" t="str">
        <f>IF(COUNTIF('Info Strategia'!$D$2:$D$51,$C354)&gt;0,"SI","NO")</f>
        <v>NO</v>
      </c>
      <c r="F354" s="24">
        <f>IFERROR(ROUND(($G354+($H354-$G354)*'Info Strategia'!$B$6)*(1+IF($E354="SI",'Parametri Modello'!$B$7*'Info Strategia'!$B$6,0)),0),"")</f>
        <v>1</v>
      </c>
      <c r="G354" s="24">
        <f>IFERROR(ROUND(MAX(1,(IF($V354&lt;=INDEX('Parametri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H354" s="24">
        <f>IFERROR(ROUND((IF($V354&lt;=INDEX('Parametri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I354" s="23" t="str">
        <f>IFERROR(INDEX('Input Statistiche 2025_26'!$F$3:$F$665,MATCH($A354,'Input Statistiche 2025_26'!$A$3:$A$665,0)),"")</f>
        <v/>
      </c>
      <c r="J354" s="23" t="str">
        <f t="shared" si="45"/>
        <v/>
      </c>
      <c r="K354" s="23" t="str">
        <f>IFERROR(INDEX('Input Statistiche 2025_26'!$I$3:$I$665,MATCH($A354,'Input Statistiche 2025_26'!$A$3:$A$665,0)),"")</f>
        <v/>
      </c>
      <c r="L354" s="23" t="str">
        <f>IFERROR(INDEX('Input Statistiche 2025_26'!$O$3:$O$665,MATCH($A354,'Input Statistiche 2025_26'!$A$3:$A$665,0)),"")</f>
        <v/>
      </c>
      <c r="M354" s="25"/>
      <c r="N354" s="24">
        <f>IFERROR(INDEX('Input Giocatori 2026_27'!$E$3:$E$493,MATCH($A354,'Input Giocatori 2026_27'!$A$3:$A$493,0)),"")</f>
        <v>3</v>
      </c>
      <c r="O354" s="24">
        <f>IFERROR(INDEX('Input Giocatori 2026_27'!$G$3:$G$493,MATCH($A354,'Input Giocatori 2026_27'!$A$3:$A$493,0)),"")</f>
        <v>8</v>
      </c>
      <c r="P354" s="23" t="str">
        <f>IFERROR(IF($O354="","",IF((1-(COUNTIFS($B$2:$B$492,$B354,$O$2:$O$492,"&gt;"&amp;$O354)+1-1)/COUNTIF($B$2:$B$492,$B354))&gt;='Parametri Modello'!$B$63,"Top",IF((1-(COUNTIFS($B$2:$B$492,$B354,$O$2:$O$492,"&gt;"&amp;$O354)+1-1)/COUNTIF($B$2:$B$492,$B354))&gt;='Parametri Modello'!$B$64,"Buono",IF((1-(COUNTIFS($B$2:$B$492,$B354,$O$2:$O$492,"&gt;"&amp;$O354)+1-1)/COUNTIF($B$2:$B$492,$B354))&gt;='Parametri Modello'!$B$65,"Nella Media","Scommessa/Riserva")))),"")</f>
        <v>Scommessa/Riserva</v>
      </c>
      <c r="Q354" s="26">
        <f>IF(AND($D354="",$N354&gt;1),SUMPRODUCT(($D$2:$D354="")*($N$2:$N354&gt;1)),"")</f>
        <v>352</v>
      </c>
      <c r="R354" s="26" t="str">
        <f>IF($D354='Info Lega'!$B$28,COUNTIFS($D$2:$D354,'Info Lega'!$B$28),"")</f>
        <v/>
      </c>
      <c r="S354" s="27" t="str">
        <f>IFERROR(INDEX('Input Statistiche 2025_26'!$G$3:$G$665,MATCH($A354,'Input Statistiche 2025_26'!$A$3:$A$665,0)),"")</f>
        <v/>
      </c>
      <c r="T354" s="27" t="str">
        <f>IFERROR(INDEX('Input Statistiche 2025_26'!$H$3:$H$665,MATCH($A354,'Input Statistiche 2025_26'!$A$3:$A$665,0)),"")</f>
        <v/>
      </c>
      <c r="U354" s="23" t="str">
        <f>IF(OR('La Mia Rosa'!$O$12="",$D354&lt;&gt;""),"",IF($F354&lt;='La Mia Rosa'!$O$12*'Parametri Modello'!$B$24,"OK",IF($F354&lt;='La Mia Rosa'!$O$12*'Parametri Modello'!$B$25,"Attenzione","Rischio Alto")))</f>
        <v>OK</v>
      </c>
      <c r="V354" s="23">
        <f t="shared" si="46"/>
        <v>132</v>
      </c>
      <c r="W354" s="18">
        <f>'Info Lega'!$B$4-SUMIFS($M$2:$M$492,$D$2:$D$492,'Info Lega'!$B$28)</f>
        <v>1000</v>
      </c>
      <c r="X354" s="18">
        <f>('Info Lega'!$B$5-COUNTIFS($D$2:$D$492,'Info Lega'!$B$28,$B$2:$B$492,"P"))+('Info Lega'!$B$6-COUNTIFS($D$2:$D$492,'Info Lega'!$B$28,$B$2:$B$492,"D"))+('Info Lega'!$B$7-COUNTIFS($D$2:$D$492,'Info Lega'!$B$28,$B$2:$B$492,"C"))+('Info Lega'!$B$8-COUNTIFS($D$2:$D$492,'Info Lega'!$B$28,$B$2:$B$492,"A"))</f>
        <v>25</v>
      </c>
      <c r="Y354" s="18">
        <f>X354*'Parametri Modello'!$B$30</f>
        <v>25</v>
      </c>
      <c r="Z354" s="18">
        <f t="shared" si="47"/>
        <v>975</v>
      </c>
      <c r="AA354" s="18">
        <f t="shared" si="48"/>
        <v>1</v>
      </c>
      <c r="AB354" s="18"/>
      <c r="AC354" s="18" t="str">
        <f>IF($AB354="","",IF($AB354&gt;$AA354,"PASS",IF($AB354&lt;=$AA354*(1-'Parametri Modello'!$B$68),"BID","ATTENZIONE")))</f>
        <v/>
      </c>
      <c r="AD354" s="28" t="str">
        <f t="shared" si="49"/>
        <v/>
      </c>
      <c r="AE354" s="5" t="str">
        <f>IFERROR(IF($AF354="Titolare",INDEX('Stato Asta'!$G$9:$G$12,MATCH($B354,'Stato Asta'!$A$9:$A$12,0)),INDEX('Stato Asta'!$P$9:$P$12,MATCH($B354,'Stato Asta'!$A$9:$A$12,0))),"")</f>
        <v>🟢 Riserve abbondanti</v>
      </c>
      <c r="AF354" t="str">
        <f>IFERROR(IF($V354&lt;=INDEX('Parametri Modello'!$C$57:$C$60,MATCH($B354,'Parametri Modello'!$A$57:$A$60,0)),"Titolare","Riserva"),"")</f>
        <v>Riserva</v>
      </c>
      <c r="AG354" t="str">
        <f>IFERROR(INDEX('Pressione Competitiva'!$F$3:$F$6,MATCH($B354,'Pressione Competitiva'!$B$3:$B$6,0)),"")</f>
        <v>🔴 Molto Alta</v>
      </c>
      <c r="AH354" t="str">
        <f t="shared" si="50"/>
        <v/>
      </c>
      <c r="AI354" t="str">
        <f>IFERROR(IF($AH354="","",IF($AH354&gt;=$AA354*'Parametri Modello'!$B$68,"🟢 Opportunita'",IF($AH354&lt;=$AA354*'Parametri Modello'!$B$69,"🔴 Sovrapprezzo","🟡 Prezzo Corretto"))),"")</f>
        <v/>
      </c>
      <c r="AJ354" t="str">
        <f t="shared" si="51"/>
        <v/>
      </c>
      <c r="AK354">
        <f t="shared" si="52"/>
        <v>28</v>
      </c>
      <c r="AL354" t="str">
        <f t="shared" si="53"/>
        <v>C|Scommessa/Riserva|28</v>
      </c>
    </row>
    <row r="355" spans="1:38" ht="14.25" customHeight="1" x14ac:dyDescent="0.25">
      <c r="A355" s="18">
        <v>4970</v>
      </c>
      <c r="B355" s="18" t="s">
        <v>264</v>
      </c>
      <c r="C355" s="18" t="s">
        <v>397</v>
      </c>
      <c r="E355" s="23" t="str">
        <f>IF(COUNTIF('Info Strategia'!$D$2:$D$51,$C355)&gt;0,"SI","NO")</f>
        <v>NO</v>
      </c>
      <c r="F355" s="24">
        <f>IFERROR(ROUND(($G355+($H355-$G355)*'Info Strategia'!$B$6)*(1+IF($E355="SI",'Parametri Modello'!$B$7*'Info Strategia'!$B$6,0)),0),"")</f>
        <v>1</v>
      </c>
      <c r="G355" s="24">
        <f>IFERROR(ROUND(MAX(1,(IF($V355&lt;=INDEX('Parametri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H355" s="24">
        <f>IFERROR(ROUND((IF($V355&lt;=INDEX('Parametri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I355" s="23">
        <f>IFERROR(INDEX('Input Statistiche 2025_26'!$F$3:$F$665,MATCH($A355,'Input Statistiche 2025_26'!$A$3:$A$665,0)),"")</f>
        <v>19</v>
      </c>
      <c r="J355" s="23">
        <f t="shared" si="45"/>
        <v>19</v>
      </c>
      <c r="K355" s="23">
        <f>IFERROR(INDEX('Input Statistiche 2025_26'!$I$3:$I$665,MATCH($A355,'Input Statistiche 2025_26'!$A$3:$A$665,0)),"")</f>
        <v>3</v>
      </c>
      <c r="L355" s="23">
        <f>IFERROR(INDEX('Input Statistiche 2025_26'!$O$3:$O$665,MATCH($A355,'Input Statistiche 2025_26'!$A$3:$A$665,0)),"")</f>
        <v>1</v>
      </c>
      <c r="M355" s="25"/>
      <c r="N355" s="24">
        <f>IFERROR(INDEX('Input Giocatori 2026_27'!$E$3:$E$493,MATCH($A355,'Input Giocatori 2026_27'!$A$3:$A$493,0)),"")</f>
        <v>3</v>
      </c>
      <c r="O355" s="24">
        <f>IFERROR(INDEX('Input Giocatori 2026_27'!$G$3:$G$493,MATCH($A355,'Input Giocatori 2026_27'!$A$3:$A$493,0)),"")</f>
        <v>8</v>
      </c>
      <c r="P355" s="23" t="str">
        <f>IFERROR(IF($O355="","",IF((1-(COUNTIFS($B$2:$B$492,$B355,$O$2:$O$492,"&gt;"&amp;$O355)+1-1)/COUNTIF($B$2:$B$492,$B355))&gt;='Parametri Modello'!$B$63,"Top",IF((1-(COUNTIFS($B$2:$B$492,$B355,$O$2:$O$492,"&gt;"&amp;$O355)+1-1)/COUNTIF($B$2:$B$492,$B355))&gt;='Parametri Modello'!$B$64,"Buono",IF((1-(COUNTIFS($B$2:$B$492,$B355,$O$2:$O$492,"&gt;"&amp;$O355)+1-1)/COUNTIF($B$2:$B$492,$B355))&gt;='Parametri Modello'!$B$65,"Nella Media","Scommessa/Riserva")))),"")</f>
        <v>Scommessa/Riserva</v>
      </c>
      <c r="Q355" s="26">
        <f>IF(AND($D355="",$N355&gt;1),SUMPRODUCT(($D$2:$D355="")*($N$2:$N355&gt;1)),"")</f>
        <v>353</v>
      </c>
      <c r="R355" s="26" t="str">
        <f>IF($D355='Info Lega'!$B$28,COUNTIFS($D$2:$D355,'Info Lega'!$B$28),"")</f>
        <v/>
      </c>
      <c r="S355" s="27">
        <f>IFERROR(INDEX('Input Statistiche 2025_26'!$G$3:$G$665,MATCH($A355,'Input Statistiche 2025_26'!$A$3:$A$665,0)),"")</f>
        <v>6.18</v>
      </c>
      <c r="T355" s="27">
        <f>IFERROR(INDEX('Input Statistiche 2025_26'!$H$3:$H$665,MATCH($A355,'Input Statistiche 2025_26'!$A$3:$A$665,0)),"")</f>
        <v>6.68</v>
      </c>
      <c r="U355" s="23" t="str">
        <f>IF(OR('La Mia Rosa'!$O$12="",$D355&lt;&gt;""),"",IF($F355&lt;='La Mia Rosa'!$O$12*'Parametri Modello'!$B$24,"OK",IF($F355&lt;='La Mia Rosa'!$O$12*'Parametri Modello'!$B$25,"Attenzione","Rischio Alto")))</f>
        <v>OK</v>
      </c>
      <c r="V355" s="23">
        <f t="shared" si="46"/>
        <v>132</v>
      </c>
      <c r="W355" s="18">
        <f>'Info Lega'!$B$4-SUMIFS($M$2:$M$492,$D$2:$D$492,'Info Lega'!$B$28)</f>
        <v>1000</v>
      </c>
      <c r="X355" s="18">
        <f>('Info Lega'!$B$5-COUNTIFS($D$2:$D$492,'Info Lega'!$B$28,$B$2:$B$492,"P"))+('Info Lega'!$B$6-COUNTIFS($D$2:$D$492,'Info Lega'!$B$28,$B$2:$B$492,"D"))+('Info Lega'!$B$7-COUNTIFS($D$2:$D$492,'Info Lega'!$B$28,$B$2:$B$492,"C"))+('Info Lega'!$B$8-COUNTIFS($D$2:$D$492,'Info Lega'!$B$28,$B$2:$B$492,"A"))</f>
        <v>25</v>
      </c>
      <c r="Y355" s="18">
        <f>X355*'Parametri Modello'!$B$30</f>
        <v>25</v>
      </c>
      <c r="Z355" s="18">
        <f t="shared" si="47"/>
        <v>975</v>
      </c>
      <c r="AA355" s="18">
        <f t="shared" si="48"/>
        <v>1</v>
      </c>
      <c r="AB355" s="18"/>
      <c r="AC355" s="18" t="str">
        <f>IF($AB355="","",IF($AB355&gt;$AA355,"PASS",IF($AB355&lt;=$AA355*(1-'Parametri Modello'!$B$68),"BID","ATTENZIONE")))</f>
        <v/>
      </c>
      <c r="AD355" s="28">
        <f t="shared" si="49"/>
        <v>47</v>
      </c>
      <c r="AE355" s="5" t="str">
        <f>IFERROR(IF($AF355="Titolare",INDEX('Stato Asta'!$G$9:$G$12,MATCH($B355,'Stato Asta'!$A$9:$A$12,0)),INDEX('Stato Asta'!$P$9:$P$12,MATCH($B355,'Stato Asta'!$A$9:$A$12,0))),"")</f>
        <v>🟢 Riserve abbondanti</v>
      </c>
      <c r="AF355" t="str">
        <f>IFERROR(IF($V355&lt;=INDEX('Parametri Modello'!$C$57:$C$60,MATCH($B355,'Parametri Modello'!$A$57:$A$60,0)),"Titolare","Riserva"),"")</f>
        <v>Riserva</v>
      </c>
      <c r="AG355" t="str">
        <f>IFERROR(INDEX('Pressione Competitiva'!$F$3:$F$6,MATCH($B355,'Pressione Competitiva'!$B$3:$B$6,0)),"")</f>
        <v>🔴 Molto Alta</v>
      </c>
      <c r="AH355" t="str">
        <f t="shared" si="50"/>
        <v/>
      </c>
      <c r="AI355" t="str">
        <f>IFERROR(IF($AH355="","",IF($AH355&gt;=$AA355*'Parametri Modello'!$B$68,"🟢 Opportunita'",IF($AH355&lt;=$AA355*'Parametri Modello'!$B$69,"🔴 Sovrapprezzo","🟡 Prezzo Corretto"))),"")</f>
        <v/>
      </c>
      <c r="AJ355" t="str">
        <f t="shared" si="51"/>
        <v/>
      </c>
      <c r="AK355">
        <f t="shared" si="52"/>
        <v>28</v>
      </c>
      <c r="AL355" t="str">
        <f t="shared" si="53"/>
        <v>C|Scommessa/Riserva|28</v>
      </c>
    </row>
    <row r="356" spans="1:38" ht="14.25" customHeight="1" x14ac:dyDescent="0.25">
      <c r="A356" s="18">
        <v>5578</v>
      </c>
      <c r="B356" s="18" t="s">
        <v>88</v>
      </c>
      <c r="C356" s="18" t="s">
        <v>200</v>
      </c>
      <c r="E356" s="23" t="str">
        <f>IF(COUNTIF('Info Strategia'!$D$2:$D$51,$C356)&gt;0,"SI","NO")</f>
        <v>NO</v>
      </c>
      <c r="F356" s="24">
        <f>IFERROR(ROUND(($G356+($H356-$G356)*'Info Strategia'!$B$6)*(1+IF($E356="SI",'Parametri Modello'!$B$7*'Info Strategia'!$B$6,0)),0),"")</f>
        <v>1</v>
      </c>
      <c r="G356" s="24">
        <f>IFERROR(ROUND(MAX(1,(IF($V356&lt;=INDEX('Parametri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H356" s="24">
        <f>IFERROR(ROUND((IF($V356&lt;=INDEX('Parametri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I356" s="23">
        <f>IFERROR(INDEX('Input Statistiche 2025_26'!$F$3:$F$665,MATCH($A356,'Input Statistiche 2025_26'!$A$3:$A$665,0)),"")</f>
        <v>16</v>
      </c>
      <c r="J356" s="23">
        <f t="shared" si="45"/>
        <v>22</v>
      </c>
      <c r="K356" s="23">
        <f>IFERROR(INDEX('Input Statistiche 2025_26'!$I$3:$I$665,MATCH($A356,'Input Statistiche 2025_26'!$A$3:$A$665,0)),"")</f>
        <v>1</v>
      </c>
      <c r="L356" s="23">
        <f>IFERROR(INDEX('Input Statistiche 2025_26'!$O$3:$O$665,MATCH($A356,'Input Statistiche 2025_26'!$A$3:$A$665,0)),"")</f>
        <v>0</v>
      </c>
      <c r="M356" s="25"/>
      <c r="N356" s="24">
        <f>IFERROR(INDEX('Input Giocatori 2026_27'!$E$3:$E$493,MATCH($A356,'Input Giocatori 2026_27'!$A$3:$A$493,0)),"")</f>
        <v>3</v>
      </c>
      <c r="O356" s="24">
        <f>IFERROR(INDEX('Input Giocatori 2026_27'!$G$3:$G$493,MATCH($A356,'Input Giocatori 2026_27'!$A$3:$A$493,0)),"")</f>
        <v>7</v>
      </c>
      <c r="P356" s="23" t="str">
        <f>IFERROR(IF($O356="","",IF((1-(COUNTIFS($B$2:$B$492,$B356,$O$2:$O$492,"&gt;"&amp;$O356)+1-1)/COUNTIF($B$2:$B$492,$B356))&gt;='Parametri Modello'!$B$63,"Top",IF((1-(COUNTIFS($B$2:$B$492,$B356,$O$2:$O$492,"&gt;"&amp;$O356)+1-1)/COUNTIF($B$2:$B$492,$B356))&gt;='Parametri Modello'!$B$64,"Buono",IF((1-(COUNTIFS($B$2:$B$492,$B356,$O$2:$O$492,"&gt;"&amp;$O356)+1-1)/COUNTIF($B$2:$B$492,$B356))&gt;='Parametri Modello'!$B$65,"Nella Media","Scommessa/Riserva")))),"")</f>
        <v>Scommessa/Riserva</v>
      </c>
      <c r="Q356" s="26">
        <f>IF(AND($D356="",$N356&gt;1),SUMPRODUCT(($D$2:$D356="")*($N$2:$N356&gt;1)),"")</f>
        <v>354</v>
      </c>
      <c r="R356" s="26" t="str">
        <f>IF($D356='Info Lega'!$B$28,COUNTIFS($D$2:$D356,'Info Lega'!$B$28),"")</f>
        <v/>
      </c>
      <c r="S356" s="27">
        <f>IFERROR(INDEX('Input Statistiche 2025_26'!$G$3:$G$665,MATCH($A356,'Input Statistiche 2025_26'!$A$3:$A$665,0)),"")</f>
        <v>5.94</v>
      </c>
      <c r="T356" s="27">
        <f>IFERROR(INDEX('Input Statistiche 2025_26'!$H$3:$H$665,MATCH($A356,'Input Statistiche 2025_26'!$A$3:$A$665,0)),"")</f>
        <v>6.09</v>
      </c>
      <c r="U356" s="23" t="str">
        <f>IF(OR('La Mia Rosa'!$O$12="",$D356&lt;&gt;""),"",IF($F356&lt;='La Mia Rosa'!$O$12*'Parametri Modello'!$B$24,"OK",IF($F356&lt;='La Mia Rosa'!$O$12*'Parametri Modello'!$B$25,"Attenzione","Rischio Alto")))</f>
        <v>OK</v>
      </c>
      <c r="V356" s="23">
        <f t="shared" si="46"/>
        <v>125</v>
      </c>
      <c r="W356" s="18">
        <f>'Info Lega'!$B$4-SUMIFS($M$2:$M$492,$D$2:$D$492,'Info Lega'!$B$28)</f>
        <v>1000</v>
      </c>
      <c r="X356" s="18">
        <f>('Info Lega'!$B$5-COUNTIFS($D$2:$D$492,'Info Lega'!$B$28,$B$2:$B$492,"P"))+('Info Lega'!$B$6-COUNTIFS($D$2:$D$492,'Info Lega'!$B$28,$B$2:$B$492,"D"))+('Info Lega'!$B$7-COUNTIFS($D$2:$D$492,'Info Lega'!$B$28,$B$2:$B$492,"C"))+('Info Lega'!$B$8-COUNTIFS($D$2:$D$492,'Info Lega'!$B$28,$B$2:$B$492,"A"))</f>
        <v>25</v>
      </c>
      <c r="Y356" s="18">
        <f>X356*'Parametri Modello'!$B$30</f>
        <v>25</v>
      </c>
      <c r="Z356" s="18">
        <f t="shared" si="47"/>
        <v>975</v>
      </c>
      <c r="AA356" s="18">
        <f t="shared" si="48"/>
        <v>1</v>
      </c>
      <c r="AB356" s="18"/>
      <c r="AC356" s="18" t="str">
        <f>IF($AB356="","",IF($AB356&gt;$AA356,"PASS",IF($AB356&lt;=$AA356*(1-'Parametri Modello'!$B$68),"BID","ATTENZIONE")))</f>
        <v/>
      </c>
      <c r="AD356" s="28">
        <f t="shared" si="49"/>
        <v>41</v>
      </c>
      <c r="AE356" s="5" t="str">
        <f>IFERROR(IF($AF356="Titolare",INDEX('Stato Asta'!$G$9:$G$12,MATCH($B356,'Stato Asta'!$A$9:$A$12,0)),INDEX('Stato Asta'!$P$9:$P$12,MATCH($B356,'Stato Asta'!$A$9:$A$12,0))),"")</f>
        <v>🟢 Riserve abbondanti</v>
      </c>
      <c r="AF356" t="str">
        <f>IFERROR(IF($V356&lt;=INDEX('Parametri Modello'!$C$57:$C$60,MATCH($B356,'Parametri Modello'!$A$57:$A$60,0)),"Titolare","Riserva"),"")</f>
        <v>Riserva</v>
      </c>
      <c r="AG356" t="str">
        <f>IFERROR(INDEX('Pressione Competitiva'!$F$3:$F$6,MATCH($B356,'Pressione Competitiva'!$B$3:$B$6,0)),"")</f>
        <v>🔴 Molto Alta</v>
      </c>
      <c r="AH356" t="str">
        <f t="shared" si="50"/>
        <v/>
      </c>
      <c r="AI356" t="str">
        <f>IFERROR(IF($AH356="","",IF($AH356&gt;=$AA356*'Parametri Modello'!$B$68,"🟢 Opportunita'",IF($AH356&lt;=$AA356*'Parametri Modello'!$B$69,"🔴 Sovrapprezzo","🟡 Prezzo Corretto"))),"")</f>
        <v/>
      </c>
      <c r="AJ356" t="str">
        <f t="shared" si="51"/>
        <v/>
      </c>
      <c r="AK356">
        <f t="shared" si="52"/>
        <v>13</v>
      </c>
      <c r="AL356" t="str">
        <f t="shared" si="53"/>
        <v>D|Scommessa/Riserva|13</v>
      </c>
    </row>
    <row r="357" spans="1:38" ht="14.25" customHeight="1" x14ac:dyDescent="0.25">
      <c r="A357" s="18">
        <v>7125</v>
      </c>
      <c r="B357" s="18" t="s">
        <v>88</v>
      </c>
      <c r="C357" s="18" t="s">
        <v>203</v>
      </c>
      <c r="E357" s="23" t="str">
        <f>IF(COUNTIF('Info Strategia'!$D$2:$D$51,$C357)&gt;0,"SI","NO")</f>
        <v>NO</v>
      </c>
      <c r="F357" s="24">
        <f>IFERROR(ROUND(($G357+($H357-$G357)*'Info Strategia'!$B$6)*(1+IF($E357="SI",'Parametri Modello'!$B$7*'Info Strategia'!$B$6,0)),0),"")</f>
        <v>1</v>
      </c>
      <c r="G357" s="24">
        <f>IFERROR(ROUND(MAX(1,(IF($V357&lt;=INDEX('Parametri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H357" s="24">
        <f>IFERROR(ROUND((IF($V357&lt;=INDEX('Parametri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I357" s="23">
        <f>IFERROR(INDEX('Input Statistiche 2025_26'!$F$3:$F$665,MATCH($A357,'Input Statistiche 2025_26'!$A$3:$A$665,0)),"")</f>
        <v>17</v>
      </c>
      <c r="J357" s="23">
        <f t="shared" si="45"/>
        <v>21</v>
      </c>
      <c r="K357" s="23">
        <f>IFERROR(INDEX('Input Statistiche 2025_26'!$I$3:$I$665,MATCH($A357,'Input Statistiche 2025_26'!$A$3:$A$665,0)),"")</f>
        <v>2</v>
      </c>
      <c r="L357" s="23">
        <f>IFERROR(INDEX('Input Statistiche 2025_26'!$O$3:$O$665,MATCH($A357,'Input Statistiche 2025_26'!$A$3:$A$665,0)),"")</f>
        <v>0</v>
      </c>
      <c r="M357" s="25"/>
      <c r="N357" s="24">
        <f>IFERROR(INDEX('Input Giocatori 2026_27'!$E$3:$E$493,MATCH($A357,'Input Giocatori 2026_27'!$A$3:$A$493,0)),"")</f>
        <v>3</v>
      </c>
      <c r="O357" s="24">
        <f>IFERROR(INDEX('Input Giocatori 2026_27'!$G$3:$G$493,MATCH($A357,'Input Giocatori 2026_27'!$A$3:$A$493,0)),"")</f>
        <v>7</v>
      </c>
      <c r="P357" s="23" t="str">
        <f>IFERROR(IF($O357="","",IF((1-(COUNTIFS($B$2:$B$492,$B357,$O$2:$O$492,"&gt;"&amp;$O357)+1-1)/COUNTIF($B$2:$B$492,$B357))&gt;='Parametri Modello'!$B$63,"Top",IF((1-(COUNTIFS($B$2:$B$492,$B357,$O$2:$O$492,"&gt;"&amp;$O357)+1-1)/COUNTIF($B$2:$B$492,$B357))&gt;='Parametri Modello'!$B$64,"Buono",IF((1-(COUNTIFS($B$2:$B$492,$B357,$O$2:$O$492,"&gt;"&amp;$O357)+1-1)/COUNTIF($B$2:$B$492,$B357))&gt;='Parametri Modello'!$B$65,"Nella Media","Scommessa/Riserva")))),"")</f>
        <v>Scommessa/Riserva</v>
      </c>
      <c r="Q357" s="26">
        <f>IF(AND($D357="",$N357&gt;1),SUMPRODUCT(($D$2:$D357="")*($N$2:$N357&gt;1)),"")</f>
        <v>355</v>
      </c>
      <c r="R357" s="26" t="str">
        <f>IF($D357='Info Lega'!$B$28,COUNTIFS($D$2:$D357,'Info Lega'!$B$28),"")</f>
        <v/>
      </c>
      <c r="S357" s="27">
        <f>IFERROR(INDEX('Input Statistiche 2025_26'!$G$3:$G$665,MATCH($A357,'Input Statistiche 2025_26'!$A$3:$A$665,0)),"")</f>
        <v>5.82</v>
      </c>
      <c r="T357" s="27">
        <f>IFERROR(INDEX('Input Statistiche 2025_26'!$H$3:$H$665,MATCH($A357,'Input Statistiche 2025_26'!$A$3:$A$665,0)),"")</f>
        <v>6.09</v>
      </c>
      <c r="U357" s="23" t="str">
        <f>IF(OR('La Mia Rosa'!$O$12="",$D357&lt;&gt;""),"",IF($F357&lt;='La Mia Rosa'!$O$12*'Parametri Modello'!$B$24,"OK",IF($F357&lt;='La Mia Rosa'!$O$12*'Parametri Modello'!$B$25,"Attenzione","Rischio Alto")))</f>
        <v>OK</v>
      </c>
      <c r="V357" s="23">
        <f t="shared" si="46"/>
        <v>125</v>
      </c>
      <c r="W357" s="18">
        <f>'Info Lega'!$B$4-SUMIFS($M$2:$M$492,$D$2:$D$492,'Info Lega'!$B$28)</f>
        <v>1000</v>
      </c>
      <c r="X357" s="18">
        <f>('Info Lega'!$B$5-COUNTIFS($D$2:$D$492,'Info Lega'!$B$28,$B$2:$B$492,"P"))+('Info Lega'!$B$6-COUNTIFS($D$2:$D$492,'Info Lega'!$B$28,$B$2:$B$492,"D"))+('Info Lega'!$B$7-COUNTIFS($D$2:$D$492,'Info Lega'!$B$28,$B$2:$B$492,"C"))+('Info Lega'!$B$8-COUNTIFS($D$2:$D$492,'Info Lega'!$B$28,$B$2:$B$492,"A"))</f>
        <v>25</v>
      </c>
      <c r="Y357" s="18">
        <f>X357*'Parametri Modello'!$B$30</f>
        <v>25</v>
      </c>
      <c r="Z357" s="18">
        <f t="shared" si="47"/>
        <v>975</v>
      </c>
      <c r="AA357" s="18">
        <f t="shared" si="48"/>
        <v>1</v>
      </c>
      <c r="AB357" s="18"/>
      <c r="AC357" s="18" t="str">
        <f>IF($AB357="","",IF($AB357&gt;$AA357,"PASS",IF($AB357&lt;=$AA357*(1-'Parametri Modello'!$B$68),"BID","ATTENZIONE")))</f>
        <v/>
      </c>
      <c r="AD357" s="28">
        <f t="shared" si="49"/>
        <v>43</v>
      </c>
      <c r="AE357" s="5" t="str">
        <f>IFERROR(IF($AF357="Titolare",INDEX('Stato Asta'!$G$9:$G$12,MATCH($B357,'Stato Asta'!$A$9:$A$12,0)),INDEX('Stato Asta'!$P$9:$P$12,MATCH($B357,'Stato Asta'!$A$9:$A$12,0))),"")</f>
        <v>🟢 Riserve abbondanti</v>
      </c>
      <c r="AF357" t="str">
        <f>IFERROR(IF($V357&lt;=INDEX('Parametri Modello'!$C$57:$C$60,MATCH($B357,'Parametri Modello'!$A$57:$A$60,0)),"Titolare","Riserva"),"")</f>
        <v>Riserva</v>
      </c>
      <c r="AG357" t="str">
        <f>IFERROR(INDEX('Pressione Competitiva'!$F$3:$F$6,MATCH($B357,'Pressione Competitiva'!$B$3:$B$6,0)),"")</f>
        <v>🔴 Molto Alta</v>
      </c>
      <c r="AH357" t="str">
        <f t="shared" si="50"/>
        <v/>
      </c>
      <c r="AI357" t="str">
        <f>IFERROR(IF($AH357="","",IF($AH357&gt;=$AA357*'Parametri Modello'!$B$68,"🟢 Opportunita'",IF($AH357&lt;=$AA357*'Parametri Modello'!$B$69,"🔴 Sovrapprezzo","🟡 Prezzo Corretto"))),"")</f>
        <v/>
      </c>
      <c r="AJ357" t="str">
        <f t="shared" si="51"/>
        <v/>
      </c>
      <c r="AK357">
        <f t="shared" si="52"/>
        <v>13</v>
      </c>
      <c r="AL357" t="str">
        <f t="shared" si="53"/>
        <v>D|Scommessa/Riserva|13</v>
      </c>
    </row>
    <row r="358" spans="1:38" ht="14.25" customHeight="1" x14ac:dyDescent="0.25">
      <c r="A358" s="18">
        <v>4378</v>
      </c>
      <c r="B358" s="18" t="s">
        <v>88</v>
      </c>
      <c r="C358" s="18" t="s">
        <v>204</v>
      </c>
      <c r="E358" s="23" t="str">
        <f>IF(COUNTIF('Info Strategia'!$D$2:$D$51,$C358)&gt;0,"SI","NO")</f>
        <v>NO</v>
      </c>
      <c r="F358" s="24">
        <f>IFERROR(ROUND(($G358+($H358-$G358)*'Info Strategia'!$B$6)*(1+IF($E358="SI",'Parametri Modello'!$B$7*'Info Strategia'!$B$6,0)),0),"")</f>
        <v>1</v>
      </c>
      <c r="G358" s="24">
        <f>IFERROR(ROUND(MAX(1,(IF($V358&lt;=INDEX('Parametri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H358" s="24">
        <f>IFERROR(ROUND((IF($V358&lt;=INDEX('Parametri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I358" s="23">
        <f>IFERROR(INDEX('Input Statistiche 2025_26'!$F$3:$F$665,MATCH($A358,'Input Statistiche 2025_26'!$A$3:$A$665,0)),"")</f>
        <v>31</v>
      </c>
      <c r="J358" s="23">
        <f t="shared" si="45"/>
        <v>7</v>
      </c>
      <c r="K358" s="23">
        <f>IFERROR(INDEX('Input Statistiche 2025_26'!$I$3:$I$665,MATCH($A358,'Input Statistiche 2025_26'!$A$3:$A$665,0)),"")</f>
        <v>1</v>
      </c>
      <c r="L358" s="23">
        <f>IFERROR(INDEX('Input Statistiche 2025_26'!$O$3:$O$665,MATCH($A358,'Input Statistiche 2025_26'!$A$3:$A$665,0)),"")</f>
        <v>0</v>
      </c>
      <c r="M358" s="25"/>
      <c r="N358" s="24">
        <f>IFERROR(INDEX('Input Giocatori 2026_27'!$E$3:$E$493,MATCH($A358,'Input Giocatori 2026_27'!$A$3:$A$493,0)),"")</f>
        <v>3</v>
      </c>
      <c r="O358" s="24">
        <f>IFERROR(INDEX('Input Giocatori 2026_27'!$G$3:$G$493,MATCH($A358,'Input Giocatori 2026_27'!$A$3:$A$493,0)),"")</f>
        <v>7</v>
      </c>
      <c r="P358" s="23" t="str">
        <f>IFERROR(IF($O358="","",IF((1-(COUNTIFS($B$2:$B$492,$B358,$O$2:$O$492,"&gt;"&amp;$O358)+1-1)/COUNTIF($B$2:$B$492,$B358))&gt;='Parametri Modello'!$B$63,"Top",IF((1-(COUNTIFS($B$2:$B$492,$B358,$O$2:$O$492,"&gt;"&amp;$O358)+1-1)/COUNTIF($B$2:$B$492,$B358))&gt;='Parametri Modello'!$B$64,"Buono",IF((1-(COUNTIFS($B$2:$B$492,$B358,$O$2:$O$492,"&gt;"&amp;$O358)+1-1)/COUNTIF($B$2:$B$492,$B358))&gt;='Parametri Modello'!$B$65,"Nella Media","Scommessa/Riserva")))),"")</f>
        <v>Scommessa/Riserva</v>
      </c>
      <c r="Q358" s="26">
        <f>IF(AND($D358="",$N358&gt;1),SUMPRODUCT(($D$2:$D358="")*($N$2:$N358&gt;1)),"")</f>
        <v>356</v>
      </c>
      <c r="R358" s="26" t="str">
        <f>IF($D358='Info Lega'!$B$28,COUNTIFS($D$2:$D358,'Info Lega'!$B$28),"")</f>
        <v/>
      </c>
      <c r="S358" s="27">
        <f>IFERROR(INDEX('Input Statistiche 2025_26'!$G$3:$G$665,MATCH($A358,'Input Statistiche 2025_26'!$A$3:$A$665,0)),"")</f>
        <v>5.85</v>
      </c>
      <c r="T358" s="27">
        <f>IFERROR(INDEX('Input Statistiche 2025_26'!$H$3:$H$665,MATCH($A358,'Input Statistiche 2025_26'!$A$3:$A$665,0)),"")</f>
        <v>5.79</v>
      </c>
      <c r="U358" s="23" t="str">
        <f>IF(OR('La Mia Rosa'!$O$12="",$D358&lt;&gt;""),"",IF($F358&lt;='La Mia Rosa'!$O$12*'Parametri Modello'!$B$24,"OK",IF($F358&lt;='La Mia Rosa'!$O$12*'Parametri Modello'!$B$25,"Attenzione","Rischio Alto")))</f>
        <v>OK</v>
      </c>
      <c r="V358" s="23">
        <f t="shared" si="46"/>
        <v>125</v>
      </c>
      <c r="W358" s="18">
        <f>'Info Lega'!$B$4-SUMIFS($M$2:$M$492,$D$2:$D$492,'Info Lega'!$B$28)</f>
        <v>1000</v>
      </c>
      <c r="X358" s="18">
        <f>('Info Lega'!$B$5-COUNTIFS($D$2:$D$492,'Info Lega'!$B$28,$B$2:$B$492,"P"))+('Info Lega'!$B$6-COUNTIFS($D$2:$D$492,'Info Lega'!$B$28,$B$2:$B$492,"D"))+('Info Lega'!$B$7-COUNTIFS($D$2:$D$492,'Info Lega'!$B$28,$B$2:$B$492,"C"))+('Info Lega'!$B$8-COUNTIFS($D$2:$D$492,'Info Lega'!$B$28,$B$2:$B$492,"A"))</f>
        <v>25</v>
      </c>
      <c r="Y358" s="18">
        <f>X358*'Parametri Modello'!$B$30</f>
        <v>25</v>
      </c>
      <c r="Z358" s="18">
        <f t="shared" si="47"/>
        <v>975</v>
      </c>
      <c r="AA358" s="18">
        <f t="shared" si="48"/>
        <v>1</v>
      </c>
      <c r="AB358" s="18"/>
      <c r="AC358" s="18" t="str">
        <f>IF($AB358="","",IF($AB358&gt;$AA358,"PASS",IF($AB358&lt;=$AA358*(1-'Parametri Modello'!$B$68),"BID","ATTENZIONE")))</f>
        <v/>
      </c>
      <c r="AD358" s="28">
        <f t="shared" si="49"/>
        <v>64</v>
      </c>
      <c r="AE358" s="5" t="str">
        <f>IFERROR(IF($AF358="Titolare",INDEX('Stato Asta'!$G$9:$G$12,MATCH($B358,'Stato Asta'!$A$9:$A$12,0)),INDEX('Stato Asta'!$P$9:$P$12,MATCH($B358,'Stato Asta'!$A$9:$A$12,0))),"")</f>
        <v>🟢 Riserve abbondanti</v>
      </c>
      <c r="AF358" t="str">
        <f>IFERROR(IF($V358&lt;=INDEX('Parametri Modello'!$C$57:$C$60,MATCH($B358,'Parametri Modello'!$A$57:$A$60,0)),"Titolare","Riserva"),"")</f>
        <v>Riserva</v>
      </c>
      <c r="AG358" t="str">
        <f>IFERROR(INDEX('Pressione Competitiva'!$F$3:$F$6,MATCH($B358,'Pressione Competitiva'!$B$3:$B$6,0)),"")</f>
        <v>🔴 Molto Alta</v>
      </c>
      <c r="AH358" t="str">
        <f t="shared" si="50"/>
        <v/>
      </c>
      <c r="AI358" t="str">
        <f>IFERROR(IF($AH358="","",IF($AH358&gt;=$AA358*'Parametri Modello'!$B$68,"🟢 Opportunita'",IF($AH358&lt;=$AA358*'Parametri Modello'!$B$69,"🔴 Sovrapprezzo","🟡 Prezzo Corretto"))),"")</f>
        <v/>
      </c>
      <c r="AJ358" t="str">
        <f t="shared" si="51"/>
        <v/>
      </c>
      <c r="AK358">
        <f t="shared" si="52"/>
        <v>13</v>
      </c>
      <c r="AL358" t="str">
        <f t="shared" si="53"/>
        <v>D|Scommessa/Riserva|13</v>
      </c>
    </row>
    <row r="359" spans="1:38" ht="14.25" customHeight="1" x14ac:dyDescent="0.25">
      <c r="A359" s="18">
        <v>7175</v>
      </c>
      <c r="B359" s="18" t="s">
        <v>88</v>
      </c>
      <c r="C359" s="18" t="s">
        <v>205</v>
      </c>
      <c r="E359" s="23" t="str">
        <f>IF(COUNTIF('Info Strategia'!$D$2:$D$51,$C359)&gt;0,"SI","NO")</f>
        <v>NO</v>
      </c>
      <c r="F359" s="24">
        <f>IFERROR(ROUND(($G359+($H359-$G359)*'Info Strategia'!$B$6)*(1+IF($E359="SI",'Parametri Modello'!$B$7*'Info Strategia'!$B$6,0)),0),"")</f>
        <v>1</v>
      </c>
      <c r="G359" s="24">
        <f>IFERROR(ROUND(MAX(1,(IF($V359&lt;=INDEX('Parametri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H359" s="24">
        <f>IFERROR(ROUND((IF($V359&lt;=INDEX('Parametri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I359" s="23">
        <f>IFERROR(INDEX('Input Statistiche 2025_26'!$F$3:$F$665,MATCH($A359,'Input Statistiche 2025_26'!$A$3:$A$665,0)),"")</f>
        <v>14</v>
      </c>
      <c r="J359" s="23">
        <f t="shared" si="45"/>
        <v>24</v>
      </c>
      <c r="K359" s="23">
        <f>IFERROR(INDEX('Input Statistiche 2025_26'!$I$3:$I$665,MATCH($A359,'Input Statistiche 2025_26'!$A$3:$A$665,0)),"")</f>
        <v>1</v>
      </c>
      <c r="L359" s="23">
        <f>IFERROR(INDEX('Input Statistiche 2025_26'!$O$3:$O$665,MATCH($A359,'Input Statistiche 2025_26'!$A$3:$A$665,0)),"")</f>
        <v>1</v>
      </c>
      <c r="M359" s="25"/>
      <c r="N359" s="24">
        <f>IFERROR(INDEX('Input Giocatori 2026_27'!$E$3:$E$493,MATCH($A359,'Input Giocatori 2026_27'!$A$3:$A$493,0)),"")</f>
        <v>3</v>
      </c>
      <c r="O359" s="24">
        <f>IFERROR(INDEX('Input Giocatori 2026_27'!$G$3:$G$493,MATCH($A359,'Input Giocatori 2026_27'!$A$3:$A$493,0)),"")</f>
        <v>7</v>
      </c>
      <c r="P359" s="23" t="str">
        <f>IFERROR(IF($O359="","",IF((1-(COUNTIFS($B$2:$B$492,$B359,$O$2:$O$492,"&gt;"&amp;$O359)+1-1)/COUNTIF($B$2:$B$492,$B359))&gt;='Parametri Modello'!$B$63,"Top",IF((1-(COUNTIFS($B$2:$B$492,$B359,$O$2:$O$492,"&gt;"&amp;$O359)+1-1)/COUNTIF($B$2:$B$492,$B359))&gt;='Parametri Modello'!$B$64,"Buono",IF((1-(COUNTIFS($B$2:$B$492,$B359,$O$2:$O$492,"&gt;"&amp;$O359)+1-1)/COUNTIF($B$2:$B$492,$B359))&gt;='Parametri Modello'!$B$65,"Nella Media","Scommessa/Riserva")))),"")</f>
        <v>Scommessa/Riserva</v>
      </c>
      <c r="Q359" s="26">
        <f>IF(AND($D359="",$N359&gt;1),SUMPRODUCT(($D$2:$D359="")*($N$2:$N359&gt;1)),"")</f>
        <v>357</v>
      </c>
      <c r="R359" s="26" t="str">
        <f>IF($D359='Info Lega'!$B$28,COUNTIFS($D$2:$D359,'Info Lega'!$B$28),"")</f>
        <v/>
      </c>
      <c r="S359" s="27">
        <f>IFERROR(INDEX('Input Statistiche 2025_26'!$G$3:$G$665,MATCH($A359,'Input Statistiche 2025_26'!$A$3:$A$665,0)),"")</f>
        <v>5.79</v>
      </c>
      <c r="T359" s="27">
        <f>IFERROR(INDEX('Input Statistiche 2025_26'!$H$3:$H$665,MATCH($A359,'Input Statistiche 2025_26'!$A$3:$A$665,0)),"")</f>
        <v>6</v>
      </c>
      <c r="U359" s="23" t="str">
        <f>IF(OR('La Mia Rosa'!$O$12="",$D359&lt;&gt;""),"",IF($F359&lt;='La Mia Rosa'!$O$12*'Parametri Modello'!$B$24,"OK",IF($F359&lt;='La Mia Rosa'!$O$12*'Parametri Modello'!$B$25,"Attenzione","Rischio Alto")))</f>
        <v>OK</v>
      </c>
      <c r="V359" s="23">
        <f t="shared" si="46"/>
        <v>125</v>
      </c>
      <c r="W359" s="18">
        <f>'Info Lega'!$B$4-SUMIFS($M$2:$M$492,$D$2:$D$492,'Info Lega'!$B$28)</f>
        <v>1000</v>
      </c>
      <c r="X359" s="18">
        <f>('Info Lega'!$B$5-COUNTIFS($D$2:$D$492,'Info Lega'!$B$28,$B$2:$B$492,"P"))+('Info Lega'!$B$6-COUNTIFS($D$2:$D$492,'Info Lega'!$B$28,$B$2:$B$492,"D"))+('Info Lega'!$B$7-COUNTIFS($D$2:$D$492,'Info Lega'!$B$28,$B$2:$B$492,"C"))+('Info Lega'!$B$8-COUNTIFS($D$2:$D$492,'Info Lega'!$B$28,$B$2:$B$492,"A"))</f>
        <v>25</v>
      </c>
      <c r="Y359" s="18">
        <f>X359*'Parametri Modello'!$B$30</f>
        <v>25</v>
      </c>
      <c r="Z359" s="18">
        <f t="shared" si="47"/>
        <v>975</v>
      </c>
      <c r="AA359" s="18">
        <f t="shared" si="48"/>
        <v>1</v>
      </c>
      <c r="AB359" s="18"/>
      <c r="AC359" s="18" t="str">
        <f>IF($AB359="","",IF($AB359&gt;$AA359,"PASS",IF($AB359&lt;=$AA359*(1-'Parametri Modello'!$B$68),"BID","ATTENZIONE")))</f>
        <v/>
      </c>
      <c r="AD359" s="28">
        <f t="shared" si="49"/>
        <v>37</v>
      </c>
      <c r="AE359" s="5" t="str">
        <f>IFERROR(IF($AF359="Titolare",INDEX('Stato Asta'!$G$9:$G$12,MATCH($B359,'Stato Asta'!$A$9:$A$12,0)),INDEX('Stato Asta'!$P$9:$P$12,MATCH($B359,'Stato Asta'!$A$9:$A$12,0))),"")</f>
        <v>🟢 Riserve abbondanti</v>
      </c>
      <c r="AF359" t="str">
        <f>IFERROR(IF($V359&lt;=INDEX('Parametri Modello'!$C$57:$C$60,MATCH($B359,'Parametri Modello'!$A$57:$A$60,0)),"Titolare","Riserva"),"")</f>
        <v>Riserva</v>
      </c>
      <c r="AG359" t="str">
        <f>IFERROR(INDEX('Pressione Competitiva'!$F$3:$F$6,MATCH($B359,'Pressione Competitiva'!$B$3:$B$6,0)),"")</f>
        <v>🔴 Molto Alta</v>
      </c>
      <c r="AH359" t="str">
        <f t="shared" si="50"/>
        <v/>
      </c>
      <c r="AI359" t="str">
        <f>IFERROR(IF($AH359="","",IF($AH359&gt;=$AA359*'Parametri Modello'!$B$68,"🟢 Opportunita'",IF($AH359&lt;=$AA359*'Parametri Modello'!$B$69,"🔴 Sovrapprezzo","🟡 Prezzo Corretto"))),"")</f>
        <v/>
      </c>
      <c r="AJ359" t="str">
        <f t="shared" si="51"/>
        <v/>
      </c>
      <c r="AK359">
        <f t="shared" si="52"/>
        <v>13</v>
      </c>
      <c r="AL359" t="str">
        <f t="shared" si="53"/>
        <v>D|Scommessa/Riserva|13</v>
      </c>
    </row>
    <row r="360" spans="1:38" ht="14.25" customHeight="1" x14ac:dyDescent="0.25">
      <c r="A360" s="18">
        <v>7540</v>
      </c>
      <c r="B360" s="18" t="s">
        <v>88</v>
      </c>
      <c r="C360" s="18" t="s">
        <v>206</v>
      </c>
      <c r="E360" s="23" t="str">
        <f>IF(COUNTIF('Info Strategia'!$D$2:$D$51,$C360)&gt;0,"SI","NO")</f>
        <v>NO</v>
      </c>
      <c r="F360" s="24">
        <f>IFERROR(ROUND(($G360+($H360-$G360)*'Info Strategia'!$B$6)*(1+IF($E360="SI",'Parametri Modello'!$B$7*'Info Strategia'!$B$6,0)),0),"")</f>
        <v>1</v>
      </c>
      <c r="G360" s="24">
        <f>IFERROR(ROUND(MAX(1,(IF($V360&lt;=INDEX('Parametri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H360" s="24">
        <f>IFERROR(ROUND((IF($V360&lt;=INDEX('Parametri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I360" s="23" t="str">
        <f>IFERROR(INDEX('Input Statistiche 2025_26'!$F$3:$F$665,MATCH($A360,'Input Statistiche 2025_26'!$A$3:$A$665,0)),"")</f>
        <v/>
      </c>
      <c r="J360" s="23" t="str">
        <f t="shared" si="45"/>
        <v/>
      </c>
      <c r="K360" s="23" t="str">
        <f>IFERROR(INDEX('Input Statistiche 2025_26'!$I$3:$I$665,MATCH($A360,'Input Statistiche 2025_26'!$A$3:$A$665,0)),"")</f>
        <v/>
      </c>
      <c r="L360" s="23" t="str">
        <f>IFERROR(INDEX('Input Statistiche 2025_26'!$O$3:$O$665,MATCH($A360,'Input Statistiche 2025_26'!$A$3:$A$665,0)),"")</f>
        <v/>
      </c>
      <c r="M360" s="25"/>
      <c r="N360" s="24">
        <f>IFERROR(INDEX('Input Giocatori 2026_27'!$E$3:$E$493,MATCH($A360,'Input Giocatori 2026_27'!$A$3:$A$493,0)),"")</f>
        <v>3</v>
      </c>
      <c r="O360" s="24">
        <f>IFERROR(INDEX('Input Giocatori 2026_27'!$G$3:$G$493,MATCH($A360,'Input Giocatori 2026_27'!$A$3:$A$493,0)),"")</f>
        <v>7</v>
      </c>
      <c r="P360" s="23" t="str">
        <f>IFERROR(IF($O360="","",IF((1-(COUNTIFS($B$2:$B$492,$B360,$O$2:$O$492,"&gt;"&amp;$O360)+1-1)/COUNTIF($B$2:$B$492,$B360))&gt;='Parametri Modello'!$B$63,"Top",IF((1-(COUNTIFS($B$2:$B$492,$B360,$O$2:$O$492,"&gt;"&amp;$O360)+1-1)/COUNTIF($B$2:$B$492,$B360))&gt;='Parametri Modello'!$B$64,"Buono",IF((1-(COUNTIFS($B$2:$B$492,$B360,$O$2:$O$492,"&gt;"&amp;$O360)+1-1)/COUNTIF($B$2:$B$492,$B360))&gt;='Parametri Modello'!$B$65,"Nella Media","Scommessa/Riserva")))),"")</f>
        <v>Scommessa/Riserva</v>
      </c>
      <c r="Q360" s="26">
        <f>IF(AND($D360="",$N360&gt;1),SUMPRODUCT(($D$2:$D360="")*($N$2:$N360&gt;1)),"")</f>
        <v>358</v>
      </c>
      <c r="R360" s="26" t="str">
        <f>IF($D360='Info Lega'!$B$28,COUNTIFS($D$2:$D360,'Info Lega'!$B$28),"")</f>
        <v/>
      </c>
      <c r="S360" s="27" t="str">
        <f>IFERROR(INDEX('Input Statistiche 2025_26'!$G$3:$G$665,MATCH($A360,'Input Statistiche 2025_26'!$A$3:$A$665,0)),"")</f>
        <v/>
      </c>
      <c r="T360" s="27" t="str">
        <f>IFERROR(INDEX('Input Statistiche 2025_26'!$H$3:$H$665,MATCH($A360,'Input Statistiche 2025_26'!$A$3:$A$665,0)),"")</f>
        <v/>
      </c>
      <c r="U360" s="23" t="str">
        <f>IF(OR('La Mia Rosa'!$O$12="",$D360&lt;&gt;""),"",IF($F360&lt;='La Mia Rosa'!$O$12*'Parametri Modello'!$B$24,"OK",IF($F360&lt;='La Mia Rosa'!$O$12*'Parametri Modello'!$B$25,"Attenzione","Rischio Alto")))</f>
        <v>OK</v>
      </c>
      <c r="V360" s="23">
        <f t="shared" si="46"/>
        <v>125</v>
      </c>
      <c r="W360" s="18">
        <f>'Info Lega'!$B$4-SUMIFS($M$2:$M$492,$D$2:$D$492,'Info Lega'!$B$28)</f>
        <v>1000</v>
      </c>
      <c r="X360" s="18">
        <f>('Info Lega'!$B$5-COUNTIFS($D$2:$D$492,'Info Lega'!$B$28,$B$2:$B$492,"P"))+('Info Lega'!$B$6-COUNTIFS($D$2:$D$492,'Info Lega'!$B$28,$B$2:$B$492,"D"))+('Info Lega'!$B$7-COUNTIFS($D$2:$D$492,'Info Lega'!$B$28,$B$2:$B$492,"C"))+('Info Lega'!$B$8-COUNTIFS($D$2:$D$492,'Info Lega'!$B$28,$B$2:$B$492,"A"))</f>
        <v>25</v>
      </c>
      <c r="Y360" s="18">
        <f>X360*'Parametri Modello'!$B$30</f>
        <v>25</v>
      </c>
      <c r="Z360" s="18">
        <f t="shared" si="47"/>
        <v>975</v>
      </c>
      <c r="AA360" s="18">
        <f t="shared" si="48"/>
        <v>1</v>
      </c>
      <c r="AB360" s="18"/>
      <c r="AC360" s="18" t="str">
        <f>IF($AB360="","",IF($AB360&gt;$AA360,"PASS",IF($AB360&lt;=$AA360*(1-'Parametri Modello'!$B$68),"BID","ATTENZIONE")))</f>
        <v/>
      </c>
      <c r="AD360" s="28" t="str">
        <f t="shared" si="49"/>
        <v/>
      </c>
      <c r="AE360" s="5" t="str">
        <f>IFERROR(IF($AF360="Titolare",INDEX('Stato Asta'!$G$9:$G$12,MATCH($B360,'Stato Asta'!$A$9:$A$12,0)),INDEX('Stato Asta'!$P$9:$P$12,MATCH($B360,'Stato Asta'!$A$9:$A$12,0))),"")</f>
        <v>🟢 Riserve abbondanti</v>
      </c>
      <c r="AF360" t="str">
        <f>IFERROR(IF($V360&lt;=INDEX('Parametri Modello'!$C$57:$C$60,MATCH($B360,'Parametri Modello'!$A$57:$A$60,0)),"Titolare","Riserva"),"")</f>
        <v>Riserva</v>
      </c>
      <c r="AG360" t="str">
        <f>IFERROR(INDEX('Pressione Competitiva'!$F$3:$F$6,MATCH($B360,'Pressione Competitiva'!$B$3:$B$6,0)),"")</f>
        <v>🔴 Molto Alta</v>
      </c>
      <c r="AH360" t="str">
        <f t="shared" si="50"/>
        <v/>
      </c>
      <c r="AI360" t="str">
        <f>IFERROR(IF($AH360="","",IF($AH360&gt;=$AA360*'Parametri Modello'!$B$68,"🟢 Opportunita'",IF($AH360&lt;=$AA360*'Parametri Modello'!$B$69,"🔴 Sovrapprezzo","🟡 Prezzo Corretto"))),"")</f>
        <v/>
      </c>
      <c r="AJ360" t="str">
        <f t="shared" si="51"/>
        <v/>
      </c>
      <c r="AK360">
        <f t="shared" si="52"/>
        <v>13</v>
      </c>
      <c r="AL360" t="str">
        <f t="shared" si="53"/>
        <v>D|Scommessa/Riserva|13</v>
      </c>
    </row>
    <row r="361" spans="1:38" ht="14.25" customHeight="1" x14ac:dyDescent="0.25">
      <c r="A361" s="18">
        <v>6892</v>
      </c>
      <c r="B361" s="18" t="s">
        <v>88</v>
      </c>
      <c r="C361" s="18" t="s">
        <v>218</v>
      </c>
      <c r="E361" s="23" t="str">
        <f>IF(COUNTIF('Info Strategia'!$D$2:$D$51,$C361)&gt;0,"SI","NO")</f>
        <v>NO</v>
      </c>
      <c r="F361" s="24">
        <f>IFERROR(ROUND(($G361+($H361-$G361)*'Info Strategia'!$B$6)*(1+IF($E361="SI",'Parametri Modello'!$B$7*'Info Strategia'!$B$6,0)),0),"")</f>
        <v>1</v>
      </c>
      <c r="G361" s="24">
        <f>IFERROR(ROUND(MAX(1,(IF($V361&lt;=INDEX('Parametri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H361" s="24">
        <f>IFERROR(ROUND((IF($V361&lt;=INDEX('Parametri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I361" s="23" t="str">
        <f>IFERROR(INDEX('Input Statistiche 2025_26'!$F$3:$F$665,MATCH($A361,'Input Statistiche 2025_26'!$A$3:$A$665,0)),"")</f>
        <v/>
      </c>
      <c r="J361" s="23" t="str">
        <f t="shared" si="45"/>
        <v/>
      </c>
      <c r="K361" s="23" t="str">
        <f>IFERROR(INDEX('Input Statistiche 2025_26'!$I$3:$I$665,MATCH($A361,'Input Statistiche 2025_26'!$A$3:$A$665,0)),"")</f>
        <v/>
      </c>
      <c r="L361" s="23" t="str">
        <f>IFERROR(INDEX('Input Statistiche 2025_26'!$O$3:$O$665,MATCH($A361,'Input Statistiche 2025_26'!$A$3:$A$665,0)),"")</f>
        <v/>
      </c>
      <c r="M361" s="25"/>
      <c r="N361" s="24">
        <f>IFERROR(INDEX('Input Giocatori 2026_27'!$E$3:$E$493,MATCH($A361,'Input Giocatori 2026_27'!$A$3:$A$493,0)),"")</f>
        <v>3</v>
      </c>
      <c r="O361" s="24">
        <f>IFERROR(INDEX('Input Giocatori 2026_27'!$G$3:$G$493,MATCH($A361,'Input Giocatori 2026_27'!$A$3:$A$493,0)),"")</f>
        <v>7</v>
      </c>
      <c r="P361" s="23" t="str">
        <f>IFERROR(IF($O361="","",IF((1-(COUNTIFS($B$2:$B$492,$B361,$O$2:$O$492,"&gt;"&amp;$O361)+1-1)/COUNTIF($B$2:$B$492,$B361))&gt;='Parametri Modello'!$B$63,"Top",IF((1-(COUNTIFS($B$2:$B$492,$B361,$O$2:$O$492,"&gt;"&amp;$O361)+1-1)/COUNTIF($B$2:$B$492,$B361))&gt;='Parametri Modello'!$B$64,"Buono",IF((1-(COUNTIFS($B$2:$B$492,$B361,$O$2:$O$492,"&gt;"&amp;$O361)+1-1)/COUNTIF($B$2:$B$492,$B361))&gt;='Parametri Modello'!$B$65,"Nella Media","Scommessa/Riserva")))),"")</f>
        <v>Scommessa/Riserva</v>
      </c>
      <c r="Q361" s="26">
        <f>IF(AND($D361="",$N361&gt;1),SUMPRODUCT(($D$2:$D361="")*($N$2:$N361&gt;1)),"")</f>
        <v>359</v>
      </c>
      <c r="R361" s="26" t="str">
        <f>IF($D361='Info Lega'!$B$28,COUNTIFS($D$2:$D361,'Info Lega'!$B$28),"")</f>
        <v/>
      </c>
      <c r="S361" s="27" t="str">
        <f>IFERROR(INDEX('Input Statistiche 2025_26'!$G$3:$G$665,MATCH($A361,'Input Statistiche 2025_26'!$A$3:$A$665,0)),"")</f>
        <v/>
      </c>
      <c r="T361" s="27" t="str">
        <f>IFERROR(INDEX('Input Statistiche 2025_26'!$H$3:$H$665,MATCH($A361,'Input Statistiche 2025_26'!$A$3:$A$665,0)),"")</f>
        <v/>
      </c>
      <c r="U361" s="23" t="str">
        <f>IF(OR('La Mia Rosa'!$O$12="",$D361&lt;&gt;""),"",IF($F361&lt;='La Mia Rosa'!$O$12*'Parametri Modello'!$B$24,"OK",IF($F361&lt;='La Mia Rosa'!$O$12*'Parametri Modello'!$B$25,"Attenzione","Rischio Alto")))</f>
        <v>OK</v>
      </c>
      <c r="V361" s="23">
        <f t="shared" si="46"/>
        <v>125</v>
      </c>
      <c r="W361" s="18">
        <f>'Info Lega'!$B$4-SUMIFS($M$2:$M$492,$D$2:$D$492,'Info Lega'!$B$28)</f>
        <v>1000</v>
      </c>
      <c r="X361" s="18">
        <f>('Info Lega'!$B$5-COUNTIFS($D$2:$D$492,'Info Lega'!$B$28,$B$2:$B$492,"P"))+('Info Lega'!$B$6-COUNTIFS($D$2:$D$492,'Info Lega'!$B$28,$B$2:$B$492,"D"))+('Info Lega'!$B$7-COUNTIFS($D$2:$D$492,'Info Lega'!$B$28,$B$2:$B$492,"C"))+('Info Lega'!$B$8-COUNTIFS($D$2:$D$492,'Info Lega'!$B$28,$B$2:$B$492,"A"))</f>
        <v>25</v>
      </c>
      <c r="Y361" s="18">
        <f>X361*'Parametri Modello'!$B$30</f>
        <v>25</v>
      </c>
      <c r="Z361" s="18">
        <f t="shared" si="47"/>
        <v>975</v>
      </c>
      <c r="AA361" s="18">
        <f t="shared" si="48"/>
        <v>1</v>
      </c>
      <c r="AB361" s="18"/>
      <c r="AC361" s="18" t="str">
        <f>IF($AB361="","",IF($AB361&gt;$AA361,"PASS",IF($AB361&lt;=$AA361*(1-'Parametri Modello'!$B$68),"BID","ATTENZIONE")))</f>
        <v/>
      </c>
      <c r="AD361" s="28" t="str">
        <f t="shared" si="49"/>
        <v/>
      </c>
      <c r="AE361" s="5" t="str">
        <f>IFERROR(IF($AF361="Titolare",INDEX('Stato Asta'!$G$9:$G$12,MATCH($B361,'Stato Asta'!$A$9:$A$12,0)),INDEX('Stato Asta'!$P$9:$P$12,MATCH($B361,'Stato Asta'!$A$9:$A$12,0))),"")</f>
        <v>🟢 Riserve abbondanti</v>
      </c>
      <c r="AF361" t="str">
        <f>IFERROR(IF($V361&lt;=INDEX('Parametri Modello'!$C$57:$C$60,MATCH($B361,'Parametri Modello'!$A$57:$A$60,0)),"Titolare","Riserva"),"")</f>
        <v>Riserva</v>
      </c>
      <c r="AG361" t="str">
        <f>IFERROR(INDEX('Pressione Competitiva'!$F$3:$F$6,MATCH($B361,'Pressione Competitiva'!$B$3:$B$6,0)),"")</f>
        <v>🔴 Molto Alta</v>
      </c>
      <c r="AH361" t="str">
        <f t="shared" si="50"/>
        <v/>
      </c>
      <c r="AI361" t="str">
        <f>IFERROR(IF($AH361="","",IF($AH361&gt;=$AA361*'Parametri Modello'!$B$68,"🟢 Opportunita'",IF($AH361&lt;=$AA361*'Parametri Modello'!$B$69,"🔴 Sovrapprezzo","🟡 Prezzo Corretto"))),"")</f>
        <v/>
      </c>
      <c r="AJ361" t="str">
        <f t="shared" si="51"/>
        <v/>
      </c>
      <c r="AK361">
        <f t="shared" si="52"/>
        <v>13</v>
      </c>
      <c r="AL361" t="str">
        <f t="shared" si="53"/>
        <v>D|Scommessa/Riserva|13</v>
      </c>
    </row>
    <row r="362" spans="1:38" ht="14.25" customHeight="1" x14ac:dyDescent="0.25">
      <c r="A362" s="18">
        <v>6673</v>
      </c>
      <c r="B362" s="18" t="s">
        <v>88</v>
      </c>
      <c r="C362" s="18" t="s">
        <v>219</v>
      </c>
      <c r="E362" s="23" t="str">
        <f>IF(COUNTIF('Info Strategia'!$D$2:$D$51,$C362)&gt;0,"SI","NO")</f>
        <v>NO</v>
      </c>
      <c r="F362" s="24">
        <f>IFERROR(ROUND(($G362+($H362-$G362)*'Info Strategia'!$B$6)*(1+IF($E362="SI",'Parametri Modello'!$B$7*'Info Strategia'!$B$6,0)),0),"")</f>
        <v>1</v>
      </c>
      <c r="G362" s="24">
        <f>IFERROR(ROUND(MAX(1,(IF($V362&lt;=INDEX('Parametri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H362" s="24">
        <f>IFERROR(ROUND((IF($V362&lt;=INDEX('Parametri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I362" s="23" t="str">
        <f>IFERROR(INDEX('Input Statistiche 2025_26'!$F$3:$F$665,MATCH($A362,'Input Statistiche 2025_26'!$A$3:$A$665,0)),"")</f>
        <v/>
      </c>
      <c r="J362" s="23" t="str">
        <f t="shared" si="45"/>
        <v/>
      </c>
      <c r="K362" s="23" t="str">
        <f>IFERROR(INDEX('Input Statistiche 2025_26'!$I$3:$I$665,MATCH($A362,'Input Statistiche 2025_26'!$A$3:$A$665,0)),"")</f>
        <v/>
      </c>
      <c r="L362" s="23" t="str">
        <f>IFERROR(INDEX('Input Statistiche 2025_26'!$O$3:$O$665,MATCH($A362,'Input Statistiche 2025_26'!$A$3:$A$665,0)),"")</f>
        <v/>
      </c>
      <c r="M362" s="25"/>
      <c r="N362" s="24">
        <f>IFERROR(INDEX('Input Giocatori 2026_27'!$E$3:$E$493,MATCH($A362,'Input Giocatori 2026_27'!$A$3:$A$493,0)),"")</f>
        <v>3</v>
      </c>
      <c r="O362" s="24">
        <f>IFERROR(INDEX('Input Giocatori 2026_27'!$G$3:$G$493,MATCH($A362,'Input Giocatori 2026_27'!$A$3:$A$493,0)),"")</f>
        <v>7</v>
      </c>
      <c r="P362" s="23" t="str">
        <f>IFERROR(IF($O362="","",IF((1-(COUNTIFS($B$2:$B$492,$B362,$O$2:$O$492,"&gt;"&amp;$O362)+1-1)/COUNTIF($B$2:$B$492,$B362))&gt;='Parametri Modello'!$B$63,"Top",IF((1-(COUNTIFS($B$2:$B$492,$B362,$O$2:$O$492,"&gt;"&amp;$O362)+1-1)/COUNTIF($B$2:$B$492,$B362))&gt;='Parametri Modello'!$B$64,"Buono",IF((1-(COUNTIFS($B$2:$B$492,$B362,$O$2:$O$492,"&gt;"&amp;$O362)+1-1)/COUNTIF($B$2:$B$492,$B362))&gt;='Parametri Modello'!$B$65,"Nella Media","Scommessa/Riserva")))),"")</f>
        <v>Scommessa/Riserva</v>
      </c>
      <c r="Q362" s="26">
        <f>IF(AND($D362="",$N362&gt;1),SUMPRODUCT(($D$2:$D362="")*($N$2:$N362&gt;1)),"")</f>
        <v>360</v>
      </c>
      <c r="R362" s="26" t="str">
        <f>IF($D362='Info Lega'!$B$28,COUNTIFS($D$2:$D362,'Info Lega'!$B$28),"")</f>
        <v/>
      </c>
      <c r="S362" s="27" t="str">
        <f>IFERROR(INDEX('Input Statistiche 2025_26'!$G$3:$G$665,MATCH($A362,'Input Statistiche 2025_26'!$A$3:$A$665,0)),"")</f>
        <v/>
      </c>
      <c r="T362" s="27" t="str">
        <f>IFERROR(INDEX('Input Statistiche 2025_26'!$H$3:$H$665,MATCH($A362,'Input Statistiche 2025_26'!$A$3:$A$665,0)),"")</f>
        <v/>
      </c>
      <c r="U362" s="23" t="str">
        <f>IF(OR('La Mia Rosa'!$O$12="",$D362&lt;&gt;""),"",IF($F362&lt;='La Mia Rosa'!$O$12*'Parametri Modello'!$B$24,"OK",IF($F362&lt;='La Mia Rosa'!$O$12*'Parametri Modello'!$B$25,"Attenzione","Rischio Alto")))</f>
        <v>OK</v>
      </c>
      <c r="V362" s="23">
        <f t="shared" si="46"/>
        <v>125</v>
      </c>
      <c r="W362" s="18">
        <f>'Info Lega'!$B$4-SUMIFS($M$2:$M$492,$D$2:$D$492,'Info Lega'!$B$28)</f>
        <v>1000</v>
      </c>
      <c r="X362" s="18">
        <f>('Info Lega'!$B$5-COUNTIFS($D$2:$D$492,'Info Lega'!$B$28,$B$2:$B$492,"P"))+('Info Lega'!$B$6-COUNTIFS($D$2:$D$492,'Info Lega'!$B$28,$B$2:$B$492,"D"))+('Info Lega'!$B$7-COUNTIFS($D$2:$D$492,'Info Lega'!$B$28,$B$2:$B$492,"C"))+('Info Lega'!$B$8-COUNTIFS($D$2:$D$492,'Info Lega'!$B$28,$B$2:$B$492,"A"))</f>
        <v>25</v>
      </c>
      <c r="Y362" s="18">
        <f>X362*'Parametri Modello'!$B$30</f>
        <v>25</v>
      </c>
      <c r="Z362" s="18">
        <f t="shared" si="47"/>
        <v>975</v>
      </c>
      <c r="AA362" s="18">
        <f t="shared" si="48"/>
        <v>1</v>
      </c>
      <c r="AB362" s="18"/>
      <c r="AC362" s="18" t="str">
        <f>IF($AB362="","",IF($AB362&gt;$AA362,"PASS",IF($AB362&lt;=$AA362*(1-'Parametri Modello'!$B$68),"BID","ATTENZIONE")))</f>
        <v/>
      </c>
      <c r="AD362" s="28" t="str">
        <f t="shared" si="49"/>
        <v/>
      </c>
      <c r="AE362" s="5" t="str">
        <f>IFERROR(IF($AF362="Titolare",INDEX('Stato Asta'!$G$9:$G$12,MATCH($B362,'Stato Asta'!$A$9:$A$12,0)),INDEX('Stato Asta'!$P$9:$P$12,MATCH($B362,'Stato Asta'!$A$9:$A$12,0))),"")</f>
        <v>🟢 Riserve abbondanti</v>
      </c>
      <c r="AF362" t="str">
        <f>IFERROR(IF($V362&lt;=INDEX('Parametri Modello'!$C$57:$C$60,MATCH($B362,'Parametri Modello'!$A$57:$A$60,0)),"Titolare","Riserva"),"")</f>
        <v>Riserva</v>
      </c>
      <c r="AG362" t="str">
        <f>IFERROR(INDEX('Pressione Competitiva'!$F$3:$F$6,MATCH($B362,'Pressione Competitiva'!$B$3:$B$6,0)),"")</f>
        <v>🔴 Molto Alta</v>
      </c>
      <c r="AH362" t="str">
        <f t="shared" si="50"/>
        <v/>
      </c>
      <c r="AI362" t="str">
        <f>IFERROR(IF($AH362="","",IF($AH362&gt;=$AA362*'Parametri Modello'!$B$68,"🟢 Opportunita'",IF($AH362&lt;=$AA362*'Parametri Modello'!$B$69,"🔴 Sovrapprezzo","🟡 Prezzo Corretto"))),"")</f>
        <v/>
      </c>
      <c r="AJ362" t="str">
        <f t="shared" si="51"/>
        <v/>
      </c>
      <c r="AK362">
        <f t="shared" si="52"/>
        <v>13</v>
      </c>
      <c r="AL362" t="str">
        <f t="shared" si="53"/>
        <v>D|Scommessa/Riserva|13</v>
      </c>
    </row>
    <row r="363" spans="1:38" ht="14.25" customHeight="1" x14ac:dyDescent="0.25">
      <c r="A363" s="18">
        <v>6821</v>
      </c>
      <c r="B363" s="18" t="s">
        <v>88</v>
      </c>
      <c r="C363" s="18" t="s">
        <v>220</v>
      </c>
      <c r="E363" s="23" t="str">
        <f>IF(COUNTIF('Info Strategia'!$D$2:$D$51,$C363)&gt;0,"SI","NO")</f>
        <v>NO</v>
      </c>
      <c r="F363" s="24">
        <f>IFERROR(ROUND(($G363+($H363-$G363)*'Info Strategia'!$B$6)*(1+IF($E363="SI",'Parametri Modello'!$B$7*'Info Strategia'!$B$6,0)),0),"")</f>
        <v>1</v>
      </c>
      <c r="G363" s="24">
        <f>IFERROR(ROUND(MAX(1,(IF($V363&lt;=INDEX('Parametri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H363" s="24">
        <f>IFERROR(ROUND((IF($V363&lt;=INDEX('Parametri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I363" s="23">
        <f>IFERROR(INDEX('Input Statistiche 2025_26'!$F$3:$F$665,MATCH($A363,'Input Statistiche 2025_26'!$A$3:$A$665,0)),"")</f>
        <v>0</v>
      </c>
      <c r="J363" s="23">
        <f t="shared" si="45"/>
        <v>38</v>
      </c>
      <c r="K363" s="23">
        <f>IFERROR(INDEX('Input Statistiche 2025_26'!$I$3:$I$665,MATCH($A363,'Input Statistiche 2025_26'!$A$3:$A$665,0)),"")</f>
        <v>0</v>
      </c>
      <c r="L363" s="23">
        <f>IFERROR(INDEX('Input Statistiche 2025_26'!$O$3:$O$665,MATCH($A363,'Input Statistiche 2025_26'!$A$3:$A$665,0)),"")</f>
        <v>0</v>
      </c>
      <c r="M363" s="25"/>
      <c r="N363" s="24">
        <f>IFERROR(INDEX('Input Giocatori 2026_27'!$E$3:$E$493,MATCH($A363,'Input Giocatori 2026_27'!$A$3:$A$493,0)),"")</f>
        <v>3</v>
      </c>
      <c r="O363" s="24">
        <f>IFERROR(INDEX('Input Giocatori 2026_27'!$G$3:$G$493,MATCH($A363,'Input Giocatori 2026_27'!$A$3:$A$493,0)),"")</f>
        <v>7</v>
      </c>
      <c r="P363" s="23" t="str">
        <f>IFERROR(IF($O363="","",IF((1-(COUNTIFS($B$2:$B$492,$B363,$O$2:$O$492,"&gt;"&amp;$O363)+1-1)/COUNTIF($B$2:$B$492,$B363))&gt;='Parametri Modello'!$B$63,"Top",IF((1-(COUNTIFS($B$2:$B$492,$B363,$O$2:$O$492,"&gt;"&amp;$O363)+1-1)/COUNTIF($B$2:$B$492,$B363))&gt;='Parametri Modello'!$B$64,"Buono",IF((1-(COUNTIFS($B$2:$B$492,$B363,$O$2:$O$492,"&gt;"&amp;$O363)+1-1)/COUNTIF($B$2:$B$492,$B363))&gt;='Parametri Modello'!$B$65,"Nella Media","Scommessa/Riserva")))),"")</f>
        <v>Scommessa/Riserva</v>
      </c>
      <c r="Q363" s="26">
        <f>IF(AND($D363="",$N363&gt;1),SUMPRODUCT(($D$2:$D363="")*($N$2:$N363&gt;1)),"")</f>
        <v>361</v>
      </c>
      <c r="R363" s="26" t="str">
        <f>IF($D363='Info Lega'!$B$28,COUNTIFS($D$2:$D363,'Info Lega'!$B$28),"")</f>
        <v/>
      </c>
      <c r="S363" s="27">
        <f>IFERROR(INDEX('Input Statistiche 2025_26'!$G$3:$G$665,MATCH($A363,'Input Statistiche 2025_26'!$A$3:$A$665,0)),"")</f>
        <v>0</v>
      </c>
      <c r="T363" s="27">
        <f>IFERROR(INDEX('Input Statistiche 2025_26'!$H$3:$H$665,MATCH($A363,'Input Statistiche 2025_26'!$A$3:$A$665,0)),"")</f>
        <v>0</v>
      </c>
      <c r="U363" s="23" t="str">
        <f>IF(OR('La Mia Rosa'!$O$12="",$D363&lt;&gt;""),"",IF($F363&lt;='La Mia Rosa'!$O$12*'Parametri Modello'!$B$24,"OK",IF($F363&lt;='La Mia Rosa'!$O$12*'Parametri Modello'!$B$25,"Attenzione","Rischio Alto")))</f>
        <v>OK</v>
      </c>
      <c r="V363" s="23">
        <f t="shared" si="46"/>
        <v>125</v>
      </c>
      <c r="W363" s="18">
        <f>'Info Lega'!$B$4-SUMIFS($M$2:$M$492,$D$2:$D$492,'Info Lega'!$B$28)</f>
        <v>1000</v>
      </c>
      <c r="X363" s="18">
        <f>('Info Lega'!$B$5-COUNTIFS($D$2:$D$492,'Info Lega'!$B$28,$B$2:$B$492,"P"))+('Info Lega'!$B$6-COUNTIFS($D$2:$D$492,'Info Lega'!$B$28,$B$2:$B$492,"D"))+('Info Lega'!$B$7-COUNTIFS($D$2:$D$492,'Info Lega'!$B$28,$B$2:$B$492,"C"))+('Info Lega'!$B$8-COUNTIFS($D$2:$D$492,'Info Lega'!$B$28,$B$2:$B$492,"A"))</f>
        <v>25</v>
      </c>
      <c r="Y363" s="18">
        <f>X363*'Parametri Modello'!$B$30</f>
        <v>25</v>
      </c>
      <c r="Z363" s="18">
        <f t="shared" si="47"/>
        <v>975</v>
      </c>
      <c r="AA363" s="18">
        <f t="shared" si="48"/>
        <v>1</v>
      </c>
      <c r="AB363" s="18"/>
      <c r="AC363" s="18" t="str">
        <f>IF($AB363="","",IF($AB363&gt;$AA363,"PASS",IF($AB363&lt;=$AA363*(1-'Parametri Modello'!$B$68),"BID","ATTENZIONE")))</f>
        <v/>
      </c>
      <c r="AD363" s="28">
        <f t="shared" si="49"/>
        <v>0</v>
      </c>
      <c r="AE363" s="5" t="str">
        <f>IFERROR(IF($AF363="Titolare",INDEX('Stato Asta'!$G$9:$G$12,MATCH($B363,'Stato Asta'!$A$9:$A$12,0)),INDEX('Stato Asta'!$P$9:$P$12,MATCH($B363,'Stato Asta'!$A$9:$A$12,0))),"")</f>
        <v>🟢 Riserve abbondanti</v>
      </c>
      <c r="AF363" t="str">
        <f>IFERROR(IF($V363&lt;=INDEX('Parametri Modello'!$C$57:$C$60,MATCH($B363,'Parametri Modello'!$A$57:$A$60,0)),"Titolare","Riserva"),"")</f>
        <v>Riserva</v>
      </c>
      <c r="AG363" t="str">
        <f>IFERROR(INDEX('Pressione Competitiva'!$F$3:$F$6,MATCH($B363,'Pressione Competitiva'!$B$3:$B$6,0)),"")</f>
        <v>🔴 Molto Alta</v>
      </c>
      <c r="AH363" t="str">
        <f t="shared" si="50"/>
        <v/>
      </c>
      <c r="AI363" t="str">
        <f>IFERROR(IF($AH363="","",IF($AH363&gt;=$AA363*'Parametri Modello'!$B$68,"🟢 Opportunita'",IF($AH363&lt;=$AA363*'Parametri Modello'!$B$69,"🔴 Sovrapprezzo","🟡 Prezzo Corretto"))),"")</f>
        <v/>
      </c>
      <c r="AJ363" t="str">
        <f t="shared" si="51"/>
        <v/>
      </c>
      <c r="AK363">
        <f t="shared" si="52"/>
        <v>13</v>
      </c>
      <c r="AL363" t="str">
        <f t="shared" si="53"/>
        <v>D|Scommessa/Riserva|13</v>
      </c>
    </row>
    <row r="364" spans="1:38" ht="14.25" customHeight="1" x14ac:dyDescent="0.25">
      <c r="A364" s="18">
        <v>7413</v>
      </c>
      <c r="B364" s="18" t="s">
        <v>88</v>
      </c>
      <c r="C364" s="18" t="s">
        <v>225</v>
      </c>
      <c r="E364" s="23" t="str">
        <f>IF(COUNTIF('Info Strategia'!$D$2:$D$51,$C364)&gt;0,"SI","NO")</f>
        <v>NO</v>
      </c>
      <c r="F364" s="24">
        <f>IFERROR(ROUND(($G364+($H364-$G364)*'Info Strategia'!$B$6)*(1+IF($E364="SI",'Parametri Modello'!$B$7*'Info Strategia'!$B$6,0)),0),"")</f>
        <v>1</v>
      </c>
      <c r="G364" s="24">
        <f>IFERROR(ROUND(MAX(1,(IF($V364&lt;=INDEX('Parametri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H364" s="24">
        <f>IFERROR(ROUND((IF($V364&lt;=INDEX('Parametri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I364" s="23" t="str">
        <f>IFERROR(INDEX('Input Statistiche 2025_26'!$F$3:$F$665,MATCH($A364,'Input Statistiche 2025_26'!$A$3:$A$665,0)),"")</f>
        <v/>
      </c>
      <c r="J364" s="23" t="str">
        <f t="shared" si="45"/>
        <v/>
      </c>
      <c r="K364" s="23" t="str">
        <f>IFERROR(INDEX('Input Statistiche 2025_26'!$I$3:$I$665,MATCH($A364,'Input Statistiche 2025_26'!$A$3:$A$665,0)),"")</f>
        <v/>
      </c>
      <c r="L364" s="23" t="str">
        <f>IFERROR(INDEX('Input Statistiche 2025_26'!$O$3:$O$665,MATCH($A364,'Input Statistiche 2025_26'!$A$3:$A$665,0)),"")</f>
        <v/>
      </c>
      <c r="M364" s="25"/>
      <c r="N364" s="24">
        <f>IFERROR(INDEX('Input Giocatori 2026_27'!$E$3:$E$493,MATCH($A364,'Input Giocatori 2026_27'!$A$3:$A$493,0)),"")</f>
        <v>2</v>
      </c>
      <c r="O364" s="24">
        <f>IFERROR(INDEX('Input Giocatori 2026_27'!$G$3:$G$493,MATCH($A364,'Input Giocatori 2026_27'!$A$3:$A$493,0)),"")</f>
        <v>7</v>
      </c>
      <c r="P364" s="23" t="str">
        <f>IFERROR(IF($O364="","",IF((1-(COUNTIFS($B$2:$B$492,$B364,$O$2:$O$492,"&gt;"&amp;$O364)+1-1)/COUNTIF($B$2:$B$492,$B364))&gt;='Parametri Modello'!$B$63,"Top",IF((1-(COUNTIFS($B$2:$B$492,$B364,$O$2:$O$492,"&gt;"&amp;$O364)+1-1)/COUNTIF($B$2:$B$492,$B364))&gt;='Parametri Modello'!$B$64,"Buono",IF((1-(COUNTIFS($B$2:$B$492,$B364,$O$2:$O$492,"&gt;"&amp;$O364)+1-1)/COUNTIF($B$2:$B$492,$B364))&gt;='Parametri Modello'!$B$65,"Nella Media","Scommessa/Riserva")))),"")</f>
        <v>Scommessa/Riserva</v>
      </c>
      <c r="Q364" s="26">
        <f>IF(AND($D364="",$N364&gt;1),SUMPRODUCT(($D$2:$D364="")*($N$2:$N364&gt;1)),"")</f>
        <v>362</v>
      </c>
      <c r="R364" s="26" t="str">
        <f>IF($D364='Info Lega'!$B$28,COUNTIFS($D$2:$D364,'Info Lega'!$B$28),"")</f>
        <v/>
      </c>
      <c r="S364" s="27" t="str">
        <f>IFERROR(INDEX('Input Statistiche 2025_26'!$G$3:$G$665,MATCH($A364,'Input Statistiche 2025_26'!$A$3:$A$665,0)),"")</f>
        <v/>
      </c>
      <c r="T364" s="27" t="str">
        <f>IFERROR(INDEX('Input Statistiche 2025_26'!$H$3:$H$665,MATCH($A364,'Input Statistiche 2025_26'!$A$3:$A$665,0)),"")</f>
        <v/>
      </c>
      <c r="U364" s="23" t="str">
        <f>IF(OR('La Mia Rosa'!$O$12="",$D364&lt;&gt;""),"",IF($F364&lt;='La Mia Rosa'!$O$12*'Parametri Modello'!$B$24,"OK",IF($F364&lt;='La Mia Rosa'!$O$12*'Parametri Modello'!$B$25,"Attenzione","Rischio Alto")))</f>
        <v>OK</v>
      </c>
      <c r="V364" s="23">
        <f t="shared" si="46"/>
        <v>125</v>
      </c>
      <c r="W364" s="18">
        <f>'Info Lega'!$B$4-SUMIFS($M$2:$M$492,$D$2:$D$492,'Info Lega'!$B$28)</f>
        <v>1000</v>
      </c>
      <c r="X364" s="18">
        <f>('Info Lega'!$B$5-COUNTIFS($D$2:$D$492,'Info Lega'!$B$28,$B$2:$B$492,"P"))+('Info Lega'!$B$6-COUNTIFS($D$2:$D$492,'Info Lega'!$B$28,$B$2:$B$492,"D"))+('Info Lega'!$B$7-COUNTIFS($D$2:$D$492,'Info Lega'!$B$28,$B$2:$B$492,"C"))+('Info Lega'!$B$8-COUNTIFS($D$2:$D$492,'Info Lega'!$B$28,$B$2:$B$492,"A"))</f>
        <v>25</v>
      </c>
      <c r="Y364" s="18">
        <f>X364*'Parametri Modello'!$B$30</f>
        <v>25</v>
      </c>
      <c r="Z364" s="18">
        <f t="shared" si="47"/>
        <v>975</v>
      </c>
      <c r="AA364" s="18">
        <f t="shared" si="48"/>
        <v>1</v>
      </c>
      <c r="AB364" s="18"/>
      <c r="AC364" s="18" t="str">
        <f>IF($AB364="","",IF($AB364&gt;$AA364,"PASS",IF($AB364&lt;=$AA364*(1-'Parametri Modello'!$B$68),"BID","ATTENZIONE")))</f>
        <v/>
      </c>
      <c r="AD364" s="28" t="str">
        <f t="shared" si="49"/>
        <v/>
      </c>
      <c r="AE364" s="5" t="str">
        <f>IFERROR(IF($AF364="Titolare",INDEX('Stato Asta'!$G$9:$G$12,MATCH($B364,'Stato Asta'!$A$9:$A$12,0)),INDEX('Stato Asta'!$P$9:$P$12,MATCH($B364,'Stato Asta'!$A$9:$A$12,0))),"")</f>
        <v>🟢 Riserve abbondanti</v>
      </c>
      <c r="AF364" t="str">
        <f>IFERROR(IF($V364&lt;=INDEX('Parametri Modello'!$C$57:$C$60,MATCH($B364,'Parametri Modello'!$A$57:$A$60,0)),"Titolare","Riserva"),"")</f>
        <v>Riserva</v>
      </c>
      <c r="AG364" t="str">
        <f>IFERROR(INDEX('Pressione Competitiva'!$F$3:$F$6,MATCH($B364,'Pressione Competitiva'!$B$3:$B$6,0)),"")</f>
        <v>🔴 Molto Alta</v>
      </c>
      <c r="AH364" t="str">
        <f t="shared" si="50"/>
        <v/>
      </c>
      <c r="AI364" t="str">
        <f>IFERROR(IF($AH364="","",IF($AH364&gt;=$AA364*'Parametri Modello'!$B$68,"🟢 Opportunita'",IF($AH364&lt;=$AA364*'Parametri Modello'!$B$69,"🔴 Sovrapprezzo","🟡 Prezzo Corretto"))),"")</f>
        <v/>
      </c>
      <c r="AJ364" t="str">
        <f t="shared" si="51"/>
        <v/>
      </c>
      <c r="AK364">
        <f t="shared" si="52"/>
        <v>13</v>
      </c>
      <c r="AL364" t="str">
        <f t="shared" si="53"/>
        <v>D|Scommessa/Riserva|13</v>
      </c>
    </row>
    <row r="365" spans="1:38" ht="14.25" customHeight="1" x14ac:dyDescent="0.25">
      <c r="A365" s="18">
        <v>6424</v>
      </c>
      <c r="B365" s="18" t="s">
        <v>264</v>
      </c>
      <c r="C365" s="18" t="s">
        <v>373</v>
      </c>
      <c r="E365" s="23" t="str">
        <f>IF(COUNTIF('Info Strategia'!$D$2:$D$51,$C365)&gt;0,"SI","NO")</f>
        <v>NO</v>
      </c>
      <c r="F365" s="24">
        <f>IFERROR(ROUND(($G365+($H365-$G365)*'Info Strategia'!$B$6)*(1+IF($E365="SI",'Parametri Modello'!$B$7*'Info Strategia'!$B$6,0)),0),"")</f>
        <v>1</v>
      </c>
      <c r="G365" s="24">
        <f>IFERROR(ROUND(MAX(1,(IF($V365&lt;=INDEX('Parametri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H365" s="24">
        <f>IFERROR(ROUND((IF($V365&lt;=INDEX('Parametri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I365" s="23">
        <f>IFERROR(INDEX('Input Statistiche 2025_26'!$F$3:$F$665,MATCH($A365,'Input Statistiche 2025_26'!$A$3:$A$665,0)),"")</f>
        <v>32</v>
      </c>
      <c r="J365" s="23">
        <f t="shared" si="45"/>
        <v>6</v>
      </c>
      <c r="K365" s="23">
        <f>IFERROR(INDEX('Input Statistiche 2025_26'!$I$3:$I$665,MATCH($A365,'Input Statistiche 2025_26'!$A$3:$A$665,0)),"")</f>
        <v>1</v>
      </c>
      <c r="L365" s="23">
        <f>IFERROR(INDEX('Input Statistiche 2025_26'!$O$3:$O$665,MATCH($A365,'Input Statistiche 2025_26'!$A$3:$A$665,0)),"")</f>
        <v>0</v>
      </c>
      <c r="M365" s="25"/>
      <c r="N365" s="24">
        <f>IFERROR(INDEX('Input Giocatori 2026_27'!$E$3:$E$493,MATCH($A365,'Input Giocatori 2026_27'!$A$3:$A$493,0)),"")</f>
        <v>4</v>
      </c>
      <c r="O365" s="24">
        <f>IFERROR(INDEX('Input Giocatori 2026_27'!$G$3:$G$493,MATCH($A365,'Input Giocatori 2026_27'!$A$3:$A$493,0)),"")</f>
        <v>7</v>
      </c>
      <c r="P365" s="23" t="str">
        <f>IFERROR(IF($O365="","",IF((1-(COUNTIFS($B$2:$B$492,$B365,$O$2:$O$492,"&gt;"&amp;$O365)+1-1)/COUNTIF($B$2:$B$492,$B365))&gt;='Parametri Modello'!$B$63,"Top",IF((1-(COUNTIFS($B$2:$B$492,$B365,$O$2:$O$492,"&gt;"&amp;$O365)+1-1)/COUNTIF($B$2:$B$492,$B365))&gt;='Parametri Modello'!$B$64,"Buono",IF((1-(COUNTIFS($B$2:$B$492,$B365,$O$2:$O$492,"&gt;"&amp;$O365)+1-1)/COUNTIF($B$2:$B$492,$B365))&gt;='Parametri Modello'!$B$65,"Nella Media","Scommessa/Riserva")))),"")</f>
        <v>Scommessa/Riserva</v>
      </c>
      <c r="Q365" s="26">
        <f>IF(AND($D365="",$N365&gt;1),SUMPRODUCT(($D$2:$D365="")*($N$2:$N365&gt;1)),"")</f>
        <v>363</v>
      </c>
      <c r="R365" s="26" t="str">
        <f>IF($D365='Info Lega'!$B$28,COUNTIFS($D$2:$D365,'Info Lega'!$B$28),"")</f>
        <v/>
      </c>
      <c r="S365" s="27">
        <f>IFERROR(INDEX('Input Statistiche 2025_26'!$G$3:$G$665,MATCH($A365,'Input Statistiche 2025_26'!$A$3:$A$665,0)),"")</f>
        <v>5.88</v>
      </c>
      <c r="T365" s="27">
        <f>IFERROR(INDEX('Input Statistiche 2025_26'!$H$3:$H$665,MATCH($A365,'Input Statistiche 2025_26'!$A$3:$A$665,0)),"")</f>
        <v>5.88</v>
      </c>
      <c r="U365" s="23" t="str">
        <f>IF(OR('La Mia Rosa'!$O$12="",$D365&lt;&gt;""),"",IF($F365&lt;='La Mia Rosa'!$O$12*'Parametri Modello'!$B$24,"OK",IF($F365&lt;='La Mia Rosa'!$O$12*'Parametri Modello'!$B$25,"Attenzione","Rischio Alto")))</f>
        <v>OK</v>
      </c>
      <c r="V365" s="23">
        <f t="shared" si="46"/>
        <v>137</v>
      </c>
      <c r="W365" s="18">
        <f>'Info Lega'!$B$4-SUMIFS($M$2:$M$492,$D$2:$D$492,'Info Lega'!$B$28)</f>
        <v>1000</v>
      </c>
      <c r="X365" s="18">
        <f>('Info Lega'!$B$5-COUNTIFS($D$2:$D$492,'Info Lega'!$B$28,$B$2:$B$492,"P"))+('Info Lega'!$B$6-COUNTIFS($D$2:$D$492,'Info Lega'!$B$28,$B$2:$B$492,"D"))+('Info Lega'!$B$7-COUNTIFS($D$2:$D$492,'Info Lega'!$B$28,$B$2:$B$492,"C"))+('Info Lega'!$B$8-COUNTIFS($D$2:$D$492,'Info Lega'!$B$28,$B$2:$B$492,"A"))</f>
        <v>25</v>
      </c>
      <c r="Y365" s="18">
        <f>X365*'Parametri Modello'!$B$30</f>
        <v>25</v>
      </c>
      <c r="Z365" s="18">
        <f t="shared" si="47"/>
        <v>975</v>
      </c>
      <c r="AA365" s="18">
        <f t="shared" si="48"/>
        <v>1</v>
      </c>
      <c r="AB365" s="18"/>
      <c r="AC365" s="18" t="str">
        <f>IF($AB365="","",IF($AB365&gt;$AA365,"PASS",IF($AB365&lt;=$AA365*(1-'Parametri Modello'!$B$68),"BID","ATTENZIONE")))</f>
        <v/>
      </c>
      <c r="AD365" s="28">
        <f t="shared" si="49"/>
        <v>66</v>
      </c>
      <c r="AE365" s="5" t="str">
        <f>IFERROR(IF($AF365="Titolare",INDEX('Stato Asta'!$G$9:$G$12,MATCH($B365,'Stato Asta'!$A$9:$A$12,0)),INDEX('Stato Asta'!$P$9:$P$12,MATCH($B365,'Stato Asta'!$A$9:$A$12,0))),"")</f>
        <v>🟢 Riserve abbondanti</v>
      </c>
      <c r="AF365" t="str">
        <f>IFERROR(IF($V365&lt;=INDEX('Parametri Modello'!$C$57:$C$60,MATCH($B365,'Parametri Modello'!$A$57:$A$60,0)),"Titolare","Riserva"),"")</f>
        <v>Riserva</v>
      </c>
      <c r="AG365" t="str">
        <f>IFERROR(INDEX('Pressione Competitiva'!$F$3:$F$6,MATCH($B365,'Pressione Competitiva'!$B$3:$B$6,0)),"")</f>
        <v>🔴 Molto Alta</v>
      </c>
      <c r="AH365" t="str">
        <f t="shared" si="50"/>
        <v/>
      </c>
      <c r="AI365" t="str">
        <f>IFERROR(IF($AH365="","",IF($AH365&gt;=$AA365*'Parametri Modello'!$B$68,"🟢 Opportunita'",IF($AH365&lt;=$AA365*'Parametri Modello'!$B$69,"🔴 Sovrapprezzo","🟡 Prezzo Corretto"))),"")</f>
        <v/>
      </c>
      <c r="AJ365" t="str">
        <f t="shared" si="51"/>
        <v/>
      </c>
      <c r="AK365">
        <f t="shared" si="52"/>
        <v>33</v>
      </c>
      <c r="AL365" t="str">
        <f t="shared" si="53"/>
        <v>C|Scommessa/Riserva|33</v>
      </c>
    </row>
    <row r="366" spans="1:38" ht="14.25" customHeight="1" x14ac:dyDescent="0.25">
      <c r="A366" s="18">
        <v>6024</v>
      </c>
      <c r="B366" s="18" t="s">
        <v>264</v>
      </c>
      <c r="C366" s="18" t="s">
        <v>391</v>
      </c>
      <c r="E366" s="23" t="str">
        <f>IF(COUNTIF('Info Strategia'!$D$2:$D$51,$C366)&gt;0,"SI","NO")</f>
        <v>NO</v>
      </c>
      <c r="F366" s="24">
        <f>IFERROR(ROUND(($G366+($H366-$G366)*'Info Strategia'!$B$6)*(1+IF($E366="SI",'Parametri Modello'!$B$7*'Info Strategia'!$B$6,0)),0),"")</f>
        <v>1</v>
      </c>
      <c r="G366" s="24">
        <f>IFERROR(ROUND(MAX(1,(IF($V366&lt;=INDEX('Parametri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H366" s="24">
        <f>IFERROR(ROUND((IF($V366&lt;=INDEX('Parametri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I366" s="23">
        <f>IFERROR(INDEX('Input Statistiche 2025_26'!$F$3:$F$665,MATCH($A366,'Input Statistiche 2025_26'!$A$3:$A$665,0)),"")</f>
        <v>18</v>
      </c>
      <c r="J366" s="23">
        <f t="shared" si="45"/>
        <v>20</v>
      </c>
      <c r="K366" s="23">
        <f>IFERROR(INDEX('Input Statistiche 2025_26'!$I$3:$I$665,MATCH($A366,'Input Statistiche 2025_26'!$A$3:$A$665,0)),"")</f>
        <v>1</v>
      </c>
      <c r="L366" s="23">
        <f>IFERROR(INDEX('Input Statistiche 2025_26'!$O$3:$O$665,MATCH($A366,'Input Statistiche 2025_26'!$A$3:$A$665,0)),"")</f>
        <v>0</v>
      </c>
      <c r="M366" s="25"/>
      <c r="N366" s="24">
        <f>IFERROR(INDEX('Input Giocatori 2026_27'!$E$3:$E$493,MATCH($A366,'Input Giocatori 2026_27'!$A$3:$A$493,0)),"")</f>
        <v>3</v>
      </c>
      <c r="O366" s="24">
        <f>IFERROR(INDEX('Input Giocatori 2026_27'!$G$3:$G$493,MATCH($A366,'Input Giocatori 2026_27'!$A$3:$A$493,0)),"")</f>
        <v>7</v>
      </c>
      <c r="P366" s="23" t="str">
        <f>IFERROR(IF($O366="","",IF((1-(COUNTIFS($B$2:$B$492,$B366,$O$2:$O$492,"&gt;"&amp;$O366)+1-1)/COUNTIF($B$2:$B$492,$B366))&gt;='Parametri Modello'!$B$63,"Top",IF((1-(COUNTIFS($B$2:$B$492,$B366,$O$2:$O$492,"&gt;"&amp;$O366)+1-1)/COUNTIF($B$2:$B$492,$B366))&gt;='Parametri Modello'!$B$64,"Buono",IF((1-(COUNTIFS($B$2:$B$492,$B366,$O$2:$O$492,"&gt;"&amp;$O366)+1-1)/COUNTIF($B$2:$B$492,$B366))&gt;='Parametri Modello'!$B$65,"Nella Media","Scommessa/Riserva")))),"")</f>
        <v>Scommessa/Riserva</v>
      </c>
      <c r="Q366" s="26">
        <f>IF(AND($D366="",$N366&gt;1),SUMPRODUCT(($D$2:$D366="")*($N$2:$N366&gt;1)),"")</f>
        <v>364</v>
      </c>
      <c r="R366" s="26" t="str">
        <f>IF($D366='Info Lega'!$B$28,COUNTIFS($D$2:$D366,'Info Lega'!$B$28),"")</f>
        <v/>
      </c>
      <c r="S366" s="27">
        <f>IFERROR(INDEX('Input Statistiche 2025_26'!$G$3:$G$665,MATCH($A366,'Input Statistiche 2025_26'!$A$3:$A$665,0)),"")</f>
        <v>5.69</v>
      </c>
      <c r="T366" s="27">
        <f>IFERROR(INDEX('Input Statistiche 2025_26'!$H$3:$H$665,MATCH($A366,'Input Statistiche 2025_26'!$A$3:$A$665,0)),"")</f>
        <v>5.78</v>
      </c>
      <c r="U366" s="23" t="str">
        <f>IF(OR('La Mia Rosa'!$O$12="",$D366&lt;&gt;""),"",IF($F366&lt;='La Mia Rosa'!$O$12*'Parametri Modello'!$B$24,"OK",IF($F366&lt;='La Mia Rosa'!$O$12*'Parametri Modello'!$B$25,"Attenzione","Rischio Alto")))</f>
        <v>OK</v>
      </c>
      <c r="V366" s="23">
        <f t="shared" si="46"/>
        <v>137</v>
      </c>
      <c r="W366" s="18">
        <f>'Info Lega'!$B$4-SUMIFS($M$2:$M$492,$D$2:$D$492,'Info Lega'!$B$28)</f>
        <v>1000</v>
      </c>
      <c r="X366" s="18">
        <f>('Info Lega'!$B$5-COUNTIFS($D$2:$D$492,'Info Lega'!$B$28,$B$2:$B$492,"P"))+('Info Lega'!$B$6-COUNTIFS($D$2:$D$492,'Info Lega'!$B$28,$B$2:$B$492,"D"))+('Info Lega'!$B$7-COUNTIFS($D$2:$D$492,'Info Lega'!$B$28,$B$2:$B$492,"C"))+('Info Lega'!$B$8-COUNTIFS($D$2:$D$492,'Info Lega'!$B$28,$B$2:$B$492,"A"))</f>
        <v>25</v>
      </c>
      <c r="Y366" s="18">
        <f>X366*'Parametri Modello'!$B$30</f>
        <v>25</v>
      </c>
      <c r="Z366" s="18">
        <f t="shared" si="47"/>
        <v>975</v>
      </c>
      <c r="AA366" s="18">
        <f t="shared" si="48"/>
        <v>1</v>
      </c>
      <c r="AB366" s="18"/>
      <c r="AC366" s="18" t="str">
        <f>IF($AB366="","",IF($AB366&gt;$AA366,"PASS",IF($AB366&lt;=$AA366*(1-'Parametri Modello'!$B$68),"BID","ATTENZIONE")))</f>
        <v/>
      </c>
      <c r="AD366" s="28">
        <f t="shared" si="49"/>
        <v>45</v>
      </c>
      <c r="AE366" s="5" t="str">
        <f>IFERROR(IF($AF366="Titolare",INDEX('Stato Asta'!$G$9:$G$12,MATCH($B366,'Stato Asta'!$A$9:$A$12,0)),INDEX('Stato Asta'!$P$9:$P$12,MATCH($B366,'Stato Asta'!$A$9:$A$12,0))),"")</f>
        <v>🟢 Riserve abbondanti</v>
      </c>
      <c r="AF366" t="str">
        <f>IFERROR(IF($V366&lt;=INDEX('Parametri Modello'!$C$57:$C$60,MATCH($B366,'Parametri Modello'!$A$57:$A$60,0)),"Titolare","Riserva"),"")</f>
        <v>Riserva</v>
      </c>
      <c r="AG366" t="str">
        <f>IFERROR(INDEX('Pressione Competitiva'!$F$3:$F$6,MATCH($B366,'Pressione Competitiva'!$B$3:$B$6,0)),"")</f>
        <v>🔴 Molto Alta</v>
      </c>
      <c r="AH366" t="str">
        <f t="shared" si="50"/>
        <v/>
      </c>
      <c r="AI366" t="str">
        <f>IFERROR(IF($AH366="","",IF($AH366&gt;=$AA366*'Parametri Modello'!$B$68,"🟢 Opportunita'",IF($AH366&lt;=$AA366*'Parametri Modello'!$B$69,"🔴 Sovrapprezzo","🟡 Prezzo Corretto"))),"")</f>
        <v/>
      </c>
      <c r="AJ366" t="str">
        <f t="shared" si="51"/>
        <v/>
      </c>
      <c r="AK366">
        <f t="shared" si="52"/>
        <v>33</v>
      </c>
      <c r="AL366" t="str">
        <f t="shared" si="53"/>
        <v>C|Scommessa/Riserva|33</v>
      </c>
    </row>
    <row r="367" spans="1:38" ht="14.25" customHeight="1" x14ac:dyDescent="0.25">
      <c r="A367" s="18">
        <v>4947</v>
      </c>
      <c r="B367" s="18" t="s">
        <v>264</v>
      </c>
      <c r="C367" s="18" t="s">
        <v>394</v>
      </c>
      <c r="E367" s="23" t="str">
        <f>IF(COUNTIF('Info Strategia'!$D$2:$D$51,$C367)&gt;0,"SI","NO")</f>
        <v>NO</v>
      </c>
      <c r="F367" s="24">
        <f>IFERROR(ROUND(($G367+($H367-$G367)*'Info Strategia'!$B$6)*(1+IF($E367="SI",'Parametri Modello'!$B$7*'Info Strategia'!$B$6,0)),0),"")</f>
        <v>1</v>
      </c>
      <c r="G367" s="24">
        <f>IFERROR(ROUND(MAX(1,(IF($V367&lt;=INDEX('Parametri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H367" s="24">
        <f>IFERROR(ROUND((IF($V367&lt;=INDEX('Parametri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I367" s="23">
        <f>IFERROR(INDEX('Input Statistiche 2025_26'!$F$3:$F$665,MATCH($A367,'Input Statistiche 2025_26'!$A$3:$A$665,0)),"")</f>
        <v>18</v>
      </c>
      <c r="J367" s="23">
        <f t="shared" si="45"/>
        <v>20</v>
      </c>
      <c r="K367" s="23">
        <f>IFERROR(INDEX('Input Statistiche 2025_26'!$I$3:$I$665,MATCH($A367,'Input Statistiche 2025_26'!$A$3:$A$665,0)),"")</f>
        <v>2</v>
      </c>
      <c r="L367" s="23">
        <f>IFERROR(INDEX('Input Statistiche 2025_26'!$O$3:$O$665,MATCH($A367,'Input Statistiche 2025_26'!$A$3:$A$665,0)),"")</f>
        <v>1</v>
      </c>
      <c r="M367" s="25"/>
      <c r="N367" s="24">
        <f>IFERROR(INDEX('Input Giocatori 2026_27'!$E$3:$E$493,MATCH($A367,'Input Giocatori 2026_27'!$A$3:$A$493,0)),"")</f>
        <v>3</v>
      </c>
      <c r="O367" s="24">
        <f>IFERROR(INDEX('Input Giocatori 2026_27'!$G$3:$G$493,MATCH($A367,'Input Giocatori 2026_27'!$A$3:$A$493,0)),"")</f>
        <v>7</v>
      </c>
      <c r="P367" s="23" t="str">
        <f>IFERROR(IF($O367="","",IF((1-(COUNTIFS($B$2:$B$492,$B367,$O$2:$O$492,"&gt;"&amp;$O367)+1-1)/COUNTIF($B$2:$B$492,$B367))&gt;='Parametri Modello'!$B$63,"Top",IF((1-(COUNTIFS($B$2:$B$492,$B367,$O$2:$O$492,"&gt;"&amp;$O367)+1-1)/COUNTIF($B$2:$B$492,$B367))&gt;='Parametri Modello'!$B$64,"Buono",IF((1-(COUNTIFS($B$2:$B$492,$B367,$O$2:$O$492,"&gt;"&amp;$O367)+1-1)/COUNTIF($B$2:$B$492,$B367))&gt;='Parametri Modello'!$B$65,"Nella Media","Scommessa/Riserva")))),"")</f>
        <v>Scommessa/Riserva</v>
      </c>
      <c r="Q367" s="26">
        <f>IF(AND($D367="",$N367&gt;1),SUMPRODUCT(($D$2:$D367="")*($N$2:$N367&gt;1)),"")</f>
        <v>365</v>
      </c>
      <c r="R367" s="26" t="str">
        <f>IF($D367='Info Lega'!$B$28,COUNTIFS($D$2:$D367,'Info Lega'!$B$28),"")</f>
        <v/>
      </c>
      <c r="S367" s="27">
        <f>IFERROR(INDEX('Input Statistiche 2025_26'!$G$3:$G$665,MATCH($A367,'Input Statistiche 2025_26'!$A$3:$A$665,0)),"")</f>
        <v>5.97</v>
      </c>
      <c r="T367" s="27">
        <f>IFERROR(INDEX('Input Statistiche 2025_26'!$H$3:$H$665,MATCH($A367,'Input Statistiche 2025_26'!$A$3:$A$665,0)),"")</f>
        <v>6.31</v>
      </c>
      <c r="U367" s="23" t="str">
        <f>IF(OR('La Mia Rosa'!$O$12="",$D367&lt;&gt;""),"",IF($F367&lt;='La Mia Rosa'!$O$12*'Parametri Modello'!$B$24,"OK",IF($F367&lt;='La Mia Rosa'!$O$12*'Parametri Modello'!$B$25,"Attenzione","Rischio Alto")))</f>
        <v>OK</v>
      </c>
      <c r="V367" s="23">
        <f t="shared" si="46"/>
        <v>137</v>
      </c>
      <c r="W367" s="18">
        <f>'Info Lega'!$B$4-SUMIFS($M$2:$M$492,$D$2:$D$492,'Info Lega'!$B$28)</f>
        <v>1000</v>
      </c>
      <c r="X367" s="18">
        <f>('Info Lega'!$B$5-COUNTIFS($D$2:$D$492,'Info Lega'!$B$28,$B$2:$B$492,"P"))+('Info Lega'!$B$6-COUNTIFS($D$2:$D$492,'Info Lega'!$B$28,$B$2:$B$492,"D"))+('Info Lega'!$B$7-COUNTIFS($D$2:$D$492,'Info Lega'!$B$28,$B$2:$B$492,"C"))+('Info Lega'!$B$8-COUNTIFS($D$2:$D$492,'Info Lega'!$B$28,$B$2:$B$492,"A"))</f>
        <v>25</v>
      </c>
      <c r="Y367" s="18">
        <f>X367*'Parametri Modello'!$B$30</f>
        <v>25</v>
      </c>
      <c r="Z367" s="18">
        <f t="shared" si="47"/>
        <v>975</v>
      </c>
      <c r="AA367" s="18">
        <f t="shared" si="48"/>
        <v>1</v>
      </c>
      <c r="AB367" s="18"/>
      <c r="AC367" s="18" t="str">
        <f>IF($AB367="","",IF($AB367&gt;$AA367,"PASS",IF($AB367&lt;=$AA367*(1-'Parametri Modello'!$B$68),"BID","ATTENZIONE")))</f>
        <v/>
      </c>
      <c r="AD367" s="28">
        <f t="shared" si="49"/>
        <v>45</v>
      </c>
      <c r="AE367" s="5" t="str">
        <f>IFERROR(IF($AF367="Titolare",INDEX('Stato Asta'!$G$9:$G$12,MATCH($B367,'Stato Asta'!$A$9:$A$12,0)),INDEX('Stato Asta'!$P$9:$P$12,MATCH($B367,'Stato Asta'!$A$9:$A$12,0))),"")</f>
        <v>🟢 Riserve abbondanti</v>
      </c>
      <c r="AF367" t="str">
        <f>IFERROR(IF($V367&lt;=INDEX('Parametri Modello'!$C$57:$C$60,MATCH($B367,'Parametri Modello'!$A$57:$A$60,0)),"Titolare","Riserva"),"")</f>
        <v>Riserva</v>
      </c>
      <c r="AG367" t="str">
        <f>IFERROR(INDEX('Pressione Competitiva'!$F$3:$F$6,MATCH($B367,'Pressione Competitiva'!$B$3:$B$6,0)),"")</f>
        <v>🔴 Molto Alta</v>
      </c>
      <c r="AH367" t="str">
        <f t="shared" si="50"/>
        <v/>
      </c>
      <c r="AI367" t="str">
        <f>IFERROR(IF($AH367="","",IF($AH367&gt;=$AA367*'Parametri Modello'!$B$68,"🟢 Opportunita'",IF($AH367&lt;=$AA367*'Parametri Modello'!$B$69,"🔴 Sovrapprezzo","🟡 Prezzo Corretto"))),"")</f>
        <v/>
      </c>
      <c r="AJ367" t="str">
        <f t="shared" si="51"/>
        <v/>
      </c>
      <c r="AK367">
        <f t="shared" si="52"/>
        <v>33</v>
      </c>
      <c r="AL367" t="str">
        <f t="shared" si="53"/>
        <v>C|Scommessa/Riserva|33</v>
      </c>
    </row>
    <row r="368" spans="1:38" ht="14.25" customHeight="1" x14ac:dyDescent="0.25">
      <c r="A368" s="18">
        <v>7477</v>
      </c>
      <c r="B368" s="18" t="s">
        <v>264</v>
      </c>
      <c r="C368" s="18" t="s">
        <v>400</v>
      </c>
      <c r="E368" s="23" t="str">
        <f>IF(COUNTIF('Info Strategia'!$D$2:$D$51,$C368)&gt;0,"SI","NO")</f>
        <v>NO</v>
      </c>
      <c r="F368" s="24">
        <f>IFERROR(ROUND(($G368+($H368-$G368)*'Info Strategia'!$B$6)*(1+IF($E368="SI",'Parametri Modello'!$B$7*'Info Strategia'!$B$6,0)),0),"")</f>
        <v>1</v>
      </c>
      <c r="G368" s="24">
        <f>IFERROR(ROUND(MAX(1,(IF($V368&lt;=INDEX('Parametri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H368" s="24">
        <f>IFERROR(ROUND((IF($V368&lt;=INDEX('Parametri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I368" s="23" t="str">
        <f>IFERROR(INDEX('Input Statistiche 2025_26'!$F$3:$F$665,MATCH($A368,'Input Statistiche 2025_26'!$A$3:$A$665,0)),"")</f>
        <v/>
      </c>
      <c r="J368" s="23" t="str">
        <f t="shared" si="45"/>
        <v/>
      </c>
      <c r="K368" s="23" t="str">
        <f>IFERROR(INDEX('Input Statistiche 2025_26'!$I$3:$I$665,MATCH($A368,'Input Statistiche 2025_26'!$A$3:$A$665,0)),"")</f>
        <v/>
      </c>
      <c r="L368" s="23" t="str">
        <f>IFERROR(INDEX('Input Statistiche 2025_26'!$O$3:$O$665,MATCH($A368,'Input Statistiche 2025_26'!$A$3:$A$665,0)),"")</f>
        <v/>
      </c>
      <c r="M368" s="25"/>
      <c r="N368" s="24">
        <f>IFERROR(INDEX('Input Giocatori 2026_27'!$E$3:$E$493,MATCH($A368,'Input Giocatori 2026_27'!$A$3:$A$493,0)),"")</f>
        <v>3</v>
      </c>
      <c r="O368" s="24">
        <f>IFERROR(INDEX('Input Giocatori 2026_27'!$G$3:$G$493,MATCH($A368,'Input Giocatori 2026_27'!$A$3:$A$493,0)),"")</f>
        <v>7</v>
      </c>
      <c r="P368" s="23" t="str">
        <f>IFERROR(IF($O368="","",IF((1-(COUNTIFS($B$2:$B$492,$B368,$O$2:$O$492,"&gt;"&amp;$O368)+1-1)/COUNTIF($B$2:$B$492,$B368))&gt;='Parametri Modello'!$B$63,"Top",IF((1-(COUNTIFS($B$2:$B$492,$B368,$O$2:$O$492,"&gt;"&amp;$O368)+1-1)/COUNTIF($B$2:$B$492,$B368))&gt;='Parametri Modello'!$B$64,"Buono",IF((1-(COUNTIFS($B$2:$B$492,$B368,$O$2:$O$492,"&gt;"&amp;$O368)+1-1)/COUNTIF($B$2:$B$492,$B368))&gt;='Parametri Modello'!$B$65,"Nella Media","Scommessa/Riserva")))),"")</f>
        <v>Scommessa/Riserva</v>
      </c>
      <c r="Q368" s="26">
        <f>IF(AND($D368="",$N368&gt;1),SUMPRODUCT(($D$2:$D368="")*($N$2:$N368&gt;1)),"")</f>
        <v>366</v>
      </c>
      <c r="R368" s="26" t="str">
        <f>IF($D368='Info Lega'!$B$28,COUNTIFS($D$2:$D368,'Info Lega'!$B$28),"")</f>
        <v/>
      </c>
      <c r="S368" s="27" t="str">
        <f>IFERROR(INDEX('Input Statistiche 2025_26'!$G$3:$G$665,MATCH($A368,'Input Statistiche 2025_26'!$A$3:$A$665,0)),"")</f>
        <v/>
      </c>
      <c r="T368" s="27" t="str">
        <f>IFERROR(INDEX('Input Statistiche 2025_26'!$H$3:$H$665,MATCH($A368,'Input Statistiche 2025_26'!$A$3:$A$665,0)),"")</f>
        <v/>
      </c>
      <c r="U368" s="23" t="str">
        <f>IF(OR('La Mia Rosa'!$O$12="",$D368&lt;&gt;""),"",IF($F368&lt;='La Mia Rosa'!$O$12*'Parametri Modello'!$B$24,"OK",IF($F368&lt;='La Mia Rosa'!$O$12*'Parametri Modello'!$B$25,"Attenzione","Rischio Alto")))</f>
        <v>OK</v>
      </c>
      <c r="V368" s="23">
        <f t="shared" si="46"/>
        <v>137</v>
      </c>
      <c r="W368" s="18">
        <f>'Info Lega'!$B$4-SUMIFS($M$2:$M$492,$D$2:$D$492,'Info Lega'!$B$28)</f>
        <v>1000</v>
      </c>
      <c r="X368" s="18">
        <f>('Info Lega'!$B$5-COUNTIFS($D$2:$D$492,'Info Lega'!$B$28,$B$2:$B$492,"P"))+('Info Lega'!$B$6-COUNTIFS($D$2:$D$492,'Info Lega'!$B$28,$B$2:$B$492,"D"))+('Info Lega'!$B$7-COUNTIFS($D$2:$D$492,'Info Lega'!$B$28,$B$2:$B$492,"C"))+('Info Lega'!$B$8-COUNTIFS($D$2:$D$492,'Info Lega'!$B$28,$B$2:$B$492,"A"))</f>
        <v>25</v>
      </c>
      <c r="Y368" s="18">
        <f>X368*'Parametri Modello'!$B$30</f>
        <v>25</v>
      </c>
      <c r="Z368" s="18">
        <f t="shared" si="47"/>
        <v>975</v>
      </c>
      <c r="AA368" s="18">
        <f t="shared" si="48"/>
        <v>1</v>
      </c>
      <c r="AB368" s="18"/>
      <c r="AC368" s="18" t="str">
        <f>IF($AB368="","",IF($AB368&gt;$AA368,"PASS",IF($AB368&lt;=$AA368*(1-'Parametri Modello'!$B$68),"BID","ATTENZIONE")))</f>
        <v/>
      </c>
      <c r="AD368" s="28" t="str">
        <f t="shared" si="49"/>
        <v/>
      </c>
      <c r="AE368" s="5" t="str">
        <f>IFERROR(IF($AF368="Titolare",INDEX('Stato Asta'!$G$9:$G$12,MATCH($B368,'Stato Asta'!$A$9:$A$12,0)),INDEX('Stato Asta'!$P$9:$P$12,MATCH($B368,'Stato Asta'!$A$9:$A$12,0))),"")</f>
        <v>🟢 Riserve abbondanti</v>
      </c>
      <c r="AF368" t="str">
        <f>IFERROR(IF($V368&lt;=INDEX('Parametri Modello'!$C$57:$C$60,MATCH($B368,'Parametri Modello'!$A$57:$A$60,0)),"Titolare","Riserva"),"")</f>
        <v>Riserva</v>
      </c>
      <c r="AG368" t="str">
        <f>IFERROR(INDEX('Pressione Competitiva'!$F$3:$F$6,MATCH($B368,'Pressione Competitiva'!$B$3:$B$6,0)),"")</f>
        <v>🔴 Molto Alta</v>
      </c>
      <c r="AH368" t="str">
        <f t="shared" si="50"/>
        <v/>
      </c>
      <c r="AI368" t="str">
        <f>IFERROR(IF($AH368="","",IF($AH368&gt;=$AA368*'Parametri Modello'!$B$68,"🟢 Opportunita'",IF($AH368&lt;=$AA368*'Parametri Modello'!$B$69,"🔴 Sovrapprezzo","🟡 Prezzo Corretto"))),"")</f>
        <v/>
      </c>
      <c r="AJ368" t="str">
        <f t="shared" si="51"/>
        <v/>
      </c>
      <c r="AK368">
        <f t="shared" si="52"/>
        <v>33</v>
      </c>
      <c r="AL368" t="str">
        <f t="shared" si="53"/>
        <v>C|Scommessa/Riserva|33</v>
      </c>
    </row>
    <row r="369" spans="1:38" ht="14.25" customHeight="1" x14ac:dyDescent="0.25">
      <c r="A369" s="18">
        <v>5872</v>
      </c>
      <c r="B369" s="18" t="s">
        <v>264</v>
      </c>
      <c r="C369" s="18" t="s">
        <v>406</v>
      </c>
      <c r="E369" s="23" t="str">
        <f>IF(COUNTIF('Info Strategia'!$D$2:$D$51,$C369)&gt;0,"SI","NO")</f>
        <v>NO</v>
      </c>
      <c r="F369" s="24">
        <f>IFERROR(ROUND(($G369+($H369-$G369)*'Info Strategia'!$B$6)*(1+IF($E369="SI",'Parametri Modello'!$B$7*'Info Strategia'!$B$6,0)),0),"")</f>
        <v>1</v>
      </c>
      <c r="G369" s="24">
        <f>IFERROR(ROUND(MAX(1,(IF($V369&lt;=INDEX('Parametri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H369" s="24">
        <f>IFERROR(ROUND((IF($V369&lt;=INDEX('Parametri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I369" s="23">
        <f>IFERROR(INDEX('Input Statistiche 2025_26'!$F$3:$F$665,MATCH($A369,'Input Statistiche 2025_26'!$A$3:$A$665,0)),"")</f>
        <v>4</v>
      </c>
      <c r="J369" s="23">
        <f t="shared" si="45"/>
        <v>34</v>
      </c>
      <c r="K369" s="23">
        <f>IFERROR(INDEX('Input Statistiche 2025_26'!$I$3:$I$665,MATCH($A369,'Input Statistiche 2025_26'!$A$3:$A$665,0)),"")</f>
        <v>0</v>
      </c>
      <c r="L369" s="23">
        <f>IFERROR(INDEX('Input Statistiche 2025_26'!$O$3:$O$665,MATCH($A369,'Input Statistiche 2025_26'!$A$3:$A$665,0)),"")</f>
        <v>0</v>
      </c>
      <c r="M369" s="25"/>
      <c r="N369" s="24">
        <f>IFERROR(INDEX('Input Giocatori 2026_27'!$E$3:$E$493,MATCH($A369,'Input Giocatori 2026_27'!$A$3:$A$493,0)),"")</f>
        <v>3</v>
      </c>
      <c r="O369" s="24">
        <f>IFERROR(INDEX('Input Giocatori 2026_27'!$G$3:$G$493,MATCH($A369,'Input Giocatori 2026_27'!$A$3:$A$493,0)),"")</f>
        <v>7</v>
      </c>
      <c r="P369" s="23" t="str">
        <f>IFERROR(IF($O369="","",IF((1-(COUNTIFS($B$2:$B$492,$B369,$O$2:$O$492,"&gt;"&amp;$O369)+1-1)/COUNTIF($B$2:$B$492,$B369))&gt;='Parametri Modello'!$B$63,"Top",IF((1-(COUNTIFS($B$2:$B$492,$B369,$O$2:$O$492,"&gt;"&amp;$O369)+1-1)/COUNTIF($B$2:$B$492,$B369))&gt;='Parametri Modello'!$B$64,"Buono",IF((1-(COUNTIFS($B$2:$B$492,$B369,$O$2:$O$492,"&gt;"&amp;$O369)+1-1)/COUNTIF($B$2:$B$492,$B369))&gt;='Parametri Modello'!$B$65,"Nella Media","Scommessa/Riserva")))),"")</f>
        <v>Scommessa/Riserva</v>
      </c>
      <c r="Q369" s="26">
        <f>IF(AND($D369="",$N369&gt;1),SUMPRODUCT(($D$2:$D369="")*($N$2:$N369&gt;1)),"")</f>
        <v>367</v>
      </c>
      <c r="R369" s="26" t="str">
        <f>IF($D369='Info Lega'!$B$28,COUNTIFS($D$2:$D369,'Info Lega'!$B$28),"")</f>
        <v/>
      </c>
      <c r="S369" s="27">
        <f>IFERROR(INDEX('Input Statistiche 2025_26'!$G$3:$G$665,MATCH($A369,'Input Statistiche 2025_26'!$A$3:$A$665,0)),"")</f>
        <v>5.62</v>
      </c>
      <c r="T369" s="27">
        <f>IFERROR(INDEX('Input Statistiche 2025_26'!$H$3:$H$665,MATCH($A369,'Input Statistiche 2025_26'!$A$3:$A$665,0)),"")</f>
        <v>5.62</v>
      </c>
      <c r="U369" s="23" t="str">
        <f>IF(OR('La Mia Rosa'!$O$12="",$D369&lt;&gt;""),"",IF($F369&lt;='La Mia Rosa'!$O$12*'Parametri Modello'!$B$24,"OK",IF($F369&lt;='La Mia Rosa'!$O$12*'Parametri Modello'!$B$25,"Attenzione","Rischio Alto")))</f>
        <v>OK</v>
      </c>
      <c r="V369" s="23">
        <f t="shared" si="46"/>
        <v>137</v>
      </c>
      <c r="W369" s="18">
        <f>'Info Lega'!$B$4-SUMIFS($M$2:$M$492,$D$2:$D$492,'Info Lega'!$B$28)</f>
        <v>1000</v>
      </c>
      <c r="X369" s="18">
        <f>('Info Lega'!$B$5-COUNTIFS($D$2:$D$492,'Info Lega'!$B$28,$B$2:$B$492,"P"))+('Info Lega'!$B$6-COUNTIFS($D$2:$D$492,'Info Lega'!$B$28,$B$2:$B$492,"D"))+('Info Lega'!$B$7-COUNTIFS($D$2:$D$492,'Info Lega'!$B$28,$B$2:$B$492,"C"))+('Info Lega'!$B$8-COUNTIFS($D$2:$D$492,'Info Lega'!$B$28,$B$2:$B$492,"A"))</f>
        <v>25</v>
      </c>
      <c r="Y369" s="18">
        <f>X369*'Parametri Modello'!$B$30</f>
        <v>25</v>
      </c>
      <c r="Z369" s="18">
        <f t="shared" si="47"/>
        <v>975</v>
      </c>
      <c r="AA369" s="18">
        <f t="shared" si="48"/>
        <v>1</v>
      </c>
      <c r="AB369" s="18"/>
      <c r="AC369" s="18" t="str">
        <f>IF($AB369="","",IF($AB369&gt;$AA369,"PASS",IF($AB369&lt;=$AA369*(1-'Parametri Modello'!$B$68),"BID","ATTENZIONE")))</f>
        <v/>
      </c>
      <c r="AD369" s="28">
        <f t="shared" si="49"/>
        <v>12</v>
      </c>
      <c r="AE369" s="5" t="str">
        <f>IFERROR(IF($AF369="Titolare",INDEX('Stato Asta'!$G$9:$G$12,MATCH($B369,'Stato Asta'!$A$9:$A$12,0)),INDEX('Stato Asta'!$P$9:$P$12,MATCH($B369,'Stato Asta'!$A$9:$A$12,0))),"")</f>
        <v>🟢 Riserve abbondanti</v>
      </c>
      <c r="AF369" t="str">
        <f>IFERROR(IF($V369&lt;=INDEX('Parametri Modello'!$C$57:$C$60,MATCH($B369,'Parametri Modello'!$A$57:$A$60,0)),"Titolare","Riserva"),"")</f>
        <v>Riserva</v>
      </c>
      <c r="AG369" t="str">
        <f>IFERROR(INDEX('Pressione Competitiva'!$F$3:$F$6,MATCH($B369,'Pressione Competitiva'!$B$3:$B$6,0)),"")</f>
        <v>🔴 Molto Alta</v>
      </c>
      <c r="AH369" t="str">
        <f t="shared" si="50"/>
        <v/>
      </c>
      <c r="AI369" t="str">
        <f>IFERROR(IF($AH369="","",IF($AH369&gt;=$AA369*'Parametri Modello'!$B$68,"🟢 Opportunita'",IF($AH369&lt;=$AA369*'Parametri Modello'!$B$69,"🔴 Sovrapprezzo","🟡 Prezzo Corretto"))),"")</f>
        <v/>
      </c>
      <c r="AJ369" t="str">
        <f t="shared" si="51"/>
        <v/>
      </c>
      <c r="AK369">
        <f t="shared" si="52"/>
        <v>33</v>
      </c>
      <c r="AL369" t="str">
        <f t="shared" si="53"/>
        <v>C|Scommessa/Riserva|33</v>
      </c>
    </row>
    <row r="370" spans="1:38" ht="14.25" customHeight="1" x14ac:dyDescent="0.25">
      <c r="A370" s="18">
        <v>7272</v>
      </c>
      <c r="B370" s="18" t="s">
        <v>437</v>
      </c>
      <c r="C370" s="18" t="s">
        <v>505</v>
      </c>
      <c r="E370" s="23" t="str">
        <f>IF(COUNTIF('Info Strategia'!$D$2:$D$51,$C370)&gt;0,"SI","NO")</f>
        <v>NO</v>
      </c>
      <c r="F370" s="24">
        <f>IFERROR(ROUND(($G370+($H370-$G370)*'Info Strategia'!$B$6)*(1+IF($E370="SI",'Parametri Modello'!$B$7*'Info Strategia'!$B$6,0)),0),"")</f>
        <v>2</v>
      </c>
      <c r="G370" s="24">
        <f>IFERROR(ROUND(MAX(1,(IF($V370&lt;=INDEX('Parametri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1</v>
      </c>
      <c r="H370" s="24">
        <f>IFERROR(ROUND((IF($V370&lt;=INDEX('Parametri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3</v>
      </c>
      <c r="I370" s="23">
        <f>IFERROR(INDEX('Input Statistiche 2025_26'!$F$3:$F$665,MATCH($A370,'Input Statistiche 2025_26'!$A$3:$A$665,0)),"")</f>
        <v>13</v>
      </c>
      <c r="J370" s="23">
        <f t="shared" si="45"/>
        <v>25</v>
      </c>
      <c r="K370" s="23">
        <f>IFERROR(INDEX('Input Statistiche 2025_26'!$I$3:$I$665,MATCH($A370,'Input Statistiche 2025_26'!$A$3:$A$665,0)),"")</f>
        <v>1</v>
      </c>
      <c r="L370" s="23">
        <f>IFERROR(INDEX('Input Statistiche 2025_26'!$O$3:$O$665,MATCH($A370,'Input Statistiche 2025_26'!$A$3:$A$665,0)),"")</f>
        <v>0</v>
      </c>
      <c r="M370" s="25"/>
      <c r="N370" s="24">
        <f>IFERROR(INDEX('Input Giocatori 2026_27'!$E$3:$E$493,MATCH($A370,'Input Giocatori 2026_27'!$A$3:$A$493,0)),"")</f>
        <v>4</v>
      </c>
      <c r="O370" s="24">
        <f>IFERROR(INDEX('Input Giocatori 2026_27'!$G$3:$G$493,MATCH($A370,'Input Giocatori 2026_27'!$A$3:$A$493,0)),"")</f>
        <v>7</v>
      </c>
      <c r="P370" s="23" t="str">
        <f>IFERROR(IF($O370="","",IF((1-(COUNTIFS($B$2:$B$492,$B370,$O$2:$O$492,"&gt;"&amp;$O370)+1-1)/COUNTIF($B$2:$B$492,$B370))&gt;='Parametri Modello'!$B$63,"Top",IF((1-(COUNTIFS($B$2:$B$492,$B370,$O$2:$O$492,"&gt;"&amp;$O370)+1-1)/COUNTIF($B$2:$B$492,$B370))&gt;='Parametri Modello'!$B$64,"Buono",IF((1-(COUNTIFS($B$2:$B$492,$B370,$O$2:$O$492,"&gt;"&amp;$O370)+1-1)/COUNTIF($B$2:$B$492,$B370))&gt;='Parametri Modello'!$B$65,"Nella Media","Scommessa/Riserva")))),"")</f>
        <v>Scommessa/Riserva</v>
      </c>
      <c r="Q370" s="26">
        <f>IF(AND($D370="",$N370&gt;1),SUMPRODUCT(($D$2:$D370="")*($N$2:$N370&gt;1)),"")</f>
        <v>368</v>
      </c>
      <c r="R370" s="26" t="str">
        <f>IF($D370='Info Lega'!$B$28,COUNTIFS($D$2:$D370,'Info Lega'!$B$28),"")</f>
        <v/>
      </c>
      <c r="S370" s="27">
        <f>IFERROR(INDEX('Input Statistiche 2025_26'!$G$3:$G$665,MATCH($A370,'Input Statistiche 2025_26'!$A$3:$A$665,0)),"")</f>
        <v>5.77</v>
      </c>
      <c r="T370" s="27">
        <f>IFERROR(INDEX('Input Statistiche 2025_26'!$H$3:$H$665,MATCH($A370,'Input Statistiche 2025_26'!$A$3:$A$665,0)),"")</f>
        <v>5.92</v>
      </c>
      <c r="U370" s="23" t="str">
        <f>IF(OR('La Mia Rosa'!$O$12="",$D370&lt;&gt;""),"",IF($F370&lt;='La Mia Rosa'!$O$12*'Parametri Modello'!$B$24,"OK",IF($F370&lt;='La Mia Rosa'!$O$12*'Parametri Modello'!$B$25,"Attenzione","Rischio Alto")))</f>
        <v>OK</v>
      </c>
      <c r="V370" s="23">
        <f t="shared" si="46"/>
        <v>73</v>
      </c>
      <c r="W370" s="18">
        <f>'Info Lega'!$B$4-SUMIFS($M$2:$M$492,$D$2:$D$492,'Info Lega'!$B$28)</f>
        <v>1000</v>
      </c>
      <c r="X370" s="18">
        <f>('Info Lega'!$B$5-COUNTIFS($D$2:$D$492,'Info Lega'!$B$28,$B$2:$B$492,"P"))+('Info Lega'!$B$6-COUNTIFS($D$2:$D$492,'Info Lega'!$B$28,$B$2:$B$492,"D"))+('Info Lega'!$B$7-COUNTIFS($D$2:$D$492,'Info Lega'!$B$28,$B$2:$B$492,"C"))+('Info Lega'!$B$8-COUNTIFS($D$2:$D$492,'Info Lega'!$B$28,$B$2:$B$492,"A"))</f>
        <v>25</v>
      </c>
      <c r="Y370" s="18">
        <f>X370*'Parametri Modello'!$B$30</f>
        <v>25</v>
      </c>
      <c r="Z370" s="18">
        <f t="shared" si="47"/>
        <v>975</v>
      </c>
      <c r="AA370" s="18">
        <f t="shared" si="48"/>
        <v>2</v>
      </c>
      <c r="AB370" s="18"/>
      <c r="AC370" s="18" t="str">
        <f>IF($AB370="","",IF($AB370&gt;$AA370,"PASS",IF($AB370&lt;=$AA370*(1-'Parametri Modello'!$B$68),"BID","ATTENZIONE")))</f>
        <v/>
      </c>
      <c r="AD370" s="28">
        <f t="shared" si="49"/>
        <v>35</v>
      </c>
      <c r="AE370" s="5" t="str">
        <f>IFERROR(IF($AF370="Titolare",INDEX('Stato Asta'!$G$9:$G$12,MATCH($B370,'Stato Asta'!$A$9:$A$12,0)),INDEX('Stato Asta'!$P$9:$P$12,MATCH($B370,'Stato Asta'!$A$9:$A$12,0))),"")</f>
        <v>🟢 Riserve abbondanti</v>
      </c>
      <c r="AF370" t="str">
        <f>IFERROR(IF($V370&lt;=INDEX('Parametri Modello'!$C$57:$C$60,MATCH($B370,'Parametri Modello'!$A$57:$A$60,0)),"Titolare","Riserva"),"")</f>
        <v>Riserva</v>
      </c>
      <c r="AG370" t="str">
        <f>IFERROR(INDEX('Pressione Competitiva'!$F$3:$F$6,MATCH($B370,'Pressione Competitiva'!$B$3:$B$6,0)),"")</f>
        <v>🔴 Molto Alta</v>
      </c>
      <c r="AH370" t="str">
        <f t="shared" si="50"/>
        <v/>
      </c>
      <c r="AI370" t="str">
        <f>IFERROR(IF($AH370="","",IF($AH370&gt;=$AA370*'Parametri Modello'!$B$68,"🟢 Opportunita'",IF($AH370&lt;=$AA370*'Parametri Modello'!$B$69,"🔴 Sovrapprezzo","🟡 Prezzo Corretto"))),"")</f>
        <v/>
      </c>
      <c r="AJ370" t="str">
        <f t="shared" si="51"/>
        <v/>
      </c>
      <c r="AK370">
        <f t="shared" si="52"/>
        <v>19</v>
      </c>
      <c r="AL370" t="str">
        <f t="shared" si="53"/>
        <v>A|Scommessa/Riserva|19</v>
      </c>
    </row>
    <row r="371" spans="1:38" ht="14.25" customHeight="1" x14ac:dyDescent="0.25">
      <c r="A371" s="18">
        <v>7523</v>
      </c>
      <c r="B371" s="18" t="s">
        <v>437</v>
      </c>
      <c r="C371" s="18" t="s">
        <v>509</v>
      </c>
      <c r="E371" s="23" t="str">
        <f>IF(COUNTIF('Info Strategia'!$D$2:$D$51,$C371)&gt;0,"SI","NO")</f>
        <v>NO</v>
      </c>
      <c r="F371" s="24">
        <f>IFERROR(ROUND(($G371+($H371-$G371)*'Info Strategia'!$B$6)*(1+IF($E371="SI",'Parametri Modello'!$B$7*'Info Strategia'!$B$6,0)),0),"")</f>
        <v>2</v>
      </c>
      <c r="G371" s="24">
        <f>IFERROR(ROUND(MAX(1,(IF($V371&lt;=INDEX('Parametri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1</v>
      </c>
      <c r="H371" s="24">
        <f>IFERROR(ROUND((IF($V371&lt;=INDEX('Parametri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3</v>
      </c>
      <c r="I371" s="23" t="str">
        <f>IFERROR(INDEX('Input Statistiche 2025_26'!$F$3:$F$665,MATCH($A371,'Input Statistiche 2025_26'!$A$3:$A$665,0)),"")</f>
        <v/>
      </c>
      <c r="J371" s="23" t="str">
        <f t="shared" si="45"/>
        <v/>
      </c>
      <c r="K371" s="23" t="str">
        <f>IFERROR(INDEX('Input Statistiche 2025_26'!$I$3:$I$665,MATCH($A371,'Input Statistiche 2025_26'!$A$3:$A$665,0)),"")</f>
        <v/>
      </c>
      <c r="L371" s="23" t="str">
        <f>IFERROR(INDEX('Input Statistiche 2025_26'!$O$3:$O$665,MATCH($A371,'Input Statistiche 2025_26'!$A$3:$A$665,0)),"")</f>
        <v/>
      </c>
      <c r="M371" s="25"/>
      <c r="N371" s="24">
        <f>IFERROR(INDEX('Input Giocatori 2026_27'!$E$3:$E$493,MATCH($A371,'Input Giocatori 2026_27'!$A$3:$A$493,0)),"")</f>
        <v>3</v>
      </c>
      <c r="O371" s="24">
        <f>IFERROR(INDEX('Input Giocatori 2026_27'!$G$3:$G$493,MATCH($A371,'Input Giocatori 2026_27'!$A$3:$A$493,0)),"")</f>
        <v>7</v>
      </c>
      <c r="P371" s="23" t="str">
        <f>IFERROR(IF($O371="","",IF((1-(COUNTIFS($B$2:$B$492,$B371,$O$2:$O$492,"&gt;"&amp;$O371)+1-1)/COUNTIF($B$2:$B$492,$B371))&gt;='Parametri Modello'!$B$63,"Top",IF((1-(COUNTIFS($B$2:$B$492,$B371,$O$2:$O$492,"&gt;"&amp;$O371)+1-1)/COUNTIF($B$2:$B$492,$B371))&gt;='Parametri Modello'!$B$64,"Buono",IF((1-(COUNTIFS($B$2:$B$492,$B371,$O$2:$O$492,"&gt;"&amp;$O371)+1-1)/COUNTIF($B$2:$B$492,$B371))&gt;='Parametri Modello'!$B$65,"Nella Media","Scommessa/Riserva")))),"")</f>
        <v>Scommessa/Riserva</v>
      </c>
      <c r="Q371" s="26">
        <f>IF(AND($D371="",$N371&gt;1),SUMPRODUCT(($D$2:$D371="")*($N$2:$N371&gt;1)),"")</f>
        <v>369</v>
      </c>
      <c r="R371" s="26" t="str">
        <f>IF($D371='Info Lega'!$B$28,COUNTIFS($D$2:$D371,'Info Lega'!$B$28),"")</f>
        <v/>
      </c>
      <c r="S371" s="27" t="str">
        <f>IFERROR(INDEX('Input Statistiche 2025_26'!$G$3:$G$665,MATCH($A371,'Input Statistiche 2025_26'!$A$3:$A$665,0)),"")</f>
        <v/>
      </c>
      <c r="T371" s="27" t="str">
        <f>IFERROR(INDEX('Input Statistiche 2025_26'!$H$3:$H$665,MATCH($A371,'Input Statistiche 2025_26'!$A$3:$A$665,0)),"")</f>
        <v/>
      </c>
      <c r="U371" s="23" t="str">
        <f>IF(OR('La Mia Rosa'!$O$12="",$D371&lt;&gt;""),"",IF($F371&lt;='La Mia Rosa'!$O$12*'Parametri Modello'!$B$24,"OK",IF($F371&lt;='La Mia Rosa'!$O$12*'Parametri Modello'!$B$25,"Attenzione","Rischio Alto")))</f>
        <v>OK</v>
      </c>
      <c r="V371" s="23">
        <f t="shared" si="46"/>
        <v>73</v>
      </c>
      <c r="W371" s="18">
        <f>'Info Lega'!$B$4-SUMIFS($M$2:$M$492,$D$2:$D$492,'Info Lega'!$B$28)</f>
        <v>1000</v>
      </c>
      <c r="X371" s="18">
        <f>('Info Lega'!$B$5-COUNTIFS($D$2:$D$492,'Info Lega'!$B$28,$B$2:$B$492,"P"))+('Info Lega'!$B$6-COUNTIFS($D$2:$D$492,'Info Lega'!$B$28,$B$2:$B$492,"D"))+('Info Lega'!$B$7-COUNTIFS($D$2:$D$492,'Info Lega'!$B$28,$B$2:$B$492,"C"))+('Info Lega'!$B$8-COUNTIFS($D$2:$D$492,'Info Lega'!$B$28,$B$2:$B$492,"A"))</f>
        <v>25</v>
      </c>
      <c r="Y371" s="18">
        <f>X371*'Parametri Modello'!$B$30</f>
        <v>25</v>
      </c>
      <c r="Z371" s="18">
        <f t="shared" si="47"/>
        <v>975</v>
      </c>
      <c r="AA371" s="18">
        <f t="shared" si="48"/>
        <v>2</v>
      </c>
      <c r="AB371" s="18"/>
      <c r="AC371" s="18" t="str">
        <f>IF($AB371="","",IF($AB371&gt;$AA371,"PASS",IF($AB371&lt;=$AA371*(1-'Parametri Modello'!$B$68),"BID","ATTENZIONE")))</f>
        <v/>
      </c>
      <c r="AD371" s="28" t="str">
        <f t="shared" si="49"/>
        <v/>
      </c>
      <c r="AE371" s="5" t="str">
        <f>IFERROR(IF($AF371="Titolare",INDEX('Stato Asta'!$G$9:$G$12,MATCH($B371,'Stato Asta'!$A$9:$A$12,0)),INDEX('Stato Asta'!$P$9:$P$12,MATCH($B371,'Stato Asta'!$A$9:$A$12,0))),"")</f>
        <v>🟢 Riserve abbondanti</v>
      </c>
      <c r="AF371" t="str">
        <f>IFERROR(IF($V371&lt;=INDEX('Parametri Modello'!$C$57:$C$60,MATCH($B371,'Parametri Modello'!$A$57:$A$60,0)),"Titolare","Riserva"),"")</f>
        <v>Riserva</v>
      </c>
      <c r="AG371" t="str">
        <f>IFERROR(INDEX('Pressione Competitiva'!$F$3:$F$6,MATCH($B371,'Pressione Competitiva'!$B$3:$B$6,0)),"")</f>
        <v>🔴 Molto Alta</v>
      </c>
      <c r="AH371" t="str">
        <f t="shared" si="50"/>
        <v/>
      </c>
      <c r="AI371" t="str">
        <f>IFERROR(IF($AH371="","",IF($AH371&gt;=$AA371*'Parametri Modello'!$B$68,"🟢 Opportunita'",IF($AH371&lt;=$AA371*'Parametri Modello'!$B$69,"🔴 Sovrapprezzo","🟡 Prezzo Corretto"))),"")</f>
        <v/>
      </c>
      <c r="AJ371" t="str">
        <f t="shared" si="51"/>
        <v/>
      </c>
      <c r="AK371">
        <f t="shared" si="52"/>
        <v>19</v>
      </c>
      <c r="AL371" t="str">
        <f t="shared" si="53"/>
        <v>A|Scommessa/Riserva|19</v>
      </c>
    </row>
    <row r="372" spans="1:38" ht="14.25" customHeight="1" x14ac:dyDescent="0.25">
      <c r="A372" s="18">
        <v>5498</v>
      </c>
      <c r="B372" s="18" t="s">
        <v>88</v>
      </c>
      <c r="C372" s="18" t="s">
        <v>201</v>
      </c>
      <c r="E372" s="23" t="str">
        <f>IF(COUNTIF('Info Strategia'!$D$2:$D$51,$C372)&gt;0,"SI","NO")</f>
        <v>NO</v>
      </c>
      <c r="F372" s="24">
        <f>IFERROR(ROUND(($G372+($H372-$G372)*'Info Strategia'!$B$6)*(1+IF($E372="SI",'Parametri Modello'!$B$7*'Info Strategia'!$B$6,0)),0),"")</f>
        <v>1</v>
      </c>
      <c r="G372" s="24">
        <f>IFERROR(ROUND(MAX(1,(IF($V372&lt;=INDEX('Parametri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H372" s="24">
        <f>IFERROR(ROUND((IF($V372&lt;=INDEX('Parametri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I372" s="23">
        <f>IFERROR(INDEX('Input Statistiche 2025_26'!$F$3:$F$665,MATCH($A372,'Input Statistiche 2025_26'!$A$3:$A$665,0)),"")</f>
        <v>10</v>
      </c>
      <c r="J372" s="23">
        <f t="shared" si="45"/>
        <v>28</v>
      </c>
      <c r="K372" s="23">
        <f>IFERROR(INDEX('Input Statistiche 2025_26'!$I$3:$I$665,MATCH($A372,'Input Statistiche 2025_26'!$A$3:$A$665,0)),"")</f>
        <v>0</v>
      </c>
      <c r="L372" s="23">
        <f>IFERROR(INDEX('Input Statistiche 2025_26'!$O$3:$O$665,MATCH($A372,'Input Statistiche 2025_26'!$A$3:$A$665,0)),"")</f>
        <v>0</v>
      </c>
      <c r="M372" s="25"/>
      <c r="N372" s="24">
        <f>IFERROR(INDEX('Input Giocatori 2026_27'!$E$3:$E$493,MATCH($A372,'Input Giocatori 2026_27'!$A$3:$A$493,0)),"")</f>
        <v>3</v>
      </c>
      <c r="O372" s="24">
        <f>IFERROR(INDEX('Input Giocatori 2026_27'!$G$3:$G$493,MATCH($A372,'Input Giocatori 2026_27'!$A$3:$A$493,0)),"")</f>
        <v>6</v>
      </c>
      <c r="P372" s="23" t="str">
        <f>IFERROR(IF($O372="","",IF((1-(COUNTIFS($B$2:$B$492,$B372,$O$2:$O$492,"&gt;"&amp;$O372)+1-1)/COUNTIF($B$2:$B$492,$B372))&gt;='Parametri Modello'!$B$63,"Top",IF((1-(COUNTIFS($B$2:$B$492,$B372,$O$2:$O$492,"&gt;"&amp;$O372)+1-1)/COUNTIF($B$2:$B$492,$B372))&gt;='Parametri Modello'!$B$64,"Buono",IF((1-(COUNTIFS($B$2:$B$492,$B372,$O$2:$O$492,"&gt;"&amp;$O372)+1-1)/COUNTIF($B$2:$B$492,$B372))&gt;='Parametri Modello'!$B$65,"Nella Media","Scommessa/Riserva")))),"")</f>
        <v>Scommessa/Riserva</v>
      </c>
      <c r="Q372" s="26">
        <f>IF(AND($D372="",$N372&gt;1),SUMPRODUCT(($D$2:$D372="")*($N$2:$N372&gt;1)),"")</f>
        <v>370</v>
      </c>
      <c r="R372" s="26" t="str">
        <f>IF($D372='Info Lega'!$B$28,COUNTIFS($D$2:$D372,'Info Lega'!$B$28),"")</f>
        <v/>
      </c>
      <c r="S372" s="27">
        <f>IFERROR(INDEX('Input Statistiche 2025_26'!$G$3:$G$665,MATCH($A372,'Input Statistiche 2025_26'!$A$3:$A$665,0)),"")</f>
        <v>5.65</v>
      </c>
      <c r="T372" s="27">
        <f>IFERROR(INDEX('Input Statistiche 2025_26'!$H$3:$H$665,MATCH($A372,'Input Statistiche 2025_26'!$A$3:$A$665,0)),"")</f>
        <v>5.65</v>
      </c>
      <c r="U372" s="23" t="str">
        <f>IF(OR('La Mia Rosa'!$O$12="",$D372&lt;&gt;""),"",IF($F372&lt;='La Mia Rosa'!$O$12*'Parametri Modello'!$B$24,"OK",IF($F372&lt;='La Mia Rosa'!$O$12*'Parametri Modello'!$B$25,"Attenzione","Rischio Alto")))</f>
        <v>OK</v>
      </c>
      <c r="V372" s="23">
        <f t="shared" si="46"/>
        <v>134</v>
      </c>
      <c r="W372" s="18">
        <f>'Info Lega'!$B$4-SUMIFS($M$2:$M$492,$D$2:$D$492,'Info Lega'!$B$28)</f>
        <v>1000</v>
      </c>
      <c r="X372" s="18">
        <f>('Info Lega'!$B$5-COUNTIFS($D$2:$D$492,'Info Lega'!$B$28,$B$2:$B$492,"P"))+('Info Lega'!$B$6-COUNTIFS($D$2:$D$492,'Info Lega'!$B$28,$B$2:$B$492,"D"))+('Info Lega'!$B$7-COUNTIFS($D$2:$D$492,'Info Lega'!$B$28,$B$2:$B$492,"C"))+('Info Lega'!$B$8-COUNTIFS($D$2:$D$492,'Info Lega'!$B$28,$B$2:$B$492,"A"))</f>
        <v>25</v>
      </c>
      <c r="Y372" s="18">
        <f>X372*'Parametri Modello'!$B$30</f>
        <v>25</v>
      </c>
      <c r="Z372" s="18">
        <f t="shared" si="47"/>
        <v>975</v>
      </c>
      <c r="AA372" s="18">
        <f t="shared" si="48"/>
        <v>1</v>
      </c>
      <c r="AB372" s="18"/>
      <c r="AC372" s="18" t="str">
        <f>IF($AB372="","",IF($AB372&gt;$AA372,"PASS",IF($AB372&lt;=$AA372*(1-'Parametri Modello'!$B$68),"BID","ATTENZIONE")))</f>
        <v/>
      </c>
      <c r="AD372" s="28">
        <f t="shared" si="49"/>
        <v>28</v>
      </c>
      <c r="AE372" s="5" t="str">
        <f>IFERROR(IF($AF372="Titolare",INDEX('Stato Asta'!$G$9:$G$12,MATCH($B372,'Stato Asta'!$A$9:$A$12,0)),INDEX('Stato Asta'!$P$9:$P$12,MATCH($B372,'Stato Asta'!$A$9:$A$12,0))),"")</f>
        <v>🟢 Riserve abbondanti</v>
      </c>
      <c r="AF372" t="str">
        <f>IFERROR(IF($V372&lt;=INDEX('Parametri Modello'!$C$57:$C$60,MATCH($B372,'Parametri Modello'!$A$57:$A$60,0)),"Titolare","Riserva"),"")</f>
        <v>Riserva</v>
      </c>
      <c r="AG372" t="str">
        <f>IFERROR(INDEX('Pressione Competitiva'!$F$3:$F$6,MATCH($B372,'Pressione Competitiva'!$B$3:$B$6,0)),"")</f>
        <v>🔴 Molto Alta</v>
      </c>
      <c r="AH372" t="str">
        <f t="shared" si="50"/>
        <v/>
      </c>
      <c r="AI372" t="str">
        <f>IFERROR(IF($AH372="","",IF($AH372&gt;=$AA372*'Parametri Modello'!$B$68,"🟢 Opportunita'",IF($AH372&lt;=$AA372*'Parametri Modello'!$B$69,"🔴 Sovrapprezzo","🟡 Prezzo Corretto"))),"")</f>
        <v/>
      </c>
      <c r="AJ372" t="str">
        <f t="shared" si="51"/>
        <v/>
      </c>
      <c r="AK372">
        <f t="shared" si="52"/>
        <v>22</v>
      </c>
      <c r="AL372" t="str">
        <f t="shared" si="53"/>
        <v>D|Scommessa/Riserva|22</v>
      </c>
    </row>
    <row r="373" spans="1:38" ht="14.25" customHeight="1" x14ac:dyDescent="0.25">
      <c r="A373" s="18">
        <v>7483</v>
      </c>
      <c r="B373" s="18" t="s">
        <v>88</v>
      </c>
      <c r="C373" s="18" t="s">
        <v>222</v>
      </c>
      <c r="E373" s="23" t="str">
        <f>IF(COUNTIF('Info Strategia'!$D$2:$D$51,$C373)&gt;0,"SI","NO")</f>
        <v>NO</v>
      </c>
      <c r="F373" s="24">
        <f>IFERROR(ROUND(($G373+($H373-$G373)*'Info Strategia'!$B$6)*(1+IF($E373="SI",'Parametri Modello'!$B$7*'Info Strategia'!$B$6,0)),0),"")</f>
        <v>1</v>
      </c>
      <c r="G373" s="24">
        <f>IFERROR(ROUND(MAX(1,(IF($V373&lt;=INDEX('Parametri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H373" s="24">
        <f>IFERROR(ROUND((IF($V373&lt;=INDEX('Parametri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I373" s="23" t="str">
        <f>IFERROR(INDEX('Input Statistiche 2025_26'!$F$3:$F$665,MATCH($A373,'Input Statistiche 2025_26'!$A$3:$A$665,0)),"")</f>
        <v/>
      </c>
      <c r="J373" s="23" t="str">
        <f t="shared" si="45"/>
        <v/>
      </c>
      <c r="K373" s="23" t="str">
        <f>IFERROR(INDEX('Input Statistiche 2025_26'!$I$3:$I$665,MATCH($A373,'Input Statistiche 2025_26'!$A$3:$A$665,0)),"")</f>
        <v/>
      </c>
      <c r="L373" s="23" t="str">
        <f>IFERROR(INDEX('Input Statistiche 2025_26'!$O$3:$O$665,MATCH($A373,'Input Statistiche 2025_26'!$A$3:$A$665,0)),"")</f>
        <v/>
      </c>
      <c r="M373" s="25"/>
      <c r="N373" s="24">
        <f>IFERROR(INDEX('Input Giocatori 2026_27'!$E$3:$E$493,MATCH($A373,'Input Giocatori 2026_27'!$A$3:$A$493,0)),"")</f>
        <v>2</v>
      </c>
      <c r="O373" s="24">
        <f>IFERROR(INDEX('Input Giocatori 2026_27'!$G$3:$G$493,MATCH($A373,'Input Giocatori 2026_27'!$A$3:$A$493,0)),"")</f>
        <v>6</v>
      </c>
      <c r="P373" s="23" t="str">
        <f>IFERROR(IF($O373="","",IF((1-(COUNTIFS($B$2:$B$492,$B373,$O$2:$O$492,"&gt;"&amp;$O373)+1-1)/COUNTIF($B$2:$B$492,$B373))&gt;='Parametri Modello'!$B$63,"Top",IF((1-(COUNTIFS($B$2:$B$492,$B373,$O$2:$O$492,"&gt;"&amp;$O373)+1-1)/COUNTIF($B$2:$B$492,$B373))&gt;='Parametri Modello'!$B$64,"Buono",IF((1-(COUNTIFS($B$2:$B$492,$B373,$O$2:$O$492,"&gt;"&amp;$O373)+1-1)/COUNTIF($B$2:$B$492,$B373))&gt;='Parametri Modello'!$B$65,"Nella Media","Scommessa/Riserva")))),"")</f>
        <v>Scommessa/Riserva</v>
      </c>
      <c r="Q373" s="26">
        <f>IF(AND($D373="",$N373&gt;1),SUMPRODUCT(($D$2:$D373="")*($N$2:$N373&gt;1)),"")</f>
        <v>371</v>
      </c>
      <c r="R373" s="26" t="str">
        <f>IF($D373='Info Lega'!$B$28,COUNTIFS($D$2:$D373,'Info Lega'!$B$28),"")</f>
        <v/>
      </c>
      <c r="S373" s="27" t="str">
        <f>IFERROR(INDEX('Input Statistiche 2025_26'!$G$3:$G$665,MATCH($A373,'Input Statistiche 2025_26'!$A$3:$A$665,0)),"")</f>
        <v/>
      </c>
      <c r="T373" s="27" t="str">
        <f>IFERROR(INDEX('Input Statistiche 2025_26'!$H$3:$H$665,MATCH($A373,'Input Statistiche 2025_26'!$A$3:$A$665,0)),"")</f>
        <v/>
      </c>
      <c r="U373" s="23" t="str">
        <f>IF(OR('La Mia Rosa'!$O$12="",$D373&lt;&gt;""),"",IF($F373&lt;='La Mia Rosa'!$O$12*'Parametri Modello'!$B$24,"OK",IF($F373&lt;='La Mia Rosa'!$O$12*'Parametri Modello'!$B$25,"Attenzione","Rischio Alto")))</f>
        <v>OK</v>
      </c>
      <c r="V373" s="23">
        <f t="shared" si="46"/>
        <v>134</v>
      </c>
      <c r="W373" s="18">
        <f>'Info Lega'!$B$4-SUMIFS($M$2:$M$492,$D$2:$D$492,'Info Lega'!$B$28)</f>
        <v>1000</v>
      </c>
      <c r="X373" s="18">
        <f>('Info Lega'!$B$5-COUNTIFS($D$2:$D$492,'Info Lega'!$B$28,$B$2:$B$492,"P"))+('Info Lega'!$B$6-COUNTIFS($D$2:$D$492,'Info Lega'!$B$28,$B$2:$B$492,"D"))+('Info Lega'!$B$7-COUNTIFS($D$2:$D$492,'Info Lega'!$B$28,$B$2:$B$492,"C"))+('Info Lega'!$B$8-COUNTIFS($D$2:$D$492,'Info Lega'!$B$28,$B$2:$B$492,"A"))</f>
        <v>25</v>
      </c>
      <c r="Y373" s="18">
        <f>X373*'Parametri Modello'!$B$30</f>
        <v>25</v>
      </c>
      <c r="Z373" s="18">
        <f t="shared" si="47"/>
        <v>975</v>
      </c>
      <c r="AA373" s="18">
        <f t="shared" si="48"/>
        <v>1</v>
      </c>
      <c r="AB373" s="18"/>
      <c r="AC373" s="18" t="str">
        <f>IF($AB373="","",IF($AB373&gt;$AA373,"PASS",IF($AB373&lt;=$AA373*(1-'Parametri Modello'!$B$68),"BID","ATTENZIONE")))</f>
        <v/>
      </c>
      <c r="AD373" s="28" t="str">
        <f t="shared" si="49"/>
        <v/>
      </c>
      <c r="AE373" s="5" t="str">
        <f>IFERROR(IF($AF373="Titolare",INDEX('Stato Asta'!$G$9:$G$12,MATCH($B373,'Stato Asta'!$A$9:$A$12,0)),INDEX('Stato Asta'!$P$9:$P$12,MATCH($B373,'Stato Asta'!$A$9:$A$12,0))),"")</f>
        <v>🟢 Riserve abbondanti</v>
      </c>
      <c r="AF373" t="str">
        <f>IFERROR(IF($V373&lt;=INDEX('Parametri Modello'!$C$57:$C$60,MATCH($B373,'Parametri Modello'!$A$57:$A$60,0)),"Titolare","Riserva"),"")</f>
        <v>Riserva</v>
      </c>
      <c r="AG373" t="str">
        <f>IFERROR(INDEX('Pressione Competitiva'!$F$3:$F$6,MATCH($B373,'Pressione Competitiva'!$B$3:$B$6,0)),"")</f>
        <v>🔴 Molto Alta</v>
      </c>
      <c r="AH373" t="str">
        <f t="shared" si="50"/>
        <v/>
      </c>
      <c r="AI373" t="str">
        <f>IFERROR(IF($AH373="","",IF($AH373&gt;=$AA373*'Parametri Modello'!$B$68,"🟢 Opportunita'",IF($AH373&lt;=$AA373*'Parametri Modello'!$B$69,"🔴 Sovrapprezzo","🟡 Prezzo Corretto"))),"")</f>
        <v/>
      </c>
      <c r="AJ373" t="str">
        <f t="shared" si="51"/>
        <v/>
      </c>
      <c r="AK373">
        <f t="shared" si="52"/>
        <v>22</v>
      </c>
      <c r="AL373" t="str">
        <f t="shared" si="53"/>
        <v>D|Scommessa/Riserva|22</v>
      </c>
    </row>
    <row r="374" spans="1:38" ht="14.25" customHeight="1" x14ac:dyDescent="0.25">
      <c r="A374" s="18">
        <v>6638</v>
      </c>
      <c r="B374" s="18" t="s">
        <v>88</v>
      </c>
      <c r="C374" s="18" t="s">
        <v>231</v>
      </c>
      <c r="E374" s="23" t="str">
        <f>IF(COUNTIF('Info Strategia'!$D$2:$D$51,$C374)&gt;0,"SI","NO")</f>
        <v>NO</v>
      </c>
      <c r="F374" s="24">
        <f>IFERROR(ROUND(($G374+($H374-$G374)*'Info Strategia'!$B$6)*(1+IF($E374="SI",'Parametri Modello'!$B$7*'Info Strategia'!$B$6,0)),0),"")</f>
        <v>1</v>
      </c>
      <c r="G374" s="24">
        <f>IFERROR(ROUND(MAX(1,(IF($V374&lt;=INDEX('Parametri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H374" s="24">
        <f>IFERROR(ROUND((IF($V374&lt;=INDEX('Parametri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I374" s="23" t="str">
        <f>IFERROR(INDEX('Input Statistiche 2025_26'!$F$3:$F$665,MATCH($A374,'Input Statistiche 2025_26'!$A$3:$A$665,0)),"")</f>
        <v/>
      </c>
      <c r="J374" s="23" t="str">
        <f t="shared" si="45"/>
        <v/>
      </c>
      <c r="K374" s="23" t="str">
        <f>IFERROR(INDEX('Input Statistiche 2025_26'!$I$3:$I$665,MATCH($A374,'Input Statistiche 2025_26'!$A$3:$A$665,0)),"")</f>
        <v/>
      </c>
      <c r="L374" s="23" t="str">
        <f>IFERROR(INDEX('Input Statistiche 2025_26'!$O$3:$O$665,MATCH($A374,'Input Statistiche 2025_26'!$A$3:$A$665,0)),"")</f>
        <v/>
      </c>
      <c r="M374" s="25"/>
      <c r="N374" s="24">
        <f>IFERROR(INDEX('Input Giocatori 2026_27'!$E$3:$E$493,MATCH($A374,'Input Giocatori 2026_27'!$A$3:$A$493,0)),"")</f>
        <v>2</v>
      </c>
      <c r="O374" s="24">
        <f>IFERROR(INDEX('Input Giocatori 2026_27'!$G$3:$G$493,MATCH($A374,'Input Giocatori 2026_27'!$A$3:$A$493,0)),"")</f>
        <v>6</v>
      </c>
      <c r="P374" s="23" t="str">
        <f>IFERROR(IF($O374="","",IF((1-(COUNTIFS($B$2:$B$492,$B374,$O$2:$O$492,"&gt;"&amp;$O374)+1-1)/COUNTIF($B$2:$B$492,$B374))&gt;='Parametri Modello'!$B$63,"Top",IF((1-(COUNTIFS($B$2:$B$492,$B374,$O$2:$O$492,"&gt;"&amp;$O374)+1-1)/COUNTIF($B$2:$B$492,$B374))&gt;='Parametri Modello'!$B$64,"Buono",IF((1-(COUNTIFS($B$2:$B$492,$B374,$O$2:$O$492,"&gt;"&amp;$O374)+1-1)/COUNTIF($B$2:$B$492,$B374))&gt;='Parametri Modello'!$B$65,"Nella Media","Scommessa/Riserva")))),"")</f>
        <v>Scommessa/Riserva</v>
      </c>
      <c r="Q374" s="26">
        <f>IF(AND($D374="",$N374&gt;1),SUMPRODUCT(($D$2:$D374="")*($N$2:$N374&gt;1)),"")</f>
        <v>372</v>
      </c>
      <c r="R374" s="26" t="str">
        <f>IF($D374='Info Lega'!$B$28,COUNTIFS($D$2:$D374,'Info Lega'!$B$28),"")</f>
        <v/>
      </c>
      <c r="S374" s="27" t="str">
        <f>IFERROR(INDEX('Input Statistiche 2025_26'!$G$3:$G$665,MATCH($A374,'Input Statistiche 2025_26'!$A$3:$A$665,0)),"")</f>
        <v/>
      </c>
      <c r="T374" s="27" t="str">
        <f>IFERROR(INDEX('Input Statistiche 2025_26'!$H$3:$H$665,MATCH($A374,'Input Statistiche 2025_26'!$A$3:$A$665,0)),"")</f>
        <v/>
      </c>
      <c r="U374" s="23" t="str">
        <f>IF(OR('La Mia Rosa'!$O$12="",$D374&lt;&gt;""),"",IF($F374&lt;='La Mia Rosa'!$O$12*'Parametri Modello'!$B$24,"OK",IF($F374&lt;='La Mia Rosa'!$O$12*'Parametri Modello'!$B$25,"Attenzione","Rischio Alto")))</f>
        <v>OK</v>
      </c>
      <c r="V374" s="23">
        <f t="shared" si="46"/>
        <v>134</v>
      </c>
      <c r="W374" s="18">
        <f>'Info Lega'!$B$4-SUMIFS($M$2:$M$492,$D$2:$D$492,'Info Lega'!$B$28)</f>
        <v>1000</v>
      </c>
      <c r="X374" s="18">
        <f>('Info Lega'!$B$5-COUNTIFS($D$2:$D$492,'Info Lega'!$B$28,$B$2:$B$492,"P"))+('Info Lega'!$B$6-COUNTIFS($D$2:$D$492,'Info Lega'!$B$28,$B$2:$B$492,"D"))+('Info Lega'!$B$7-COUNTIFS($D$2:$D$492,'Info Lega'!$B$28,$B$2:$B$492,"C"))+('Info Lega'!$B$8-COUNTIFS($D$2:$D$492,'Info Lega'!$B$28,$B$2:$B$492,"A"))</f>
        <v>25</v>
      </c>
      <c r="Y374" s="18">
        <f>X374*'Parametri Modello'!$B$30</f>
        <v>25</v>
      </c>
      <c r="Z374" s="18">
        <f t="shared" si="47"/>
        <v>975</v>
      </c>
      <c r="AA374" s="18">
        <f t="shared" si="48"/>
        <v>1</v>
      </c>
      <c r="AB374" s="18"/>
      <c r="AC374" s="18" t="str">
        <f>IF($AB374="","",IF($AB374&gt;$AA374,"PASS",IF($AB374&lt;=$AA374*(1-'Parametri Modello'!$B$68),"BID","ATTENZIONE")))</f>
        <v/>
      </c>
      <c r="AD374" s="28" t="str">
        <f t="shared" si="49"/>
        <v/>
      </c>
      <c r="AE374" s="5" t="str">
        <f>IFERROR(IF($AF374="Titolare",INDEX('Stato Asta'!$G$9:$G$12,MATCH($B374,'Stato Asta'!$A$9:$A$12,0)),INDEX('Stato Asta'!$P$9:$P$12,MATCH($B374,'Stato Asta'!$A$9:$A$12,0))),"")</f>
        <v>🟢 Riserve abbondanti</v>
      </c>
      <c r="AF374" t="str">
        <f>IFERROR(IF($V374&lt;=INDEX('Parametri Modello'!$C$57:$C$60,MATCH($B374,'Parametri Modello'!$A$57:$A$60,0)),"Titolare","Riserva"),"")</f>
        <v>Riserva</v>
      </c>
      <c r="AG374" t="str">
        <f>IFERROR(INDEX('Pressione Competitiva'!$F$3:$F$6,MATCH($B374,'Pressione Competitiva'!$B$3:$B$6,0)),"")</f>
        <v>🔴 Molto Alta</v>
      </c>
      <c r="AH374" t="str">
        <f t="shared" si="50"/>
        <v/>
      </c>
      <c r="AI374" t="str">
        <f>IFERROR(IF($AH374="","",IF($AH374&gt;=$AA374*'Parametri Modello'!$B$68,"🟢 Opportunita'",IF($AH374&lt;=$AA374*'Parametri Modello'!$B$69,"🔴 Sovrapprezzo","🟡 Prezzo Corretto"))),"")</f>
        <v/>
      </c>
      <c r="AJ374" t="str">
        <f t="shared" si="51"/>
        <v/>
      </c>
      <c r="AK374">
        <f t="shared" si="52"/>
        <v>22</v>
      </c>
      <c r="AL374" t="str">
        <f t="shared" si="53"/>
        <v>D|Scommessa/Riserva|22</v>
      </c>
    </row>
    <row r="375" spans="1:38" ht="14.25" customHeight="1" x14ac:dyDescent="0.25">
      <c r="A375" s="18">
        <v>6980</v>
      </c>
      <c r="B375" s="18" t="s">
        <v>264</v>
      </c>
      <c r="C375" s="18" t="s">
        <v>411</v>
      </c>
      <c r="E375" s="23" t="str">
        <f>IF(COUNTIF('Info Strategia'!$D$2:$D$51,$C375)&gt;0,"SI","NO")</f>
        <v>NO</v>
      </c>
      <c r="F375" s="24">
        <f>IFERROR(ROUND(($G375+($H375-$G375)*'Info Strategia'!$B$6)*(1+IF($E375="SI",'Parametri Modello'!$B$7*'Info Strategia'!$B$6,0)),0),"")</f>
        <v>1</v>
      </c>
      <c r="G375" s="24">
        <f>IFERROR(ROUND(MAX(1,(IF($V375&lt;=INDEX('Parametri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H375" s="24">
        <f>IFERROR(ROUND((IF($V375&lt;=INDEX('Parametri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I375" s="23">
        <f>IFERROR(INDEX('Input Statistiche 2025_26'!$F$3:$F$665,MATCH($A375,'Input Statistiche 2025_26'!$A$3:$A$665,0)),"")</f>
        <v>7</v>
      </c>
      <c r="J375" s="23">
        <f t="shared" si="45"/>
        <v>31</v>
      </c>
      <c r="K375" s="23">
        <f>IFERROR(INDEX('Input Statistiche 2025_26'!$I$3:$I$665,MATCH($A375,'Input Statistiche 2025_26'!$A$3:$A$665,0)),"")</f>
        <v>0</v>
      </c>
      <c r="L375" s="23">
        <f>IFERROR(INDEX('Input Statistiche 2025_26'!$O$3:$O$665,MATCH($A375,'Input Statistiche 2025_26'!$A$3:$A$665,0)),"")</f>
        <v>0</v>
      </c>
      <c r="M375" s="25"/>
      <c r="N375" s="24">
        <f>IFERROR(INDEX('Input Giocatori 2026_27'!$E$3:$E$493,MATCH($A375,'Input Giocatori 2026_27'!$A$3:$A$493,0)),"")</f>
        <v>2</v>
      </c>
      <c r="O375" s="24">
        <f>IFERROR(INDEX('Input Giocatori 2026_27'!$G$3:$G$493,MATCH($A375,'Input Giocatori 2026_27'!$A$3:$A$493,0)),"")</f>
        <v>6</v>
      </c>
      <c r="P375" s="23" t="str">
        <f>IFERROR(IF($O375="","",IF((1-(COUNTIFS($B$2:$B$492,$B375,$O$2:$O$492,"&gt;"&amp;$O375)+1-1)/COUNTIF($B$2:$B$492,$B375))&gt;='Parametri Modello'!$B$63,"Top",IF((1-(COUNTIFS($B$2:$B$492,$B375,$O$2:$O$492,"&gt;"&amp;$O375)+1-1)/COUNTIF($B$2:$B$492,$B375))&gt;='Parametri Modello'!$B$64,"Buono",IF((1-(COUNTIFS($B$2:$B$492,$B375,$O$2:$O$492,"&gt;"&amp;$O375)+1-1)/COUNTIF($B$2:$B$492,$B375))&gt;='Parametri Modello'!$B$65,"Nella Media","Scommessa/Riserva")))),"")</f>
        <v>Scommessa/Riserva</v>
      </c>
      <c r="Q375" s="26">
        <f>IF(AND($D375="",$N375&gt;1),SUMPRODUCT(($D$2:$D375="")*($N$2:$N375&gt;1)),"")</f>
        <v>373</v>
      </c>
      <c r="R375" s="26" t="str">
        <f>IF($D375='Info Lega'!$B$28,COUNTIFS($D$2:$D375,'Info Lega'!$B$28),"")</f>
        <v/>
      </c>
      <c r="S375" s="27">
        <f>IFERROR(INDEX('Input Statistiche 2025_26'!$G$3:$G$665,MATCH($A375,'Input Statistiche 2025_26'!$A$3:$A$665,0)),"")</f>
        <v>5.86</v>
      </c>
      <c r="T375" s="27">
        <f>IFERROR(INDEX('Input Statistiche 2025_26'!$H$3:$H$665,MATCH($A375,'Input Statistiche 2025_26'!$A$3:$A$665,0)),"")</f>
        <v>5.86</v>
      </c>
      <c r="U375" s="23" t="str">
        <f>IF(OR('La Mia Rosa'!$O$12="",$D375&lt;&gt;""),"",IF($F375&lt;='La Mia Rosa'!$O$12*'Parametri Modello'!$B$24,"OK",IF($F375&lt;='La Mia Rosa'!$O$12*'Parametri Modello'!$B$25,"Attenzione","Rischio Alto")))</f>
        <v>OK</v>
      </c>
      <c r="V375" s="23">
        <f t="shared" si="46"/>
        <v>142</v>
      </c>
      <c r="W375" s="18">
        <f>'Info Lega'!$B$4-SUMIFS($M$2:$M$492,$D$2:$D$492,'Info Lega'!$B$28)</f>
        <v>1000</v>
      </c>
      <c r="X375" s="18">
        <f>('Info Lega'!$B$5-COUNTIFS($D$2:$D$492,'Info Lega'!$B$28,$B$2:$B$492,"P"))+('Info Lega'!$B$6-COUNTIFS($D$2:$D$492,'Info Lega'!$B$28,$B$2:$B$492,"D"))+('Info Lega'!$B$7-COUNTIFS($D$2:$D$492,'Info Lega'!$B$28,$B$2:$B$492,"C"))+('Info Lega'!$B$8-COUNTIFS($D$2:$D$492,'Info Lega'!$B$28,$B$2:$B$492,"A"))</f>
        <v>25</v>
      </c>
      <c r="Y375" s="18">
        <f>X375*'Parametri Modello'!$B$30</f>
        <v>25</v>
      </c>
      <c r="Z375" s="18">
        <f t="shared" si="47"/>
        <v>975</v>
      </c>
      <c r="AA375" s="18">
        <f t="shared" si="48"/>
        <v>1</v>
      </c>
      <c r="AB375" s="18"/>
      <c r="AC375" s="18" t="str">
        <f>IF($AB375="","",IF($AB375&gt;$AA375,"PASS",IF($AB375&lt;=$AA375*(1-'Parametri Modello'!$B$68),"BID","ATTENZIONE")))</f>
        <v/>
      </c>
      <c r="AD375" s="28">
        <f t="shared" si="49"/>
        <v>21</v>
      </c>
      <c r="AE375" s="5" t="str">
        <f>IFERROR(IF($AF375="Titolare",INDEX('Stato Asta'!$G$9:$G$12,MATCH($B375,'Stato Asta'!$A$9:$A$12,0)),INDEX('Stato Asta'!$P$9:$P$12,MATCH($B375,'Stato Asta'!$A$9:$A$12,0))),"")</f>
        <v>🟢 Riserve abbondanti</v>
      </c>
      <c r="AF375" t="str">
        <f>IFERROR(IF($V375&lt;=INDEX('Parametri Modello'!$C$57:$C$60,MATCH($B375,'Parametri Modello'!$A$57:$A$60,0)),"Titolare","Riserva"),"")</f>
        <v>Riserva</v>
      </c>
      <c r="AG375" t="str">
        <f>IFERROR(INDEX('Pressione Competitiva'!$F$3:$F$6,MATCH($B375,'Pressione Competitiva'!$B$3:$B$6,0)),"")</f>
        <v>🔴 Molto Alta</v>
      </c>
      <c r="AH375" t="str">
        <f t="shared" si="50"/>
        <v/>
      </c>
      <c r="AI375" t="str">
        <f>IFERROR(IF($AH375="","",IF($AH375&gt;=$AA375*'Parametri Modello'!$B$68,"🟢 Opportunita'",IF($AH375&lt;=$AA375*'Parametri Modello'!$B$69,"🔴 Sovrapprezzo","🟡 Prezzo Corretto"))),"")</f>
        <v/>
      </c>
      <c r="AJ375" t="str">
        <f t="shared" si="51"/>
        <v/>
      </c>
      <c r="AK375">
        <f t="shared" si="52"/>
        <v>38</v>
      </c>
      <c r="AL375" t="str">
        <f t="shared" si="53"/>
        <v>C|Scommessa/Riserva|38</v>
      </c>
    </row>
    <row r="376" spans="1:38" ht="14.25" customHeight="1" x14ac:dyDescent="0.25">
      <c r="A376" s="18">
        <v>5295</v>
      </c>
      <c r="B376" s="18" t="s">
        <v>264</v>
      </c>
      <c r="C376" s="18" t="s">
        <v>413</v>
      </c>
      <c r="E376" s="23" t="str">
        <f>IF(COUNTIF('Info Strategia'!$D$2:$D$51,$C376)&gt;0,"SI","NO")</f>
        <v>NO</v>
      </c>
      <c r="F376" s="24">
        <f>IFERROR(ROUND(($G376+($H376-$G376)*'Info Strategia'!$B$6)*(1+IF($E376="SI",'Parametri Modello'!$B$7*'Info Strategia'!$B$6,0)),0),"")</f>
        <v>1</v>
      </c>
      <c r="G376" s="24">
        <f>IFERROR(ROUND(MAX(1,(IF($V376&lt;=INDEX('Parametri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H376" s="24">
        <f>IFERROR(ROUND((IF($V376&lt;=INDEX('Parametri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I376" s="23">
        <f>IFERROR(INDEX('Input Statistiche 2025_26'!$F$3:$F$665,MATCH($A376,'Input Statistiche 2025_26'!$A$3:$A$665,0)),"")</f>
        <v>16</v>
      </c>
      <c r="J376" s="23">
        <f t="shared" si="45"/>
        <v>22</v>
      </c>
      <c r="K376" s="23">
        <f>IFERROR(INDEX('Input Statistiche 2025_26'!$I$3:$I$665,MATCH($A376,'Input Statistiche 2025_26'!$A$3:$A$665,0)),"")</f>
        <v>1</v>
      </c>
      <c r="L376" s="23">
        <f>IFERROR(INDEX('Input Statistiche 2025_26'!$O$3:$O$665,MATCH($A376,'Input Statistiche 2025_26'!$A$3:$A$665,0)),"")</f>
        <v>0</v>
      </c>
      <c r="M376" s="25"/>
      <c r="N376" s="24">
        <f>IFERROR(INDEX('Input Giocatori 2026_27'!$E$3:$E$493,MATCH($A376,'Input Giocatori 2026_27'!$A$3:$A$493,0)),"")</f>
        <v>2</v>
      </c>
      <c r="O376" s="24">
        <f>IFERROR(INDEX('Input Giocatori 2026_27'!$G$3:$G$493,MATCH($A376,'Input Giocatori 2026_27'!$A$3:$A$493,0)),"")</f>
        <v>6</v>
      </c>
      <c r="P376" s="23" t="str">
        <f>IFERROR(IF($O376="","",IF((1-(COUNTIFS($B$2:$B$492,$B376,$O$2:$O$492,"&gt;"&amp;$O376)+1-1)/COUNTIF($B$2:$B$492,$B376))&gt;='Parametri Modello'!$B$63,"Top",IF((1-(COUNTIFS($B$2:$B$492,$B376,$O$2:$O$492,"&gt;"&amp;$O376)+1-1)/COUNTIF($B$2:$B$492,$B376))&gt;='Parametri Modello'!$B$64,"Buono",IF((1-(COUNTIFS($B$2:$B$492,$B376,$O$2:$O$492,"&gt;"&amp;$O376)+1-1)/COUNTIF($B$2:$B$492,$B376))&gt;='Parametri Modello'!$B$65,"Nella Media","Scommessa/Riserva")))),"")</f>
        <v>Scommessa/Riserva</v>
      </c>
      <c r="Q376" s="26">
        <f>IF(AND($D376="",$N376&gt;1),SUMPRODUCT(($D$2:$D376="")*($N$2:$N376&gt;1)),"")</f>
        <v>374</v>
      </c>
      <c r="R376" s="26" t="str">
        <f>IF($D376='Info Lega'!$B$28,COUNTIFS($D$2:$D376,'Info Lega'!$B$28),"")</f>
        <v/>
      </c>
      <c r="S376" s="27">
        <f>IFERROR(INDEX('Input Statistiche 2025_26'!$G$3:$G$665,MATCH($A376,'Input Statistiche 2025_26'!$A$3:$A$665,0)),"")</f>
        <v>5.94</v>
      </c>
      <c r="T376" s="27">
        <f>IFERROR(INDEX('Input Statistiche 2025_26'!$H$3:$H$665,MATCH($A376,'Input Statistiche 2025_26'!$A$3:$A$665,0)),"")</f>
        <v>6.09</v>
      </c>
      <c r="U376" s="23" t="str">
        <f>IF(OR('La Mia Rosa'!$O$12="",$D376&lt;&gt;""),"",IF($F376&lt;='La Mia Rosa'!$O$12*'Parametri Modello'!$B$24,"OK",IF($F376&lt;='La Mia Rosa'!$O$12*'Parametri Modello'!$B$25,"Attenzione","Rischio Alto")))</f>
        <v>OK</v>
      </c>
      <c r="V376" s="23">
        <f t="shared" si="46"/>
        <v>142</v>
      </c>
      <c r="W376" s="18">
        <f>'Info Lega'!$B$4-SUMIFS($M$2:$M$492,$D$2:$D$492,'Info Lega'!$B$28)</f>
        <v>1000</v>
      </c>
      <c r="X376" s="18">
        <f>('Info Lega'!$B$5-COUNTIFS($D$2:$D$492,'Info Lega'!$B$28,$B$2:$B$492,"P"))+('Info Lega'!$B$6-COUNTIFS($D$2:$D$492,'Info Lega'!$B$28,$B$2:$B$492,"D"))+('Info Lega'!$B$7-COUNTIFS($D$2:$D$492,'Info Lega'!$B$28,$B$2:$B$492,"C"))+('Info Lega'!$B$8-COUNTIFS($D$2:$D$492,'Info Lega'!$B$28,$B$2:$B$492,"A"))</f>
        <v>25</v>
      </c>
      <c r="Y376" s="18">
        <f>X376*'Parametri Modello'!$B$30</f>
        <v>25</v>
      </c>
      <c r="Z376" s="18">
        <f t="shared" si="47"/>
        <v>975</v>
      </c>
      <c r="AA376" s="18">
        <f t="shared" si="48"/>
        <v>1</v>
      </c>
      <c r="AB376" s="18"/>
      <c r="AC376" s="18" t="str">
        <f>IF($AB376="","",IF($AB376&gt;$AA376,"PASS",IF($AB376&lt;=$AA376*(1-'Parametri Modello'!$B$68),"BID","ATTENZIONE")))</f>
        <v/>
      </c>
      <c r="AD376" s="28">
        <f t="shared" si="49"/>
        <v>41</v>
      </c>
      <c r="AE376" s="5" t="str">
        <f>IFERROR(IF($AF376="Titolare",INDEX('Stato Asta'!$G$9:$G$12,MATCH($B376,'Stato Asta'!$A$9:$A$12,0)),INDEX('Stato Asta'!$P$9:$P$12,MATCH($B376,'Stato Asta'!$A$9:$A$12,0))),"")</f>
        <v>🟢 Riserve abbondanti</v>
      </c>
      <c r="AF376" t="str">
        <f>IFERROR(IF($V376&lt;=INDEX('Parametri Modello'!$C$57:$C$60,MATCH($B376,'Parametri Modello'!$A$57:$A$60,0)),"Titolare","Riserva"),"")</f>
        <v>Riserva</v>
      </c>
      <c r="AG376" t="str">
        <f>IFERROR(INDEX('Pressione Competitiva'!$F$3:$F$6,MATCH($B376,'Pressione Competitiva'!$B$3:$B$6,0)),"")</f>
        <v>🔴 Molto Alta</v>
      </c>
      <c r="AH376" t="str">
        <f t="shared" si="50"/>
        <v/>
      </c>
      <c r="AI376" t="str">
        <f>IFERROR(IF($AH376="","",IF($AH376&gt;=$AA376*'Parametri Modello'!$B$68,"🟢 Opportunita'",IF($AH376&lt;=$AA376*'Parametri Modello'!$B$69,"🔴 Sovrapprezzo","🟡 Prezzo Corretto"))),"")</f>
        <v/>
      </c>
      <c r="AJ376" t="str">
        <f t="shared" si="51"/>
        <v/>
      </c>
      <c r="AK376">
        <f t="shared" si="52"/>
        <v>38</v>
      </c>
      <c r="AL376" t="str">
        <f t="shared" si="53"/>
        <v>C|Scommessa/Riserva|38</v>
      </c>
    </row>
    <row r="377" spans="1:38" ht="14.25" customHeight="1" x14ac:dyDescent="0.25">
      <c r="A377" s="18">
        <v>5880</v>
      </c>
      <c r="B377" s="18" t="s">
        <v>264</v>
      </c>
      <c r="C377" s="18" t="s">
        <v>414</v>
      </c>
      <c r="E377" s="23" t="str">
        <f>IF(COUNTIF('Info Strategia'!$D$2:$D$51,$C377)&gt;0,"SI","NO")</f>
        <v>NO</v>
      </c>
      <c r="F377" s="24">
        <f>IFERROR(ROUND(($G377+($H377-$G377)*'Info Strategia'!$B$6)*(1+IF($E377="SI",'Parametri Modello'!$B$7*'Info Strategia'!$B$6,0)),0),"")</f>
        <v>1</v>
      </c>
      <c r="G377" s="24">
        <f>IFERROR(ROUND(MAX(1,(IF($V377&lt;=INDEX('Parametri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H377" s="24">
        <f>IFERROR(ROUND((IF($V377&lt;=INDEX('Parametri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I377" s="23" t="str">
        <f>IFERROR(INDEX('Input Statistiche 2025_26'!$F$3:$F$665,MATCH($A377,'Input Statistiche 2025_26'!$A$3:$A$665,0)),"")</f>
        <v/>
      </c>
      <c r="J377" s="23" t="str">
        <f t="shared" si="45"/>
        <v/>
      </c>
      <c r="K377" s="23" t="str">
        <f>IFERROR(INDEX('Input Statistiche 2025_26'!$I$3:$I$665,MATCH($A377,'Input Statistiche 2025_26'!$A$3:$A$665,0)),"")</f>
        <v/>
      </c>
      <c r="L377" s="23" t="str">
        <f>IFERROR(INDEX('Input Statistiche 2025_26'!$O$3:$O$665,MATCH($A377,'Input Statistiche 2025_26'!$A$3:$A$665,0)),"")</f>
        <v/>
      </c>
      <c r="M377" s="25"/>
      <c r="N377" s="24">
        <f>IFERROR(INDEX('Input Giocatori 2026_27'!$E$3:$E$493,MATCH($A377,'Input Giocatori 2026_27'!$A$3:$A$493,0)),"")</f>
        <v>2</v>
      </c>
      <c r="O377" s="24">
        <f>IFERROR(INDEX('Input Giocatori 2026_27'!$G$3:$G$493,MATCH($A377,'Input Giocatori 2026_27'!$A$3:$A$493,0)),"")</f>
        <v>6</v>
      </c>
      <c r="P377" s="23" t="str">
        <f>IFERROR(IF($O377="","",IF((1-(COUNTIFS($B$2:$B$492,$B377,$O$2:$O$492,"&gt;"&amp;$O377)+1-1)/COUNTIF($B$2:$B$492,$B377))&gt;='Parametri Modello'!$B$63,"Top",IF((1-(COUNTIFS($B$2:$B$492,$B377,$O$2:$O$492,"&gt;"&amp;$O377)+1-1)/COUNTIF($B$2:$B$492,$B377))&gt;='Parametri Modello'!$B$64,"Buono",IF((1-(COUNTIFS($B$2:$B$492,$B377,$O$2:$O$492,"&gt;"&amp;$O377)+1-1)/COUNTIF($B$2:$B$492,$B377))&gt;='Parametri Modello'!$B$65,"Nella Media","Scommessa/Riserva")))),"")</f>
        <v>Scommessa/Riserva</v>
      </c>
      <c r="Q377" s="26">
        <f>IF(AND($D377="",$N377&gt;1),SUMPRODUCT(($D$2:$D377="")*($N$2:$N377&gt;1)),"")</f>
        <v>375</v>
      </c>
      <c r="R377" s="26" t="str">
        <f>IF($D377='Info Lega'!$B$28,COUNTIFS($D$2:$D377,'Info Lega'!$B$28),"")</f>
        <v/>
      </c>
      <c r="S377" s="27" t="str">
        <f>IFERROR(INDEX('Input Statistiche 2025_26'!$G$3:$G$665,MATCH($A377,'Input Statistiche 2025_26'!$A$3:$A$665,0)),"")</f>
        <v/>
      </c>
      <c r="T377" s="27" t="str">
        <f>IFERROR(INDEX('Input Statistiche 2025_26'!$H$3:$H$665,MATCH($A377,'Input Statistiche 2025_26'!$A$3:$A$665,0)),"")</f>
        <v/>
      </c>
      <c r="U377" s="23" t="str">
        <f>IF(OR('La Mia Rosa'!$O$12="",$D377&lt;&gt;""),"",IF($F377&lt;='La Mia Rosa'!$O$12*'Parametri Modello'!$B$24,"OK",IF($F377&lt;='La Mia Rosa'!$O$12*'Parametri Modello'!$B$25,"Attenzione","Rischio Alto")))</f>
        <v>OK</v>
      </c>
      <c r="V377" s="23">
        <f t="shared" si="46"/>
        <v>142</v>
      </c>
      <c r="W377" s="18">
        <f>'Info Lega'!$B$4-SUMIFS($M$2:$M$492,$D$2:$D$492,'Info Lega'!$B$28)</f>
        <v>1000</v>
      </c>
      <c r="X377" s="18">
        <f>('Info Lega'!$B$5-COUNTIFS($D$2:$D$492,'Info Lega'!$B$28,$B$2:$B$492,"P"))+('Info Lega'!$B$6-COUNTIFS($D$2:$D$492,'Info Lega'!$B$28,$B$2:$B$492,"D"))+('Info Lega'!$B$7-COUNTIFS($D$2:$D$492,'Info Lega'!$B$28,$B$2:$B$492,"C"))+('Info Lega'!$B$8-COUNTIFS($D$2:$D$492,'Info Lega'!$B$28,$B$2:$B$492,"A"))</f>
        <v>25</v>
      </c>
      <c r="Y377" s="18">
        <f>X377*'Parametri Modello'!$B$30</f>
        <v>25</v>
      </c>
      <c r="Z377" s="18">
        <f t="shared" si="47"/>
        <v>975</v>
      </c>
      <c r="AA377" s="18">
        <f t="shared" si="48"/>
        <v>1</v>
      </c>
      <c r="AB377" s="18"/>
      <c r="AC377" s="18" t="str">
        <f>IF($AB377="","",IF($AB377&gt;$AA377,"PASS",IF($AB377&lt;=$AA377*(1-'Parametri Modello'!$B$68),"BID","ATTENZIONE")))</f>
        <v/>
      </c>
      <c r="AD377" s="28" t="str">
        <f t="shared" si="49"/>
        <v/>
      </c>
      <c r="AE377" s="5" t="str">
        <f>IFERROR(IF($AF377="Titolare",INDEX('Stato Asta'!$G$9:$G$12,MATCH($B377,'Stato Asta'!$A$9:$A$12,0)),INDEX('Stato Asta'!$P$9:$P$12,MATCH($B377,'Stato Asta'!$A$9:$A$12,0))),"")</f>
        <v>🟢 Riserve abbondanti</v>
      </c>
      <c r="AF377" t="str">
        <f>IFERROR(IF($V377&lt;=INDEX('Parametri Modello'!$C$57:$C$60,MATCH($B377,'Parametri Modello'!$A$57:$A$60,0)),"Titolare","Riserva"),"")</f>
        <v>Riserva</v>
      </c>
      <c r="AG377" t="str">
        <f>IFERROR(INDEX('Pressione Competitiva'!$F$3:$F$6,MATCH($B377,'Pressione Competitiva'!$B$3:$B$6,0)),"")</f>
        <v>🔴 Molto Alta</v>
      </c>
      <c r="AH377" t="str">
        <f t="shared" si="50"/>
        <v/>
      </c>
      <c r="AI377" t="str">
        <f>IFERROR(IF($AH377="","",IF($AH377&gt;=$AA377*'Parametri Modello'!$B$68,"🟢 Opportunita'",IF($AH377&lt;=$AA377*'Parametri Modello'!$B$69,"🔴 Sovrapprezzo","🟡 Prezzo Corretto"))),"")</f>
        <v/>
      </c>
      <c r="AJ377" t="str">
        <f t="shared" si="51"/>
        <v/>
      </c>
      <c r="AK377">
        <f t="shared" si="52"/>
        <v>38</v>
      </c>
      <c r="AL377" t="str">
        <f t="shared" si="53"/>
        <v>C|Scommessa/Riserva|38</v>
      </c>
    </row>
    <row r="378" spans="1:38" ht="14.25" customHeight="1" x14ac:dyDescent="0.25">
      <c r="A378" s="18">
        <v>7418</v>
      </c>
      <c r="B378" s="18" t="s">
        <v>264</v>
      </c>
      <c r="C378" s="18" t="s">
        <v>418</v>
      </c>
      <c r="E378" s="23" t="str">
        <f>IF(COUNTIF('Info Strategia'!$D$2:$D$51,$C378)&gt;0,"SI","NO")</f>
        <v>NO</v>
      </c>
      <c r="F378" s="24">
        <f>IFERROR(ROUND(($G378+($H378-$G378)*'Info Strategia'!$B$6)*(1+IF($E378="SI",'Parametri Modello'!$B$7*'Info Strategia'!$B$6,0)),0),"")</f>
        <v>1</v>
      </c>
      <c r="G378" s="24">
        <f>IFERROR(ROUND(MAX(1,(IF($V378&lt;=INDEX('Parametri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H378" s="24">
        <f>IFERROR(ROUND((IF($V378&lt;=INDEX('Parametri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I378" s="23" t="str">
        <f>IFERROR(INDEX('Input Statistiche 2025_26'!$F$3:$F$665,MATCH($A378,'Input Statistiche 2025_26'!$A$3:$A$665,0)),"")</f>
        <v/>
      </c>
      <c r="J378" s="23" t="str">
        <f t="shared" si="45"/>
        <v/>
      </c>
      <c r="K378" s="23" t="str">
        <f>IFERROR(INDEX('Input Statistiche 2025_26'!$I$3:$I$665,MATCH($A378,'Input Statistiche 2025_26'!$A$3:$A$665,0)),"")</f>
        <v/>
      </c>
      <c r="L378" s="23" t="str">
        <f>IFERROR(INDEX('Input Statistiche 2025_26'!$O$3:$O$665,MATCH($A378,'Input Statistiche 2025_26'!$A$3:$A$665,0)),"")</f>
        <v/>
      </c>
      <c r="M378" s="25"/>
      <c r="N378" s="24">
        <f>IFERROR(INDEX('Input Giocatori 2026_27'!$E$3:$E$493,MATCH($A378,'Input Giocatori 2026_27'!$A$3:$A$493,0)),"")</f>
        <v>2</v>
      </c>
      <c r="O378" s="24">
        <f>IFERROR(INDEX('Input Giocatori 2026_27'!$G$3:$G$493,MATCH($A378,'Input Giocatori 2026_27'!$A$3:$A$493,0)),"")</f>
        <v>6</v>
      </c>
      <c r="P378" s="23" t="str">
        <f>IFERROR(IF($O378="","",IF((1-(COUNTIFS($B$2:$B$492,$B378,$O$2:$O$492,"&gt;"&amp;$O378)+1-1)/COUNTIF($B$2:$B$492,$B378))&gt;='Parametri Modello'!$B$63,"Top",IF((1-(COUNTIFS($B$2:$B$492,$B378,$O$2:$O$492,"&gt;"&amp;$O378)+1-1)/COUNTIF($B$2:$B$492,$B378))&gt;='Parametri Modello'!$B$64,"Buono",IF((1-(COUNTIFS($B$2:$B$492,$B378,$O$2:$O$492,"&gt;"&amp;$O378)+1-1)/COUNTIF($B$2:$B$492,$B378))&gt;='Parametri Modello'!$B$65,"Nella Media","Scommessa/Riserva")))),"")</f>
        <v>Scommessa/Riserva</v>
      </c>
      <c r="Q378" s="26">
        <f>IF(AND($D378="",$N378&gt;1),SUMPRODUCT(($D$2:$D378="")*($N$2:$N378&gt;1)),"")</f>
        <v>376</v>
      </c>
      <c r="R378" s="26" t="str">
        <f>IF($D378='Info Lega'!$B$28,COUNTIFS($D$2:$D378,'Info Lega'!$B$28),"")</f>
        <v/>
      </c>
      <c r="S378" s="27" t="str">
        <f>IFERROR(INDEX('Input Statistiche 2025_26'!$G$3:$G$665,MATCH($A378,'Input Statistiche 2025_26'!$A$3:$A$665,0)),"")</f>
        <v/>
      </c>
      <c r="T378" s="27" t="str">
        <f>IFERROR(INDEX('Input Statistiche 2025_26'!$H$3:$H$665,MATCH($A378,'Input Statistiche 2025_26'!$A$3:$A$665,0)),"")</f>
        <v/>
      </c>
      <c r="U378" s="23" t="str">
        <f>IF(OR('La Mia Rosa'!$O$12="",$D378&lt;&gt;""),"",IF($F378&lt;='La Mia Rosa'!$O$12*'Parametri Modello'!$B$24,"OK",IF($F378&lt;='La Mia Rosa'!$O$12*'Parametri Modello'!$B$25,"Attenzione","Rischio Alto")))</f>
        <v>OK</v>
      </c>
      <c r="V378" s="23">
        <f t="shared" si="46"/>
        <v>142</v>
      </c>
      <c r="W378" s="18">
        <f>'Info Lega'!$B$4-SUMIFS($M$2:$M$492,$D$2:$D$492,'Info Lega'!$B$28)</f>
        <v>1000</v>
      </c>
      <c r="X378" s="18">
        <f>('Info Lega'!$B$5-COUNTIFS($D$2:$D$492,'Info Lega'!$B$28,$B$2:$B$492,"P"))+('Info Lega'!$B$6-COUNTIFS($D$2:$D$492,'Info Lega'!$B$28,$B$2:$B$492,"D"))+('Info Lega'!$B$7-COUNTIFS($D$2:$D$492,'Info Lega'!$B$28,$B$2:$B$492,"C"))+('Info Lega'!$B$8-COUNTIFS($D$2:$D$492,'Info Lega'!$B$28,$B$2:$B$492,"A"))</f>
        <v>25</v>
      </c>
      <c r="Y378" s="18">
        <f>X378*'Parametri Modello'!$B$30</f>
        <v>25</v>
      </c>
      <c r="Z378" s="18">
        <f t="shared" si="47"/>
        <v>975</v>
      </c>
      <c r="AA378" s="18">
        <f t="shared" si="48"/>
        <v>1</v>
      </c>
      <c r="AB378" s="18"/>
      <c r="AC378" s="18" t="str">
        <f>IF($AB378="","",IF($AB378&gt;$AA378,"PASS",IF($AB378&lt;=$AA378*(1-'Parametri Modello'!$B$68),"BID","ATTENZIONE")))</f>
        <v/>
      </c>
      <c r="AD378" s="28" t="str">
        <f t="shared" si="49"/>
        <v/>
      </c>
      <c r="AE378" s="5" t="str">
        <f>IFERROR(IF($AF378="Titolare",INDEX('Stato Asta'!$G$9:$G$12,MATCH($B378,'Stato Asta'!$A$9:$A$12,0)),INDEX('Stato Asta'!$P$9:$P$12,MATCH($B378,'Stato Asta'!$A$9:$A$12,0))),"")</f>
        <v>🟢 Riserve abbondanti</v>
      </c>
      <c r="AF378" t="str">
        <f>IFERROR(IF($V378&lt;=INDEX('Parametri Modello'!$C$57:$C$60,MATCH($B378,'Parametri Modello'!$A$57:$A$60,0)),"Titolare","Riserva"),"")</f>
        <v>Riserva</v>
      </c>
      <c r="AG378" t="str">
        <f>IFERROR(INDEX('Pressione Competitiva'!$F$3:$F$6,MATCH($B378,'Pressione Competitiva'!$B$3:$B$6,0)),"")</f>
        <v>🔴 Molto Alta</v>
      </c>
      <c r="AH378" t="str">
        <f t="shared" si="50"/>
        <v/>
      </c>
      <c r="AI378" t="str">
        <f>IFERROR(IF($AH378="","",IF($AH378&gt;=$AA378*'Parametri Modello'!$B$68,"🟢 Opportunita'",IF($AH378&lt;=$AA378*'Parametri Modello'!$B$69,"🔴 Sovrapprezzo","🟡 Prezzo Corretto"))),"")</f>
        <v/>
      </c>
      <c r="AJ378" t="str">
        <f t="shared" si="51"/>
        <v/>
      </c>
      <c r="AK378">
        <f t="shared" si="52"/>
        <v>38</v>
      </c>
      <c r="AL378" t="str">
        <f t="shared" si="53"/>
        <v>C|Scommessa/Riserva|38</v>
      </c>
    </row>
    <row r="379" spans="1:38" ht="14.25" customHeight="1" x14ac:dyDescent="0.25">
      <c r="A379" s="18">
        <v>7411</v>
      </c>
      <c r="B379" s="18" t="s">
        <v>8</v>
      </c>
      <c r="C379" s="18" t="s">
        <v>37</v>
      </c>
      <c r="E379" s="23" t="str">
        <f>IF(COUNTIF('Info Strategia'!$D$2:$D$51,$C379)&gt;0,"SI","NO")</f>
        <v>NO</v>
      </c>
      <c r="F379" s="24">
        <f>IFERROR(ROUND(($G379+($H379-$G379)*'Info Strategia'!$B$6)*(1+IF($E379="SI",'Parametri Modello'!$B$7*'Info Strategia'!$B$6,0)),0),"")</f>
        <v>2</v>
      </c>
      <c r="G379" s="24">
        <f>IFERROR(ROUND(MAX(1,(IF($V379&lt;=INDEX('Parametri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1</v>
      </c>
      <c r="H379" s="24">
        <f>IFERROR(ROUND((IF($V379&lt;=INDEX('Parametri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2</v>
      </c>
      <c r="I379" s="23" t="str">
        <f>IFERROR(INDEX('Input Statistiche 2025_26'!$F$3:$F$665,MATCH($A379,'Input Statistiche 2025_26'!$A$3:$A$665,0)),"")</f>
        <v/>
      </c>
      <c r="J379" s="23" t="str">
        <f t="shared" si="45"/>
        <v/>
      </c>
      <c r="K379" s="23" t="str">
        <f>IFERROR(INDEX('Input Statistiche 2025_26'!$I$3:$I$665,MATCH($A379,'Input Statistiche 2025_26'!$A$3:$A$665,0)),"")</f>
        <v/>
      </c>
      <c r="L379" s="23" t="str">
        <f>IFERROR(INDEX('Input Statistiche 2025_26'!$O$3:$O$665,MATCH($A379,'Input Statistiche 2025_26'!$A$3:$A$665,0)),"")</f>
        <v/>
      </c>
      <c r="M379" s="25"/>
      <c r="N379" s="24">
        <f>IFERROR(INDEX('Input Giocatori 2026_27'!$E$3:$E$493,MATCH($A379,'Input Giocatori 2026_27'!$A$3:$A$493,0)),"")</f>
        <v>7</v>
      </c>
      <c r="O379" s="24">
        <f>IFERROR(INDEX('Input Giocatori 2026_27'!$G$3:$G$493,MATCH($A379,'Input Giocatori 2026_27'!$A$3:$A$493,0)),"")</f>
        <v>5</v>
      </c>
      <c r="P379" s="23" t="str">
        <f>IFERROR(IF($O379="","",IF((1-(COUNTIFS($B$2:$B$492,$B379,$O$2:$O$492,"&gt;"&amp;$O379)+1-1)/COUNTIF($B$2:$B$492,$B379))&gt;='Parametri Modello'!$B$63,"Top",IF((1-(COUNTIFS($B$2:$B$492,$B379,$O$2:$O$492,"&gt;"&amp;$O379)+1-1)/COUNTIF($B$2:$B$492,$B379))&gt;='Parametri Modello'!$B$64,"Buono",IF((1-(COUNTIFS($B$2:$B$492,$B379,$O$2:$O$492,"&gt;"&amp;$O379)+1-1)/COUNTIF($B$2:$B$492,$B379))&gt;='Parametri Modello'!$B$65,"Nella Media","Scommessa/Riserva")))),"")</f>
        <v>Nella Media</v>
      </c>
      <c r="Q379" s="26">
        <f>IF(AND($D379="",$N379&gt;1),SUMPRODUCT(($D$2:$D379="")*($N$2:$N379&gt;1)),"")</f>
        <v>377</v>
      </c>
      <c r="R379" s="26" t="str">
        <f>IF($D379='Info Lega'!$B$28,COUNTIFS($D$2:$D379,'Info Lega'!$B$28),"")</f>
        <v/>
      </c>
      <c r="S379" s="27" t="str">
        <f>IFERROR(INDEX('Input Statistiche 2025_26'!$G$3:$G$665,MATCH($A379,'Input Statistiche 2025_26'!$A$3:$A$665,0)),"")</f>
        <v/>
      </c>
      <c r="T379" s="27" t="str">
        <f>IFERROR(INDEX('Input Statistiche 2025_26'!$H$3:$H$665,MATCH($A379,'Input Statistiche 2025_26'!$A$3:$A$665,0)),"")</f>
        <v/>
      </c>
      <c r="U379" s="23" t="str">
        <f>IF(OR('La Mia Rosa'!$O$12="",$D379&lt;&gt;""),"",IF($F379&lt;='La Mia Rosa'!$O$12*'Parametri Modello'!$B$24,"OK",IF($F379&lt;='La Mia Rosa'!$O$12*'Parametri Modello'!$B$25,"Attenzione","Rischio Alto")))</f>
        <v>OK</v>
      </c>
      <c r="V379" s="23">
        <f t="shared" si="46"/>
        <v>23</v>
      </c>
      <c r="W379" s="18">
        <f>'Info Lega'!$B$4-SUMIFS($M$2:$M$492,$D$2:$D$492,'Info Lega'!$B$28)</f>
        <v>1000</v>
      </c>
      <c r="X379" s="18">
        <f>('Info Lega'!$B$5-COUNTIFS($D$2:$D$492,'Info Lega'!$B$28,$B$2:$B$492,"P"))+('Info Lega'!$B$6-COUNTIFS($D$2:$D$492,'Info Lega'!$B$28,$B$2:$B$492,"D"))+('Info Lega'!$B$7-COUNTIFS($D$2:$D$492,'Info Lega'!$B$28,$B$2:$B$492,"C"))+('Info Lega'!$B$8-COUNTIFS($D$2:$D$492,'Info Lega'!$B$28,$B$2:$B$492,"A"))</f>
        <v>25</v>
      </c>
      <c r="Y379" s="18">
        <f>X379*'Parametri Modello'!$B$30</f>
        <v>25</v>
      </c>
      <c r="Z379" s="18">
        <f t="shared" si="47"/>
        <v>975</v>
      </c>
      <c r="AA379" s="18">
        <f t="shared" si="48"/>
        <v>2</v>
      </c>
      <c r="AB379" s="18"/>
      <c r="AC379" s="18" t="str">
        <f>IF($AB379="","",IF($AB379&gt;$AA379,"PASS",IF($AB379&lt;=$AA379*(1-'Parametri Modello'!$B$68),"BID","ATTENZIONE")))</f>
        <v/>
      </c>
      <c r="AD379" s="28" t="str">
        <f t="shared" si="49"/>
        <v/>
      </c>
      <c r="AE379" s="5" t="str">
        <f>IFERROR(IF($AF379="Titolare",INDEX('Stato Asta'!$G$9:$G$12,MATCH($B379,'Stato Asta'!$A$9:$A$12,0)),INDEX('Stato Asta'!$P$9:$P$12,MATCH($B379,'Stato Asta'!$A$9:$A$12,0))),"")</f>
        <v>🔴 Riserve scarse</v>
      </c>
      <c r="AF379" t="str">
        <f>IFERROR(IF($V379&lt;=INDEX('Parametri Modello'!$C$57:$C$60,MATCH($B379,'Parametri Modello'!$A$57:$A$60,0)),"Titolare","Riserva"),"")</f>
        <v>Riserva</v>
      </c>
      <c r="AG379" t="str">
        <f>IFERROR(INDEX('Pressione Competitiva'!$F$3:$F$6,MATCH($B379,'Pressione Competitiva'!$B$3:$B$6,0)),"")</f>
        <v>🔴 Molto Alta</v>
      </c>
      <c r="AH379" t="str">
        <f t="shared" si="50"/>
        <v/>
      </c>
      <c r="AI379" t="str">
        <f>IFERROR(IF($AH379="","",IF($AH379&gt;=$AA379*'Parametri Modello'!$B$68,"🟢 Opportunita'",IF($AH379&lt;=$AA379*'Parametri Modello'!$B$69,"🔴 Sovrapprezzo","🟡 Prezzo Corretto"))),"")</f>
        <v/>
      </c>
      <c r="AJ379" t="str">
        <f t="shared" si="51"/>
        <v/>
      </c>
      <c r="AK379">
        <f t="shared" si="52"/>
        <v>5</v>
      </c>
      <c r="AL379" t="str">
        <f t="shared" si="53"/>
        <v>P|Nella Media|5</v>
      </c>
    </row>
    <row r="380" spans="1:38" ht="14.25" customHeight="1" x14ac:dyDescent="0.25">
      <c r="A380" s="18">
        <v>2814</v>
      </c>
      <c r="B380" s="18" t="s">
        <v>8</v>
      </c>
      <c r="C380" s="18" t="s">
        <v>51</v>
      </c>
      <c r="E380" s="23" t="str">
        <f>IF(COUNTIF('Info Strategia'!$D$2:$D$51,$C380)&gt;0,"SI","NO")</f>
        <v>NO</v>
      </c>
      <c r="F380" s="24">
        <f>IFERROR(ROUND(($G380+($H380-$G380)*'Info Strategia'!$B$6)*(1+IF($E380="SI",'Parametri Modello'!$B$7*'Info Strategia'!$B$6,0)),0),"")</f>
        <v>2</v>
      </c>
      <c r="G380" s="24">
        <f>IFERROR(ROUND(MAX(1,(IF($V380&lt;=INDEX('Parametri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1</v>
      </c>
      <c r="H380" s="24">
        <f>IFERROR(ROUND((IF($V380&lt;=INDEX('Parametri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2</v>
      </c>
      <c r="I380" s="23">
        <f>IFERROR(INDEX('Input Statistiche 2025_26'!$F$3:$F$665,MATCH($A380,'Input Statistiche 2025_26'!$A$3:$A$665,0)),"")</f>
        <v>27</v>
      </c>
      <c r="J380" s="23">
        <f t="shared" si="45"/>
        <v>11</v>
      </c>
      <c r="K380" s="23">
        <f>IFERROR(INDEX('Input Statistiche 2025_26'!$I$3:$I$665,MATCH($A380,'Input Statistiche 2025_26'!$A$3:$A$665,0)),"")</f>
        <v>0</v>
      </c>
      <c r="L380" s="23">
        <f>IFERROR(INDEX('Input Statistiche 2025_26'!$O$3:$O$665,MATCH($A380,'Input Statistiche 2025_26'!$A$3:$A$665,0)),"")</f>
        <v>0</v>
      </c>
      <c r="M380" s="25"/>
      <c r="N380" s="24">
        <f>IFERROR(INDEX('Input Giocatori 2026_27'!$E$3:$E$493,MATCH($A380,'Input Giocatori 2026_27'!$A$3:$A$493,0)),"")</f>
        <v>2</v>
      </c>
      <c r="O380" s="24">
        <f>IFERROR(INDEX('Input Giocatori 2026_27'!$G$3:$G$493,MATCH($A380,'Input Giocatori 2026_27'!$A$3:$A$493,0)),"")</f>
        <v>5</v>
      </c>
      <c r="P380" s="23" t="str">
        <f>IFERROR(IF($O380="","",IF((1-(COUNTIFS($B$2:$B$492,$B380,$O$2:$O$492,"&gt;"&amp;$O380)+1-1)/COUNTIF($B$2:$B$492,$B380))&gt;='Parametri Modello'!$B$63,"Top",IF((1-(COUNTIFS($B$2:$B$492,$B380,$O$2:$O$492,"&gt;"&amp;$O380)+1-1)/COUNTIF($B$2:$B$492,$B380))&gt;='Parametri Modello'!$B$64,"Buono",IF((1-(COUNTIFS($B$2:$B$492,$B380,$O$2:$O$492,"&gt;"&amp;$O380)+1-1)/COUNTIF($B$2:$B$492,$B380))&gt;='Parametri Modello'!$B$65,"Nella Media","Scommessa/Riserva")))),"")</f>
        <v>Nella Media</v>
      </c>
      <c r="Q380" s="26">
        <f>IF(AND($D380="",$N380&gt;1),SUMPRODUCT(($D$2:$D380="")*($N$2:$N380&gt;1)),"")</f>
        <v>378</v>
      </c>
      <c r="R380" s="26" t="str">
        <f>IF($D380='Info Lega'!$B$28,COUNTIFS($D$2:$D380,'Info Lega'!$B$28),"")</f>
        <v/>
      </c>
      <c r="S380" s="27">
        <f>IFERROR(INDEX('Input Statistiche 2025_26'!$G$3:$G$665,MATCH($A380,'Input Statistiche 2025_26'!$A$3:$A$665,0)),"")</f>
        <v>6.26</v>
      </c>
      <c r="T380" s="27">
        <f>IFERROR(INDEX('Input Statistiche 2025_26'!$H$3:$H$665,MATCH($A380,'Input Statistiche 2025_26'!$A$3:$A$665,0)),"")</f>
        <v>5.35</v>
      </c>
      <c r="U380" s="23" t="str">
        <f>IF(OR('La Mia Rosa'!$O$12="",$D380&lt;&gt;""),"",IF($F380&lt;='La Mia Rosa'!$O$12*'Parametri Modello'!$B$24,"OK",IF($F380&lt;='La Mia Rosa'!$O$12*'Parametri Modello'!$B$25,"Attenzione","Rischio Alto")))</f>
        <v>OK</v>
      </c>
      <c r="V380" s="23">
        <f t="shared" si="46"/>
        <v>23</v>
      </c>
      <c r="W380" s="18">
        <f>'Info Lega'!$B$4-SUMIFS($M$2:$M$492,$D$2:$D$492,'Info Lega'!$B$28)</f>
        <v>1000</v>
      </c>
      <c r="X380" s="18">
        <f>('Info Lega'!$B$5-COUNTIFS($D$2:$D$492,'Info Lega'!$B$28,$B$2:$B$492,"P"))+('Info Lega'!$B$6-COUNTIFS($D$2:$D$492,'Info Lega'!$B$28,$B$2:$B$492,"D"))+('Info Lega'!$B$7-COUNTIFS($D$2:$D$492,'Info Lega'!$B$28,$B$2:$B$492,"C"))+('Info Lega'!$B$8-COUNTIFS($D$2:$D$492,'Info Lega'!$B$28,$B$2:$B$492,"A"))</f>
        <v>25</v>
      </c>
      <c r="Y380" s="18">
        <f>X380*'Parametri Modello'!$B$30</f>
        <v>25</v>
      </c>
      <c r="Z380" s="18">
        <f t="shared" si="47"/>
        <v>975</v>
      </c>
      <c r="AA380" s="18">
        <f t="shared" si="48"/>
        <v>2</v>
      </c>
      <c r="AB380" s="18"/>
      <c r="AC380" s="18" t="str">
        <f>IF($AB380="","",IF($AB380&gt;$AA380,"PASS",IF($AB380&lt;=$AA380*(1-'Parametri Modello'!$B$68),"BID","ATTENZIONE")))</f>
        <v/>
      </c>
      <c r="AD380" s="28">
        <f t="shared" si="49"/>
        <v>59</v>
      </c>
      <c r="AE380" s="5" t="str">
        <f>IFERROR(IF($AF380="Titolare",INDEX('Stato Asta'!$G$9:$G$12,MATCH($B380,'Stato Asta'!$A$9:$A$12,0)),INDEX('Stato Asta'!$P$9:$P$12,MATCH($B380,'Stato Asta'!$A$9:$A$12,0))),"")</f>
        <v>🔴 Riserve scarse</v>
      </c>
      <c r="AF380" t="str">
        <f>IFERROR(IF($V380&lt;=INDEX('Parametri Modello'!$C$57:$C$60,MATCH($B380,'Parametri Modello'!$A$57:$A$60,0)),"Titolare","Riserva"),"")</f>
        <v>Riserva</v>
      </c>
      <c r="AG380" t="str">
        <f>IFERROR(INDEX('Pressione Competitiva'!$F$3:$F$6,MATCH($B380,'Pressione Competitiva'!$B$3:$B$6,0)),"")</f>
        <v>🔴 Molto Alta</v>
      </c>
      <c r="AH380" t="str">
        <f t="shared" si="50"/>
        <v/>
      </c>
      <c r="AI380" t="str">
        <f>IFERROR(IF($AH380="","",IF($AH380&gt;=$AA380*'Parametri Modello'!$B$68,"🟢 Opportunita'",IF($AH380&lt;=$AA380*'Parametri Modello'!$B$69,"🔴 Sovrapprezzo","🟡 Prezzo Corretto"))),"")</f>
        <v/>
      </c>
      <c r="AJ380" t="str">
        <f t="shared" si="51"/>
        <v/>
      </c>
      <c r="AK380">
        <f t="shared" si="52"/>
        <v>5</v>
      </c>
      <c r="AL380" t="str">
        <f t="shared" si="53"/>
        <v>P|Nella Media|5</v>
      </c>
    </row>
    <row r="381" spans="1:38" ht="14.25" customHeight="1" x14ac:dyDescent="0.25">
      <c r="A381" s="18">
        <v>7326</v>
      </c>
      <c r="B381" s="18" t="s">
        <v>88</v>
      </c>
      <c r="C381" s="18" t="s">
        <v>221</v>
      </c>
      <c r="E381" s="23" t="str">
        <f>IF(COUNTIF('Info Strategia'!$D$2:$D$51,$C381)&gt;0,"SI","NO")</f>
        <v>NO</v>
      </c>
      <c r="F381" s="24">
        <f>IFERROR(ROUND(($G381+($H381-$G381)*'Info Strategia'!$B$6)*(1+IF($E381="SI",'Parametri Modello'!$B$7*'Info Strategia'!$B$6,0)),0),"")</f>
        <v>1</v>
      </c>
      <c r="G381" s="24">
        <f>IFERROR(ROUND(MAX(1,(IF($V381&lt;=INDEX('Parametri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H381" s="24">
        <f>IFERROR(ROUND((IF($V381&lt;=INDEX('Parametri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I381" s="23">
        <f>IFERROR(INDEX('Input Statistiche 2025_26'!$F$3:$F$665,MATCH($A381,'Input Statistiche 2025_26'!$A$3:$A$665,0)),"")</f>
        <v>6</v>
      </c>
      <c r="J381" s="23">
        <f t="shared" si="45"/>
        <v>32</v>
      </c>
      <c r="K381" s="23">
        <f>IFERROR(INDEX('Input Statistiche 2025_26'!$I$3:$I$665,MATCH($A381,'Input Statistiche 2025_26'!$A$3:$A$665,0)),"")</f>
        <v>0</v>
      </c>
      <c r="L381" s="23">
        <f>IFERROR(INDEX('Input Statistiche 2025_26'!$O$3:$O$665,MATCH($A381,'Input Statistiche 2025_26'!$A$3:$A$665,0)),"")</f>
        <v>0</v>
      </c>
      <c r="M381" s="25"/>
      <c r="N381" s="24">
        <f>IFERROR(INDEX('Input Giocatori 2026_27'!$E$3:$E$493,MATCH($A381,'Input Giocatori 2026_27'!$A$3:$A$493,0)),"")</f>
        <v>2</v>
      </c>
      <c r="O381" s="24">
        <f>IFERROR(INDEX('Input Giocatori 2026_27'!$G$3:$G$493,MATCH($A381,'Input Giocatori 2026_27'!$A$3:$A$493,0)),"")</f>
        <v>5</v>
      </c>
      <c r="P381" s="23" t="str">
        <f>IFERROR(IF($O381="","",IF((1-(COUNTIFS($B$2:$B$492,$B381,$O$2:$O$492,"&gt;"&amp;$O381)+1-1)/COUNTIF($B$2:$B$492,$B381))&gt;='Parametri Modello'!$B$63,"Top",IF((1-(COUNTIFS($B$2:$B$492,$B381,$O$2:$O$492,"&gt;"&amp;$O381)+1-1)/COUNTIF($B$2:$B$492,$B381))&gt;='Parametri Modello'!$B$64,"Buono",IF((1-(COUNTIFS($B$2:$B$492,$B381,$O$2:$O$492,"&gt;"&amp;$O381)+1-1)/COUNTIF($B$2:$B$492,$B381))&gt;='Parametri Modello'!$B$65,"Nella Media","Scommessa/Riserva")))),"")</f>
        <v>Scommessa/Riserva</v>
      </c>
      <c r="Q381" s="26">
        <f>IF(AND($D381="",$N381&gt;1),SUMPRODUCT(($D$2:$D381="")*($N$2:$N381&gt;1)),"")</f>
        <v>379</v>
      </c>
      <c r="R381" s="26" t="str">
        <f>IF($D381='Info Lega'!$B$28,COUNTIFS($D$2:$D381,'Info Lega'!$B$28),"")</f>
        <v/>
      </c>
      <c r="S381" s="27">
        <f>IFERROR(INDEX('Input Statistiche 2025_26'!$G$3:$G$665,MATCH($A381,'Input Statistiche 2025_26'!$A$3:$A$665,0)),"")</f>
        <v>5.5</v>
      </c>
      <c r="T381" s="27">
        <f>IFERROR(INDEX('Input Statistiche 2025_26'!$H$3:$H$665,MATCH($A381,'Input Statistiche 2025_26'!$A$3:$A$665,0)),"")</f>
        <v>5.33</v>
      </c>
      <c r="U381" s="23" t="str">
        <f>IF(OR('La Mia Rosa'!$O$12="",$D381&lt;&gt;""),"",IF($F381&lt;='La Mia Rosa'!$O$12*'Parametri Modello'!$B$24,"OK",IF($F381&lt;='La Mia Rosa'!$O$12*'Parametri Modello'!$B$25,"Attenzione","Rischio Alto")))</f>
        <v>OK</v>
      </c>
      <c r="V381" s="23">
        <f t="shared" si="46"/>
        <v>137</v>
      </c>
      <c r="W381" s="18">
        <f>'Info Lega'!$B$4-SUMIFS($M$2:$M$492,$D$2:$D$492,'Info Lega'!$B$28)</f>
        <v>1000</v>
      </c>
      <c r="X381" s="18">
        <f>('Info Lega'!$B$5-COUNTIFS($D$2:$D$492,'Info Lega'!$B$28,$B$2:$B$492,"P"))+('Info Lega'!$B$6-COUNTIFS($D$2:$D$492,'Info Lega'!$B$28,$B$2:$B$492,"D"))+('Info Lega'!$B$7-COUNTIFS($D$2:$D$492,'Info Lega'!$B$28,$B$2:$B$492,"C"))+('Info Lega'!$B$8-COUNTIFS($D$2:$D$492,'Info Lega'!$B$28,$B$2:$B$492,"A"))</f>
        <v>25</v>
      </c>
      <c r="Y381" s="18">
        <f>X381*'Parametri Modello'!$B$30</f>
        <v>25</v>
      </c>
      <c r="Z381" s="18">
        <f t="shared" si="47"/>
        <v>975</v>
      </c>
      <c r="AA381" s="18">
        <f t="shared" si="48"/>
        <v>1</v>
      </c>
      <c r="AB381" s="18"/>
      <c r="AC381" s="18" t="str">
        <f>IF($AB381="","",IF($AB381&gt;$AA381,"PASS",IF($AB381&lt;=$AA381*(1-'Parametri Modello'!$B$68),"BID","ATTENZIONE")))</f>
        <v/>
      </c>
      <c r="AD381" s="28">
        <f t="shared" si="49"/>
        <v>18</v>
      </c>
      <c r="AE381" s="5" t="str">
        <f>IFERROR(IF($AF381="Titolare",INDEX('Stato Asta'!$G$9:$G$12,MATCH($B381,'Stato Asta'!$A$9:$A$12,0)),INDEX('Stato Asta'!$P$9:$P$12,MATCH($B381,'Stato Asta'!$A$9:$A$12,0))),"")</f>
        <v>🟢 Riserve abbondanti</v>
      </c>
      <c r="AF381" t="str">
        <f>IFERROR(IF($V381&lt;=INDEX('Parametri Modello'!$C$57:$C$60,MATCH($B381,'Parametri Modello'!$A$57:$A$60,0)),"Titolare","Riserva"),"")</f>
        <v>Riserva</v>
      </c>
      <c r="AG381" t="str">
        <f>IFERROR(INDEX('Pressione Competitiva'!$F$3:$F$6,MATCH($B381,'Pressione Competitiva'!$B$3:$B$6,0)),"")</f>
        <v>🔴 Molto Alta</v>
      </c>
      <c r="AH381" t="str">
        <f t="shared" si="50"/>
        <v/>
      </c>
      <c r="AI381" t="str">
        <f>IFERROR(IF($AH381="","",IF($AH381&gt;=$AA381*'Parametri Modello'!$B$68,"🟢 Opportunita'",IF($AH381&lt;=$AA381*'Parametri Modello'!$B$69,"🔴 Sovrapprezzo","🟡 Prezzo Corretto"))),"")</f>
        <v/>
      </c>
      <c r="AJ381" t="str">
        <f t="shared" si="51"/>
        <v/>
      </c>
      <c r="AK381">
        <f t="shared" si="52"/>
        <v>25</v>
      </c>
      <c r="AL381" t="str">
        <f t="shared" si="53"/>
        <v>D|Scommessa/Riserva|25</v>
      </c>
    </row>
    <row r="382" spans="1:38" ht="14.25" customHeight="1" x14ac:dyDescent="0.25">
      <c r="A382" s="18">
        <v>6896</v>
      </c>
      <c r="B382" s="18" t="s">
        <v>88</v>
      </c>
      <c r="C382" s="18" t="s">
        <v>223</v>
      </c>
      <c r="E382" s="23" t="str">
        <f>IF(COUNTIF('Info Strategia'!$D$2:$D$51,$C382)&gt;0,"SI","NO")</f>
        <v>NO</v>
      </c>
      <c r="F382" s="24">
        <f>IFERROR(ROUND(($G382+($H382-$G382)*'Info Strategia'!$B$6)*(1+IF($E382="SI",'Parametri Modello'!$B$7*'Info Strategia'!$B$6,0)),0),"")</f>
        <v>1</v>
      </c>
      <c r="G382" s="24">
        <f>IFERROR(ROUND(MAX(1,(IF($V382&lt;=INDEX('Parametri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H382" s="24">
        <f>IFERROR(ROUND((IF($V382&lt;=INDEX('Parametri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I382" s="23">
        <f>IFERROR(INDEX('Input Statistiche 2025_26'!$F$3:$F$665,MATCH($A382,'Input Statistiche 2025_26'!$A$3:$A$665,0)),"")</f>
        <v>14</v>
      </c>
      <c r="J382" s="23">
        <f t="shared" si="45"/>
        <v>24</v>
      </c>
      <c r="K382" s="23">
        <f>IFERROR(INDEX('Input Statistiche 2025_26'!$I$3:$I$665,MATCH($A382,'Input Statistiche 2025_26'!$A$3:$A$665,0)),"")</f>
        <v>0</v>
      </c>
      <c r="L382" s="23">
        <f>IFERROR(INDEX('Input Statistiche 2025_26'!$O$3:$O$665,MATCH($A382,'Input Statistiche 2025_26'!$A$3:$A$665,0)),"")</f>
        <v>1</v>
      </c>
      <c r="M382" s="25"/>
      <c r="N382" s="24">
        <f>IFERROR(INDEX('Input Giocatori 2026_27'!$E$3:$E$493,MATCH($A382,'Input Giocatori 2026_27'!$A$3:$A$493,0)),"")</f>
        <v>2</v>
      </c>
      <c r="O382" s="24">
        <f>IFERROR(INDEX('Input Giocatori 2026_27'!$G$3:$G$493,MATCH($A382,'Input Giocatori 2026_27'!$A$3:$A$493,0)),"")</f>
        <v>5</v>
      </c>
      <c r="P382" s="23" t="str">
        <f>IFERROR(IF($O382="","",IF((1-(COUNTIFS($B$2:$B$492,$B382,$O$2:$O$492,"&gt;"&amp;$O382)+1-1)/COUNTIF($B$2:$B$492,$B382))&gt;='Parametri Modello'!$B$63,"Top",IF((1-(COUNTIFS($B$2:$B$492,$B382,$O$2:$O$492,"&gt;"&amp;$O382)+1-1)/COUNTIF($B$2:$B$492,$B382))&gt;='Parametri Modello'!$B$64,"Buono",IF((1-(COUNTIFS($B$2:$B$492,$B382,$O$2:$O$492,"&gt;"&amp;$O382)+1-1)/COUNTIF($B$2:$B$492,$B382))&gt;='Parametri Modello'!$B$65,"Nella Media","Scommessa/Riserva")))),"")</f>
        <v>Scommessa/Riserva</v>
      </c>
      <c r="Q382" s="26">
        <f>IF(AND($D382="",$N382&gt;1),SUMPRODUCT(($D$2:$D382="")*($N$2:$N382&gt;1)),"")</f>
        <v>380</v>
      </c>
      <c r="R382" s="26" t="str">
        <f>IF($D382='Info Lega'!$B$28,COUNTIFS($D$2:$D382,'Info Lega'!$B$28),"")</f>
        <v/>
      </c>
      <c r="S382" s="27">
        <f>IFERROR(INDEX('Input Statistiche 2025_26'!$G$3:$G$665,MATCH($A382,'Input Statistiche 2025_26'!$A$3:$A$665,0)),"")</f>
        <v>5.96</v>
      </c>
      <c r="T382" s="27">
        <f>IFERROR(INDEX('Input Statistiche 2025_26'!$H$3:$H$665,MATCH($A382,'Input Statistiche 2025_26'!$A$3:$A$665,0)),"")</f>
        <v>5.96</v>
      </c>
      <c r="U382" s="23" t="str">
        <f>IF(OR('La Mia Rosa'!$O$12="",$D382&lt;&gt;""),"",IF($F382&lt;='La Mia Rosa'!$O$12*'Parametri Modello'!$B$24,"OK",IF($F382&lt;='La Mia Rosa'!$O$12*'Parametri Modello'!$B$25,"Attenzione","Rischio Alto")))</f>
        <v>OK</v>
      </c>
      <c r="V382" s="23">
        <f t="shared" si="46"/>
        <v>137</v>
      </c>
      <c r="W382" s="18">
        <f>'Info Lega'!$B$4-SUMIFS($M$2:$M$492,$D$2:$D$492,'Info Lega'!$B$28)</f>
        <v>1000</v>
      </c>
      <c r="X382" s="18">
        <f>('Info Lega'!$B$5-COUNTIFS($D$2:$D$492,'Info Lega'!$B$28,$B$2:$B$492,"P"))+('Info Lega'!$B$6-COUNTIFS($D$2:$D$492,'Info Lega'!$B$28,$B$2:$B$492,"D"))+('Info Lega'!$B$7-COUNTIFS($D$2:$D$492,'Info Lega'!$B$28,$B$2:$B$492,"C"))+('Info Lega'!$B$8-COUNTIFS($D$2:$D$492,'Info Lega'!$B$28,$B$2:$B$492,"A"))</f>
        <v>25</v>
      </c>
      <c r="Y382" s="18">
        <f>X382*'Parametri Modello'!$B$30</f>
        <v>25</v>
      </c>
      <c r="Z382" s="18">
        <f t="shared" si="47"/>
        <v>975</v>
      </c>
      <c r="AA382" s="18">
        <f t="shared" si="48"/>
        <v>1</v>
      </c>
      <c r="AB382" s="18"/>
      <c r="AC382" s="18" t="str">
        <f>IF($AB382="","",IF($AB382&gt;$AA382,"PASS",IF($AB382&lt;=$AA382*(1-'Parametri Modello'!$B$68),"BID","ATTENZIONE")))</f>
        <v/>
      </c>
      <c r="AD382" s="28">
        <f t="shared" si="49"/>
        <v>37</v>
      </c>
      <c r="AE382" s="5" t="str">
        <f>IFERROR(IF($AF382="Titolare",INDEX('Stato Asta'!$G$9:$G$12,MATCH($B382,'Stato Asta'!$A$9:$A$12,0)),INDEX('Stato Asta'!$P$9:$P$12,MATCH($B382,'Stato Asta'!$A$9:$A$12,0))),"")</f>
        <v>🟢 Riserve abbondanti</v>
      </c>
      <c r="AF382" t="str">
        <f>IFERROR(IF($V382&lt;=INDEX('Parametri Modello'!$C$57:$C$60,MATCH($B382,'Parametri Modello'!$A$57:$A$60,0)),"Titolare","Riserva"),"")</f>
        <v>Riserva</v>
      </c>
      <c r="AG382" t="str">
        <f>IFERROR(INDEX('Pressione Competitiva'!$F$3:$F$6,MATCH($B382,'Pressione Competitiva'!$B$3:$B$6,0)),"")</f>
        <v>🔴 Molto Alta</v>
      </c>
      <c r="AH382" t="str">
        <f t="shared" si="50"/>
        <v/>
      </c>
      <c r="AI382" t="str">
        <f>IFERROR(IF($AH382="","",IF($AH382&gt;=$AA382*'Parametri Modello'!$B$68,"🟢 Opportunita'",IF($AH382&lt;=$AA382*'Parametri Modello'!$B$69,"🔴 Sovrapprezzo","🟡 Prezzo Corretto"))),"")</f>
        <v/>
      </c>
      <c r="AJ382" t="str">
        <f t="shared" si="51"/>
        <v/>
      </c>
      <c r="AK382">
        <f t="shared" si="52"/>
        <v>25</v>
      </c>
      <c r="AL382" t="str">
        <f t="shared" si="53"/>
        <v>D|Scommessa/Riserva|25</v>
      </c>
    </row>
    <row r="383" spans="1:38" ht="14.25" customHeight="1" x14ac:dyDescent="0.25">
      <c r="A383" s="18">
        <v>6977</v>
      </c>
      <c r="B383" s="18" t="s">
        <v>88</v>
      </c>
      <c r="C383" s="18" t="s">
        <v>224</v>
      </c>
      <c r="E383" s="23" t="str">
        <f>IF(COUNTIF('Info Strategia'!$D$2:$D$51,$C383)&gt;0,"SI","NO")</f>
        <v>NO</v>
      </c>
      <c r="F383" s="24">
        <f>IFERROR(ROUND(($G383+($H383-$G383)*'Info Strategia'!$B$6)*(1+IF($E383="SI",'Parametri Modello'!$B$7*'Info Strategia'!$B$6,0)),0),"")</f>
        <v>1</v>
      </c>
      <c r="G383" s="24">
        <f>IFERROR(ROUND(MAX(1,(IF($V383&lt;=INDEX('Parametri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H383" s="24">
        <f>IFERROR(ROUND((IF($V383&lt;=INDEX('Parametri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I383" s="23">
        <f>IFERROR(INDEX('Input Statistiche 2025_26'!$F$3:$F$665,MATCH($A383,'Input Statistiche 2025_26'!$A$3:$A$665,0)),"")</f>
        <v>10</v>
      </c>
      <c r="J383" s="23">
        <f t="shared" si="45"/>
        <v>28</v>
      </c>
      <c r="K383" s="23">
        <f>IFERROR(INDEX('Input Statistiche 2025_26'!$I$3:$I$665,MATCH($A383,'Input Statistiche 2025_26'!$A$3:$A$665,0)),"")</f>
        <v>0</v>
      </c>
      <c r="L383" s="23">
        <f>IFERROR(INDEX('Input Statistiche 2025_26'!$O$3:$O$665,MATCH($A383,'Input Statistiche 2025_26'!$A$3:$A$665,0)),"")</f>
        <v>0</v>
      </c>
      <c r="M383" s="25"/>
      <c r="N383" s="24">
        <f>IFERROR(INDEX('Input Giocatori 2026_27'!$E$3:$E$493,MATCH($A383,'Input Giocatori 2026_27'!$A$3:$A$493,0)),"")</f>
        <v>2</v>
      </c>
      <c r="O383" s="24">
        <f>IFERROR(INDEX('Input Giocatori 2026_27'!$G$3:$G$493,MATCH($A383,'Input Giocatori 2026_27'!$A$3:$A$493,0)),"")</f>
        <v>5</v>
      </c>
      <c r="P383" s="23" t="str">
        <f>IFERROR(IF($O383="","",IF((1-(COUNTIFS($B$2:$B$492,$B383,$O$2:$O$492,"&gt;"&amp;$O383)+1-1)/COUNTIF($B$2:$B$492,$B383))&gt;='Parametri Modello'!$B$63,"Top",IF((1-(COUNTIFS($B$2:$B$492,$B383,$O$2:$O$492,"&gt;"&amp;$O383)+1-1)/COUNTIF($B$2:$B$492,$B383))&gt;='Parametri Modello'!$B$64,"Buono",IF((1-(COUNTIFS($B$2:$B$492,$B383,$O$2:$O$492,"&gt;"&amp;$O383)+1-1)/COUNTIF($B$2:$B$492,$B383))&gt;='Parametri Modello'!$B$65,"Nella Media","Scommessa/Riserva")))),"")</f>
        <v>Scommessa/Riserva</v>
      </c>
      <c r="Q383" s="26">
        <f>IF(AND($D383="",$N383&gt;1),SUMPRODUCT(($D$2:$D383="")*($N$2:$N383&gt;1)),"")</f>
        <v>381</v>
      </c>
      <c r="R383" s="26" t="str">
        <f>IF($D383='Info Lega'!$B$28,COUNTIFS($D$2:$D383,'Info Lega'!$B$28),"")</f>
        <v/>
      </c>
      <c r="S383" s="27">
        <f>IFERROR(INDEX('Input Statistiche 2025_26'!$G$3:$G$665,MATCH($A383,'Input Statistiche 2025_26'!$A$3:$A$665,0)),"")</f>
        <v>5.6</v>
      </c>
      <c r="T383" s="27">
        <f>IFERROR(INDEX('Input Statistiche 2025_26'!$H$3:$H$665,MATCH($A383,'Input Statistiche 2025_26'!$A$3:$A$665,0)),"")</f>
        <v>5.35</v>
      </c>
      <c r="U383" s="23" t="str">
        <f>IF(OR('La Mia Rosa'!$O$12="",$D383&lt;&gt;""),"",IF($F383&lt;='La Mia Rosa'!$O$12*'Parametri Modello'!$B$24,"OK",IF($F383&lt;='La Mia Rosa'!$O$12*'Parametri Modello'!$B$25,"Attenzione","Rischio Alto")))</f>
        <v>OK</v>
      </c>
      <c r="V383" s="23">
        <f t="shared" si="46"/>
        <v>137</v>
      </c>
      <c r="W383" s="18">
        <f>'Info Lega'!$B$4-SUMIFS($M$2:$M$492,$D$2:$D$492,'Info Lega'!$B$28)</f>
        <v>1000</v>
      </c>
      <c r="X383" s="18">
        <f>('Info Lega'!$B$5-COUNTIFS($D$2:$D$492,'Info Lega'!$B$28,$B$2:$B$492,"P"))+('Info Lega'!$B$6-COUNTIFS($D$2:$D$492,'Info Lega'!$B$28,$B$2:$B$492,"D"))+('Info Lega'!$B$7-COUNTIFS($D$2:$D$492,'Info Lega'!$B$28,$B$2:$B$492,"C"))+('Info Lega'!$B$8-COUNTIFS($D$2:$D$492,'Info Lega'!$B$28,$B$2:$B$492,"A"))</f>
        <v>25</v>
      </c>
      <c r="Y383" s="18">
        <f>X383*'Parametri Modello'!$B$30</f>
        <v>25</v>
      </c>
      <c r="Z383" s="18">
        <f t="shared" si="47"/>
        <v>975</v>
      </c>
      <c r="AA383" s="18">
        <f t="shared" si="48"/>
        <v>1</v>
      </c>
      <c r="AB383" s="18"/>
      <c r="AC383" s="18" t="str">
        <f>IF($AB383="","",IF($AB383&gt;$AA383,"PASS",IF($AB383&lt;=$AA383*(1-'Parametri Modello'!$B$68),"BID","ATTENZIONE")))</f>
        <v/>
      </c>
      <c r="AD383" s="28">
        <f t="shared" si="49"/>
        <v>28</v>
      </c>
      <c r="AE383" s="5" t="str">
        <f>IFERROR(IF($AF383="Titolare",INDEX('Stato Asta'!$G$9:$G$12,MATCH($B383,'Stato Asta'!$A$9:$A$12,0)),INDEX('Stato Asta'!$P$9:$P$12,MATCH($B383,'Stato Asta'!$A$9:$A$12,0))),"")</f>
        <v>🟢 Riserve abbondanti</v>
      </c>
      <c r="AF383" t="str">
        <f>IFERROR(IF($V383&lt;=INDEX('Parametri Modello'!$C$57:$C$60,MATCH($B383,'Parametri Modello'!$A$57:$A$60,0)),"Titolare","Riserva"),"")</f>
        <v>Riserva</v>
      </c>
      <c r="AG383" t="str">
        <f>IFERROR(INDEX('Pressione Competitiva'!$F$3:$F$6,MATCH($B383,'Pressione Competitiva'!$B$3:$B$6,0)),"")</f>
        <v>🔴 Molto Alta</v>
      </c>
      <c r="AH383" t="str">
        <f t="shared" si="50"/>
        <v/>
      </c>
      <c r="AI383" t="str">
        <f>IFERROR(IF($AH383="","",IF($AH383&gt;=$AA383*'Parametri Modello'!$B$68,"🟢 Opportunita'",IF($AH383&lt;=$AA383*'Parametri Modello'!$B$69,"🔴 Sovrapprezzo","🟡 Prezzo Corretto"))),"")</f>
        <v/>
      </c>
      <c r="AJ383" t="str">
        <f t="shared" si="51"/>
        <v/>
      </c>
      <c r="AK383">
        <f t="shared" si="52"/>
        <v>25</v>
      </c>
      <c r="AL383" t="str">
        <f t="shared" si="53"/>
        <v>D|Scommessa/Riserva|25</v>
      </c>
    </row>
    <row r="384" spans="1:38" ht="14.25" customHeight="1" x14ac:dyDescent="0.25">
      <c r="A384" s="18">
        <v>791</v>
      </c>
      <c r="B384" s="18" t="s">
        <v>88</v>
      </c>
      <c r="C384" s="18" t="s">
        <v>226</v>
      </c>
      <c r="E384" s="23" t="str">
        <f>IF(COUNTIF('Info Strategia'!$D$2:$D$51,$C384)&gt;0,"SI","NO")</f>
        <v>NO</v>
      </c>
      <c r="F384" s="24">
        <f>IFERROR(ROUND(($G384+($H384-$G384)*'Info Strategia'!$B$6)*(1+IF($E384="SI",'Parametri Modello'!$B$7*'Info Strategia'!$B$6,0)),0),"")</f>
        <v>1</v>
      </c>
      <c r="G384" s="24">
        <f>IFERROR(ROUND(MAX(1,(IF($V384&lt;=INDEX('Parametri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H384" s="24">
        <f>IFERROR(ROUND((IF($V384&lt;=INDEX('Parametri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I384" s="23">
        <f>IFERROR(INDEX('Input Statistiche 2025_26'!$F$3:$F$665,MATCH($A384,'Input Statistiche 2025_26'!$A$3:$A$665,0)),"")</f>
        <v>13</v>
      </c>
      <c r="J384" s="23">
        <f t="shared" si="45"/>
        <v>25</v>
      </c>
      <c r="K384" s="23">
        <f>IFERROR(INDEX('Input Statistiche 2025_26'!$I$3:$I$665,MATCH($A384,'Input Statistiche 2025_26'!$A$3:$A$665,0)),"")</f>
        <v>0</v>
      </c>
      <c r="L384" s="23">
        <f>IFERROR(INDEX('Input Statistiche 2025_26'!$O$3:$O$665,MATCH($A384,'Input Statistiche 2025_26'!$A$3:$A$665,0)),"")</f>
        <v>0</v>
      </c>
      <c r="M384" s="25"/>
      <c r="N384" s="24">
        <f>IFERROR(INDEX('Input Giocatori 2026_27'!$E$3:$E$493,MATCH($A384,'Input Giocatori 2026_27'!$A$3:$A$493,0)),"")</f>
        <v>2</v>
      </c>
      <c r="O384" s="24">
        <f>IFERROR(INDEX('Input Giocatori 2026_27'!$G$3:$G$493,MATCH($A384,'Input Giocatori 2026_27'!$A$3:$A$493,0)),"")</f>
        <v>5</v>
      </c>
      <c r="P384" s="23" t="str">
        <f>IFERROR(IF($O384="","",IF((1-(COUNTIFS($B$2:$B$492,$B384,$O$2:$O$492,"&gt;"&amp;$O384)+1-1)/COUNTIF($B$2:$B$492,$B384))&gt;='Parametri Modello'!$B$63,"Top",IF((1-(COUNTIFS($B$2:$B$492,$B384,$O$2:$O$492,"&gt;"&amp;$O384)+1-1)/COUNTIF($B$2:$B$492,$B384))&gt;='Parametri Modello'!$B$64,"Buono",IF((1-(COUNTIFS($B$2:$B$492,$B384,$O$2:$O$492,"&gt;"&amp;$O384)+1-1)/COUNTIF($B$2:$B$492,$B384))&gt;='Parametri Modello'!$B$65,"Nella Media","Scommessa/Riserva")))),"")</f>
        <v>Scommessa/Riserva</v>
      </c>
      <c r="Q384" s="26">
        <f>IF(AND($D384="",$N384&gt;1),SUMPRODUCT(($D$2:$D384="")*($N$2:$N384&gt;1)),"")</f>
        <v>382</v>
      </c>
      <c r="R384" s="26" t="str">
        <f>IF($D384='Info Lega'!$B$28,COUNTIFS($D$2:$D384,'Info Lega'!$B$28),"")</f>
        <v/>
      </c>
      <c r="S384" s="27">
        <f>IFERROR(INDEX('Input Statistiche 2025_26'!$G$3:$G$665,MATCH($A384,'Input Statistiche 2025_26'!$A$3:$A$665,0)),"")</f>
        <v>5.81</v>
      </c>
      <c r="T384" s="27">
        <f>IFERROR(INDEX('Input Statistiche 2025_26'!$H$3:$H$665,MATCH($A384,'Input Statistiche 2025_26'!$A$3:$A$665,0)),"")</f>
        <v>5.65</v>
      </c>
      <c r="U384" s="23" t="str">
        <f>IF(OR('La Mia Rosa'!$O$12="",$D384&lt;&gt;""),"",IF($F384&lt;='La Mia Rosa'!$O$12*'Parametri Modello'!$B$24,"OK",IF($F384&lt;='La Mia Rosa'!$O$12*'Parametri Modello'!$B$25,"Attenzione","Rischio Alto")))</f>
        <v>OK</v>
      </c>
      <c r="V384" s="23">
        <f t="shared" si="46"/>
        <v>137</v>
      </c>
      <c r="W384" s="18">
        <f>'Info Lega'!$B$4-SUMIFS($M$2:$M$492,$D$2:$D$492,'Info Lega'!$B$28)</f>
        <v>1000</v>
      </c>
      <c r="X384" s="18">
        <f>('Info Lega'!$B$5-COUNTIFS($D$2:$D$492,'Info Lega'!$B$28,$B$2:$B$492,"P"))+('Info Lega'!$B$6-COUNTIFS($D$2:$D$492,'Info Lega'!$B$28,$B$2:$B$492,"D"))+('Info Lega'!$B$7-COUNTIFS($D$2:$D$492,'Info Lega'!$B$28,$B$2:$B$492,"C"))+('Info Lega'!$B$8-COUNTIFS($D$2:$D$492,'Info Lega'!$B$28,$B$2:$B$492,"A"))</f>
        <v>25</v>
      </c>
      <c r="Y384" s="18">
        <f>X384*'Parametri Modello'!$B$30</f>
        <v>25</v>
      </c>
      <c r="Z384" s="18">
        <f t="shared" si="47"/>
        <v>975</v>
      </c>
      <c r="AA384" s="18">
        <f t="shared" si="48"/>
        <v>1</v>
      </c>
      <c r="AB384" s="18"/>
      <c r="AC384" s="18" t="str">
        <f>IF($AB384="","",IF($AB384&gt;$AA384,"PASS",IF($AB384&lt;=$AA384*(1-'Parametri Modello'!$B$68),"BID","ATTENZIONE")))</f>
        <v/>
      </c>
      <c r="AD384" s="28">
        <f t="shared" si="49"/>
        <v>35</v>
      </c>
      <c r="AE384" s="5" t="str">
        <f>IFERROR(IF($AF384="Titolare",INDEX('Stato Asta'!$G$9:$G$12,MATCH($B384,'Stato Asta'!$A$9:$A$12,0)),INDEX('Stato Asta'!$P$9:$P$12,MATCH($B384,'Stato Asta'!$A$9:$A$12,0))),"")</f>
        <v>🟢 Riserve abbondanti</v>
      </c>
      <c r="AF384" t="str">
        <f>IFERROR(IF($V384&lt;=INDEX('Parametri Modello'!$C$57:$C$60,MATCH($B384,'Parametri Modello'!$A$57:$A$60,0)),"Titolare","Riserva"),"")</f>
        <v>Riserva</v>
      </c>
      <c r="AG384" t="str">
        <f>IFERROR(INDEX('Pressione Competitiva'!$F$3:$F$6,MATCH($B384,'Pressione Competitiva'!$B$3:$B$6,0)),"")</f>
        <v>🔴 Molto Alta</v>
      </c>
      <c r="AH384" t="str">
        <f t="shared" si="50"/>
        <v/>
      </c>
      <c r="AI384" t="str">
        <f>IFERROR(IF($AH384="","",IF($AH384&gt;=$AA384*'Parametri Modello'!$B$68,"🟢 Opportunita'",IF($AH384&lt;=$AA384*'Parametri Modello'!$B$69,"🔴 Sovrapprezzo","🟡 Prezzo Corretto"))),"")</f>
        <v/>
      </c>
      <c r="AJ384" t="str">
        <f t="shared" si="51"/>
        <v/>
      </c>
      <c r="AK384">
        <f t="shared" si="52"/>
        <v>25</v>
      </c>
      <c r="AL384" t="str">
        <f t="shared" si="53"/>
        <v>D|Scommessa/Riserva|25</v>
      </c>
    </row>
    <row r="385" spans="1:38" ht="14.25" customHeight="1" x14ac:dyDescent="0.25">
      <c r="A385" s="18">
        <v>2728</v>
      </c>
      <c r="B385" s="18" t="s">
        <v>88</v>
      </c>
      <c r="C385" s="18" t="s">
        <v>228</v>
      </c>
      <c r="E385" s="23" t="str">
        <f>IF(COUNTIF('Info Strategia'!$D$2:$D$51,$C385)&gt;0,"SI","NO")</f>
        <v>NO</v>
      </c>
      <c r="F385" s="24">
        <f>IFERROR(ROUND(($G385+($H385-$G385)*'Info Strategia'!$B$6)*(1+IF($E385="SI",'Parametri Modello'!$B$7*'Info Strategia'!$B$6,0)),0),"")</f>
        <v>1</v>
      </c>
      <c r="G385" s="24">
        <f>IFERROR(ROUND(MAX(1,(IF($V385&lt;=INDEX('Parametri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H385" s="24">
        <f>IFERROR(ROUND((IF($V385&lt;=INDEX('Parametri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I385" s="23">
        <f>IFERROR(INDEX('Input Statistiche 2025_26'!$F$3:$F$665,MATCH($A385,'Input Statistiche 2025_26'!$A$3:$A$665,0)),"")</f>
        <v>24</v>
      </c>
      <c r="J385" s="23">
        <f t="shared" si="45"/>
        <v>14</v>
      </c>
      <c r="K385" s="23">
        <f>IFERROR(INDEX('Input Statistiche 2025_26'!$I$3:$I$665,MATCH($A385,'Input Statistiche 2025_26'!$A$3:$A$665,0)),"")</f>
        <v>1</v>
      </c>
      <c r="L385" s="23">
        <f>IFERROR(INDEX('Input Statistiche 2025_26'!$O$3:$O$665,MATCH($A385,'Input Statistiche 2025_26'!$A$3:$A$665,0)),"")</f>
        <v>0</v>
      </c>
      <c r="M385" s="25"/>
      <c r="N385" s="24">
        <f>IFERROR(INDEX('Input Giocatori 2026_27'!$E$3:$E$493,MATCH($A385,'Input Giocatori 2026_27'!$A$3:$A$493,0)),"")</f>
        <v>2</v>
      </c>
      <c r="O385" s="24">
        <f>IFERROR(INDEX('Input Giocatori 2026_27'!$G$3:$G$493,MATCH($A385,'Input Giocatori 2026_27'!$A$3:$A$493,0)),"")</f>
        <v>5</v>
      </c>
      <c r="P385" s="23" t="str">
        <f>IFERROR(IF($O385="","",IF((1-(COUNTIFS($B$2:$B$492,$B385,$O$2:$O$492,"&gt;"&amp;$O385)+1-1)/COUNTIF($B$2:$B$492,$B385))&gt;='Parametri Modello'!$B$63,"Top",IF((1-(COUNTIFS($B$2:$B$492,$B385,$O$2:$O$492,"&gt;"&amp;$O385)+1-1)/COUNTIF($B$2:$B$492,$B385))&gt;='Parametri Modello'!$B$64,"Buono",IF((1-(COUNTIFS($B$2:$B$492,$B385,$O$2:$O$492,"&gt;"&amp;$O385)+1-1)/COUNTIF($B$2:$B$492,$B385))&gt;='Parametri Modello'!$B$65,"Nella Media","Scommessa/Riserva")))),"")</f>
        <v>Scommessa/Riserva</v>
      </c>
      <c r="Q385" s="26">
        <f>IF(AND($D385="",$N385&gt;1),SUMPRODUCT(($D$2:$D385="")*($N$2:$N385&gt;1)),"")</f>
        <v>383</v>
      </c>
      <c r="R385" s="26" t="str">
        <f>IF($D385='Info Lega'!$B$28,COUNTIFS($D$2:$D385,'Info Lega'!$B$28),"")</f>
        <v/>
      </c>
      <c r="S385" s="27">
        <f>IFERROR(INDEX('Input Statistiche 2025_26'!$G$3:$G$665,MATCH($A385,'Input Statistiche 2025_26'!$A$3:$A$665,0)),"")</f>
        <v>5.85</v>
      </c>
      <c r="T385" s="27">
        <f>IFERROR(INDEX('Input Statistiche 2025_26'!$H$3:$H$665,MATCH($A385,'Input Statistiche 2025_26'!$A$3:$A$665,0)),"")</f>
        <v>5.81</v>
      </c>
      <c r="U385" s="23" t="str">
        <f>IF(OR('La Mia Rosa'!$O$12="",$D385&lt;&gt;""),"",IF($F385&lt;='La Mia Rosa'!$O$12*'Parametri Modello'!$B$24,"OK",IF($F385&lt;='La Mia Rosa'!$O$12*'Parametri Modello'!$B$25,"Attenzione","Rischio Alto")))</f>
        <v>OK</v>
      </c>
      <c r="V385" s="23">
        <f t="shared" si="46"/>
        <v>137</v>
      </c>
      <c r="W385" s="18">
        <f>'Info Lega'!$B$4-SUMIFS($M$2:$M$492,$D$2:$D$492,'Info Lega'!$B$28)</f>
        <v>1000</v>
      </c>
      <c r="X385" s="18">
        <f>('Info Lega'!$B$5-COUNTIFS($D$2:$D$492,'Info Lega'!$B$28,$B$2:$B$492,"P"))+('Info Lega'!$B$6-COUNTIFS($D$2:$D$492,'Info Lega'!$B$28,$B$2:$B$492,"D"))+('Info Lega'!$B$7-COUNTIFS($D$2:$D$492,'Info Lega'!$B$28,$B$2:$B$492,"C"))+('Info Lega'!$B$8-COUNTIFS($D$2:$D$492,'Info Lega'!$B$28,$B$2:$B$492,"A"))</f>
        <v>25</v>
      </c>
      <c r="Y385" s="18">
        <f>X385*'Parametri Modello'!$B$30</f>
        <v>25</v>
      </c>
      <c r="Z385" s="18">
        <f t="shared" si="47"/>
        <v>975</v>
      </c>
      <c r="AA385" s="18">
        <f t="shared" si="48"/>
        <v>1</v>
      </c>
      <c r="AB385" s="18"/>
      <c r="AC385" s="18" t="str">
        <f>IF($AB385="","",IF($AB385&gt;$AA385,"PASS",IF($AB385&lt;=$AA385*(1-'Parametri Modello'!$B$68),"BID","ATTENZIONE")))</f>
        <v/>
      </c>
      <c r="AD385" s="28">
        <f t="shared" si="49"/>
        <v>55</v>
      </c>
      <c r="AE385" s="5" t="str">
        <f>IFERROR(IF($AF385="Titolare",INDEX('Stato Asta'!$G$9:$G$12,MATCH($B385,'Stato Asta'!$A$9:$A$12,0)),INDEX('Stato Asta'!$P$9:$P$12,MATCH($B385,'Stato Asta'!$A$9:$A$12,0))),"")</f>
        <v>🟢 Riserve abbondanti</v>
      </c>
      <c r="AF385" t="str">
        <f>IFERROR(IF($V385&lt;=INDEX('Parametri Modello'!$C$57:$C$60,MATCH($B385,'Parametri Modello'!$A$57:$A$60,0)),"Titolare","Riserva"),"")</f>
        <v>Riserva</v>
      </c>
      <c r="AG385" t="str">
        <f>IFERROR(INDEX('Pressione Competitiva'!$F$3:$F$6,MATCH($B385,'Pressione Competitiva'!$B$3:$B$6,0)),"")</f>
        <v>🔴 Molto Alta</v>
      </c>
      <c r="AH385" t="str">
        <f t="shared" si="50"/>
        <v/>
      </c>
      <c r="AI385" t="str">
        <f>IFERROR(IF($AH385="","",IF($AH385&gt;=$AA385*'Parametri Modello'!$B$68,"🟢 Opportunita'",IF($AH385&lt;=$AA385*'Parametri Modello'!$B$69,"🔴 Sovrapprezzo","🟡 Prezzo Corretto"))),"")</f>
        <v/>
      </c>
      <c r="AJ385" t="str">
        <f t="shared" si="51"/>
        <v/>
      </c>
      <c r="AK385">
        <f t="shared" si="52"/>
        <v>25</v>
      </c>
      <c r="AL385" t="str">
        <f t="shared" si="53"/>
        <v>D|Scommessa/Riserva|25</v>
      </c>
    </row>
    <row r="386" spans="1:38" ht="14.25" customHeight="1" x14ac:dyDescent="0.25">
      <c r="A386" s="18">
        <v>252</v>
      </c>
      <c r="B386" s="18" t="s">
        <v>88</v>
      </c>
      <c r="C386" s="18" t="s">
        <v>232</v>
      </c>
      <c r="E386" s="23" t="str">
        <f>IF(COUNTIF('Info Strategia'!$D$2:$D$51,$C386)&gt;0,"SI","NO")</f>
        <v>NO</v>
      </c>
      <c r="F386" s="24">
        <f>IFERROR(ROUND(($G386+($H386-$G386)*'Info Strategia'!$B$6)*(1+IF($E386="SI",'Parametri Modello'!$B$7*'Info Strategia'!$B$6,0)),0),"")</f>
        <v>1</v>
      </c>
      <c r="G386" s="24">
        <f>IFERROR(ROUND(MAX(1,(IF($V386&lt;=INDEX('Parametri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H386" s="24">
        <f>IFERROR(ROUND((IF($V386&lt;=INDEX('Parametri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I386" s="23">
        <f>IFERROR(INDEX('Input Statistiche 2025_26'!$F$3:$F$665,MATCH($A386,'Input Statistiche 2025_26'!$A$3:$A$665,0)),"")</f>
        <v>11</v>
      </c>
      <c r="J386" s="23">
        <f t="shared" ref="J386:J449" si="54">IFERROR(IF($I386="","",MAX(0,38-$I386)),"")</f>
        <v>27</v>
      </c>
      <c r="K386" s="23">
        <f>IFERROR(INDEX('Input Statistiche 2025_26'!$I$3:$I$665,MATCH($A386,'Input Statistiche 2025_26'!$A$3:$A$665,0)),"")</f>
        <v>0</v>
      </c>
      <c r="L386" s="23">
        <f>IFERROR(INDEX('Input Statistiche 2025_26'!$O$3:$O$665,MATCH($A386,'Input Statistiche 2025_26'!$A$3:$A$665,0)),"")</f>
        <v>0</v>
      </c>
      <c r="M386" s="25"/>
      <c r="N386" s="24">
        <f>IFERROR(INDEX('Input Giocatori 2026_27'!$E$3:$E$493,MATCH($A386,'Input Giocatori 2026_27'!$A$3:$A$493,0)),"")</f>
        <v>2</v>
      </c>
      <c r="O386" s="24">
        <f>IFERROR(INDEX('Input Giocatori 2026_27'!$G$3:$G$493,MATCH($A386,'Input Giocatori 2026_27'!$A$3:$A$493,0)),"")</f>
        <v>5</v>
      </c>
      <c r="P386" s="23" t="str">
        <f>IFERROR(IF($O386="","",IF((1-(COUNTIFS($B$2:$B$492,$B386,$O$2:$O$492,"&gt;"&amp;$O386)+1-1)/COUNTIF($B$2:$B$492,$B386))&gt;='Parametri Modello'!$B$63,"Top",IF((1-(COUNTIFS($B$2:$B$492,$B386,$O$2:$O$492,"&gt;"&amp;$O386)+1-1)/COUNTIF($B$2:$B$492,$B386))&gt;='Parametri Modello'!$B$64,"Buono",IF((1-(COUNTIFS($B$2:$B$492,$B386,$O$2:$O$492,"&gt;"&amp;$O386)+1-1)/COUNTIF($B$2:$B$492,$B386))&gt;='Parametri Modello'!$B$65,"Nella Media","Scommessa/Riserva")))),"")</f>
        <v>Scommessa/Riserva</v>
      </c>
      <c r="Q386" s="26">
        <f>IF(AND($D386="",$N386&gt;1),SUMPRODUCT(($D$2:$D386="")*($N$2:$N386&gt;1)),"")</f>
        <v>384</v>
      </c>
      <c r="R386" s="26" t="str">
        <f>IF($D386='Info Lega'!$B$28,COUNTIFS($D$2:$D386,'Info Lega'!$B$28),"")</f>
        <v/>
      </c>
      <c r="S386" s="27">
        <f>IFERROR(INDEX('Input Statistiche 2025_26'!$G$3:$G$665,MATCH($A386,'Input Statistiche 2025_26'!$A$3:$A$665,0)),"")</f>
        <v>5.59</v>
      </c>
      <c r="T386" s="27">
        <f>IFERROR(INDEX('Input Statistiche 2025_26'!$H$3:$H$665,MATCH($A386,'Input Statistiche 2025_26'!$A$3:$A$665,0)),"")</f>
        <v>5.59</v>
      </c>
      <c r="U386" s="23" t="str">
        <f>IF(OR('La Mia Rosa'!$O$12="",$D386&lt;&gt;""),"",IF($F386&lt;='La Mia Rosa'!$O$12*'Parametri Modello'!$B$24,"OK",IF($F386&lt;='La Mia Rosa'!$O$12*'Parametri Modello'!$B$25,"Attenzione","Rischio Alto")))</f>
        <v>OK</v>
      </c>
      <c r="V386" s="23">
        <f t="shared" ref="V386:V449" si="55">IFERROR(COUNTIFS($B$2:$B$492,$B386,$O$2:$O$492,"&gt;"&amp;$O386)+1,"")</f>
        <v>137</v>
      </c>
      <c r="W386" s="18">
        <f>'Info Lega'!$B$4-SUMIFS($M$2:$M$492,$D$2:$D$492,'Info Lega'!$B$28)</f>
        <v>1000</v>
      </c>
      <c r="X386" s="18">
        <f>('Info Lega'!$B$5-COUNTIFS($D$2:$D$492,'Info Lega'!$B$28,$B$2:$B$492,"P"))+('Info Lega'!$B$6-COUNTIFS($D$2:$D$492,'Info Lega'!$B$28,$B$2:$B$492,"D"))+('Info Lega'!$B$7-COUNTIFS($D$2:$D$492,'Info Lega'!$B$28,$B$2:$B$492,"C"))+('Info Lega'!$B$8-COUNTIFS($D$2:$D$492,'Info Lega'!$B$28,$B$2:$B$492,"A"))</f>
        <v>25</v>
      </c>
      <c r="Y386" s="18">
        <f>X386*'Parametri Modello'!$B$30</f>
        <v>25</v>
      </c>
      <c r="Z386" s="18">
        <f t="shared" ref="Z386:Z449" si="56">MAX(0,W386-Y386)</f>
        <v>975</v>
      </c>
      <c r="AA386" s="18">
        <f t="shared" ref="AA386:AA449" si="57">MIN(F386,Z386)</f>
        <v>1</v>
      </c>
      <c r="AB386" s="18"/>
      <c r="AC386" s="18" t="str">
        <f>IF($AB386="","",IF($AB386&gt;$AA386,"PASS",IF($AB386&lt;=$AA386*(1-'Parametri Modello'!$B$68),"BID","ATTENZIONE")))</f>
        <v/>
      </c>
      <c r="AD386" s="28">
        <f t="shared" ref="AD386:AD449" si="58">IF(I386="","",ROUND(100*(1-EXP(-I386/30)),0))</f>
        <v>31</v>
      </c>
      <c r="AE386" s="5" t="str">
        <f>IFERROR(IF($AF386="Titolare",INDEX('Stato Asta'!$G$9:$G$12,MATCH($B386,'Stato Asta'!$A$9:$A$12,0)),INDEX('Stato Asta'!$P$9:$P$12,MATCH($B386,'Stato Asta'!$A$9:$A$12,0))),"")</f>
        <v>🟢 Riserve abbondanti</v>
      </c>
      <c r="AF386" t="str">
        <f>IFERROR(IF($V386&lt;=INDEX('Parametri Modello'!$C$57:$C$60,MATCH($B386,'Parametri Modello'!$A$57:$A$60,0)),"Titolare","Riserva"),"")</f>
        <v>Riserva</v>
      </c>
      <c r="AG386" t="str">
        <f>IFERROR(INDEX('Pressione Competitiva'!$F$3:$F$6,MATCH($B386,'Pressione Competitiva'!$B$3:$B$6,0)),"")</f>
        <v>🔴 Molto Alta</v>
      </c>
      <c r="AH386" t="str">
        <f t="shared" ref="AH386:AH449" si="59">IF($AB386="","",$AA386-$AB386)</f>
        <v/>
      </c>
      <c r="AI386" t="str">
        <f>IFERROR(IF($AH386="","",IF($AH386&gt;=$AA386*'Parametri Modello'!$B$68,"🟢 Opportunita'",IF($AH386&lt;=$AA386*'Parametri Modello'!$B$69,"🔴 Sovrapprezzo","🟡 Prezzo Corretto"))),"")</f>
        <v/>
      </c>
      <c r="AJ386" t="str">
        <f t="shared" ref="AJ386:AJ449" si="60">IF($AB386="","",IF($AC386="PASS","Prezzo sopra la tua Offerta Max Dinamica ("&amp;$AA386&amp;" cr).",IF($AC386="BID","Margine ampio sul tuo tetto (+"&amp;($AA386-$AB386)&amp;" cr).","Margine ridotto: sei vicino al tuo tetto ("&amp;($AA386-$AB386)&amp;" cr residui).")))</f>
        <v/>
      </c>
      <c r="AK386">
        <f t="shared" ref="AK386:AK449" si="61">IF(AND($D386="",$N386&gt;1),COUNTIFS($B$2:$B$492,$B386,$P$2:$P$492,$P386,$D$2:$D$492,"",$N$2:$N$492,"&gt;1",$O$2:$O$492,"&gt;"&amp;$O386)+1,"")</f>
        <v>25</v>
      </c>
      <c r="AL386" t="str">
        <f t="shared" ref="AL386:AL449" si="62">IF($AK386="","",$B386&amp;"|"&amp;$P386&amp;"|"&amp;$AK386)</f>
        <v>D|Scommessa/Riserva|25</v>
      </c>
    </row>
    <row r="387" spans="1:38" ht="14.25" customHeight="1" x14ac:dyDescent="0.25">
      <c r="A387" s="18">
        <v>6925</v>
      </c>
      <c r="B387" s="18" t="s">
        <v>88</v>
      </c>
      <c r="C387" s="18" t="s">
        <v>233</v>
      </c>
      <c r="E387" s="23" t="str">
        <f>IF(COUNTIF('Info Strategia'!$D$2:$D$51,$C387)&gt;0,"SI","NO")</f>
        <v>NO</v>
      </c>
      <c r="F387" s="24">
        <f>IFERROR(ROUND(($G387+($H387-$G387)*'Info Strategia'!$B$6)*(1+IF($E387="SI",'Parametri Modello'!$B$7*'Info Strategia'!$B$6,0)),0),"")</f>
        <v>1</v>
      </c>
      <c r="G387" s="24">
        <f>IFERROR(ROUND(MAX(1,(IF($V387&lt;=INDEX('Parametri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H387" s="24">
        <f>IFERROR(ROUND((IF($V387&lt;=INDEX('Parametri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I387" s="23">
        <f>IFERROR(INDEX('Input Statistiche 2025_26'!$F$3:$F$665,MATCH($A387,'Input Statistiche 2025_26'!$A$3:$A$665,0)),"")</f>
        <v>4</v>
      </c>
      <c r="J387" s="23">
        <f t="shared" si="54"/>
        <v>34</v>
      </c>
      <c r="K387" s="23">
        <f>IFERROR(INDEX('Input Statistiche 2025_26'!$I$3:$I$665,MATCH($A387,'Input Statistiche 2025_26'!$A$3:$A$665,0)),"")</f>
        <v>0</v>
      </c>
      <c r="L387" s="23">
        <f>IFERROR(INDEX('Input Statistiche 2025_26'!$O$3:$O$665,MATCH($A387,'Input Statistiche 2025_26'!$A$3:$A$665,0)),"")</f>
        <v>0</v>
      </c>
      <c r="M387" s="25"/>
      <c r="N387" s="24">
        <f>IFERROR(INDEX('Input Giocatori 2026_27'!$E$3:$E$493,MATCH($A387,'Input Giocatori 2026_27'!$A$3:$A$493,0)),"")</f>
        <v>2</v>
      </c>
      <c r="O387" s="24">
        <f>IFERROR(INDEX('Input Giocatori 2026_27'!$G$3:$G$493,MATCH($A387,'Input Giocatori 2026_27'!$A$3:$A$493,0)),"")</f>
        <v>5</v>
      </c>
      <c r="P387" s="23" t="str">
        <f>IFERROR(IF($O387="","",IF((1-(COUNTIFS($B$2:$B$492,$B387,$O$2:$O$492,"&gt;"&amp;$O387)+1-1)/COUNTIF($B$2:$B$492,$B387))&gt;='Parametri Modello'!$B$63,"Top",IF((1-(COUNTIFS($B$2:$B$492,$B387,$O$2:$O$492,"&gt;"&amp;$O387)+1-1)/COUNTIF($B$2:$B$492,$B387))&gt;='Parametri Modello'!$B$64,"Buono",IF((1-(COUNTIFS($B$2:$B$492,$B387,$O$2:$O$492,"&gt;"&amp;$O387)+1-1)/COUNTIF($B$2:$B$492,$B387))&gt;='Parametri Modello'!$B$65,"Nella Media","Scommessa/Riserva")))),"")</f>
        <v>Scommessa/Riserva</v>
      </c>
      <c r="Q387" s="26">
        <f>IF(AND($D387="",$N387&gt;1),SUMPRODUCT(($D$2:$D387="")*($N$2:$N387&gt;1)),"")</f>
        <v>385</v>
      </c>
      <c r="R387" s="26" t="str">
        <f>IF($D387='Info Lega'!$B$28,COUNTIFS($D$2:$D387,'Info Lega'!$B$28),"")</f>
        <v/>
      </c>
      <c r="S387" s="27">
        <f>IFERROR(INDEX('Input Statistiche 2025_26'!$G$3:$G$665,MATCH($A387,'Input Statistiche 2025_26'!$A$3:$A$665,0)),"")</f>
        <v>5.5</v>
      </c>
      <c r="T387" s="27">
        <f>IFERROR(INDEX('Input Statistiche 2025_26'!$H$3:$H$665,MATCH($A387,'Input Statistiche 2025_26'!$A$3:$A$665,0)),"")</f>
        <v>5.5</v>
      </c>
      <c r="U387" s="23" t="str">
        <f>IF(OR('La Mia Rosa'!$O$12="",$D387&lt;&gt;""),"",IF($F387&lt;='La Mia Rosa'!$O$12*'Parametri Modello'!$B$24,"OK",IF($F387&lt;='La Mia Rosa'!$O$12*'Parametri Modello'!$B$25,"Attenzione","Rischio Alto")))</f>
        <v>OK</v>
      </c>
      <c r="V387" s="23">
        <f t="shared" si="55"/>
        <v>137</v>
      </c>
      <c r="W387" s="18">
        <f>'Info Lega'!$B$4-SUMIFS($M$2:$M$492,$D$2:$D$492,'Info Lega'!$B$28)</f>
        <v>1000</v>
      </c>
      <c r="X387" s="18">
        <f>('Info Lega'!$B$5-COUNTIFS($D$2:$D$492,'Info Lega'!$B$28,$B$2:$B$492,"P"))+('Info Lega'!$B$6-COUNTIFS($D$2:$D$492,'Info Lega'!$B$28,$B$2:$B$492,"D"))+('Info Lega'!$B$7-COUNTIFS($D$2:$D$492,'Info Lega'!$B$28,$B$2:$B$492,"C"))+('Info Lega'!$B$8-COUNTIFS($D$2:$D$492,'Info Lega'!$B$28,$B$2:$B$492,"A"))</f>
        <v>25</v>
      </c>
      <c r="Y387" s="18">
        <f>X387*'Parametri Modello'!$B$30</f>
        <v>25</v>
      </c>
      <c r="Z387" s="18">
        <f t="shared" si="56"/>
        <v>975</v>
      </c>
      <c r="AA387" s="18">
        <f t="shared" si="57"/>
        <v>1</v>
      </c>
      <c r="AB387" s="18"/>
      <c r="AC387" s="18" t="str">
        <f>IF($AB387="","",IF($AB387&gt;$AA387,"PASS",IF($AB387&lt;=$AA387*(1-'Parametri Modello'!$B$68),"BID","ATTENZIONE")))</f>
        <v/>
      </c>
      <c r="AD387" s="28">
        <f t="shared" si="58"/>
        <v>12</v>
      </c>
      <c r="AE387" s="5" t="str">
        <f>IFERROR(IF($AF387="Titolare",INDEX('Stato Asta'!$G$9:$G$12,MATCH($B387,'Stato Asta'!$A$9:$A$12,0)),INDEX('Stato Asta'!$P$9:$P$12,MATCH($B387,'Stato Asta'!$A$9:$A$12,0))),"")</f>
        <v>🟢 Riserve abbondanti</v>
      </c>
      <c r="AF387" t="str">
        <f>IFERROR(IF($V387&lt;=INDEX('Parametri Modello'!$C$57:$C$60,MATCH($B387,'Parametri Modello'!$A$57:$A$60,0)),"Titolare","Riserva"),"")</f>
        <v>Riserva</v>
      </c>
      <c r="AG387" t="str">
        <f>IFERROR(INDEX('Pressione Competitiva'!$F$3:$F$6,MATCH($B387,'Pressione Competitiva'!$B$3:$B$6,0)),"")</f>
        <v>🔴 Molto Alta</v>
      </c>
      <c r="AH387" t="str">
        <f t="shared" si="59"/>
        <v/>
      </c>
      <c r="AI387" t="str">
        <f>IFERROR(IF($AH387="","",IF($AH387&gt;=$AA387*'Parametri Modello'!$B$68,"🟢 Opportunita'",IF($AH387&lt;=$AA387*'Parametri Modello'!$B$69,"🔴 Sovrapprezzo","🟡 Prezzo Corretto"))),"")</f>
        <v/>
      </c>
      <c r="AJ387" t="str">
        <f t="shared" si="60"/>
        <v/>
      </c>
      <c r="AK387">
        <f t="shared" si="61"/>
        <v>25</v>
      </c>
      <c r="AL387" t="str">
        <f t="shared" si="62"/>
        <v>D|Scommessa/Riserva|25</v>
      </c>
    </row>
    <row r="388" spans="1:38" ht="14.25" customHeight="1" x14ac:dyDescent="0.25">
      <c r="A388" s="18">
        <v>6809</v>
      </c>
      <c r="B388" s="18" t="s">
        <v>88</v>
      </c>
      <c r="C388" s="18" t="s">
        <v>254</v>
      </c>
      <c r="E388" s="23" t="str">
        <f>IF(COUNTIF('Info Strategia'!$D$2:$D$51,$C388)&gt;0,"SI","NO")</f>
        <v>NO</v>
      </c>
      <c r="F388" s="24">
        <f>IFERROR(ROUND(($G388+($H388-$G388)*'Info Strategia'!$B$6)*(1+IF($E388="SI",'Parametri Modello'!$B$7*'Info Strategia'!$B$6,0)),0),"")</f>
        <v>1</v>
      </c>
      <c r="G388" s="24">
        <f>IFERROR(ROUND(MAX(1,(IF($V388&lt;=INDEX('Parametri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H388" s="24">
        <f>IFERROR(ROUND((IF($V388&lt;=INDEX('Parametri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I388" s="23">
        <f>IFERROR(INDEX('Input Statistiche 2025_26'!$F$3:$F$665,MATCH($A388,'Input Statistiche 2025_26'!$A$3:$A$665,0)),"")</f>
        <v>11</v>
      </c>
      <c r="J388" s="23">
        <f t="shared" si="54"/>
        <v>27</v>
      </c>
      <c r="K388" s="23">
        <f>IFERROR(INDEX('Input Statistiche 2025_26'!$I$3:$I$665,MATCH($A388,'Input Statistiche 2025_26'!$A$3:$A$665,0)),"")</f>
        <v>0</v>
      </c>
      <c r="L388" s="23">
        <f>IFERROR(INDEX('Input Statistiche 2025_26'!$O$3:$O$665,MATCH($A388,'Input Statistiche 2025_26'!$A$3:$A$665,0)),"")</f>
        <v>1</v>
      </c>
      <c r="M388" s="25"/>
      <c r="N388" s="24">
        <f>IFERROR(INDEX('Input Giocatori 2026_27'!$E$3:$E$493,MATCH($A388,'Input Giocatori 2026_27'!$A$3:$A$493,0)),"")</f>
        <v>1</v>
      </c>
      <c r="O388" s="24">
        <f>IFERROR(INDEX('Input Giocatori 2026_27'!$G$3:$G$493,MATCH($A388,'Input Giocatori 2026_27'!$A$3:$A$493,0)),"")</f>
        <v>5</v>
      </c>
      <c r="P388" s="23" t="str">
        <f>IFERROR(IF($O388="","",IF((1-(COUNTIFS($B$2:$B$492,$B388,$O$2:$O$492,"&gt;"&amp;$O388)+1-1)/COUNTIF($B$2:$B$492,$B388))&gt;='Parametri Modello'!$B$63,"Top",IF((1-(COUNTIFS($B$2:$B$492,$B388,$O$2:$O$492,"&gt;"&amp;$O388)+1-1)/COUNTIF($B$2:$B$492,$B388))&gt;='Parametri Modello'!$B$64,"Buono",IF((1-(COUNTIFS($B$2:$B$492,$B388,$O$2:$O$492,"&gt;"&amp;$O388)+1-1)/COUNTIF($B$2:$B$492,$B388))&gt;='Parametri Modello'!$B$65,"Nella Media","Scommessa/Riserva")))),"")</f>
        <v>Scommessa/Riserva</v>
      </c>
      <c r="Q388" s="26" t="str">
        <f>IF(AND($D388="",$N388&gt;1),SUMPRODUCT(($D$2:$D388="")*($N$2:$N388&gt;1)),"")</f>
        <v/>
      </c>
      <c r="R388" s="26" t="str">
        <f>IF($D388='Info Lega'!$B$28,COUNTIFS($D$2:$D388,'Info Lega'!$B$28),"")</f>
        <v/>
      </c>
      <c r="S388" s="27">
        <f>IFERROR(INDEX('Input Statistiche 2025_26'!$G$3:$G$665,MATCH($A388,'Input Statistiche 2025_26'!$A$3:$A$665,0)),"")</f>
        <v>5.73</v>
      </c>
      <c r="T388" s="27">
        <f>IFERROR(INDEX('Input Statistiche 2025_26'!$H$3:$H$665,MATCH($A388,'Input Statistiche 2025_26'!$A$3:$A$665,0)),"")</f>
        <v>5.73</v>
      </c>
      <c r="U388" s="23" t="str">
        <f>IF(OR('La Mia Rosa'!$O$12="",$D388&lt;&gt;""),"",IF($F388&lt;='La Mia Rosa'!$O$12*'Parametri Modello'!$B$24,"OK",IF($F388&lt;='La Mia Rosa'!$O$12*'Parametri Modello'!$B$25,"Attenzione","Rischio Alto")))</f>
        <v>OK</v>
      </c>
      <c r="V388" s="23">
        <f t="shared" si="55"/>
        <v>137</v>
      </c>
      <c r="W388" s="18">
        <f>'Info Lega'!$B$4-SUMIFS($M$2:$M$492,$D$2:$D$492,'Info Lega'!$B$28)</f>
        <v>1000</v>
      </c>
      <c r="X388" s="18">
        <f>('Info Lega'!$B$5-COUNTIFS($D$2:$D$492,'Info Lega'!$B$28,$B$2:$B$492,"P"))+('Info Lega'!$B$6-COUNTIFS($D$2:$D$492,'Info Lega'!$B$28,$B$2:$B$492,"D"))+('Info Lega'!$B$7-COUNTIFS($D$2:$D$492,'Info Lega'!$B$28,$B$2:$B$492,"C"))+('Info Lega'!$B$8-COUNTIFS($D$2:$D$492,'Info Lega'!$B$28,$B$2:$B$492,"A"))</f>
        <v>25</v>
      </c>
      <c r="Y388" s="18">
        <f>X388*'Parametri Modello'!$B$30</f>
        <v>25</v>
      </c>
      <c r="Z388" s="18">
        <f t="shared" si="56"/>
        <v>975</v>
      </c>
      <c r="AA388" s="18">
        <f t="shared" si="57"/>
        <v>1</v>
      </c>
      <c r="AB388" s="18"/>
      <c r="AC388" s="18" t="str">
        <f>IF($AB388="","",IF($AB388&gt;$AA388,"PASS",IF($AB388&lt;=$AA388*(1-'Parametri Modello'!$B$68),"BID","ATTENZIONE")))</f>
        <v/>
      </c>
      <c r="AD388" s="28">
        <f t="shared" si="58"/>
        <v>31</v>
      </c>
      <c r="AE388" s="5" t="str">
        <f>IFERROR(IF($AF388="Titolare",INDEX('Stato Asta'!$G$9:$G$12,MATCH($B388,'Stato Asta'!$A$9:$A$12,0)),INDEX('Stato Asta'!$P$9:$P$12,MATCH($B388,'Stato Asta'!$A$9:$A$12,0))),"")</f>
        <v>🟢 Riserve abbondanti</v>
      </c>
      <c r="AF388" t="str">
        <f>IFERROR(IF($V388&lt;=INDEX('Parametri Modello'!$C$57:$C$60,MATCH($B388,'Parametri Modello'!$A$57:$A$60,0)),"Titolare","Riserva"),"")</f>
        <v>Riserva</v>
      </c>
      <c r="AG388" t="str">
        <f>IFERROR(INDEX('Pressione Competitiva'!$F$3:$F$6,MATCH($B388,'Pressione Competitiva'!$B$3:$B$6,0)),"")</f>
        <v>🔴 Molto Alta</v>
      </c>
      <c r="AH388" t="str">
        <f t="shared" si="59"/>
        <v/>
      </c>
      <c r="AI388" t="str">
        <f>IFERROR(IF($AH388="","",IF($AH388&gt;=$AA388*'Parametri Modello'!$B$68,"🟢 Opportunita'",IF($AH388&lt;=$AA388*'Parametri Modello'!$B$69,"🔴 Sovrapprezzo","🟡 Prezzo Corretto"))),"")</f>
        <v/>
      </c>
      <c r="AJ388" t="str">
        <f t="shared" si="60"/>
        <v/>
      </c>
      <c r="AK388" t="str">
        <f t="shared" si="61"/>
        <v/>
      </c>
      <c r="AL388" t="str">
        <f t="shared" si="62"/>
        <v/>
      </c>
    </row>
    <row r="389" spans="1:38" ht="14.25" customHeight="1" x14ac:dyDescent="0.25">
      <c r="A389" s="18">
        <v>7183</v>
      </c>
      <c r="B389" s="18" t="s">
        <v>264</v>
      </c>
      <c r="C389" s="18" t="s">
        <v>404</v>
      </c>
      <c r="E389" s="23" t="str">
        <f>IF(COUNTIF('Info Strategia'!$D$2:$D$51,$C389)&gt;0,"SI","NO")</f>
        <v>NO</v>
      </c>
      <c r="F389" s="24">
        <f>IFERROR(ROUND(($G389+($H389-$G389)*'Info Strategia'!$B$6)*(1+IF($E389="SI",'Parametri Modello'!$B$7*'Info Strategia'!$B$6,0)),0),"")</f>
        <v>1</v>
      </c>
      <c r="G389" s="24">
        <f>IFERROR(ROUND(MAX(1,(IF($V389&lt;=INDEX('Parametri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H389" s="24">
        <f>IFERROR(ROUND((IF($V389&lt;=INDEX('Parametri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I389" s="23">
        <f>IFERROR(INDEX('Input Statistiche 2025_26'!$F$3:$F$665,MATCH($A389,'Input Statistiche 2025_26'!$A$3:$A$665,0)),"")</f>
        <v>11</v>
      </c>
      <c r="J389" s="23">
        <f t="shared" si="54"/>
        <v>27</v>
      </c>
      <c r="K389" s="23">
        <f>IFERROR(INDEX('Input Statistiche 2025_26'!$I$3:$I$665,MATCH($A389,'Input Statistiche 2025_26'!$A$3:$A$665,0)),"")</f>
        <v>0</v>
      </c>
      <c r="L389" s="23">
        <f>IFERROR(INDEX('Input Statistiche 2025_26'!$O$3:$O$665,MATCH($A389,'Input Statistiche 2025_26'!$A$3:$A$665,0)),"")</f>
        <v>0</v>
      </c>
      <c r="M389" s="25"/>
      <c r="N389" s="24">
        <f>IFERROR(INDEX('Input Giocatori 2026_27'!$E$3:$E$493,MATCH($A389,'Input Giocatori 2026_27'!$A$3:$A$493,0)),"")</f>
        <v>3</v>
      </c>
      <c r="O389" s="24">
        <f>IFERROR(INDEX('Input Giocatori 2026_27'!$G$3:$G$493,MATCH($A389,'Input Giocatori 2026_27'!$A$3:$A$493,0)),"")</f>
        <v>5</v>
      </c>
      <c r="P389" s="23" t="str">
        <f>IFERROR(IF($O389="","",IF((1-(COUNTIFS($B$2:$B$492,$B389,$O$2:$O$492,"&gt;"&amp;$O389)+1-1)/COUNTIF($B$2:$B$492,$B389))&gt;='Parametri Modello'!$B$63,"Top",IF((1-(COUNTIFS($B$2:$B$492,$B389,$O$2:$O$492,"&gt;"&amp;$O389)+1-1)/COUNTIF($B$2:$B$492,$B389))&gt;='Parametri Modello'!$B$64,"Buono",IF((1-(COUNTIFS($B$2:$B$492,$B389,$O$2:$O$492,"&gt;"&amp;$O389)+1-1)/COUNTIF($B$2:$B$492,$B389))&gt;='Parametri Modello'!$B$65,"Nella Media","Scommessa/Riserva")))),"")</f>
        <v>Scommessa/Riserva</v>
      </c>
      <c r="Q389" s="26">
        <f>IF(AND($D389="",$N389&gt;1),SUMPRODUCT(($D$2:$D389="")*($N$2:$N389&gt;1)),"")</f>
        <v>386</v>
      </c>
      <c r="R389" s="26" t="str">
        <f>IF($D389='Info Lega'!$B$28,COUNTIFS($D$2:$D389,'Info Lega'!$B$28),"")</f>
        <v/>
      </c>
      <c r="S389" s="27">
        <f>IFERROR(INDEX('Input Statistiche 2025_26'!$G$3:$G$665,MATCH($A389,'Input Statistiche 2025_26'!$A$3:$A$665,0)),"")</f>
        <v>5.77</v>
      </c>
      <c r="T389" s="27">
        <f>IFERROR(INDEX('Input Statistiche 2025_26'!$H$3:$H$665,MATCH($A389,'Input Statistiche 2025_26'!$A$3:$A$665,0)),"")</f>
        <v>5.64</v>
      </c>
      <c r="U389" s="23" t="str">
        <f>IF(OR('La Mia Rosa'!$O$12="",$D389&lt;&gt;""),"",IF($F389&lt;='La Mia Rosa'!$O$12*'Parametri Modello'!$B$24,"OK",IF($F389&lt;='La Mia Rosa'!$O$12*'Parametri Modello'!$B$25,"Attenzione","Rischio Alto")))</f>
        <v>OK</v>
      </c>
      <c r="V389" s="23">
        <f t="shared" si="55"/>
        <v>146</v>
      </c>
      <c r="W389" s="18">
        <f>'Info Lega'!$B$4-SUMIFS($M$2:$M$492,$D$2:$D$492,'Info Lega'!$B$28)</f>
        <v>1000</v>
      </c>
      <c r="X389" s="18">
        <f>('Info Lega'!$B$5-COUNTIFS($D$2:$D$492,'Info Lega'!$B$28,$B$2:$B$492,"P"))+('Info Lega'!$B$6-COUNTIFS($D$2:$D$492,'Info Lega'!$B$28,$B$2:$B$492,"D"))+('Info Lega'!$B$7-COUNTIFS($D$2:$D$492,'Info Lega'!$B$28,$B$2:$B$492,"C"))+('Info Lega'!$B$8-COUNTIFS($D$2:$D$492,'Info Lega'!$B$28,$B$2:$B$492,"A"))</f>
        <v>25</v>
      </c>
      <c r="Y389" s="18">
        <f>X389*'Parametri Modello'!$B$30</f>
        <v>25</v>
      </c>
      <c r="Z389" s="18">
        <f t="shared" si="56"/>
        <v>975</v>
      </c>
      <c r="AA389" s="18">
        <f t="shared" si="57"/>
        <v>1</v>
      </c>
      <c r="AB389" s="18"/>
      <c r="AC389" s="18" t="str">
        <f>IF($AB389="","",IF($AB389&gt;$AA389,"PASS",IF($AB389&lt;=$AA389*(1-'Parametri Modello'!$B$68),"BID","ATTENZIONE")))</f>
        <v/>
      </c>
      <c r="AD389" s="28">
        <f t="shared" si="58"/>
        <v>31</v>
      </c>
      <c r="AE389" s="5" t="str">
        <f>IFERROR(IF($AF389="Titolare",INDEX('Stato Asta'!$G$9:$G$12,MATCH($B389,'Stato Asta'!$A$9:$A$12,0)),INDEX('Stato Asta'!$P$9:$P$12,MATCH($B389,'Stato Asta'!$A$9:$A$12,0))),"")</f>
        <v>🟢 Riserve abbondanti</v>
      </c>
      <c r="AF389" t="str">
        <f>IFERROR(IF($V389&lt;=INDEX('Parametri Modello'!$C$57:$C$60,MATCH($B389,'Parametri Modello'!$A$57:$A$60,0)),"Titolare","Riserva"),"")</f>
        <v>Riserva</v>
      </c>
      <c r="AG389" t="str">
        <f>IFERROR(INDEX('Pressione Competitiva'!$F$3:$F$6,MATCH($B389,'Pressione Competitiva'!$B$3:$B$6,0)),"")</f>
        <v>🔴 Molto Alta</v>
      </c>
      <c r="AH389" t="str">
        <f t="shared" si="59"/>
        <v/>
      </c>
      <c r="AI389" t="str">
        <f>IFERROR(IF($AH389="","",IF($AH389&gt;=$AA389*'Parametri Modello'!$B$68,"🟢 Opportunita'",IF($AH389&lt;=$AA389*'Parametri Modello'!$B$69,"🔴 Sovrapprezzo","🟡 Prezzo Corretto"))),"")</f>
        <v/>
      </c>
      <c r="AJ389" t="str">
        <f t="shared" si="60"/>
        <v/>
      </c>
      <c r="AK389">
        <f t="shared" si="61"/>
        <v>42</v>
      </c>
      <c r="AL389" t="str">
        <f t="shared" si="62"/>
        <v>C|Scommessa/Riserva|42</v>
      </c>
    </row>
    <row r="390" spans="1:38" ht="14.25" customHeight="1" x14ac:dyDescent="0.25">
      <c r="A390" s="18">
        <v>6903</v>
      </c>
      <c r="B390" s="18" t="s">
        <v>264</v>
      </c>
      <c r="C390" s="18" t="s">
        <v>409</v>
      </c>
      <c r="E390" s="23" t="str">
        <f>IF(COUNTIF('Info Strategia'!$D$2:$D$51,$C390)&gt;0,"SI","NO")</f>
        <v>NO</v>
      </c>
      <c r="F390" s="24">
        <f>IFERROR(ROUND(($G390+($H390-$G390)*'Info Strategia'!$B$6)*(1+IF($E390="SI",'Parametri Modello'!$B$7*'Info Strategia'!$B$6,0)),0),"")</f>
        <v>1</v>
      </c>
      <c r="G390" s="24">
        <f>IFERROR(ROUND(MAX(1,(IF($V390&lt;=INDEX('Parametri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H390" s="24">
        <f>IFERROR(ROUND((IF($V390&lt;=INDEX('Parametri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I390" s="23" t="str">
        <f>IFERROR(INDEX('Input Statistiche 2025_26'!$F$3:$F$665,MATCH($A390,'Input Statistiche 2025_26'!$A$3:$A$665,0)),"")</f>
        <v/>
      </c>
      <c r="J390" s="23" t="str">
        <f t="shared" si="54"/>
        <v/>
      </c>
      <c r="K390" s="23" t="str">
        <f>IFERROR(INDEX('Input Statistiche 2025_26'!$I$3:$I$665,MATCH($A390,'Input Statistiche 2025_26'!$A$3:$A$665,0)),"")</f>
        <v/>
      </c>
      <c r="L390" s="23" t="str">
        <f>IFERROR(INDEX('Input Statistiche 2025_26'!$O$3:$O$665,MATCH($A390,'Input Statistiche 2025_26'!$A$3:$A$665,0)),"")</f>
        <v/>
      </c>
      <c r="M390" s="25"/>
      <c r="N390" s="24">
        <f>IFERROR(INDEX('Input Giocatori 2026_27'!$E$3:$E$493,MATCH($A390,'Input Giocatori 2026_27'!$A$3:$A$493,0)),"")</f>
        <v>2</v>
      </c>
      <c r="O390" s="24">
        <f>IFERROR(INDEX('Input Giocatori 2026_27'!$G$3:$G$493,MATCH($A390,'Input Giocatori 2026_27'!$A$3:$A$493,0)),"")</f>
        <v>5</v>
      </c>
      <c r="P390" s="23" t="str">
        <f>IFERROR(IF($O390="","",IF((1-(COUNTIFS($B$2:$B$492,$B390,$O$2:$O$492,"&gt;"&amp;$O390)+1-1)/COUNTIF($B$2:$B$492,$B390))&gt;='Parametri Modello'!$B$63,"Top",IF((1-(COUNTIFS($B$2:$B$492,$B390,$O$2:$O$492,"&gt;"&amp;$O390)+1-1)/COUNTIF($B$2:$B$492,$B390))&gt;='Parametri Modello'!$B$64,"Buono",IF((1-(COUNTIFS($B$2:$B$492,$B390,$O$2:$O$492,"&gt;"&amp;$O390)+1-1)/COUNTIF($B$2:$B$492,$B390))&gt;='Parametri Modello'!$B$65,"Nella Media","Scommessa/Riserva")))),"")</f>
        <v>Scommessa/Riserva</v>
      </c>
      <c r="Q390" s="26">
        <f>IF(AND($D390="",$N390&gt;1),SUMPRODUCT(($D$2:$D390="")*($N$2:$N390&gt;1)),"")</f>
        <v>387</v>
      </c>
      <c r="R390" s="26" t="str">
        <f>IF($D390='Info Lega'!$B$28,COUNTIFS($D$2:$D390,'Info Lega'!$B$28),"")</f>
        <v/>
      </c>
      <c r="S390" s="27" t="str">
        <f>IFERROR(INDEX('Input Statistiche 2025_26'!$G$3:$G$665,MATCH($A390,'Input Statistiche 2025_26'!$A$3:$A$665,0)),"")</f>
        <v/>
      </c>
      <c r="T390" s="27" t="str">
        <f>IFERROR(INDEX('Input Statistiche 2025_26'!$H$3:$H$665,MATCH($A390,'Input Statistiche 2025_26'!$A$3:$A$665,0)),"")</f>
        <v/>
      </c>
      <c r="U390" s="23" t="str">
        <f>IF(OR('La Mia Rosa'!$O$12="",$D390&lt;&gt;""),"",IF($F390&lt;='La Mia Rosa'!$O$12*'Parametri Modello'!$B$24,"OK",IF($F390&lt;='La Mia Rosa'!$O$12*'Parametri Modello'!$B$25,"Attenzione","Rischio Alto")))</f>
        <v>OK</v>
      </c>
      <c r="V390" s="23">
        <f t="shared" si="55"/>
        <v>146</v>
      </c>
      <c r="W390" s="18">
        <f>'Info Lega'!$B$4-SUMIFS($M$2:$M$492,$D$2:$D$492,'Info Lega'!$B$28)</f>
        <v>1000</v>
      </c>
      <c r="X390" s="18">
        <f>('Info Lega'!$B$5-COUNTIFS($D$2:$D$492,'Info Lega'!$B$28,$B$2:$B$492,"P"))+('Info Lega'!$B$6-COUNTIFS($D$2:$D$492,'Info Lega'!$B$28,$B$2:$B$492,"D"))+('Info Lega'!$B$7-COUNTIFS($D$2:$D$492,'Info Lega'!$B$28,$B$2:$B$492,"C"))+('Info Lega'!$B$8-COUNTIFS($D$2:$D$492,'Info Lega'!$B$28,$B$2:$B$492,"A"))</f>
        <v>25</v>
      </c>
      <c r="Y390" s="18">
        <f>X390*'Parametri Modello'!$B$30</f>
        <v>25</v>
      </c>
      <c r="Z390" s="18">
        <f t="shared" si="56"/>
        <v>975</v>
      </c>
      <c r="AA390" s="18">
        <f t="shared" si="57"/>
        <v>1</v>
      </c>
      <c r="AB390" s="18"/>
      <c r="AC390" s="18" t="str">
        <f>IF($AB390="","",IF($AB390&gt;$AA390,"PASS",IF($AB390&lt;=$AA390*(1-'Parametri Modello'!$B$68),"BID","ATTENZIONE")))</f>
        <v/>
      </c>
      <c r="AD390" s="28" t="str">
        <f t="shared" si="58"/>
        <v/>
      </c>
      <c r="AE390" s="5" t="str">
        <f>IFERROR(IF($AF390="Titolare",INDEX('Stato Asta'!$G$9:$G$12,MATCH($B390,'Stato Asta'!$A$9:$A$12,0)),INDEX('Stato Asta'!$P$9:$P$12,MATCH($B390,'Stato Asta'!$A$9:$A$12,0))),"")</f>
        <v>🟢 Riserve abbondanti</v>
      </c>
      <c r="AF390" t="str">
        <f>IFERROR(IF($V390&lt;=INDEX('Parametri Modello'!$C$57:$C$60,MATCH($B390,'Parametri Modello'!$A$57:$A$60,0)),"Titolare","Riserva"),"")</f>
        <v>Riserva</v>
      </c>
      <c r="AG390" t="str">
        <f>IFERROR(INDEX('Pressione Competitiva'!$F$3:$F$6,MATCH($B390,'Pressione Competitiva'!$B$3:$B$6,0)),"")</f>
        <v>🔴 Molto Alta</v>
      </c>
      <c r="AH390" t="str">
        <f t="shared" si="59"/>
        <v/>
      </c>
      <c r="AI390" t="str">
        <f>IFERROR(IF($AH390="","",IF($AH390&gt;=$AA390*'Parametri Modello'!$B$68,"🟢 Opportunita'",IF($AH390&lt;=$AA390*'Parametri Modello'!$B$69,"🔴 Sovrapprezzo","🟡 Prezzo Corretto"))),"")</f>
        <v/>
      </c>
      <c r="AJ390" t="str">
        <f t="shared" si="60"/>
        <v/>
      </c>
      <c r="AK390">
        <f t="shared" si="61"/>
        <v>42</v>
      </c>
      <c r="AL390" t="str">
        <f t="shared" si="62"/>
        <v>C|Scommessa/Riserva|42</v>
      </c>
    </row>
    <row r="391" spans="1:38" ht="14.25" customHeight="1" x14ac:dyDescent="0.25">
      <c r="A391" s="18">
        <v>5457</v>
      </c>
      <c r="B391" s="18" t="s">
        <v>264</v>
      </c>
      <c r="C391" s="18" t="s">
        <v>412</v>
      </c>
      <c r="E391" s="23" t="str">
        <f>IF(COUNTIF('Info Strategia'!$D$2:$D$51,$C391)&gt;0,"SI","NO")</f>
        <v>NO</v>
      </c>
      <c r="F391" s="24">
        <f>IFERROR(ROUND(($G391+($H391-$G391)*'Info Strategia'!$B$6)*(1+IF($E391="SI",'Parametri Modello'!$B$7*'Info Strategia'!$B$6,0)),0),"")</f>
        <v>1</v>
      </c>
      <c r="G391" s="24">
        <f>IFERROR(ROUND(MAX(1,(IF($V391&lt;=INDEX('Parametri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H391" s="24">
        <f>IFERROR(ROUND((IF($V391&lt;=INDEX('Parametri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I391" s="23">
        <f>IFERROR(INDEX('Input Statistiche 2025_26'!$F$3:$F$665,MATCH($A391,'Input Statistiche 2025_26'!$A$3:$A$665,0)),"")</f>
        <v>21</v>
      </c>
      <c r="J391" s="23">
        <f t="shared" si="54"/>
        <v>17</v>
      </c>
      <c r="K391" s="23">
        <f>IFERROR(INDEX('Input Statistiche 2025_26'!$I$3:$I$665,MATCH($A391,'Input Statistiche 2025_26'!$A$3:$A$665,0)),"")</f>
        <v>1</v>
      </c>
      <c r="L391" s="23">
        <f>IFERROR(INDEX('Input Statistiche 2025_26'!$O$3:$O$665,MATCH($A391,'Input Statistiche 2025_26'!$A$3:$A$665,0)),"")</f>
        <v>0</v>
      </c>
      <c r="M391" s="25"/>
      <c r="N391" s="24">
        <f>IFERROR(INDEX('Input Giocatori 2026_27'!$E$3:$E$493,MATCH($A391,'Input Giocatori 2026_27'!$A$3:$A$493,0)),"")</f>
        <v>2</v>
      </c>
      <c r="O391" s="24">
        <f>IFERROR(INDEX('Input Giocatori 2026_27'!$G$3:$G$493,MATCH($A391,'Input Giocatori 2026_27'!$A$3:$A$493,0)),"")</f>
        <v>5</v>
      </c>
      <c r="P391" s="23" t="str">
        <f>IFERROR(IF($O391="","",IF((1-(COUNTIFS($B$2:$B$492,$B391,$O$2:$O$492,"&gt;"&amp;$O391)+1-1)/COUNTIF($B$2:$B$492,$B391))&gt;='Parametri Modello'!$B$63,"Top",IF((1-(COUNTIFS($B$2:$B$492,$B391,$O$2:$O$492,"&gt;"&amp;$O391)+1-1)/COUNTIF($B$2:$B$492,$B391))&gt;='Parametri Modello'!$B$64,"Buono",IF((1-(COUNTIFS($B$2:$B$492,$B391,$O$2:$O$492,"&gt;"&amp;$O391)+1-1)/COUNTIF($B$2:$B$492,$B391))&gt;='Parametri Modello'!$B$65,"Nella Media","Scommessa/Riserva")))),"")</f>
        <v>Scommessa/Riserva</v>
      </c>
      <c r="Q391" s="26">
        <f>IF(AND($D391="",$N391&gt;1),SUMPRODUCT(($D$2:$D391="")*($N$2:$N391&gt;1)),"")</f>
        <v>388</v>
      </c>
      <c r="R391" s="26" t="str">
        <f>IF($D391='Info Lega'!$B$28,COUNTIFS($D$2:$D391,'Info Lega'!$B$28),"")</f>
        <v/>
      </c>
      <c r="S391" s="27">
        <f>IFERROR(INDEX('Input Statistiche 2025_26'!$G$3:$G$665,MATCH($A391,'Input Statistiche 2025_26'!$A$3:$A$665,0)),"")</f>
        <v>5.69</v>
      </c>
      <c r="T391" s="27">
        <f>IFERROR(INDEX('Input Statistiche 2025_26'!$H$3:$H$665,MATCH($A391,'Input Statistiche 2025_26'!$A$3:$A$665,0)),"")</f>
        <v>5.71</v>
      </c>
      <c r="U391" s="23" t="str">
        <f>IF(OR('La Mia Rosa'!$O$12="",$D391&lt;&gt;""),"",IF($F391&lt;='La Mia Rosa'!$O$12*'Parametri Modello'!$B$24,"OK",IF($F391&lt;='La Mia Rosa'!$O$12*'Parametri Modello'!$B$25,"Attenzione","Rischio Alto")))</f>
        <v>OK</v>
      </c>
      <c r="V391" s="23">
        <f t="shared" si="55"/>
        <v>146</v>
      </c>
      <c r="W391" s="18">
        <f>'Info Lega'!$B$4-SUMIFS($M$2:$M$492,$D$2:$D$492,'Info Lega'!$B$28)</f>
        <v>1000</v>
      </c>
      <c r="X391" s="18">
        <f>('Info Lega'!$B$5-COUNTIFS($D$2:$D$492,'Info Lega'!$B$28,$B$2:$B$492,"P"))+('Info Lega'!$B$6-COUNTIFS($D$2:$D$492,'Info Lega'!$B$28,$B$2:$B$492,"D"))+('Info Lega'!$B$7-COUNTIFS($D$2:$D$492,'Info Lega'!$B$28,$B$2:$B$492,"C"))+('Info Lega'!$B$8-COUNTIFS($D$2:$D$492,'Info Lega'!$B$28,$B$2:$B$492,"A"))</f>
        <v>25</v>
      </c>
      <c r="Y391" s="18">
        <f>X391*'Parametri Modello'!$B$30</f>
        <v>25</v>
      </c>
      <c r="Z391" s="18">
        <f t="shared" si="56"/>
        <v>975</v>
      </c>
      <c r="AA391" s="18">
        <f t="shared" si="57"/>
        <v>1</v>
      </c>
      <c r="AB391" s="18"/>
      <c r="AC391" s="18" t="str">
        <f>IF($AB391="","",IF($AB391&gt;$AA391,"PASS",IF($AB391&lt;=$AA391*(1-'Parametri Modello'!$B$68),"BID","ATTENZIONE")))</f>
        <v/>
      </c>
      <c r="AD391" s="28">
        <f t="shared" si="58"/>
        <v>50</v>
      </c>
      <c r="AE391" s="5" t="str">
        <f>IFERROR(IF($AF391="Titolare",INDEX('Stato Asta'!$G$9:$G$12,MATCH($B391,'Stato Asta'!$A$9:$A$12,0)),INDEX('Stato Asta'!$P$9:$P$12,MATCH($B391,'Stato Asta'!$A$9:$A$12,0))),"")</f>
        <v>🟢 Riserve abbondanti</v>
      </c>
      <c r="AF391" t="str">
        <f>IFERROR(IF($V391&lt;=INDEX('Parametri Modello'!$C$57:$C$60,MATCH($B391,'Parametri Modello'!$A$57:$A$60,0)),"Titolare","Riserva"),"")</f>
        <v>Riserva</v>
      </c>
      <c r="AG391" t="str">
        <f>IFERROR(INDEX('Pressione Competitiva'!$F$3:$F$6,MATCH($B391,'Pressione Competitiva'!$B$3:$B$6,0)),"")</f>
        <v>🔴 Molto Alta</v>
      </c>
      <c r="AH391" t="str">
        <f t="shared" si="59"/>
        <v/>
      </c>
      <c r="AI391" t="str">
        <f>IFERROR(IF($AH391="","",IF($AH391&gt;=$AA391*'Parametri Modello'!$B$68,"🟢 Opportunita'",IF($AH391&lt;=$AA391*'Parametri Modello'!$B$69,"🔴 Sovrapprezzo","🟡 Prezzo Corretto"))),"")</f>
        <v/>
      </c>
      <c r="AJ391" t="str">
        <f t="shared" si="60"/>
        <v/>
      </c>
      <c r="AK391">
        <f t="shared" si="61"/>
        <v>42</v>
      </c>
      <c r="AL391" t="str">
        <f t="shared" si="62"/>
        <v>C|Scommessa/Riserva|42</v>
      </c>
    </row>
    <row r="392" spans="1:38" ht="14.25" customHeight="1" x14ac:dyDescent="0.25">
      <c r="A392" s="18">
        <v>7138</v>
      </c>
      <c r="B392" s="18" t="s">
        <v>264</v>
      </c>
      <c r="C392" s="18" t="s">
        <v>415</v>
      </c>
      <c r="E392" s="23" t="str">
        <f>IF(COUNTIF('Info Strategia'!$D$2:$D$51,$C392)&gt;0,"SI","NO")</f>
        <v>NO</v>
      </c>
      <c r="F392" s="24">
        <f>IFERROR(ROUND(($G392+($H392-$G392)*'Info Strategia'!$B$6)*(1+IF($E392="SI",'Parametri Modello'!$B$7*'Info Strategia'!$B$6,0)),0),"")</f>
        <v>1</v>
      </c>
      <c r="G392" s="24">
        <f>IFERROR(ROUND(MAX(1,(IF($V392&lt;=INDEX('Parametri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H392" s="24">
        <f>IFERROR(ROUND((IF($V392&lt;=INDEX('Parametri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I392" s="23">
        <f>IFERROR(INDEX('Input Statistiche 2025_26'!$F$3:$F$665,MATCH($A392,'Input Statistiche 2025_26'!$A$3:$A$665,0)),"")</f>
        <v>21</v>
      </c>
      <c r="J392" s="23">
        <f t="shared" si="54"/>
        <v>17</v>
      </c>
      <c r="K392" s="23">
        <f>IFERROR(INDEX('Input Statistiche 2025_26'!$I$3:$I$665,MATCH($A392,'Input Statistiche 2025_26'!$A$3:$A$665,0)),"")</f>
        <v>1</v>
      </c>
      <c r="L392" s="23">
        <f>IFERROR(INDEX('Input Statistiche 2025_26'!$O$3:$O$665,MATCH($A392,'Input Statistiche 2025_26'!$A$3:$A$665,0)),"")</f>
        <v>0</v>
      </c>
      <c r="M392" s="25"/>
      <c r="N392" s="24">
        <f>IFERROR(INDEX('Input Giocatori 2026_27'!$E$3:$E$493,MATCH($A392,'Input Giocatori 2026_27'!$A$3:$A$493,0)),"")</f>
        <v>2</v>
      </c>
      <c r="O392" s="24">
        <f>IFERROR(INDEX('Input Giocatori 2026_27'!$G$3:$G$493,MATCH($A392,'Input Giocatori 2026_27'!$A$3:$A$493,0)),"")</f>
        <v>5</v>
      </c>
      <c r="P392" s="23" t="str">
        <f>IFERROR(IF($O392="","",IF((1-(COUNTIFS($B$2:$B$492,$B392,$O$2:$O$492,"&gt;"&amp;$O392)+1-1)/COUNTIF($B$2:$B$492,$B392))&gt;='Parametri Modello'!$B$63,"Top",IF((1-(COUNTIFS($B$2:$B$492,$B392,$O$2:$O$492,"&gt;"&amp;$O392)+1-1)/COUNTIF($B$2:$B$492,$B392))&gt;='Parametri Modello'!$B$64,"Buono",IF((1-(COUNTIFS($B$2:$B$492,$B392,$O$2:$O$492,"&gt;"&amp;$O392)+1-1)/COUNTIF($B$2:$B$492,$B392))&gt;='Parametri Modello'!$B$65,"Nella Media","Scommessa/Riserva")))),"")</f>
        <v>Scommessa/Riserva</v>
      </c>
      <c r="Q392" s="26">
        <f>IF(AND($D392="",$N392&gt;1),SUMPRODUCT(($D$2:$D392="")*($N$2:$N392&gt;1)),"")</f>
        <v>389</v>
      </c>
      <c r="R392" s="26" t="str">
        <f>IF($D392='Info Lega'!$B$28,COUNTIFS($D$2:$D392,'Info Lega'!$B$28),"")</f>
        <v/>
      </c>
      <c r="S392" s="27">
        <f>IFERROR(INDEX('Input Statistiche 2025_26'!$G$3:$G$665,MATCH($A392,'Input Statistiche 2025_26'!$A$3:$A$665,0)),"")</f>
        <v>5.79</v>
      </c>
      <c r="T392" s="27">
        <f>IFERROR(INDEX('Input Statistiche 2025_26'!$H$3:$H$665,MATCH($A392,'Input Statistiche 2025_26'!$A$3:$A$665,0)),"")</f>
        <v>5.81</v>
      </c>
      <c r="U392" s="23" t="str">
        <f>IF(OR('La Mia Rosa'!$O$12="",$D392&lt;&gt;""),"",IF($F392&lt;='La Mia Rosa'!$O$12*'Parametri Modello'!$B$24,"OK",IF($F392&lt;='La Mia Rosa'!$O$12*'Parametri Modello'!$B$25,"Attenzione","Rischio Alto")))</f>
        <v>OK</v>
      </c>
      <c r="V392" s="23">
        <f t="shared" si="55"/>
        <v>146</v>
      </c>
      <c r="W392" s="18">
        <f>'Info Lega'!$B$4-SUMIFS($M$2:$M$492,$D$2:$D$492,'Info Lega'!$B$28)</f>
        <v>1000</v>
      </c>
      <c r="X392" s="18">
        <f>('Info Lega'!$B$5-COUNTIFS($D$2:$D$492,'Info Lega'!$B$28,$B$2:$B$492,"P"))+('Info Lega'!$B$6-COUNTIFS($D$2:$D$492,'Info Lega'!$B$28,$B$2:$B$492,"D"))+('Info Lega'!$B$7-COUNTIFS($D$2:$D$492,'Info Lega'!$B$28,$B$2:$B$492,"C"))+('Info Lega'!$B$8-COUNTIFS($D$2:$D$492,'Info Lega'!$B$28,$B$2:$B$492,"A"))</f>
        <v>25</v>
      </c>
      <c r="Y392" s="18">
        <f>X392*'Parametri Modello'!$B$30</f>
        <v>25</v>
      </c>
      <c r="Z392" s="18">
        <f t="shared" si="56"/>
        <v>975</v>
      </c>
      <c r="AA392" s="18">
        <f t="shared" si="57"/>
        <v>1</v>
      </c>
      <c r="AB392" s="18"/>
      <c r="AC392" s="18" t="str">
        <f>IF($AB392="","",IF($AB392&gt;$AA392,"PASS",IF($AB392&lt;=$AA392*(1-'Parametri Modello'!$B$68),"BID","ATTENZIONE")))</f>
        <v/>
      </c>
      <c r="AD392" s="28">
        <f t="shared" si="58"/>
        <v>50</v>
      </c>
      <c r="AE392" s="5" t="str">
        <f>IFERROR(IF($AF392="Titolare",INDEX('Stato Asta'!$G$9:$G$12,MATCH($B392,'Stato Asta'!$A$9:$A$12,0)),INDEX('Stato Asta'!$P$9:$P$12,MATCH($B392,'Stato Asta'!$A$9:$A$12,0))),"")</f>
        <v>🟢 Riserve abbondanti</v>
      </c>
      <c r="AF392" t="str">
        <f>IFERROR(IF($V392&lt;=INDEX('Parametri Modello'!$C$57:$C$60,MATCH($B392,'Parametri Modello'!$A$57:$A$60,0)),"Titolare","Riserva"),"")</f>
        <v>Riserva</v>
      </c>
      <c r="AG392" t="str">
        <f>IFERROR(INDEX('Pressione Competitiva'!$F$3:$F$6,MATCH($B392,'Pressione Competitiva'!$B$3:$B$6,0)),"")</f>
        <v>🔴 Molto Alta</v>
      </c>
      <c r="AH392" t="str">
        <f t="shared" si="59"/>
        <v/>
      </c>
      <c r="AI392" t="str">
        <f>IFERROR(IF($AH392="","",IF($AH392&gt;=$AA392*'Parametri Modello'!$B$68,"🟢 Opportunita'",IF($AH392&lt;=$AA392*'Parametri Modello'!$B$69,"🔴 Sovrapprezzo","🟡 Prezzo Corretto"))),"")</f>
        <v/>
      </c>
      <c r="AJ392" t="str">
        <f t="shared" si="60"/>
        <v/>
      </c>
      <c r="AK392">
        <f t="shared" si="61"/>
        <v>42</v>
      </c>
      <c r="AL392" t="str">
        <f t="shared" si="62"/>
        <v>C|Scommessa/Riserva|42</v>
      </c>
    </row>
    <row r="393" spans="1:38" ht="14.25" customHeight="1" x14ac:dyDescent="0.25">
      <c r="A393" s="18">
        <v>6219</v>
      </c>
      <c r="B393" s="18" t="s">
        <v>264</v>
      </c>
      <c r="C393" s="18" t="s">
        <v>416</v>
      </c>
      <c r="E393" s="23" t="str">
        <f>IF(COUNTIF('Info Strategia'!$D$2:$D$51,$C393)&gt;0,"SI","NO")</f>
        <v>NO</v>
      </c>
      <c r="F393" s="24">
        <f>IFERROR(ROUND(($G393+($H393-$G393)*'Info Strategia'!$B$6)*(1+IF($E393="SI",'Parametri Modello'!$B$7*'Info Strategia'!$B$6,0)),0),"")</f>
        <v>1</v>
      </c>
      <c r="G393" s="24">
        <f>IFERROR(ROUND(MAX(1,(IF($V393&lt;=INDEX('Parametri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H393" s="24">
        <f>IFERROR(ROUND((IF($V393&lt;=INDEX('Parametri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I393" s="23">
        <f>IFERROR(INDEX('Input Statistiche 2025_26'!$F$3:$F$665,MATCH($A393,'Input Statistiche 2025_26'!$A$3:$A$665,0)),"")</f>
        <v>2</v>
      </c>
      <c r="J393" s="23">
        <f t="shared" si="54"/>
        <v>36</v>
      </c>
      <c r="K393" s="23">
        <f>IFERROR(INDEX('Input Statistiche 2025_26'!$I$3:$I$665,MATCH($A393,'Input Statistiche 2025_26'!$A$3:$A$665,0)),"")</f>
        <v>0</v>
      </c>
      <c r="L393" s="23">
        <f>IFERROR(INDEX('Input Statistiche 2025_26'!$O$3:$O$665,MATCH($A393,'Input Statistiche 2025_26'!$A$3:$A$665,0)),"")</f>
        <v>0</v>
      </c>
      <c r="M393" s="25"/>
      <c r="N393" s="24">
        <f>IFERROR(INDEX('Input Giocatori 2026_27'!$E$3:$E$493,MATCH($A393,'Input Giocatori 2026_27'!$A$3:$A$493,0)),"")</f>
        <v>2</v>
      </c>
      <c r="O393" s="24">
        <f>IFERROR(INDEX('Input Giocatori 2026_27'!$G$3:$G$493,MATCH($A393,'Input Giocatori 2026_27'!$A$3:$A$493,0)),"")</f>
        <v>5</v>
      </c>
      <c r="P393" s="23" t="str">
        <f>IFERROR(IF($O393="","",IF((1-(COUNTIFS($B$2:$B$492,$B393,$O$2:$O$492,"&gt;"&amp;$O393)+1-1)/COUNTIF($B$2:$B$492,$B393))&gt;='Parametri Modello'!$B$63,"Top",IF((1-(COUNTIFS($B$2:$B$492,$B393,$O$2:$O$492,"&gt;"&amp;$O393)+1-1)/COUNTIF($B$2:$B$492,$B393))&gt;='Parametri Modello'!$B$64,"Buono",IF((1-(COUNTIFS($B$2:$B$492,$B393,$O$2:$O$492,"&gt;"&amp;$O393)+1-1)/COUNTIF($B$2:$B$492,$B393))&gt;='Parametri Modello'!$B$65,"Nella Media","Scommessa/Riserva")))),"")</f>
        <v>Scommessa/Riserva</v>
      </c>
      <c r="Q393" s="26">
        <f>IF(AND($D393="",$N393&gt;1),SUMPRODUCT(($D$2:$D393="")*($N$2:$N393&gt;1)),"")</f>
        <v>390</v>
      </c>
      <c r="R393" s="26" t="str">
        <f>IF($D393='Info Lega'!$B$28,COUNTIFS($D$2:$D393,'Info Lega'!$B$28),"")</f>
        <v/>
      </c>
      <c r="S393" s="27">
        <f>IFERROR(INDEX('Input Statistiche 2025_26'!$G$3:$G$665,MATCH($A393,'Input Statistiche 2025_26'!$A$3:$A$665,0)),"")</f>
        <v>5.75</v>
      </c>
      <c r="T393" s="27">
        <f>IFERROR(INDEX('Input Statistiche 2025_26'!$H$3:$H$665,MATCH($A393,'Input Statistiche 2025_26'!$A$3:$A$665,0)),"")</f>
        <v>5.75</v>
      </c>
      <c r="U393" s="23" t="str">
        <f>IF(OR('La Mia Rosa'!$O$12="",$D393&lt;&gt;""),"",IF($F393&lt;='La Mia Rosa'!$O$12*'Parametri Modello'!$B$24,"OK",IF($F393&lt;='La Mia Rosa'!$O$12*'Parametri Modello'!$B$25,"Attenzione","Rischio Alto")))</f>
        <v>OK</v>
      </c>
      <c r="V393" s="23">
        <f t="shared" si="55"/>
        <v>146</v>
      </c>
      <c r="W393" s="18">
        <f>'Info Lega'!$B$4-SUMIFS($M$2:$M$492,$D$2:$D$492,'Info Lega'!$B$28)</f>
        <v>1000</v>
      </c>
      <c r="X393" s="18">
        <f>('Info Lega'!$B$5-COUNTIFS($D$2:$D$492,'Info Lega'!$B$28,$B$2:$B$492,"P"))+('Info Lega'!$B$6-COUNTIFS($D$2:$D$492,'Info Lega'!$B$28,$B$2:$B$492,"D"))+('Info Lega'!$B$7-COUNTIFS($D$2:$D$492,'Info Lega'!$B$28,$B$2:$B$492,"C"))+('Info Lega'!$B$8-COUNTIFS($D$2:$D$492,'Info Lega'!$B$28,$B$2:$B$492,"A"))</f>
        <v>25</v>
      </c>
      <c r="Y393" s="18">
        <f>X393*'Parametri Modello'!$B$30</f>
        <v>25</v>
      </c>
      <c r="Z393" s="18">
        <f t="shared" si="56"/>
        <v>975</v>
      </c>
      <c r="AA393" s="18">
        <f t="shared" si="57"/>
        <v>1</v>
      </c>
      <c r="AB393" s="18"/>
      <c r="AC393" s="18" t="str">
        <f>IF($AB393="","",IF($AB393&gt;$AA393,"PASS",IF($AB393&lt;=$AA393*(1-'Parametri Modello'!$B$68),"BID","ATTENZIONE")))</f>
        <v/>
      </c>
      <c r="AD393" s="28">
        <f t="shared" si="58"/>
        <v>6</v>
      </c>
      <c r="AE393" s="5" t="str">
        <f>IFERROR(IF($AF393="Titolare",INDEX('Stato Asta'!$G$9:$G$12,MATCH($B393,'Stato Asta'!$A$9:$A$12,0)),INDEX('Stato Asta'!$P$9:$P$12,MATCH($B393,'Stato Asta'!$A$9:$A$12,0))),"")</f>
        <v>🟢 Riserve abbondanti</v>
      </c>
      <c r="AF393" t="str">
        <f>IFERROR(IF($V393&lt;=INDEX('Parametri Modello'!$C$57:$C$60,MATCH($B393,'Parametri Modello'!$A$57:$A$60,0)),"Titolare","Riserva"),"")</f>
        <v>Riserva</v>
      </c>
      <c r="AG393" t="str">
        <f>IFERROR(INDEX('Pressione Competitiva'!$F$3:$F$6,MATCH($B393,'Pressione Competitiva'!$B$3:$B$6,0)),"")</f>
        <v>🔴 Molto Alta</v>
      </c>
      <c r="AH393" t="str">
        <f t="shared" si="59"/>
        <v/>
      </c>
      <c r="AI393" t="str">
        <f>IFERROR(IF($AH393="","",IF($AH393&gt;=$AA393*'Parametri Modello'!$B$68,"🟢 Opportunita'",IF($AH393&lt;=$AA393*'Parametri Modello'!$B$69,"🔴 Sovrapprezzo","🟡 Prezzo Corretto"))),"")</f>
        <v/>
      </c>
      <c r="AJ393" t="str">
        <f t="shared" si="60"/>
        <v/>
      </c>
      <c r="AK393">
        <f t="shared" si="61"/>
        <v>42</v>
      </c>
      <c r="AL393" t="str">
        <f t="shared" si="62"/>
        <v>C|Scommessa/Riserva|42</v>
      </c>
    </row>
    <row r="394" spans="1:38" ht="14.25" customHeight="1" x14ac:dyDescent="0.25">
      <c r="A394" s="18">
        <v>6246</v>
      </c>
      <c r="B394" s="18" t="s">
        <v>264</v>
      </c>
      <c r="C394" s="18" t="s">
        <v>417</v>
      </c>
      <c r="E394" s="23" t="str">
        <f>IF(COUNTIF('Info Strategia'!$D$2:$D$51,$C394)&gt;0,"SI","NO")</f>
        <v>NO</v>
      </c>
      <c r="F394" s="24">
        <f>IFERROR(ROUND(($G394+($H394-$G394)*'Info Strategia'!$B$6)*(1+IF($E394="SI",'Parametri Modello'!$B$7*'Info Strategia'!$B$6,0)),0),"")</f>
        <v>1</v>
      </c>
      <c r="G394" s="24">
        <f>IFERROR(ROUND(MAX(1,(IF($V394&lt;=INDEX('Parametri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H394" s="24">
        <f>IFERROR(ROUND((IF($V394&lt;=INDEX('Parametri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I394" s="23">
        <f>IFERROR(INDEX('Input Statistiche 2025_26'!$F$3:$F$665,MATCH($A394,'Input Statistiche 2025_26'!$A$3:$A$665,0)),"")</f>
        <v>21</v>
      </c>
      <c r="J394" s="23">
        <f t="shared" si="54"/>
        <v>17</v>
      </c>
      <c r="K394" s="23">
        <f>IFERROR(INDEX('Input Statistiche 2025_26'!$I$3:$I$665,MATCH($A394,'Input Statistiche 2025_26'!$A$3:$A$665,0)),"")</f>
        <v>0</v>
      </c>
      <c r="L394" s="23">
        <f>IFERROR(INDEX('Input Statistiche 2025_26'!$O$3:$O$665,MATCH($A394,'Input Statistiche 2025_26'!$A$3:$A$665,0)),"")</f>
        <v>1</v>
      </c>
      <c r="M394" s="25"/>
      <c r="N394" s="24">
        <f>IFERROR(INDEX('Input Giocatori 2026_27'!$E$3:$E$493,MATCH($A394,'Input Giocatori 2026_27'!$A$3:$A$493,0)),"")</f>
        <v>2</v>
      </c>
      <c r="O394" s="24">
        <f>IFERROR(INDEX('Input Giocatori 2026_27'!$G$3:$G$493,MATCH($A394,'Input Giocatori 2026_27'!$A$3:$A$493,0)),"")</f>
        <v>5</v>
      </c>
      <c r="P394" s="23" t="str">
        <f>IFERROR(IF($O394="","",IF((1-(COUNTIFS($B$2:$B$492,$B394,$O$2:$O$492,"&gt;"&amp;$O394)+1-1)/COUNTIF($B$2:$B$492,$B394))&gt;='Parametri Modello'!$B$63,"Top",IF((1-(COUNTIFS($B$2:$B$492,$B394,$O$2:$O$492,"&gt;"&amp;$O394)+1-1)/COUNTIF($B$2:$B$492,$B394))&gt;='Parametri Modello'!$B$64,"Buono",IF((1-(COUNTIFS($B$2:$B$492,$B394,$O$2:$O$492,"&gt;"&amp;$O394)+1-1)/COUNTIF($B$2:$B$492,$B394))&gt;='Parametri Modello'!$B$65,"Nella Media","Scommessa/Riserva")))),"")</f>
        <v>Scommessa/Riserva</v>
      </c>
      <c r="Q394" s="26">
        <f>IF(AND($D394="",$N394&gt;1),SUMPRODUCT(($D$2:$D394="")*($N$2:$N394&gt;1)),"")</f>
        <v>391</v>
      </c>
      <c r="R394" s="26" t="str">
        <f>IF($D394='Info Lega'!$B$28,COUNTIFS($D$2:$D394,'Info Lega'!$B$28),"")</f>
        <v/>
      </c>
      <c r="S394" s="27">
        <f>IFERROR(INDEX('Input Statistiche 2025_26'!$G$3:$G$665,MATCH($A394,'Input Statistiche 2025_26'!$A$3:$A$665,0)),"")</f>
        <v>5.93</v>
      </c>
      <c r="T394" s="27">
        <f>IFERROR(INDEX('Input Statistiche 2025_26'!$H$3:$H$665,MATCH($A394,'Input Statistiche 2025_26'!$A$3:$A$665,0)),"")</f>
        <v>5.9</v>
      </c>
      <c r="U394" s="23" t="str">
        <f>IF(OR('La Mia Rosa'!$O$12="",$D394&lt;&gt;""),"",IF($F394&lt;='La Mia Rosa'!$O$12*'Parametri Modello'!$B$24,"OK",IF($F394&lt;='La Mia Rosa'!$O$12*'Parametri Modello'!$B$25,"Attenzione","Rischio Alto")))</f>
        <v>OK</v>
      </c>
      <c r="V394" s="23">
        <f t="shared" si="55"/>
        <v>146</v>
      </c>
      <c r="W394" s="18">
        <f>'Info Lega'!$B$4-SUMIFS($M$2:$M$492,$D$2:$D$492,'Info Lega'!$B$28)</f>
        <v>1000</v>
      </c>
      <c r="X394" s="18">
        <f>('Info Lega'!$B$5-COUNTIFS($D$2:$D$492,'Info Lega'!$B$28,$B$2:$B$492,"P"))+('Info Lega'!$B$6-COUNTIFS($D$2:$D$492,'Info Lega'!$B$28,$B$2:$B$492,"D"))+('Info Lega'!$B$7-COUNTIFS($D$2:$D$492,'Info Lega'!$B$28,$B$2:$B$492,"C"))+('Info Lega'!$B$8-COUNTIFS($D$2:$D$492,'Info Lega'!$B$28,$B$2:$B$492,"A"))</f>
        <v>25</v>
      </c>
      <c r="Y394" s="18">
        <f>X394*'Parametri Modello'!$B$30</f>
        <v>25</v>
      </c>
      <c r="Z394" s="18">
        <f t="shared" si="56"/>
        <v>975</v>
      </c>
      <c r="AA394" s="18">
        <f t="shared" si="57"/>
        <v>1</v>
      </c>
      <c r="AB394" s="18"/>
      <c r="AC394" s="18" t="str">
        <f>IF($AB394="","",IF($AB394&gt;$AA394,"PASS",IF($AB394&lt;=$AA394*(1-'Parametri Modello'!$B$68),"BID","ATTENZIONE")))</f>
        <v/>
      </c>
      <c r="AD394" s="28">
        <f t="shared" si="58"/>
        <v>50</v>
      </c>
      <c r="AE394" s="5" t="str">
        <f>IFERROR(IF($AF394="Titolare",INDEX('Stato Asta'!$G$9:$G$12,MATCH($B394,'Stato Asta'!$A$9:$A$12,0)),INDEX('Stato Asta'!$P$9:$P$12,MATCH($B394,'Stato Asta'!$A$9:$A$12,0))),"")</f>
        <v>🟢 Riserve abbondanti</v>
      </c>
      <c r="AF394" t="str">
        <f>IFERROR(IF($V394&lt;=INDEX('Parametri Modello'!$C$57:$C$60,MATCH($B394,'Parametri Modello'!$A$57:$A$60,0)),"Titolare","Riserva"),"")</f>
        <v>Riserva</v>
      </c>
      <c r="AG394" t="str">
        <f>IFERROR(INDEX('Pressione Competitiva'!$F$3:$F$6,MATCH($B394,'Pressione Competitiva'!$B$3:$B$6,0)),"")</f>
        <v>🔴 Molto Alta</v>
      </c>
      <c r="AH394" t="str">
        <f t="shared" si="59"/>
        <v/>
      </c>
      <c r="AI394" t="str">
        <f>IFERROR(IF($AH394="","",IF($AH394&gt;=$AA394*'Parametri Modello'!$B$68,"🟢 Opportunita'",IF($AH394&lt;=$AA394*'Parametri Modello'!$B$69,"🔴 Sovrapprezzo","🟡 Prezzo Corretto"))),"")</f>
        <v/>
      </c>
      <c r="AJ394" t="str">
        <f t="shared" si="60"/>
        <v/>
      </c>
      <c r="AK394">
        <f t="shared" si="61"/>
        <v>42</v>
      </c>
      <c r="AL394" t="str">
        <f t="shared" si="62"/>
        <v>C|Scommessa/Riserva|42</v>
      </c>
    </row>
    <row r="395" spans="1:38" ht="14.25" customHeight="1" x14ac:dyDescent="0.25">
      <c r="A395" s="18">
        <v>6191</v>
      </c>
      <c r="B395" s="18" t="s">
        <v>264</v>
      </c>
      <c r="C395" s="18" t="s">
        <v>424</v>
      </c>
      <c r="E395" s="23" t="str">
        <f>IF(COUNTIF('Info Strategia'!$D$2:$D$51,$C395)&gt;0,"SI","NO")</f>
        <v>NO</v>
      </c>
      <c r="F395" s="24">
        <f>IFERROR(ROUND(($G395+($H395-$G395)*'Info Strategia'!$B$6)*(1+IF($E395="SI",'Parametri Modello'!$B$7*'Info Strategia'!$B$6,0)),0),"")</f>
        <v>1</v>
      </c>
      <c r="G395" s="24">
        <f>IFERROR(ROUND(MAX(1,(IF($V395&lt;=INDEX('Parametri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H395" s="24">
        <f>IFERROR(ROUND((IF($V395&lt;=INDEX('Parametri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I395" s="23">
        <f>IFERROR(INDEX('Input Statistiche 2025_26'!$F$3:$F$665,MATCH($A395,'Input Statistiche 2025_26'!$A$3:$A$665,0)),"")</f>
        <v>11</v>
      </c>
      <c r="J395" s="23">
        <f t="shared" si="54"/>
        <v>27</v>
      </c>
      <c r="K395" s="23">
        <f>IFERROR(INDEX('Input Statistiche 2025_26'!$I$3:$I$665,MATCH($A395,'Input Statistiche 2025_26'!$A$3:$A$665,0)),"")</f>
        <v>0</v>
      </c>
      <c r="L395" s="23">
        <f>IFERROR(INDEX('Input Statistiche 2025_26'!$O$3:$O$665,MATCH($A395,'Input Statistiche 2025_26'!$A$3:$A$665,0)),"")</f>
        <v>2</v>
      </c>
      <c r="M395" s="25"/>
      <c r="N395" s="24">
        <f>IFERROR(INDEX('Input Giocatori 2026_27'!$E$3:$E$493,MATCH($A395,'Input Giocatori 2026_27'!$A$3:$A$493,0)),"")</f>
        <v>1</v>
      </c>
      <c r="O395" s="24">
        <f>IFERROR(INDEX('Input Giocatori 2026_27'!$G$3:$G$493,MATCH($A395,'Input Giocatori 2026_27'!$A$3:$A$493,0)),"")</f>
        <v>5</v>
      </c>
      <c r="P395" s="23" t="str">
        <f>IFERROR(IF($O395="","",IF((1-(COUNTIFS($B$2:$B$492,$B395,$O$2:$O$492,"&gt;"&amp;$O395)+1-1)/COUNTIF($B$2:$B$492,$B395))&gt;='Parametri Modello'!$B$63,"Top",IF((1-(COUNTIFS($B$2:$B$492,$B395,$O$2:$O$492,"&gt;"&amp;$O395)+1-1)/COUNTIF($B$2:$B$492,$B395))&gt;='Parametri Modello'!$B$64,"Buono",IF((1-(COUNTIFS($B$2:$B$492,$B395,$O$2:$O$492,"&gt;"&amp;$O395)+1-1)/COUNTIF($B$2:$B$492,$B395))&gt;='Parametri Modello'!$B$65,"Nella Media","Scommessa/Riserva")))),"")</f>
        <v>Scommessa/Riserva</v>
      </c>
      <c r="Q395" s="26" t="str">
        <f>IF(AND($D395="",$N395&gt;1),SUMPRODUCT(($D$2:$D395="")*($N$2:$N395&gt;1)),"")</f>
        <v/>
      </c>
      <c r="R395" s="26" t="str">
        <f>IF($D395='Info Lega'!$B$28,COUNTIFS($D$2:$D395,'Info Lega'!$B$28),"")</f>
        <v/>
      </c>
      <c r="S395" s="27">
        <f>IFERROR(INDEX('Input Statistiche 2025_26'!$G$3:$G$665,MATCH($A395,'Input Statistiche 2025_26'!$A$3:$A$665,0)),"")</f>
        <v>5.77</v>
      </c>
      <c r="T395" s="27">
        <f>IFERROR(INDEX('Input Statistiche 2025_26'!$H$3:$H$665,MATCH($A395,'Input Statistiche 2025_26'!$A$3:$A$665,0)),"")</f>
        <v>5.82</v>
      </c>
      <c r="U395" s="23" t="str">
        <f>IF(OR('La Mia Rosa'!$O$12="",$D395&lt;&gt;""),"",IF($F395&lt;='La Mia Rosa'!$O$12*'Parametri Modello'!$B$24,"OK",IF($F395&lt;='La Mia Rosa'!$O$12*'Parametri Modello'!$B$25,"Attenzione","Rischio Alto")))</f>
        <v>OK</v>
      </c>
      <c r="V395" s="23">
        <f t="shared" si="55"/>
        <v>146</v>
      </c>
      <c r="W395" s="18">
        <f>'Info Lega'!$B$4-SUMIFS($M$2:$M$492,$D$2:$D$492,'Info Lega'!$B$28)</f>
        <v>1000</v>
      </c>
      <c r="X395" s="18">
        <f>('Info Lega'!$B$5-COUNTIFS($D$2:$D$492,'Info Lega'!$B$28,$B$2:$B$492,"P"))+('Info Lega'!$B$6-COUNTIFS($D$2:$D$492,'Info Lega'!$B$28,$B$2:$B$492,"D"))+('Info Lega'!$B$7-COUNTIFS($D$2:$D$492,'Info Lega'!$B$28,$B$2:$B$492,"C"))+('Info Lega'!$B$8-COUNTIFS($D$2:$D$492,'Info Lega'!$B$28,$B$2:$B$492,"A"))</f>
        <v>25</v>
      </c>
      <c r="Y395" s="18">
        <f>X395*'Parametri Modello'!$B$30</f>
        <v>25</v>
      </c>
      <c r="Z395" s="18">
        <f t="shared" si="56"/>
        <v>975</v>
      </c>
      <c r="AA395" s="18">
        <f t="shared" si="57"/>
        <v>1</v>
      </c>
      <c r="AB395" s="18"/>
      <c r="AC395" s="18" t="str">
        <f>IF($AB395="","",IF($AB395&gt;$AA395,"PASS",IF($AB395&lt;=$AA395*(1-'Parametri Modello'!$B$68),"BID","ATTENZIONE")))</f>
        <v/>
      </c>
      <c r="AD395" s="28">
        <f t="shared" si="58"/>
        <v>31</v>
      </c>
      <c r="AE395" s="5" t="str">
        <f>IFERROR(IF($AF395="Titolare",INDEX('Stato Asta'!$G$9:$G$12,MATCH($B395,'Stato Asta'!$A$9:$A$12,0)),INDEX('Stato Asta'!$P$9:$P$12,MATCH($B395,'Stato Asta'!$A$9:$A$12,0))),"")</f>
        <v>🟢 Riserve abbondanti</v>
      </c>
      <c r="AF395" t="str">
        <f>IFERROR(IF($V395&lt;=INDEX('Parametri Modello'!$C$57:$C$60,MATCH($B395,'Parametri Modello'!$A$57:$A$60,0)),"Titolare","Riserva"),"")</f>
        <v>Riserva</v>
      </c>
      <c r="AG395" t="str">
        <f>IFERROR(INDEX('Pressione Competitiva'!$F$3:$F$6,MATCH($B395,'Pressione Competitiva'!$B$3:$B$6,0)),"")</f>
        <v>🔴 Molto Alta</v>
      </c>
      <c r="AH395" t="str">
        <f t="shared" si="59"/>
        <v/>
      </c>
      <c r="AI395" t="str">
        <f>IFERROR(IF($AH395="","",IF($AH395&gt;=$AA395*'Parametri Modello'!$B$68,"🟢 Opportunita'",IF($AH395&lt;=$AA395*'Parametri Modello'!$B$69,"🔴 Sovrapprezzo","🟡 Prezzo Corretto"))),"")</f>
        <v/>
      </c>
      <c r="AJ395" t="str">
        <f t="shared" si="60"/>
        <v/>
      </c>
      <c r="AK395" t="str">
        <f t="shared" si="61"/>
        <v/>
      </c>
      <c r="AL395" t="str">
        <f t="shared" si="62"/>
        <v/>
      </c>
    </row>
    <row r="396" spans="1:38" ht="14.25" customHeight="1" x14ac:dyDescent="0.25">
      <c r="A396" s="18">
        <v>7345</v>
      </c>
      <c r="B396" s="18" t="s">
        <v>264</v>
      </c>
      <c r="C396" s="18" t="s">
        <v>425</v>
      </c>
      <c r="E396" s="23" t="str">
        <f>IF(COUNTIF('Info Strategia'!$D$2:$D$51,$C396)&gt;0,"SI","NO")</f>
        <v>NO</v>
      </c>
      <c r="F396" s="24">
        <f>IFERROR(ROUND(($G396+($H396-$G396)*'Info Strategia'!$B$6)*(1+IF($E396="SI",'Parametri Modello'!$B$7*'Info Strategia'!$B$6,0)),0),"")</f>
        <v>1</v>
      </c>
      <c r="G396" s="24">
        <f>IFERROR(ROUND(MAX(1,(IF($V396&lt;=INDEX('Parametri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H396" s="24">
        <f>IFERROR(ROUND((IF($V396&lt;=INDEX('Parametri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I396" s="23">
        <f>IFERROR(INDEX('Input Statistiche 2025_26'!$F$3:$F$665,MATCH($A396,'Input Statistiche 2025_26'!$A$3:$A$665,0)),"")</f>
        <v>0</v>
      </c>
      <c r="J396" s="23">
        <f t="shared" si="54"/>
        <v>38</v>
      </c>
      <c r="K396" s="23">
        <f>IFERROR(INDEX('Input Statistiche 2025_26'!$I$3:$I$665,MATCH($A396,'Input Statistiche 2025_26'!$A$3:$A$665,0)),"")</f>
        <v>0</v>
      </c>
      <c r="L396" s="23">
        <f>IFERROR(INDEX('Input Statistiche 2025_26'!$O$3:$O$665,MATCH($A396,'Input Statistiche 2025_26'!$A$3:$A$665,0)),"")</f>
        <v>0</v>
      </c>
      <c r="M396" s="25"/>
      <c r="N396" s="24">
        <f>IFERROR(INDEX('Input Giocatori 2026_27'!$E$3:$E$493,MATCH($A396,'Input Giocatori 2026_27'!$A$3:$A$493,0)),"")</f>
        <v>1</v>
      </c>
      <c r="O396" s="24">
        <f>IFERROR(INDEX('Input Giocatori 2026_27'!$G$3:$G$493,MATCH($A396,'Input Giocatori 2026_27'!$A$3:$A$493,0)),"")</f>
        <v>5</v>
      </c>
      <c r="P396" s="23" t="str">
        <f>IFERROR(IF($O396="","",IF((1-(COUNTIFS($B$2:$B$492,$B396,$O$2:$O$492,"&gt;"&amp;$O396)+1-1)/COUNTIF($B$2:$B$492,$B396))&gt;='Parametri Modello'!$B$63,"Top",IF((1-(COUNTIFS($B$2:$B$492,$B396,$O$2:$O$492,"&gt;"&amp;$O396)+1-1)/COUNTIF($B$2:$B$492,$B396))&gt;='Parametri Modello'!$B$64,"Buono",IF((1-(COUNTIFS($B$2:$B$492,$B396,$O$2:$O$492,"&gt;"&amp;$O396)+1-1)/COUNTIF($B$2:$B$492,$B396))&gt;='Parametri Modello'!$B$65,"Nella Media","Scommessa/Riserva")))),"")</f>
        <v>Scommessa/Riserva</v>
      </c>
      <c r="Q396" s="26" t="str">
        <f>IF(AND($D396="",$N396&gt;1),SUMPRODUCT(($D$2:$D396="")*($N$2:$N396&gt;1)),"")</f>
        <v/>
      </c>
      <c r="R396" s="26" t="str">
        <f>IF($D396='Info Lega'!$B$28,COUNTIFS($D$2:$D396,'Info Lega'!$B$28),"")</f>
        <v/>
      </c>
      <c r="S396" s="27">
        <f>IFERROR(INDEX('Input Statistiche 2025_26'!$G$3:$G$665,MATCH($A396,'Input Statistiche 2025_26'!$A$3:$A$665,0)),"")</f>
        <v>0</v>
      </c>
      <c r="T396" s="27">
        <f>IFERROR(INDEX('Input Statistiche 2025_26'!$H$3:$H$665,MATCH($A396,'Input Statistiche 2025_26'!$A$3:$A$665,0)),"")</f>
        <v>0</v>
      </c>
      <c r="U396" s="23" t="str">
        <f>IF(OR('La Mia Rosa'!$O$12="",$D396&lt;&gt;""),"",IF($F396&lt;='La Mia Rosa'!$O$12*'Parametri Modello'!$B$24,"OK",IF($F396&lt;='La Mia Rosa'!$O$12*'Parametri Modello'!$B$25,"Attenzione","Rischio Alto")))</f>
        <v>OK</v>
      </c>
      <c r="V396" s="23">
        <f t="shared" si="55"/>
        <v>146</v>
      </c>
      <c r="W396" s="18">
        <f>'Info Lega'!$B$4-SUMIFS($M$2:$M$492,$D$2:$D$492,'Info Lega'!$B$28)</f>
        <v>1000</v>
      </c>
      <c r="X396" s="18">
        <f>('Info Lega'!$B$5-COUNTIFS($D$2:$D$492,'Info Lega'!$B$28,$B$2:$B$492,"P"))+('Info Lega'!$B$6-COUNTIFS($D$2:$D$492,'Info Lega'!$B$28,$B$2:$B$492,"D"))+('Info Lega'!$B$7-COUNTIFS($D$2:$D$492,'Info Lega'!$B$28,$B$2:$B$492,"C"))+('Info Lega'!$B$8-COUNTIFS($D$2:$D$492,'Info Lega'!$B$28,$B$2:$B$492,"A"))</f>
        <v>25</v>
      </c>
      <c r="Y396" s="18">
        <f>X396*'Parametri Modello'!$B$30</f>
        <v>25</v>
      </c>
      <c r="Z396" s="18">
        <f t="shared" si="56"/>
        <v>975</v>
      </c>
      <c r="AA396" s="18">
        <f t="shared" si="57"/>
        <v>1</v>
      </c>
      <c r="AB396" s="18"/>
      <c r="AC396" s="18" t="str">
        <f>IF($AB396="","",IF($AB396&gt;$AA396,"PASS",IF($AB396&lt;=$AA396*(1-'Parametri Modello'!$B$68),"BID","ATTENZIONE")))</f>
        <v/>
      </c>
      <c r="AD396" s="28">
        <f t="shared" si="58"/>
        <v>0</v>
      </c>
      <c r="AE396" s="5" t="str">
        <f>IFERROR(IF($AF396="Titolare",INDEX('Stato Asta'!$G$9:$G$12,MATCH($B396,'Stato Asta'!$A$9:$A$12,0)),INDEX('Stato Asta'!$P$9:$P$12,MATCH($B396,'Stato Asta'!$A$9:$A$12,0))),"")</f>
        <v>🟢 Riserve abbondanti</v>
      </c>
      <c r="AF396" t="str">
        <f>IFERROR(IF($V396&lt;=INDEX('Parametri Modello'!$C$57:$C$60,MATCH($B396,'Parametri Modello'!$A$57:$A$60,0)),"Titolare","Riserva"),"")</f>
        <v>Riserva</v>
      </c>
      <c r="AG396" t="str">
        <f>IFERROR(INDEX('Pressione Competitiva'!$F$3:$F$6,MATCH($B396,'Pressione Competitiva'!$B$3:$B$6,0)),"")</f>
        <v>🔴 Molto Alta</v>
      </c>
      <c r="AH396" t="str">
        <f t="shared" si="59"/>
        <v/>
      </c>
      <c r="AI396" t="str">
        <f>IFERROR(IF($AH396="","",IF($AH396&gt;=$AA396*'Parametri Modello'!$B$68,"🟢 Opportunita'",IF($AH396&lt;=$AA396*'Parametri Modello'!$B$69,"🔴 Sovrapprezzo","🟡 Prezzo Corretto"))),"")</f>
        <v/>
      </c>
      <c r="AJ396" t="str">
        <f t="shared" si="60"/>
        <v/>
      </c>
      <c r="AK396" t="str">
        <f t="shared" si="61"/>
        <v/>
      </c>
      <c r="AL396" t="str">
        <f t="shared" si="62"/>
        <v/>
      </c>
    </row>
    <row r="397" spans="1:38" ht="14.25" customHeight="1" x14ac:dyDescent="0.25">
      <c r="A397" s="18">
        <v>7128</v>
      </c>
      <c r="B397" s="18" t="s">
        <v>437</v>
      </c>
      <c r="C397" s="18" t="s">
        <v>506</v>
      </c>
      <c r="E397" s="23" t="str">
        <f>IF(COUNTIF('Info Strategia'!$D$2:$D$51,$C397)&gt;0,"SI","NO")</f>
        <v>NO</v>
      </c>
      <c r="F397" s="24">
        <f>IFERROR(ROUND(($G397+($H397-$G397)*'Info Strategia'!$B$6)*(1+IF($E397="SI",'Parametri Modello'!$B$7*'Info Strategia'!$B$6,0)),0),"")</f>
        <v>2</v>
      </c>
      <c r="G397" s="24">
        <f>IFERROR(ROUND(MAX(1,(IF($V397&lt;=INDEX('Parametri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1</v>
      </c>
      <c r="H397" s="24">
        <f>IFERROR(ROUND((IF($V397&lt;=INDEX('Parametri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2</v>
      </c>
      <c r="I397" s="23">
        <f>IFERROR(INDEX('Input Statistiche 2025_26'!$F$3:$F$665,MATCH($A397,'Input Statistiche 2025_26'!$A$3:$A$665,0)),"")</f>
        <v>14</v>
      </c>
      <c r="J397" s="23">
        <f t="shared" si="54"/>
        <v>24</v>
      </c>
      <c r="K397" s="23">
        <f>IFERROR(INDEX('Input Statistiche 2025_26'!$I$3:$I$665,MATCH($A397,'Input Statistiche 2025_26'!$A$3:$A$665,0)),"")</f>
        <v>1</v>
      </c>
      <c r="L397" s="23">
        <f>IFERROR(INDEX('Input Statistiche 2025_26'!$O$3:$O$665,MATCH($A397,'Input Statistiche 2025_26'!$A$3:$A$665,0)),"")</f>
        <v>1</v>
      </c>
      <c r="M397" s="25"/>
      <c r="N397" s="24">
        <f>IFERROR(INDEX('Input Giocatori 2026_27'!$E$3:$E$493,MATCH($A397,'Input Giocatori 2026_27'!$A$3:$A$493,0)),"")</f>
        <v>3</v>
      </c>
      <c r="O397" s="24">
        <f>IFERROR(INDEX('Input Giocatori 2026_27'!$G$3:$G$493,MATCH($A397,'Input Giocatori 2026_27'!$A$3:$A$493,0)),"")</f>
        <v>5</v>
      </c>
      <c r="P397" s="23" t="str">
        <f>IFERROR(IF($O397="","",IF((1-(COUNTIFS($B$2:$B$492,$B397,$O$2:$O$492,"&gt;"&amp;$O397)+1-1)/COUNTIF($B$2:$B$492,$B397))&gt;='Parametri Modello'!$B$63,"Top",IF((1-(COUNTIFS($B$2:$B$492,$B397,$O$2:$O$492,"&gt;"&amp;$O397)+1-1)/COUNTIF($B$2:$B$492,$B397))&gt;='Parametri Modello'!$B$64,"Buono",IF((1-(COUNTIFS($B$2:$B$492,$B397,$O$2:$O$492,"&gt;"&amp;$O397)+1-1)/COUNTIF($B$2:$B$492,$B397))&gt;='Parametri Modello'!$B$65,"Nella Media","Scommessa/Riserva")))),"")</f>
        <v>Scommessa/Riserva</v>
      </c>
      <c r="Q397" s="26">
        <f>IF(AND($D397="",$N397&gt;1),SUMPRODUCT(($D$2:$D397="")*($N$2:$N397&gt;1)),"")</f>
        <v>392</v>
      </c>
      <c r="R397" s="26" t="str">
        <f>IF($D397='Info Lega'!$B$28,COUNTIFS($D$2:$D397,'Info Lega'!$B$28),"")</f>
        <v/>
      </c>
      <c r="S397" s="27">
        <f>IFERROR(INDEX('Input Statistiche 2025_26'!$G$3:$G$665,MATCH($A397,'Input Statistiche 2025_26'!$A$3:$A$665,0)),"")</f>
        <v>5.96</v>
      </c>
      <c r="T397" s="27">
        <f>IFERROR(INDEX('Input Statistiche 2025_26'!$H$3:$H$665,MATCH($A397,'Input Statistiche 2025_26'!$A$3:$A$665,0)),"")</f>
        <v>6.25</v>
      </c>
      <c r="U397" s="23" t="str">
        <f>IF(OR('La Mia Rosa'!$O$12="",$D397&lt;&gt;""),"",IF($F397&lt;='La Mia Rosa'!$O$12*'Parametri Modello'!$B$24,"OK",IF($F397&lt;='La Mia Rosa'!$O$12*'Parametri Modello'!$B$25,"Attenzione","Rischio Alto")))</f>
        <v>OK</v>
      </c>
      <c r="V397" s="23">
        <f t="shared" si="55"/>
        <v>75</v>
      </c>
      <c r="W397" s="18">
        <f>'Info Lega'!$B$4-SUMIFS($M$2:$M$492,$D$2:$D$492,'Info Lega'!$B$28)</f>
        <v>1000</v>
      </c>
      <c r="X397" s="18">
        <f>('Info Lega'!$B$5-COUNTIFS($D$2:$D$492,'Info Lega'!$B$28,$B$2:$B$492,"P"))+('Info Lega'!$B$6-COUNTIFS($D$2:$D$492,'Info Lega'!$B$28,$B$2:$B$492,"D"))+('Info Lega'!$B$7-COUNTIFS($D$2:$D$492,'Info Lega'!$B$28,$B$2:$B$492,"C"))+('Info Lega'!$B$8-COUNTIFS($D$2:$D$492,'Info Lega'!$B$28,$B$2:$B$492,"A"))</f>
        <v>25</v>
      </c>
      <c r="Y397" s="18">
        <f>X397*'Parametri Modello'!$B$30</f>
        <v>25</v>
      </c>
      <c r="Z397" s="18">
        <f t="shared" si="56"/>
        <v>975</v>
      </c>
      <c r="AA397" s="18">
        <f t="shared" si="57"/>
        <v>2</v>
      </c>
      <c r="AB397" s="18"/>
      <c r="AC397" s="18" t="str">
        <f>IF($AB397="","",IF($AB397&gt;$AA397,"PASS",IF($AB397&lt;=$AA397*(1-'Parametri Modello'!$B$68),"BID","ATTENZIONE")))</f>
        <v/>
      </c>
      <c r="AD397" s="28">
        <f t="shared" si="58"/>
        <v>37</v>
      </c>
      <c r="AE397" s="5" t="str">
        <f>IFERROR(IF($AF397="Titolare",INDEX('Stato Asta'!$G$9:$G$12,MATCH($B397,'Stato Asta'!$A$9:$A$12,0)),INDEX('Stato Asta'!$P$9:$P$12,MATCH($B397,'Stato Asta'!$A$9:$A$12,0))),"")</f>
        <v>🟢 Riserve abbondanti</v>
      </c>
      <c r="AF397" t="str">
        <f>IFERROR(IF($V397&lt;=INDEX('Parametri Modello'!$C$57:$C$60,MATCH($B397,'Parametri Modello'!$A$57:$A$60,0)),"Titolare","Riserva"),"")</f>
        <v>Riserva</v>
      </c>
      <c r="AG397" t="str">
        <f>IFERROR(INDEX('Pressione Competitiva'!$F$3:$F$6,MATCH($B397,'Pressione Competitiva'!$B$3:$B$6,0)),"")</f>
        <v>🔴 Molto Alta</v>
      </c>
      <c r="AH397" t="str">
        <f t="shared" si="59"/>
        <v/>
      </c>
      <c r="AI397" t="str">
        <f>IFERROR(IF($AH397="","",IF($AH397&gt;=$AA397*'Parametri Modello'!$B$68,"🟢 Opportunita'",IF($AH397&lt;=$AA397*'Parametri Modello'!$B$69,"🔴 Sovrapprezzo","🟡 Prezzo Corretto"))),"")</f>
        <v/>
      </c>
      <c r="AJ397" t="str">
        <f t="shared" si="60"/>
        <v/>
      </c>
      <c r="AK397">
        <f t="shared" si="61"/>
        <v>21</v>
      </c>
      <c r="AL397" t="str">
        <f t="shared" si="62"/>
        <v>A|Scommessa/Riserva|21</v>
      </c>
    </row>
    <row r="398" spans="1:38" ht="14.25" customHeight="1" x14ac:dyDescent="0.25">
      <c r="A398" s="18">
        <v>383</v>
      </c>
      <c r="B398" s="18" t="s">
        <v>437</v>
      </c>
      <c r="C398" s="18" t="s">
        <v>513</v>
      </c>
      <c r="E398" s="23" t="str">
        <f>IF(COUNTIF('Info Strategia'!$D$2:$D$51,$C398)&gt;0,"SI","NO")</f>
        <v>NO</v>
      </c>
      <c r="F398" s="24">
        <f>IFERROR(ROUND(($G398+($H398-$G398)*'Info Strategia'!$B$6)*(1+IF($E398="SI",'Parametri Modello'!$B$7*'Info Strategia'!$B$6,0)),0),"")</f>
        <v>2</v>
      </c>
      <c r="G398" s="24">
        <f>IFERROR(ROUND(MAX(1,(IF($V398&lt;=INDEX('Parametri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1</v>
      </c>
      <c r="H398" s="24">
        <f>IFERROR(ROUND((IF($V398&lt;=INDEX('Parametri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2</v>
      </c>
      <c r="I398" s="23" t="str">
        <f>IFERROR(INDEX('Input Statistiche 2025_26'!$F$3:$F$665,MATCH($A398,'Input Statistiche 2025_26'!$A$3:$A$665,0)),"")</f>
        <v/>
      </c>
      <c r="J398" s="23" t="str">
        <f t="shared" si="54"/>
        <v/>
      </c>
      <c r="K398" s="23" t="str">
        <f>IFERROR(INDEX('Input Statistiche 2025_26'!$I$3:$I$665,MATCH($A398,'Input Statistiche 2025_26'!$A$3:$A$665,0)),"")</f>
        <v/>
      </c>
      <c r="L398" s="23" t="str">
        <f>IFERROR(INDEX('Input Statistiche 2025_26'!$O$3:$O$665,MATCH($A398,'Input Statistiche 2025_26'!$A$3:$A$665,0)),"")</f>
        <v/>
      </c>
      <c r="M398" s="25"/>
      <c r="N398" s="24">
        <f>IFERROR(INDEX('Input Giocatori 2026_27'!$E$3:$E$493,MATCH($A398,'Input Giocatori 2026_27'!$A$3:$A$493,0)),"")</f>
        <v>2</v>
      </c>
      <c r="O398" s="24">
        <f>IFERROR(INDEX('Input Giocatori 2026_27'!$G$3:$G$493,MATCH($A398,'Input Giocatori 2026_27'!$A$3:$A$493,0)),"")</f>
        <v>5</v>
      </c>
      <c r="P398" s="23" t="str">
        <f>IFERROR(IF($O398="","",IF((1-(COUNTIFS($B$2:$B$492,$B398,$O$2:$O$492,"&gt;"&amp;$O398)+1-1)/COUNTIF($B$2:$B$492,$B398))&gt;='Parametri Modello'!$B$63,"Top",IF((1-(COUNTIFS($B$2:$B$492,$B398,$O$2:$O$492,"&gt;"&amp;$O398)+1-1)/COUNTIF($B$2:$B$492,$B398))&gt;='Parametri Modello'!$B$64,"Buono",IF((1-(COUNTIFS($B$2:$B$492,$B398,$O$2:$O$492,"&gt;"&amp;$O398)+1-1)/COUNTIF($B$2:$B$492,$B398))&gt;='Parametri Modello'!$B$65,"Nella Media","Scommessa/Riserva")))),"")</f>
        <v>Scommessa/Riserva</v>
      </c>
      <c r="Q398" s="26">
        <f>IF(AND($D398="",$N398&gt;1),SUMPRODUCT(($D$2:$D398="")*($N$2:$N398&gt;1)),"")</f>
        <v>393</v>
      </c>
      <c r="R398" s="26" t="str">
        <f>IF($D398='Info Lega'!$B$28,COUNTIFS($D$2:$D398,'Info Lega'!$B$28),"")</f>
        <v/>
      </c>
      <c r="S398" s="27" t="str">
        <f>IFERROR(INDEX('Input Statistiche 2025_26'!$G$3:$G$665,MATCH($A398,'Input Statistiche 2025_26'!$A$3:$A$665,0)),"")</f>
        <v/>
      </c>
      <c r="T398" s="27" t="str">
        <f>IFERROR(INDEX('Input Statistiche 2025_26'!$H$3:$H$665,MATCH($A398,'Input Statistiche 2025_26'!$A$3:$A$665,0)),"")</f>
        <v/>
      </c>
      <c r="U398" s="23" t="str">
        <f>IF(OR('La Mia Rosa'!$O$12="",$D398&lt;&gt;""),"",IF($F398&lt;='La Mia Rosa'!$O$12*'Parametri Modello'!$B$24,"OK",IF($F398&lt;='La Mia Rosa'!$O$12*'Parametri Modello'!$B$25,"Attenzione","Rischio Alto")))</f>
        <v>OK</v>
      </c>
      <c r="V398" s="23">
        <f t="shared" si="55"/>
        <v>75</v>
      </c>
      <c r="W398" s="18">
        <f>'Info Lega'!$B$4-SUMIFS($M$2:$M$492,$D$2:$D$492,'Info Lega'!$B$28)</f>
        <v>1000</v>
      </c>
      <c r="X398" s="18">
        <f>('Info Lega'!$B$5-COUNTIFS($D$2:$D$492,'Info Lega'!$B$28,$B$2:$B$492,"P"))+('Info Lega'!$B$6-COUNTIFS($D$2:$D$492,'Info Lega'!$B$28,$B$2:$B$492,"D"))+('Info Lega'!$B$7-COUNTIFS($D$2:$D$492,'Info Lega'!$B$28,$B$2:$B$492,"C"))+('Info Lega'!$B$8-COUNTIFS($D$2:$D$492,'Info Lega'!$B$28,$B$2:$B$492,"A"))</f>
        <v>25</v>
      </c>
      <c r="Y398" s="18">
        <f>X398*'Parametri Modello'!$B$30</f>
        <v>25</v>
      </c>
      <c r="Z398" s="18">
        <f t="shared" si="56"/>
        <v>975</v>
      </c>
      <c r="AA398" s="18">
        <f t="shared" si="57"/>
        <v>2</v>
      </c>
      <c r="AB398" s="18"/>
      <c r="AC398" s="18" t="str">
        <f>IF($AB398="","",IF($AB398&gt;$AA398,"PASS",IF($AB398&lt;=$AA398*(1-'Parametri Modello'!$B$68),"BID","ATTENZIONE")))</f>
        <v/>
      </c>
      <c r="AD398" s="28" t="str">
        <f t="shared" si="58"/>
        <v/>
      </c>
      <c r="AE398" s="5" t="str">
        <f>IFERROR(IF($AF398="Titolare",INDEX('Stato Asta'!$G$9:$G$12,MATCH($B398,'Stato Asta'!$A$9:$A$12,0)),INDEX('Stato Asta'!$P$9:$P$12,MATCH($B398,'Stato Asta'!$A$9:$A$12,0))),"")</f>
        <v>🟢 Riserve abbondanti</v>
      </c>
      <c r="AF398" t="str">
        <f>IFERROR(IF($V398&lt;=INDEX('Parametri Modello'!$C$57:$C$60,MATCH($B398,'Parametri Modello'!$A$57:$A$60,0)),"Titolare","Riserva"),"")</f>
        <v>Riserva</v>
      </c>
      <c r="AG398" t="str">
        <f>IFERROR(INDEX('Pressione Competitiva'!$F$3:$F$6,MATCH($B398,'Pressione Competitiva'!$B$3:$B$6,0)),"")</f>
        <v>🔴 Molto Alta</v>
      </c>
      <c r="AH398" t="str">
        <f t="shared" si="59"/>
        <v/>
      </c>
      <c r="AI398" t="str">
        <f>IFERROR(IF($AH398="","",IF($AH398&gt;=$AA398*'Parametri Modello'!$B$68,"🟢 Opportunita'",IF($AH398&lt;=$AA398*'Parametri Modello'!$B$69,"🔴 Sovrapprezzo","🟡 Prezzo Corretto"))),"")</f>
        <v/>
      </c>
      <c r="AJ398" t="str">
        <f t="shared" si="60"/>
        <v/>
      </c>
      <c r="AK398">
        <f t="shared" si="61"/>
        <v>21</v>
      </c>
      <c r="AL398" t="str">
        <f t="shared" si="62"/>
        <v>A|Scommessa/Riserva|21</v>
      </c>
    </row>
    <row r="399" spans="1:38" ht="14.25" customHeight="1" x14ac:dyDescent="0.25">
      <c r="A399" s="18">
        <v>6883</v>
      </c>
      <c r="B399" s="18" t="s">
        <v>88</v>
      </c>
      <c r="C399" s="18" t="s">
        <v>229</v>
      </c>
      <c r="E399" s="23" t="str">
        <f>IF(COUNTIF('Info Strategia'!$D$2:$D$51,$C399)&gt;0,"SI","NO")</f>
        <v>NO</v>
      </c>
      <c r="F399" s="24">
        <f>IFERROR(ROUND(($G399+($H399-$G399)*'Info Strategia'!$B$6)*(1+IF($E399="SI",'Parametri Modello'!$B$7*'Info Strategia'!$B$6,0)),0),"")</f>
        <v>1</v>
      </c>
      <c r="G399" s="24">
        <f>IFERROR(ROUND(MAX(1,(IF($V399&lt;=INDEX('Parametri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H399" s="24">
        <f>IFERROR(ROUND((IF($V399&lt;=INDEX('Parametri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I399" s="23">
        <f>IFERROR(INDEX('Input Statistiche 2025_26'!$F$3:$F$665,MATCH($A399,'Input Statistiche 2025_26'!$A$3:$A$665,0)),"")</f>
        <v>5</v>
      </c>
      <c r="J399" s="23">
        <f t="shared" si="54"/>
        <v>33</v>
      </c>
      <c r="K399" s="23">
        <f>IFERROR(INDEX('Input Statistiche 2025_26'!$I$3:$I$665,MATCH($A399,'Input Statistiche 2025_26'!$A$3:$A$665,0)),"")</f>
        <v>0</v>
      </c>
      <c r="L399" s="23">
        <f>IFERROR(INDEX('Input Statistiche 2025_26'!$O$3:$O$665,MATCH($A399,'Input Statistiche 2025_26'!$A$3:$A$665,0)),"")</f>
        <v>0</v>
      </c>
      <c r="M399" s="25"/>
      <c r="N399" s="24">
        <f>IFERROR(INDEX('Input Giocatori 2026_27'!$E$3:$E$493,MATCH($A399,'Input Giocatori 2026_27'!$A$3:$A$493,0)),"")</f>
        <v>2</v>
      </c>
      <c r="O399" s="24">
        <f>IFERROR(INDEX('Input Giocatori 2026_27'!$G$3:$G$493,MATCH($A399,'Input Giocatori 2026_27'!$A$3:$A$493,0)),"")</f>
        <v>4</v>
      </c>
      <c r="P399" s="23" t="str">
        <f>IFERROR(IF($O399="","",IF((1-(COUNTIFS($B$2:$B$492,$B399,$O$2:$O$492,"&gt;"&amp;$O399)+1-1)/COUNTIF($B$2:$B$492,$B399))&gt;='Parametri Modello'!$B$63,"Top",IF((1-(COUNTIFS($B$2:$B$492,$B399,$O$2:$O$492,"&gt;"&amp;$O399)+1-1)/COUNTIF($B$2:$B$492,$B399))&gt;='Parametri Modello'!$B$64,"Buono",IF((1-(COUNTIFS($B$2:$B$492,$B399,$O$2:$O$492,"&gt;"&amp;$O399)+1-1)/COUNTIF($B$2:$B$492,$B399))&gt;='Parametri Modello'!$B$65,"Nella Media","Scommessa/Riserva")))),"")</f>
        <v>Scommessa/Riserva</v>
      </c>
      <c r="Q399" s="26">
        <f>IF(AND($D399="",$N399&gt;1),SUMPRODUCT(($D$2:$D399="")*($N$2:$N399&gt;1)),"")</f>
        <v>394</v>
      </c>
      <c r="R399" s="26" t="str">
        <f>IF($D399='Info Lega'!$B$28,COUNTIFS($D$2:$D399,'Info Lega'!$B$28),"")</f>
        <v/>
      </c>
      <c r="S399" s="27">
        <f>IFERROR(INDEX('Input Statistiche 2025_26'!$G$3:$G$665,MATCH($A399,'Input Statistiche 2025_26'!$A$3:$A$665,0)),"")</f>
        <v>5.8</v>
      </c>
      <c r="T399" s="27">
        <f>IFERROR(INDEX('Input Statistiche 2025_26'!$H$3:$H$665,MATCH($A399,'Input Statistiche 2025_26'!$A$3:$A$665,0)),"")</f>
        <v>5.7</v>
      </c>
      <c r="U399" s="23" t="str">
        <f>IF(OR('La Mia Rosa'!$O$12="",$D399&lt;&gt;""),"",IF($F399&lt;='La Mia Rosa'!$O$12*'Parametri Modello'!$B$24,"OK",IF($F399&lt;='La Mia Rosa'!$O$12*'Parametri Modello'!$B$25,"Attenzione","Rischio Alto")))</f>
        <v>OK</v>
      </c>
      <c r="V399" s="23">
        <f t="shared" si="55"/>
        <v>145</v>
      </c>
      <c r="W399" s="18">
        <f>'Info Lega'!$B$4-SUMIFS($M$2:$M$492,$D$2:$D$492,'Info Lega'!$B$28)</f>
        <v>1000</v>
      </c>
      <c r="X399" s="18">
        <f>('Info Lega'!$B$5-COUNTIFS($D$2:$D$492,'Info Lega'!$B$28,$B$2:$B$492,"P"))+('Info Lega'!$B$6-COUNTIFS($D$2:$D$492,'Info Lega'!$B$28,$B$2:$B$492,"D"))+('Info Lega'!$B$7-COUNTIFS($D$2:$D$492,'Info Lega'!$B$28,$B$2:$B$492,"C"))+('Info Lega'!$B$8-COUNTIFS($D$2:$D$492,'Info Lega'!$B$28,$B$2:$B$492,"A"))</f>
        <v>25</v>
      </c>
      <c r="Y399" s="18">
        <f>X399*'Parametri Modello'!$B$30</f>
        <v>25</v>
      </c>
      <c r="Z399" s="18">
        <f t="shared" si="56"/>
        <v>975</v>
      </c>
      <c r="AA399" s="18">
        <f t="shared" si="57"/>
        <v>1</v>
      </c>
      <c r="AB399" s="18"/>
      <c r="AC399" s="18" t="str">
        <f>IF($AB399="","",IF($AB399&gt;$AA399,"PASS",IF($AB399&lt;=$AA399*(1-'Parametri Modello'!$B$68),"BID","ATTENZIONE")))</f>
        <v/>
      </c>
      <c r="AD399" s="28">
        <f t="shared" si="58"/>
        <v>15</v>
      </c>
      <c r="AE399" s="5" t="str">
        <f>IFERROR(IF($AF399="Titolare",INDEX('Stato Asta'!$G$9:$G$12,MATCH($B399,'Stato Asta'!$A$9:$A$12,0)),INDEX('Stato Asta'!$P$9:$P$12,MATCH($B399,'Stato Asta'!$A$9:$A$12,0))),"")</f>
        <v>🟢 Riserve abbondanti</v>
      </c>
      <c r="AF399" t="str">
        <f>IFERROR(IF($V399&lt;=INDEX('Parametri Modello'!$C$57:$C$60,MATCH($B399,'Parametri Modello'!$A$57:$A$60,0)),"Titolare","Riserva"),"")</f>
        <v>Riserva</v>
      </c>
      <c r="AG399" t="str">
        <f>IFERROR(INDEX('Pressione Competitiva'!$F$3:$F$6,MATCH($B399,'Pressione Competitiva'!$B$3:$B$6,0)),"")</f>
        <v>🔴 Molto Alta</v>
      </c>
      <c r="AH399" t="str">
        <f t="shared" si="59"/>
        <v/>
      </c>
      <c r="AI399" t="str">
        <f>IFERROR(IF($AH399="","",IF($AH399&gt;=$AA399*'Parametri Modello'!$B$68,"🟢 Opportunita'",IF($AH399&lt;=$AA399*'Parametri Modello'!$B$69,"🔴 Sovrapprezzo","🟡 Prezzo Corretto"))),"")</f>
        <v/>
      </c>
      <c r="AJ399" t="str">
        <f t="shared" si="60"/>
        <v/>
      </c>
      <c r="AK399">
        <f t="shared" si="61"/>
        <v>32</v>
      </c>
      <c r="AL399" t="str">
        <f t="shared" si="62"/>
        <v>D|Scommessa/Riserva|32</v>
      </c>
    </row>
    <row r="400" spans="1:38" ht="14.25" customHeight="1" x14ac:dyDescent="0.25">
      <c r="A400" s="18">
        <v>7525</v>
      </c>
      <c r="B400" s="18" t="s">
        <v>88</v>
      </c>
      <c r="C400" s="18" t="s">
        <v>230</v>
      </c>
      <c r="E400" s="23" t="str">
        <f>IF(COUNTIF('Info Strategia'!$D$2:$D$51,$C400)&gt;0,"SI","NO")</f>
        <v>NO</v>
      </c>
      <c r="F400" s="24">
        <f>IFERROR(ROUND(($G400+($H400-$G400)*'Info Strategia'!$B$6)*(1+IF($E400="SI",'Parametri Modello'!$B$7*'Info Strategia'!$B$6,0)),0),"")</f>
        <v>1</v>
      </c>
      <c r="G400" s="24">
        <f>IFERROR(ROUND(MAX(1,(IF($V400&lt;=INDEX('Parametri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H400" s="24">
        <f>IFERROR(ROUND((IF($V400&lt;=INDEX('Parametri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I400" s="23" t="str">
        <f>IFERROR(INDEX('Input Statistiche 2025_26'!$F$3:$F$665,MATCH($A400,'Input Statistiche 2025_26'!$A$3:$A$665,0)),"")</f>
        <v/>
      </c>
      <c r="J400" s="23" t="str">
        <f t="shared" si="54"/>
        <v/>
      </c>
      <c r="K400" s="23" t="str">
        <f>IFERROR(INDEX('Input Statistiche 2025_26'!$I$3:$I$665,MATCH($A400,'Input Statistiche 2025_26'!$A$3:$A$665,0)),"")</f>
        <v/>
      </c>
      <c r="L400" s="23" t="str">
        <f>IFERROR(INDEX('Input Statistiche 2025_26'!$O$3:$O$665,MATCH($A400,'Input Statistiche 2025_26'!$A$3:$A$665,0)),"")</f>
        <v/>
      </c>
      <c r="M400" s="25"/>
      <c r="N400" s="24">
        <f>IFERROR(INDEX('Input Giocatori 2026_27'!$E$3:$E$493,MATCH($A400,'Input Giocatori 2026_27'!$A$3:$A$493,0)),"")</f>
        <v>2</v>
      </c>
      <c r="O400" s="24">
        <f>IFERROR(INDEX('Input Giocatori 2026_27'!$G$3:$G$493,MATCH($A400,'Input Giocatori 2026_27'!$A$3:$A$493,0)),"")</f>
        <v>4</v>
      </c>
      <c r="P400" s="23" t="str">
        <f>IFERROR(IF($O400="","",IF((1-(COUNTIFS($B$2:$B$492,$B400,$O$2:$O$492,"&gt;"&amp;$O400)+1-1)/COUNTIF($B$2:$B$492,$B400))&gt;='Parametri Modello'!$B$63,"Top",IF((1-(COUNTIFS($B$2:$B$492,$B400,$O$2:$O$492,"&gt;"&amp;$O400)+1-1)/COUNTIF($B$2:$B$492,$B400))&gt;='Parametri Modello'!$B$64,"Buono",IF((1-(COUNTIFS($B$2:$B$492,$B400,$O$2:$O$492,"&gt;"&amp;$O400)+1-1)/COUNTIF($B$2:$B$492,$B400))&gt;='Parametri Modello'!$B$65,"Nella Media","Scommessa/Riserva")))),"")</f>
        <v>Scommessa/Riserva</v>
      </c>
      <c r="Q400" s="26">
        <f>IF(AND($D400="",$N400&gt;1),SUMPRODUCT(($D$2:$D400="")*($N$2:$N400&gt;1)),"")</f>
        <v>395</v>
      </c>
      <c r="R400" s="26" t="str">
        <f>IF($D400='Info Lega'!$B$28,COUNTIFS($D$2:$D400,'Info Lega'!$B$28),"")</f>
        <v/>
      </c>
      <c r="S400" s="27" t="str">
        <f>IFERROR(INDEX('Input Statistiche 2025_26'!$G$3:$G$665,MATCH($A400,'Input Statistiche 2025_26'!$A$3:$A$665,0)),"")</f>
        <v/>
      </c>
      <c r="T400" s="27" t="str">
        <f>IFERROR(INDEX('Input Statistiche 2025_26'!$H$3:$H$665,MATCH($A400,'Input Statistiche 2025_26'!$A$3:$A$665,0)),"")</f>
        <v/>
      </c>
      <c r="U400" s="23" t="str">
        <f>IF(OR('La Mia Rosa'!$O$12="",$D400&lt;&gt;""),"",IF($F400&lt;='La Mia Rosa'!$O$12*'Parametri Modello'!$B$24,"OK",IF($F400&lt;='La Mia Rosa'!$O$12*'Parametri Modello'!$B$25,"Attenzione","Rischio Alto")))</f>
        <v>OK</v>
      </c>
      <c r="V400" s="23">
        <f t="shared" si="55"/>
        <v>145</v>
      </c>
      <c r="W400" s="18">
        <f>'Info Lega'!$B$4-SUMIFS($M$2:$M$492,$D$2:$D$492,'Info Lega'!$B$28)</f>
        <v>1000</v>
      </c>
      <c r="X400" s="18">
        <f>('Info Lega'!$B$5-COUNTIFS($D$2:$D$492,'Info Lega'!$B$28,$B$2:$B$492,"P"))+('Info Lega'!$B$6-COUNTIFS($D$2:$D$492,'Info Lega'!$B$28,$B$2:$B$492,"D"))+('Info Lega'!$B$7-COUNTIFS($D$2:$D$492,'Info Lega'!$B$28,$B$2:$B$492,"C"))+('Info Lega'!$B$8-COUNTIFS($D$2:$D$492,'Info Lega'!$B$28,$B$2:$B$492,"A"))</f>
        <v>25</v>
      </c>
      <c r="Y400" s="18">
        <f>X400*'Parametri Modello'!$B$30</f>
        <v>25</v>
      </c>
      <c r="Z400" s="18">
        <f t="shared" si="56"/>
        <v>975</v>
      </c>
      <c r="AA400" s="18">
        <f t="shared" si="57"/>
        <v>1</v>
      </c>
      <c r="AB400" s="18"/>
      <c r="AC400" s="18" t="str">
        <f>IF($AB400="","",IF($AB400&gt;$AA400,"PASS",IF($AB400&lt;=$AA400*(1-'Parametri Modello'!$B$68),"BID","ATTENZIONE")))</f>
        <v/>
      </c>
      <c r="AD400" s="28" t="str">
        <f t="shared" si="58"/>
        <v/>
      </c>
      <c r="AE400" s="5" t="str">
        <f>IFERROR(IF($AF400="Titolare",INDEX('Stato Asta'!$G$9:$G$12,MATCH($B400,'Stato Asta'!$A$9:$A$12,0)),INDEX('Stato Asta'!$P$9:$P$12,MATCH($B400,'Stato Asta'!$A$9:$A$12,0))),"")</f>
        <v>🟢 Riserve abbondanti</v>
      </c>
      <c r="AF400" t="str">
        <f>IFERROR(IF($V400&lt;=INDEX('Parametri Modello'!$C$57:$C$60,MATCH($B400,'Parametri Modello'!$A$57:$A$60,0)),"Titolare","Riserva"),"")</f>
        <v>Riserva</v>
      </c>
      <c r="AG400" t="str">
        <f>IFERROR(INDEX('Pressione Competitiva'!$F$3:$F$6,MATCH($B400,'Pressione Competitiva'!$B$3:$B$6,0)),"")</f>
        <v>🔴 Molto Alta</v>
      </c>
      <c r="AH400" t="str">
        <f t="shared" si="59"/>
        <v/>
      </c>
      <c r="AI400" t="str">
        <f>IFERROR(IF($AH400="","",IF($AH400&gt;=$AA400*'Parametri Modello'!$B$68,"🟢 Opportunita'",IF($AH400&lt;=$AA400*'Parametri Modello'!$B$69,"🔴 Sovrapprezzo","🟡 Prezzo Corretto"))),"")</f>
        <v/>
      </c>
      <c r="AJ400" t="str">
        <f t="shared" si="60"/>
        <v/>
      </c>
      <c r="AK400">
        <f t="shared" si="61"/>
        <v>32</v>
      </c>
      <c r="AL400" t="str">
        <f t="shared" si="62"/>
        <v>D|Scommessa/Riserva|32</v>
      </c>
    </row>
    <row r="401" spans="1:38" ht="14.25" customHeight="1" x14ac:dyDescent="0.25">
      <c r="A401" s="18">
        <v>5994</v>
      </c>
      <c r="B401" s="18" t="s">
        <v>88</v>
      </c>
      <c r="C401" s="18" t="s">
        <v>234</v>
      </c>
      <c r="E401" s="23" t="str">
        <f>IF(COUNTIF('Info Strategia'!$D$2:$D$51,$C401)&gt;0,"SI","NO")</f>
        <v>NO</v>
      </c>
      <c r="F401" s="24">
        <f>IFERROR(ROUND(($G401+($H401-$G401)*'Info Strategia'!$B$6)*(1+IF($E401="SI",'Parametri Modello'!$B$7*'Info Strategia'!$B$6,0)),0),"")</f>
        <v>1</v>
      </c>
      <c r="G401" s="24">
        <f>IFERROR(ROUND(MAX(1,(IF($V401&lt;=INDEX('Parametri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H401" s="24">
        <f>IFERROR(ROUND((IF($V401&lt;=INDEX('Parametri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I401" s="23">
        <f>IFERROR(INDEX('Input Statistiche 2025_26'!$F$3:$F$665,MATCH($A401,'Input Statistiche 2025_26'!$A$3:$A$665,0)),"")</f>
        <v>16</v>
      </c>
      <c r="J401" s="23">
        <f t="shared" si="54"/>
        <v>22</v>
      </c>
      <c r="K401" s="23">
        <f>IFERROR(INDEX('Input Statistiche 2025_26'!$I$3:$I$665,MATCH($A401,'Input Statistiche 2025_26'!$A$3:$A$665,0)),"")</f>
        <v>0</v>
      </c>
      <c r="L401" s="23">
        <f>IFERROR(INDEX('Input Statistiche 2025_26'!$O$3:$O$665,MATCH($A401,'Input Statistiche 2025_26'!$A$3:$A$665,0)),"")</f>
        <v>1</v>
      </c>
      <c r="M401" s="25"/>
      <c r="N401" s="24">
        <f>IFERROR(INDEX('Input Giocatori 2026_27'!$E$3:$E$493,MATCH($A401,'Input Giocatori 2026_27'!$A$3:$A$493,0)),"")</f>
        <v>2</v>
      </c>
      <c r="O401" s="24">
        <f>IFERROR(INDEX('Input Giocatori 2026_27'!$G$3:$G$493,MATCH($A401,'Input Giocatori 2026_27'!$A$3:$A$493,0)),"")</f>
        <v>4</v>
      </c>
      <c r="P401" s="23" t="str">
        <f>IFERROR(IF($O401="","",IF((1-(COUNTIFS($B$2:$B$492,$B401,$O$2:$O$492,"&gt;"&amp;$O401)+1-1)/COUNTIF($B$2:$B$492,$B401))&gt;='Parametri Modello'!$B$63,"Top",IF((1-(COUNTIFS($B$2:$B$492,$B401,$O$2:$O$492,"&gt;"&amp;$O401)+1-1)/COUNTIF($B$2:$B$492,$B401))&gt;='Parametri Modello'!$B$64,"Buono",IF((1-(COUNTIFS($B$2:$B$492,$B401,$O$2:$O$492,"&gt;"&amp;$O401)+1-1)/COUNTIF($B$2:$B$492,$B401))&gt;='Parametri Modello'!$B$65,"Nella Media","Scommessa/Riserva")))),"")</f>
        <v>Scommessa/Riserva</v>
      </c>
      <c r="Q401" s="26">
        <f>IF(AND($D401="",$N401&gt;1),SUMPRODUCT(($D$2:$D401="")*($N$2:$N401&gt;1)),"")</f>
        <v>396</v>
      </c>
      <c r="R401" s="26" t="str">
        <f>IF($D401='Info Lega'!$B$28,COUNTIFS($D$2:$D401,'Info Lega'!$B$28),"")</f>
        <v/>
      </c>
      <c r="S401" s="27">
        <f>IFERROR(INDEX('Input Statistiche 2025_26'!$G$3:$G$665,MATCH($A401,'Input Statistiche 2025_26'!$A$3:$A$665,0)),"")</f>
        <v>5.75</v>
      </c>
      <c r="T401" s="27">
        <f>IFERROR(INDEX('Input Statistiche 2025_26'!$H$3:$H$665,MATCH($A401,'Input Statistiche 2025_26'!$A$3:$A$665,0)),"")</f>
        <v>5.72</v>
      </c>
      <c r="U401" s="23" t="str">
        <f>IF(OR('La Mia Rosa'!$O$12="",$D401&lt;&gt;""),"",IF($F401&lt;='La Mia Rosa'!$O$12*'Parametri Modello'!$B$24,"OK",IF($F401&lt;='La Mia Rosa'!$O$12*'Parametri Modello'!$B$25,"Attenzione","Rischio Alto")))</f>
        <v>OK</v>
      </c>
      <c r="V401" s="23">
        <f t="shared" si="55"/>
        <v>145</v>
      </c>
      <c r="W401" s="18">
        <f>'Info Lega'!$B$4-SUMIFS($M$2:$M$492,$D$2:$D$492,'Info Lega'!$B$28)</f>
        <v>1000</v>
      </c>
      <c r="X401" s="18">
        <f>('Info Lega'!$B$5-COUNTIFS($D$2:$D$492,'Info Lega'!$B$28,$B$2:$B$492,"P"))+('Info Lega'!$B$6-COUNTIFS($D$2:$D$492,'Info Lega'!$B$28,$B$2:$B$492,"D"))+('Info Lega'!$B$7-COUNTIFS($D$2:$D$492,'Info Lega'!$B$28,$B$2:$B$492,"C"))+('Info Lega'!$B$8-COUNTIFS($D$2:$D$492,'Info Lega'!$B$28,$B$2:$B$492,"A"))</f>
        <v>25</v>
      </c>
      <c r="Y401" s="18">
        <f>X401*'Parametri Modello'!$B$30</f>
        <v>25</v>
      </c>
      <c r="Z401" s="18">
        <f t="shared" si="56"/>
        <v>975</v>
      </c>
      <c r="AA401" s="18">
        <f t="shared" si="57"/>
        <v>1</v>
      </c>
      <c r="AB401" s="18"/>
      <c r="AC401" s="18" t="str">
        <f>IF($AB401="","",IF($AB401&gt;$AA401,"PASS",IF($AB401&lt;=$AA401*(1-'Parametri Modello'!$B$68),"BID","ATTENZIONE")))</f>
        <v/>
      </c>
      <c r="AD401" s="28">
        <f t="shared" si="58"/>
        <v>41</v>
      </c>
      <c r="AE401" s="5" t="str">
        <f>IFERROR(IF($AF401="Titolare",INDEX('Stato Asta'!$G$9:$G$12,MATCH($B401,'Stato Asta'!$A$9:$A$12,0)),INDEX('Stato Asta'!$P$9:$P$12,MATCH($B401,'Stato Asta'!$A$9:$A$12,0))),"")</f>
        <v>🟢 Riserve abbondanti</v>
      </c>
      <c r="AF401" t="str">
        <f>IFERROR(IF($V401&lt;=INDEX('Parametri Modello'!$C$57:$C$60,MATCH($B401,'Parametri Modello'!$A$57:$A$60,0)),"Titolare","Riserva"),"")</f>
        <v>Riserva</v>
      </c>
      <c r="AG401" t="str">
        <f>IFERROR(INDEX('Pressione Competitiva'!$F$3:$F$6,MATCH($B401,'Pressione Competitiva'!$B$3:$B$6,0)),"")</f>
        <v>🔴 Molto Alta</v>
      </c>
      <c r="AH401" t="str">
        <f t="shared" si="59"/>
        <v/>
      </c>
      <c r="AI401" t="str">
        <f>IFERROR(IF($AH401="","",IF($AH401&gt;=$AA401*'Parametri Modello'!$B$68,"🟢 Opportunita'",IF($AH401&lt;=$AA401*'Parametri Modello'!$B$69,"🔴 Sovrapprezzo","🟡 Prezzo Corretto"))),"")</f>
        <v/>
      </c>
      <c r="AJ401" t="str">
        <f t="shared" si="60"/>
        <v/>
      </c>
      <c r="AK401">
        <f t="shared" si="61"/>
        <v>32</v>
      </c>
      <c r="AL401" t="str">
        <f t="shared" si="62"/>
        <v>D|Scommessa/Riserva|32</v>
      </c>
    </row>
    <row r="402" spans="1:38" ht="14.25" customHeight="1" x14ac:dyDescent="0.25">
      <c r="A402" s="18">
        <v>7478</v>
      </c>
      <c r="B402" s="18" t="s">
        <v>88</v>
      </c>
      <c r="C402" s="18" t="s">
        <v>235</v>
      </c>
      <c r="E402" s="23" t="str">
        <f>IF(COUNTIF('Info Strategia'!$D$2:$D$51,$C402)&gt;0,"SI","NO")</f>
        <v>NO</v>
      </c>
      <c r="F402" s="24">
        <f>IFERROR(ROUND(($G402+($H402-$G402)*'Info Strategia'!$B$6)*(1+IF($E402="SI",'Parametri Modello'!$B$7*'Info Strategia'!$B$6,0)),0),"")</f>
        <v>1</v>
      </c>
      <c r="G402" s="24">
        <f>IFERROR(ROUND(MAX(1,(IF($V402&lt;=INDEX('Parametri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H402" s="24">
        <f>IFERROR(ROUND((IF($V402&lt;=INDEX('Parametri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I402" s="23" t="str">
        <f>IFERROR(INDEX('Input Statistiche 2025_26'!$F$3:$F$665,MATCH($A402,'Input Statistiche 2025_26'!$A$3:$A$665,0)),"")</f>
        <v/>
      </c>
      <c r="J402" s="23" t="str">
        <f t="shared" si="54"/>
        <v/>
      </c>
      <c r="K402" s="23" t="str">
        <f>IFERROR(INDEX('Input Statistiche 2025_26'!$I$3:$I$665,MATCH($A402,'Input Statistiche 2025_26'!$A$3:$A$665,0)),"")</f>
        <v/>
      </c>
      <c r="L402" s="23" t="str">
        <f>IFERROR(INDEX('Input Statistiche 2025_26'!$O$3:$O$665,MATCH($A402,'Input Statistiche 2025_26'!$A$3:$A$665,0)),"")</f>
        <v/>
      </c>
      <c r="M402" s="25"/>
      <c r="N402" s="24">
        <f>IFERROR(INDEX('Input Giocatori 2026_27'!$E$3:$E$493,MATCH($A402,'Input Giocatori 2026_27'!$A$3:$A$493,0)),"")</f>
        <v>2</v>
      </c>
      <c r="O402" s="24">
        <f>IFERROR(INDEX('Input Giocatori 2026_27'!$G$3:$G$493,MATCH($A402,'Input Giocatori 2026_27'!$A$3:$A$493,0)),"")</f>
        <v>4</v>
      </c>
      <c r="P402" s="23" t="str">
        <f>IFERROR(IF($O402="","",IF((1-(COUNTIFS($B$2:$B$492,$B402,$O$2:$O$492,"&gt;"&amp;$O402)+1-1)/COUNTIF($B$2:$B$492,$B402))&gt;='Parametri Modello'!$B$63,"Top",IF((1-(COUNTIFS($B$2:$B$492,$B402,$O$2:$O$492,"&gt;"&amp;$O402)+1-1)/COUNTIF($B$2:$B$492,$B402))&gt;='Parametri Modello'!$B$64,"Buono",IF((1-(COUNTIFS($B$2:$B$492,$B402,$O$2:$O$492,"&gt;"&amp;$O402)+1-1)/COUNTIF($B$2:$B$492,$B402))&gt;='Parametri Modello'!$B$65,"Nella Media","Scommessa/Riserva")))),"")</f>
        <v>Scommessa/Riserva</v>
      </c>
      <c r="Q402" s="26">
        <f>IF(AND($D402="",$N402&gt;1),SUMPRODUCT(($D$2:$D402="")*($N$2:$N402&gt;1)),"")</f>
        <v>397</v>
      </c>
      <c r="R402" s="26" t="str">
        <f>IF($D402='Info Lega'!$B$28,COUNTIFS($D$2:$D402,'Info Lega'!$B$28),"")</f>
        <v/>
      </c>
      <c r="S402" s="27" t="str">
        <f>IFERROR(INDEX('Input Statistiche 2025_26'!$G$3:$G$665,MATCH($A402,'Input Statistiche 2025_26'!$A$3:$A$665,0)),"")</f>
        <v/>
      </c>
      <c r="T402" s="27" t="str">
        <f>IFERROR(INDEX('Input Statistiche 2025_26'!$H$3:$H$665,MATCH($A402,'Input Statistiche 2025_26'!$A$3:$A$665,0)),"")</f>
        <v/>
      </c>
      <c r="U402" s="23" t="str">
        <f>IF(OR('La Mia Rosa'!$O$12="",$D402&lt;&gt;""),"",IF($F402&lt;='La Mia Rosa'!$O$12*'Parametri Modello'!$B$24,"OK",IF($F402&lt;='La Mia Rosa'!$O$12*'Parametri Modello'!$B$25,"Attenzione","Rischio Alto")))</f>
        <v>OK</v>
      </c>
      <c r="V402" s="23">
        <f t="shared" si="55"/>
        <v>145</v>
      </c>
      <c r="W402" s="18">
        <f>'Info Lega'!$B$4-SUMIFS($M$2:$M$492,$D$2:$D$492,'Info Lega'!$B$28)</f>
        <v>1000</v>
      </c>
      <c r="X402" s="18">
        <f>('Info Lega'!$B$5-COUNTIFS($D$2:$D$492,'Info Lega'!$B$28,$B$2:$B$492,"P"))+('Info Lega'!$B$6-COUNTIFS($D$2:$D$492,'Info Lega'!$B$28,$B$2:$B$492,"D"))+('Info Lega'!$B$7-COUNTIFS($D$2:$D$492,'Info Lega'!$B$28,$B$2:$B$492,"C"))+('Info Lega'!$B$8-COUNTIFS($D$2:$D$492,'Info Lega'!$B$28,$B$2:$B$492,"A"))</f>
        <v>25</v>
      </c>
      <c r="Y402" s="18">
        <f>X402*'Parametri Modello'!$B$30</f>
        <v>25</v>
      </c>
      <c r="Z402" s="18">
        <f t="shared" si="56"/>
        <v>975</v>
      </c>
      <c r="AA402" s="18">
        <f t="shared" si="57"/>
        <v>1</v>
      </c>
      <c r="AB402" s="18"/>
      <c r="AC402" s="18" t="str">
        <f>IF($AB402="","",IF($AB402&gt;$AA402,"PASS",IF($AB402&lt;=$AA402*(1-'Parametri Modello'!$B$68),"BID","ATTENZIONE")))</f>
        <v/>
      </c>
      <c r="AD402" s="28" t="str">
        <f t="shared" si="58"/>
        <v/>
      </c>
      <c r="AE402" s="5" t="str">
        <f>IFERROR(IF($AF402="Titolare",INDEX('Stato Asta'!$G$9:$G$12,MATCH($B402,'Stato Asta'!$A$9:$A$12,0)),INDEX('Stato Asta'!$P$9:$P$12,MATCH($B402,'Stato Asta'!$A$9:$A$12,0))),"")</f>
        <v>🟢 Riserve abbondanti</v>
      </c>
      <c r="AF402" t="str">
        <f>IFERROR(IF($V402&lt;=INDEX('Parametri Modello'!$C$57:$C$60,MATCH($B402,'Parametri Modello'!$A$57:$A$60,0)),"Titolare","Riserva"),"")</f>
        <v>Riserva</v>
      </c>
      <c r="AG402" t="str">
        <f>IFERROR(INDEX('Pressione Competitiva'!$F$3:$F$6,MATCH($B402,'Pressione Competitiva'!$B$3:$B$6,0)),"")</f>
        <v>🔴 Molto Alta</v>
      </c>
      <c r="AH402" t="str">
        <f t="shared" si="59"/>
        <v/>
      </c>
      <c r="AI402" t="str">
        <f>IFERROR(IF($AH402="","",IF($AH402&gt;=$AA402*'Parametri Modello'!$B$68,"🟢 Opportunita'",IF($AH402&lt;=$AA402*'Parametri Modello'!$B$69,"🔴 Sovrapprezzo","🟡 Prezzo Corretto"))),"")</f>
        <v/>
      </c>
      <c r="AJ402" t="str">
        <f t="shared" si="60"/>
        <v/>
      </c>
      <c r="AK402">
        <f t="shared" si="61"/>
        <v>32</v>
      </c>
      <c r="AL402" t="str">
        <f t="shared" si="62"/>
        <v>D|Scommessa/Riserva|32</v>
      </c>
    </row>
    <row r="403" spans="1:38" ht="14.25" customHeight="1" x14ac:dyDescent="0.25">
      <c r="A403" s="18">
        <v>6681</v>
      </c>
      <c r="B403" s="18" t="s">
        <v>88</v>
      </c>
      <c r="C403" s="18" t="s">
        <v>236</v>
      </c>
      <c r="E403" s="23" t="str">
        <f>IF(COUNTIF('Info Strategia'!$D$2:$D$51,$C403)&gt;0,"SI","NO")</f>
        <v>NO</v>
      </c>
      <c r="F403" s="24">
        <f>IFERROR(ROUND(($G403+($H403-$G403)*'Info Strategia'!$B$6)*(1+IF($E403="SI",'Parametri Modello'!$B$7*'Info Strategia'!$B$6,0)),0),"")</f>
        <v>1</v>
      </c>
      <c r="G403" s="24">
        <f>IFERROR(ROUND(MAX(1,(IF($V403&lt;=INDEX('Parametri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H403" s="24">
        <f>IFERROR(ROUND((IF($V403&lt;=INDEX('Parametri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I403" s="23" t="str">
        <f>IFERROR(INDEX('Input Statistiche 2025_26'!$F$3:$F$665,MATCH($A403,'Input Statistiche 2025_26'!$A$3:$A$665,0)),"")</f>
        <v/>
      </c>
      <c r="J403" s="23" t="str">
        <f t="shared" si="54"/>
        <v/>
      </c>
      <c r="K403" s="23" t="str">
        <f>IFERROR(INDEX('Input Statistiche 2025_26'!$I$3:$I$665,MATCH($A403,'Input Statistiche 2025_26'!$A$3:$A$665,0)),"")</f>
        <v/>
      </c>
      <c r="L403" s="23" t="str">
        <f>IFERROR(INDEX('Input Statistiche 2025_26'!$O$3:$O$665,MATCH($A403,'Input Statistiche 2025_26'!$A$3:$A$665,0)),"")</f>
        <v/>
      </c>
      <c r="M403" s="25"/>
      <c r="N403" s="24">
        <f>IFERROR(INDEX('Input Giocatori 2026_27'!$E$3:$E$493,MATCH($A403,'Input Giocatori 2026_27'!$A$3:$A$493,0)),"")</f>
        <v>2</v>
      </c>
      <c r="O403" s="24">
        <f>IFERROR(INDEX('Input Giocatori 2026_27'!$G$3:$G$493,MATCH($A403,'Input Giocatori 2026_27'!$A$3:$A$493,0)),"")</f>
        <v>4</v>
      </c>
      <c r="P403" s="23" t="str">
        <f>IFERROR(IF($O403="","",IF((1-(COUNTIFS($B$2:$B$492,$B403,$O$2:$O$492,"&gt;"&amp;$O403)+1-1)/COUNTIF($B$2:$B$492,$B403))&gt;='Parametri Modello'!$B$63,"Top",IF((1-(COUNTIFS($B$2:$B$492,$B403,$O$2:$O$492,"&gt;"&amp;$O403)+1-1)/COUNTIF($B$2:$B$492,$B403))&gt;='Parametri Modello'!$B$64,"Buono",IF((1-(COUNTIFS($B$2:$B$492,$B403,$O$2:$O$492,"&gt;"&amp;$O403)+1-1)/COUNTIF($B$2:$B$492,$B403))&gt;='Parametri Modello'!$B$65,"Nella Media","Scommessa/Riserva")))),"")</f>
        <v>Scommessa/Riserva</v>
      </c>
      <c r="Q403" s="26">
        <f>IF(AND($D403="",$N403&gt;1),SUMPRODUCT(($D$2:$D403="")*($N$2:$N403&gt;1)),"")</f>
        <v>398</v>
      </c>
      <c r="R403" s="26" t="str">
        <f>IF($D403='Info Lega'!$B$28,COUNTIFS($D$2:$D403,'Info Lega'!$B$28),"")</f>
        <v/>
      </c>
      <c r="S403" s="27" t="str">
        <f>IFERROR(INDEX('Input Statistiche 2025_26'!$G$3:$G$665,MATCH($A403,'Input Statistiche 2025_26'!$A$3:$A$665,0)),"")</f>
        <v/>
      </c>
      <c r="T403" s="27" t="str">
        <f>IFERROR(INDEX('Input Statistiche 2025_26'!$H$3:$H$665,MATCH($A403,'Input Statistiche 2025_26'!$A$3:$A$665,0)),"")</f>
        <v/>
      </c>
      <c r="U403" s="23" t="str">
        <f>IF(OR('La Mia Rosa'!$O$12="",$D403&lt;&gt;""),"",IF($F403&lt;='La Mia Rosa'!$O$12*'Parametri Modello'!$B$24,"OK",IF($F403&lt;='La Mia Rosa'!$O$12*'Parametri Modello'!$B$25,"Attenzione","Rischio Alto")))</f>
        <v>OK</v>
      </c>
      <c r="V403" s="23">
        <f t="shared" si="55"/>
        <v>145</v>
      </c>
      <c r="W403" s="18">
        <f>'Info Lega'!$B$4-SUMIFS($M$2:$M$492,$D$2:$D$492,'Info Lega'!$B$28)</f>
        <v>1000</v>
      </c>
      <c r="X403" s="18">
        <f>('Info Lega'!$B$5-COUNTIFS($D$2:$D$492,'Info Lega'!$B$28,$B$2:$B$492,"P"))+('Info Lega'!$B$6-COUNTIFS($D$2:$D$492,'Info Lega'!$B$28,$B$2:$B$492,"D"))+('Info Lega'!$B$7-COUNTIFS($D$2:$D$492,'Info Lega'!$B$28,$B$2:$B$492,"C"))+('Info Lega'!$B$8-COUNTIFS($D$2:$D$492,'Info Lega'!$B$28,$B$2:$B$492,"A"))</f>
        <v>25</v>
      </c>
      <c r="Y403" s="18">
        <f>X403*'Parametri Modello'!$B$30</f>
        <v>25</v>
      </c>
      <c r="Z403" s="18">
        <f t="shared" si="56"/>
        <v>975</v>
      </c>
      <c r="AA403" s="18">
        <f t="shared" si="57"/>
        <v>1</v>
      </c>
      <c r="AB403" s="18"/>
      <c r="AC403" s="18" t="str">
        <f>IF($AB403="","",IF($AB403&gt;$AA403,"PASS",IF($AB403&lt;=$AA403*(1-'Parametri Modello'!$B$68),"BID","ATTENZIONE")))</f>
        <v/>
      </c>
      <c r="AD403" s="28" t="str">
        <f t="shared" si="58"/>
        <v/>
      </c>
      <c r="AE403" s="5" t="str">
        <f>IFERROR(IF($AF403="Titolare",INDEX('Stato Asta'!$G$9:$G$12,MATCH($B403,'Stato Asta'!$A$9:$A$12,0)),INDEX('Stato Asta'!$P$9:$P$12,MATCH($B403,'Stato Asta'!$A$9:$A$12,0))),"")</f>
        <v>🟢 Riserve abbondanti</v>
      </c>
      <c r="AF403" t="str">
        <f>IFERROR(IF($V403&lt;=INDEX('Parametri Modello'!$C$57:$C$60,MATCH($B403,'Parametri Modello'!$A$57:$A$60,0)),"Titolare","Riserva"),"")</f>
        <v>Riserva</v>
      </c>
      <c r="AG403" t="str">
        <f>IFERROR(INDEX('Pressione Competitiva'!$F$3:$F$6,MATCH($B403,'Pressione Competitiva'!$B$3:$B$6,0)),"")</f>
        <v>🔴 Molto Alta</v>
      </c>
      <c r="AH403" t="str">
        <f t="shared" si="59"/>
        <v/>
      </c>
      <c r="AI403" t="str">
        <f>IFERROR(IF($AH403="","",IF($AH403&gt;=$AA403*'Parametri Modello'!$B$68,"🟢 Opportunita'",IF($AH403&lt;=$AA403*'Parametri Modello'!$B$69,"🔴 Sovrapprezzo","🟡 Prezzo Corretto"))),"")</f>
        <v/>
      </c>
      <c r="AJ403" t="str">
        <f t="shared" si="60"/>
        <v/>
      </c>
      <c r="AK403">
        <f t="shared" si="61"/>
        <v>32</v>
      </c>
      <c r="AL403" t="str">
        <f t="shared" si="62"/>
        <v>D|Scommessa/Riserva|32</v>
      </c>
    </row>
    <row r="404" spans="1:38" ht="14.25" customHeight="1" x14ac:dyDescent="0.25">
      <c r="A404" s="18">
        <v>487</v>
      </c>
      <c r="B404" s="18" t="s">
        <v>88</v>
      </c>
      <c r="C404" s="18" t="s">
        <v>237</v>
      </c>
      <c r="E404" s="23" t="str">
        <f>IF(COUNTIF('Info Strategia'!$D$2:$D$51,$C404)&gt;0,"SI","NO")</f>
        <v>NO</v>
      </c>
      <c r="F404" s="24">
        <f>IFERROR(ROUND(($G404+($H404-$G404)*'Info Strategia'!$B$6)*(1+IF($E404="SI",'Parametri Modello'!$B$7*'Info Strategia'!$B$6,0)),0),"")</f>
        <v>1</v>
      </c>
      <c r="G404" s="24">
        <f>IFERROR(ROUND(MAX(1,(IF($V404&lt;=INDEX('Parametri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H404" s="24">
        <f>IFERROR(ROUND((IF($V404&lt;=INDEX('Parametri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I404" s="23">
        <f>IFERROR(INDEX('Input Statistiche 2025_26'!$F$3:$F$665,MATCH($A404,'Input Statistiche 2025_26'!$A$3:$A$665,0)),"")</f>
        <v>10</v>
      </c>
      <c r="J404" s="23">
        <f t="shared" si="54"/>
        <v>28</v>
      </c>
      <c r="K404" s="23">
        <f>IFERROR(INDEX('Input Statistiche 2025_26'!$I$3:$I$665,MATCH($A404,'Input Statistiche 2025_26'!$A$3:$A$665,0)),"")</f>
        <v>0</v>
      </c>
      <c r="L404" s="23">
        <f>IFERROR(INDEX('Input Statistiche 2025_26'!$O$3:$O$665,MATCH($A404,'Input Statistiche 2025_26'!$A$3:$A$665,0)),"")</f>
        <v>0</v>
      </c>
      <c r="M404" s="25"/>
      <c r="N404" s="24">
        <f>IFERROR(INDEX('Input Giocatori 2026_27'!$E$3:$E$493,MATCH($A404,'Input Giocatori 2026_27'!$A$3:$A$493,0)),"")</f>
        <v>1</v>
      </c>
      <c r="O404" s="24">
        <f>IFERROR(INDEX('Input Giocatori 2026_27'!$G$3:$G$493,MATCH($A404,'Input Giocatori 2026_27'!$A$3:$A$493,0)),"")</f>
        <v>4</v>
      </c>
      <c r="P404" s="23" t="str">
        <f>IFERROR(IF($O404="","",IF((1-(COUNTIFS($B$2:$B$492,$B404,$O$2:$O$492,"&gt;"&amp;$O404)+1-1)/COUNTIF($B$2:$B$492,$B404))&gt;='Parametri Modello'!$B$63,"Top",IF((1-(COUNTIFS($B$2:$B$492,$B404,$O$2:$O$492,"&gt;"&amp;$O404)+1-1)/COUNTIF($B$2:$B$492,$B404))&gt;='Parametri Modello'!$B$64,"Buono",IF((1-(COUNTIFS($B$2:$B$492,$B404,$O$2:$O$492,"&gt;"&amp;$O404)+1-1)/COUNTIF($B$2:$B$492,$B404))&gt;='Parametri Modello'!$B$65,"Nella Media","Scommessa/Riserva")))),"")</f>
        <v>Scommessa/Riserva</v>
      </c>
      <c r="Q404" s="26" t="str">
        <f>IF(AND($D404="",$N404&gt;1),SUMPRODUCT(($D$2:$D404="")*($N$2:$N404&gt;1)),"")</f>
        <v/>
      </c>
      <c r="R404" s="26" t="str">
        <f>IF($D404='Info Lega'!$B$28,COUNTIFS($D$2:$D404,'Info Lega'!$B$28),"")</f>
        <v/>
      </c>
      <c r="S404" s="27">
        <f>IFERROR(INDEX('Input Statistiche 2025_26'!$G$3:$G$665,MATCH($A404,'Input Statistiche 2025_26'!$A$3:$A$665,0)),"")</f>
        <v>6.05</v>
      </c>
      <c r="T404" s="27">
        <f>IFERROR(INDEX('Input Statistiche 2025_26'!$H$3:$H$665,MATCH($A404,'Input Statistiche 2025_26'!$A$3:$A$665,0)),"")</f>
        <v>5.95</v>
      </c>
      <c r="U404" s="23" t="str">
        <f>IF(OR('La Mia Rosa'!$O$12="",$D404&lt;&gt;""),"",IF($F404&lt;='La Mia Rosa'!$O$12*'Parametri Modello'!$B$24,"OK",IF($F404&lt;='La Mia Rosa'!$O$12*'Parametri Modello'!$B$25,"Attenzione","Rischio Alto")))</f>
        <v>OK</v>
      </c>
      <c r="V404" s="23">
        <f t="shared" si="55"/>
        <v>145</v>
      </c>
      <c r="W404" s="18">
        <f>'Info Lega'!$B$4-SUMIFS($M$2:$M$492,$D$2:$D$492,'Info Lega'!$B$28)</f>
        <v>1000</v>
      </c>
      <c r="X404" s="18">
        <f>('Info Lega'!$B$5-COUNTIFS($D$2:$D$492,'Info Lega'!$B$28,$B$2:$B$492,"P"))+('Info Lega'!$B$6-COUNTIFS($D$2:$D$492,'Info Lega'!$B$28,$B$2:$B$492,"D"))+('Info Lega'!$B$7-COUNTIFS($D$2:$D$492,'Info Lega'!$B$28,$B$2:$B$492,"C"))+('Info Lega'!$B$8-COUNTIFS($D$2:$D$492,'Info Lega'!$B$28,$B$2:$B$492,"A"))</f>
        <v>25</v>
      </c>
      <c r="Y404" s="18">
        <f>X404*'Parametri Modello'!$B$30</f>
        <v>25</v>
      </c>
      <c r="Z404" s="18">
        <f t="shared" si="56"/>
        <v>975</v>
      </c>
      <c r="AA404" s="18">
        <f t="shared" si="57"/>
        <v>1</v>
      </c>
      <c r="AB404" s="18"/>
      <c r="AC404" s="18" t="str">
        <f>IF($AB404="","",IF($AB404&gt;$AA404,"PASS",IF($AB404&lt;=$AA404*(1-'Parametri Modello'!$B$68),"BID","ATTENZIONE")))</f>
        <v/>
      </c>
      <c r="AD404" s="28">
        <f t="shared" si="58"/>
        <v>28</v>
      </c>
      <c r="AE404" s="5" t="str">
        <f>IFERROR(IF($AF404="Titolare",INDEX('Stato Asta'!$G$9:$G$12,MATCH($B404,'Stato Asta'!$A$9:$A$12,0)),INDEX('Stato Asta'!$P$9:$P$12,MATCH($B404,'Stato Asta'!$A$9:$A$12,0))),"")</f>
        <v>🟢 Riserve abbondanti</v>
      </c>
      <c r="AF404" t="str">
        <f>IFERROR(IF($V404&lt;=INDEX('Parametri Modello'!$C$57:$C$60,MATCH($B404,'Parametri Modello'!$A$57:$A$60,0)),"Titolare","Riserva"),"")</f>
        <v>Riserva</v>
      </c>
      <c r="AG404" t="str">
        <f>IFERROR(INDEX('Pressione Competitiva'!$F$3:$F$6,MATCH($B404,'Pressione Competitiva'!$B$3:$B$6,0)),"")</f>
        <v>🔴 Molto Alta</v>
      </c>
      <c r="AH404" t="str">
        <f t="shared" si="59"/>
        <v/>
      </c>
      <c r="AI404" t="str">
        <f>IFERROR(IF($AH404="","",IF($AH404&gt;=$AA404*'Parametri Modello'!$B$68,"🟢 Opportunita'",IF($AH404&lt;=$AA404*'Parametri Modello'!$B$69,"🔴 Sovrapprezzo","🟡 Prezzo Corretto"))),"")</f>
        <v/>
      </c>
      <c r="AJ404" t="str">
        <f t="shared" si="60"/>
        <v/>
      </c>
      <c r="AK404" t="str">
        <f t="shared" si="61"/>
        <v/>
      </c>
      <c r="AL404" t="str">
        <f t="shared" si="62"/>
        <v/>
      </c>
    </row>
    <row r="405" spans="1:38" ht="14.25" customHeight="1" x14ac:dyDescent="0.25">
      <c r="A405" s="18">
        <v>6039</v>
      </c>
      <c r="B405" s="18" t="s">
        <v>88</v>
      </c>
      <c r="C405" s="18" t="s">
        <v>248</v>
      </c>
      <c r="E405" s="23" t="str">
        <f>IF(COUNTIF('Info Strategia'!$D$2:$D$51,$C405)&gt;0,"SI","NO")</f>
        <v>NO</v>
      </c>
      <c r="F405" s="24">
        <f>IFERROR(ROUND(($G405+($H405-$G405)*'Info Strategia'!$B$6)*(1+IF($E405="SI",'Parametri Modello'!$B$7*'Info Strategia'!$B$6,0)),0),"")</f>
        <v>1</v>
      </c>
      <c r="G405" s="24">
        <f>IFERROR(ROUND(MAX(1,(IF($V405&lt;=INDEX('Parametri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H405" s="24">
        <f>IFERROR(ROUND((IF($V405&lt;=INDEX('Parametri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I405" s="23">
        <f>IFERROR(INDEX('Input Statistiche 2025_26'!$F$3:$F$665,MATCH($A405,'Input Statistiche 2025_26'!$A$3:$A$665,0)),"")</f>
        <v>9</v>
      </c>
      <c r="J405" s="23">
        <f t="shared" si="54"/>
        <v>29</v>
      </c>
      <c r="K405" s="23">
        <f>IFERROR(INDEX('Input Statistiche 2025_26'!$I$3:$I$665,MATCH($A405,'Input Statistiche 2025_26'!$A$3:$A$665,0)),"")</f>
        <v>2</v>
      </c>
      <c r="L405" s="23">
        <f>IFERROR(INDEX('Input Statistiche 2025_26'!$O$3:$O$665,MATCH($A405,'Input Statistiche 2025_26'!$A$3:$A$665,0)),"")</f>
        <v>0</v>
      </c>
      <c r="M405" s="25"/>
      <c r="N405" s="24">
        <f>IFERROR(INDEX('Input Giocatori 2026_27'!$E$3:$E$493,MATCH($A405,'Input Giocatori 2026_27'!$A$3:$A$493,0)),"")</f>
        <v>1</v>
      </c>
      <c r="O405" s="24">
        <f>IFERROR(INDEX('Input Giocatori 2026_27'!$G$3:$G$493,MATCH($A405,'Input Giocatori 2026_27'!$A$3:$A$493,0)),"")</f>
        <v>4</v>
      </c>
      <c r="P405" s="23" t="str">
        <f>IFERROR(IF($O405="","",IF((1-(COUNTIFS($B$2:$B$492,$B405,$O$2:$O$492,"&gt;"&amp;$O405)+1-1)/COUNTIF($B$2:$B$492,$B405))&gt;='Parametri Modello'!$B$63,"Top",IF((1-(COUNTIFS($B$2:$B$492,$B405,$O$2:$O$492,"&gt;"&amp;$O405)+1-1)/COUNTIF($B$2:$B$492,$B405))&gt;='Parametri Modello'!$B$64,"Buono",IF((1-(COUNTIFS($B$2:$B$492,$B405,$O$2:$O$492,"&gt;"&amp;$O405)+1-1)/COUNTIF($B$2:$B$492,$B405))&gt;='Parametri Modello'!$B$65,"Nella Media","Scommessa/Riserva")))),"")</f>
        <v>Scommessa/Riserva</v>
      </c>
      <c r="Q405" s="26" t="str">
        <f>IF(AND($D405="",$N405&gt;1),SUMPRODUCT(($D$2:$D405="")*($N$2:$N405&gt;1)),"")</f>
        <v/>
      </c>
      <c r="R405" s="26" t="str">
        <f>IF($D405='Info Lega'!$B$28,COUNTIFS($D$2:$D405,'Info Lega'!$B$28),"")</f>
        <v/>
      </c>
      <c r="S405" s="27">
        <f>IFERROR(INDEX('Input Statistiche 2025_26'!$G$3:$G$665,MATCH($A405,'Input Statistiche 2025_26'!$A$3:$A$665,0)),"")</f>
        <v>5.94</v>
      </c>
      <c r="T405" s="27">
        <f>IFERROR(INDEX('Input Statistiche 2025_26'!$H$3:$H$665,MATCH($A405,'Input Statistiche 2025_26'!$A$3:$A$665,0)),"")</f>
        <v>6.56</v>
      </c>
      <c r="U405" s="23" t="str">
        <f>IF(OR('La Mia Rosa'!$O$12="",$D405&lt;&gt;""),"",IF($F405&lt;='La Mia Rosa'!$O$12*'Parametri Modello'!$B$24,"OK",IF($F405&lt;='La Mia Rosa'!$O$12*'Parametri Modello'!$B$25,"Attenzione","Rischio Alto")))</f>
        <v>OK</v>
      </c>
      <c r="V405" s="23">
        <f t="shared" si="55"/>
        <v>145</v>
      </c>
      <c r="W405" s="18">
        <f>'Info Lega'!$B$4-SUMIFS($M$2:$M$492,$D$2:$D$492,'Info Lega'!$B$28)</f>
        <v>1000</v>
      </c>
      <c r="X405" s="18">
        <f>('Info Lega'!$B$5-COUNTIFS($D$2:$D$492,'Info Lega'!$B$28,$B$2:$B$492,"P"))+('Info Lega'!$B$6-COUNTIFS($D$2:$D$492,'Info Lega'!$B$28,$B$2:$B$492,"D"))+('Info Lega'!$B$7-COUNTIFS($D$2:$D$492,'Info Lega'!$B$28,$B$2:$B$492,"C"))+('Info Lega'!$B$8-COUNTIFS($D$2:$D$492,'Info Lega'!$B$28,$B$2:$B$492,"A"))</f>
        <v>25</v>
      </c>
      <c r="Y405" s="18">
        <f>X405*'Parametri Modello'!$B$30</f>
        <v>25</v>
      </c>
      <c r="Z405" s="18">
        <f t="shared" si="56"/>
        <v>975</v>
      </c>
      <c r="AA405" s="18">
        <f t="shared" si="57"/>
        <v>1</v>
      </c>
      <c r="AB405" s="18"/>
      <c r="AC405" s="18" t="str">
        <f>IF($AB405="","",IF($AB405&gt;$AA405,"PASS",IF($AB405&lt;=$AA405*(1-'Parametri Modello'!$B$68),"BID","ATTENZIONE")))</f>
        <v/>
      </c>
      <c r="AD405" s="28">
        <f t="shared" si="58"/>
        <v>26</v>
      </c>
      <c r="AE405" s="5" t="str">
        <f>IFERROR(IF($AF405="Titolare",INDEX('Stato Asta'!$G$9:$G$12,MATCH($B405,'Stato Asta'!$A$9:$A$12,0)),INDEX('Stato Asta'!$P$9:$P$12,MATCH($B405,'Stato Asta'!$A$9:$A$12,0))),"")</f>
        <v>🟢 Riserve abbondanti</v>
      </c>
      <c r="AF405" t="str">
        <f>IFERROR(IF($V405&lt;=INDEX('Parametri Modello'!$C$57:$C$60,MATCH($B405,'Parametri Modello'!$A$57:$A$60,0)),"Titolare","Riserva"),"")</f>
        <v>Riserva</v>
      </c>
      <c r="AG405" t="str">
        <f>IFERROR(INDEX('Pressione Competitiva'!$F$3:$F$6,MATCH($B405,'Pressione Competitiva'!$B$3:$B$6,0)),"")</f>
        <v>🔴 Molto Alta</v>
      </c>
      <c r="AH405" t="str">
        <f t="shared" si="59"/>
        <v/>
      </c>
      <c r="AI405" t="str">
        <f>IFERROR(IF($AH405="","",IF($AH405&gt;=$AA405*'Parametri Modello'!$B$68,"🟢 Opportunita'",IF($AH405&lt;=$AA405*'Parametri Modello'!$B$69,"🔴 Sovrapprezzo","🟡 Prezzo Corretto"))),"")</f>
        <v/>
      </c>
      <c r="AJ405" t="str">
        <f t="shared" si="60"/>
        <v/>
      </c>
      <c r="AK405" t="str">
        <f t="shared" si="61"/>
        <v/>
      </c>
      <c r="AL405" t="str">
        <f t="shared" si="62"/>
        <v/>
      </c>
    </row>
    <row r="406" spans="1:38" ht="14.25" customHeight="1" x14ac:dyDescent="0.25">
      <c r="A406" s="18">
        <v>327</v>
      </c>
      <c r="B406" s="18" t="s">
        <v>88</v>
      </c>
      <c r="C406" s="18" t="s">
        <v>249</v>
      </c>
      <c r="E406" s="23" t="str">
        <f>IF(COUNTIF('Info Strategia'!$D$2:$D$51,$C406)&gt;0,"SI","NO")</f>
        <v>NO</v>
      </c>
      <c r="F406" s="24">
        <f>IFERROR(ROUND(($G406+($H406-$G406)*'Info Strategia'!$B$6)*(1+IF($E406="SI",'Parametri Modello'!$B$7*'Info Strategia'!$B$6,0)),0),"")</f>
        <v>1</v>
      </c>
      <c r="G406" s="24">
        <f>IFERROR(ROUND(MAX(1,(IF($V406&lt;=INDEX('Parametri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H406" s="24">
        <f>IFERROR(ROUND((IF($V406&lt;=INDEX('Parametri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I406" s="23">
        <f>IFERROR(INDEX('Input Statistiche 2025_26'!$F$3:$F$665,MATCH($A406,'Input Statistiche 2025_26'!$A$3:$A$665,0)),"")</f>
        <v>10</v>
      </c>
      <c r="J406" s="23">
        <f t="shared" si="54"/>
        <v>28</v>
      </c>
      <c r="K406" s="23">
        <f>IFERROR(INDEX('Input Statistiche 2025_26'!$I$3:$I$665,MATCH($A406,'Input Statistiche 2025_26'!$A$3:$A$665,0)),"")</f>
        <v>0</v>
      </c>
      <c r="L406" s="23">
        <f>IFERROR(INDEX('Input Statistiche 2025_26'!$O$3:$O$665,MATCH($A406,'Input Statistiche 2025_26'!$A$3:$A$665,0)),"")</f>
        <v>0</v>
      </c>
      <c r="M406" s="25"/>
      <c r="N406" s="24">
        <f>IFERROR(INDEX('Input Giocatori 2026_27'!$E$3:$E$493,MATCH($A406,'Input Giocatori 2026_27'!$A$3:$A$493,0)),"")</f>
        <v>1</v>
      </c>
      <c r="O406" s="24">
        <f>IFERROR(INDEX('Input Giocatori 2026_27'!$G$3:$G$493,MATCH($A406,'Input Giocatori 2026_27'!$A$3:$A$493,0)),"")</f>
        <v>4</v>
      </c>
      <c r="P406" s="23" t="str">
        <f>IFERROR(IF($O406="","",IF((1-(COUNTIFS($B$2:$B$492,$B406,$O$2:$O$492,"&gt;"&amp;$O406)+1-1)/COUNTIF($B$2:$B$492,$B406))&gt;='Parametri Modello'!$B$63,"Top",IF((1-(COUNTIFS($B$2:$B$492,$B406,$O$2:$O$492,"&gt;"&amp;$O406)+1-1)/COUNTIF($B$2:$B$492,$B406))&gt;='Parametri Modello'!$B$64,"Buono",IF((1-(COUNTIFS($B$2:$B$492,$B406,$O$2:$O$492,"&gt;"&amp;$O406)+1-1)/COUNTIF($B$2:$B$492,$B406))&gt;='Parametri Modello'!$B$65,"Nella Media","Scommessa/Riserva")))),"")</f>
        <v>Scommessa/Riserva</v>
      </c>
      <c r="Q406" s="26" t="str">
        <f>IF(AND($D406="",$N406&gt;1),SUMPRODUCT(($D$2:$D406="")*($N$2:$N406&gt;1)),"")</f>
        <v/>
      </c>
      <c r="R406" s="26" t="str">
        <f>IF($D406='Info Lega'!$B$28,COUNTIFS($D$2:$D406,'Info Lega'!$B$28),"")</f>
        <v/>
      </c>
      <c r="S406" s="27">
        <f>IFERROR(INDEX('Input Statistiche 2025_26'!$G$3:$G$665,MATCH($A406,'Input Statistiche 2025_26'!$A$3:$A$665,0)),"")</f>
        <v>5.85</v>
      </c>
      <c r="T406" s="27">
        <f>IFERROR(INDEX('Input Statistiche 2025_26'!$H$3:$H$665,MATCH($A406,'Input Statistiche 2025_26'!$A$3:$A$665,0)),"")</f>
        <v>5.75</v>
      </c>
      <c r="U406" s="23" t="str">
        <f>IF(OR('La Mia Rosa'!$O$12="",$D406&lt;&gt;""),"",IF($F406&lt;='La Mia Rosa'!$O$12*'Parametri Modello'!$B$24,"OK",IF($F406&lt;='La Mia Rosa'!$O$12*'Parametri Modello'!$B$25,"Attenzione","Rischio Alto")))</f>
        <v>OK</v>
      </c>
      <c r="V406" s="23">
        <f t="shared" si="55"/>
        <v>145</v>
      </c>
      <c r="W406" s="18">
        <f>'Info Lega'!$B$4-SUMIFS($M$2:$M$492,$D$2:$D$492,'Info Lega'!$B$28)</f>
        <v>1000</v>
      </c>
      <c r="X406" s="18">
        <f>('Info Lega'!$B$5-COUNTIFS($D$2:$D$492,'Info Lega'!$B$28,$B$2:$B$492,"P"))+('Info Lega'!$B$6-COUNTIFS($D$2:$D$492,'Info Lega'!$B$28,$B$2:$B$492,"D"))+('Info Lega'!$B$7-COUNTIFS($D$2:$D$492,'Info Lega'!$B$28,$B$2:$B$492,"C"))+('Info Lega'!$B$8-COUNTIFS($D$2:$D$492,'Info Lega'!$B$28,$B$2:$B$492,"A"))</f>
        <v>25</v>
      </c>
      <c r="Y406" s="18">
        <f>X406*'Parametri Modello'!$B$30</f>
        <v>25</v>
      </c>
      <c r="Z406" s="18">
        <f t="shared" si="56"/>
        <v>975</v>
      </c>
      <c r="AA406" s="18">
        <f t="shared" si="57"/>
        <v>1</v>
      </c>
      <c r="AB406" s="18"/>
      <c r="AC406" s="18" t="str">
        <f>IF($AB406="","",IF($AB406&gt;$AA406,"PASS",IF($AB406&lt;=$AA406*(1-'Parametri Modello'!$B$68),"BID","ATTENZIONE")))</f>
        <v/>
      </c>
      <c r="AD406" s="28">
        <f t="shared" si="58"/>
        <v>28</v>
      </c>
      <c r="AE406" s="5" t="str">
        <f>IFERROR(IF($AF406="Titolare",INDEX('Stato Asta'!$G$9:$G$12,MATCH($B406,'Stato Asta'!$A$9:$A$12,0)),INDEX('Stato Asta'!$P$9:$P$12,MATCH($B406,'Stato Asta'!$A$9:$A$12,0))),"")</f>
        <v>🟢 Riserve abbondanti</v>
      </c>
      <c r="AF406" t="str">
        <f>IFERROR(IF($V406&lt;=INDEX('Parametri Modello'!$C$57:$C$60,MATCH($B406,'Parametri Modello'!$A$57:$A$60,0)),"Titolare","Riserva"),"")</f>
        <v>Riserva</v>
      </c>
      <c r="AG406" t="str">
        <f>IFERROR(INDEX('Pressione Competitiva'!$F$3:$F$6,MATCH($B406,'Pressione Competitiva'!$B$3:$B$6,0)),"")</f>
        <v>🔴 Molto Alta</v>
      </c>
      <c r="AH406" t="str">
        <f t="shared" si="59"/>
        <v/>
      </c>
      <c r="AI406" t="str">
        <f>IFERROR(IF($AH406="","",IF($AH406&gt;=$AA406*'Parametri Modello'!$B$68,"🟢 Opportunita'",IF($AH406&lt;=$AA406*'Parametri Modello'!$B$69,"🔴 Sovrapprezzo","🟡 Prezzo Corretto"))),"")</f>
        <v/>
      </c>
      <c r="AJ406" t="str">
        <f t="shared" si="60"/>
        <v/>
      </c>
      <c r="AK406" t="str">
        <f t="shared" si="61"/>
        <v/>
      </c>
      <c r="AL406" t="str">
        <f t="shared" si="62"/>
        <v/>
      </c>
    </row>
    <row r="407" spans="1:38" ht="14.25" customHeight="1" x14ac:dyDescent="0.25">
      <c r="A407" s="18">
        <v>7182</v>
      </c>
      <c r="B407" s="18" t="s">
        <v>88</v>
      </c>
      <c r="C407" s="18" t="s">
        <v>251</v>
      </c>
      <c r="E407" s="23" t="str">
        <f>IF(COUNTIF('Info Strategia'!$D$2:$D$51,$C407)&gt;0,"SI","NO")</f>
        <v>NO</v>
      </c>
      <c r="F407" s="24">
        <f>IFERROR(ROUND(($G407+($H407-$G407)*'Info Strategia'!$B$6)*(1+IF($E407="SI",'Parametri Modello'!$B$7*'Info Strategia'!$B$6,0)),0),"")</f>
        <v>1</v>
      </c>
      <c r="G407" s="24">
        <f>IFERROR(ROUND(MAX(1,(IF($V407&lt;=INDEX('Parametri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H407" s="24">
        <f>IFERROR(ROUND((IF($V407&lt;=INDEX('Parametri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I407" s="23">
        <f>IFERROR(INDEX('Input Statistiche 2025_26'!$F$3:$F$665,MATCH($A407,'Input Statistiche 2025_26'!$A$3:$A$665,0)),"")</f>
        <v>9</v>
      </c>
      <c r="J407" s="23">
        <f t="shared" si="54"/>
        <v>29</v>
      </c>
      <c r="K407" s="23">
        <f>IFERROR(INDEX('Input Statistiche 2025_26'!$I$3:$I$665,MATCH($A407,'Input Statistiche 2025_26'!$A$3:$A$665,0)),"")</f>
        <v>0</v>
      </c>
      <c r="L407" s="23">
        <f>IFERROR(INDEX('Input Statistiche 2025_26'!$O$3:$O$665,MATCH($A407,'Input Statistiche 2025_26'!$A$3:$A$665,0)),"")</f>
        <v>0</v>
      </c>
      <c r="M407" s="25"/>
      <c r="N407" s="24">
        <f>IFERROR(INDEX('Input Giocatori 2026_27'!$E$3:$E$493,MATCH($A407,'Input Giocatori 2026_27'!$A$3:$A$493,0)),"")</f>
        <v>1</v>
      </c>
      <c r="O407" s="24">
        <f>IFERROR(INDEX('Input Giocatori 2026_27'!$G$3:$G$493,MATCH($A407,'Input Giocatori 2026_27'!$A$3:$A$493,0)),"")</f>
        <v>4</v>
      </c>
      <c r="P407" s="23" t="str">
        <f>IFERROR(IF($O407="","",IF((1-(COUNTIFS($B$2:$B$492,$B407,$O$2:$O$492,"&gt;"&amp;$O407)+1-1)/COUNTIF($B$2:$B$492,$B407))&gt;='Parametri Modello'!$B$63,"Top",IF((1-(COUNTIFS($B$2:$B$492,$B407,$O$2:$O$492,"&gt;"&amp;$O407)+1-1)/COUNTIF($B$2:$B$492,$B407))&gt;='Parametri Modello'!$B$64,"Buono",IF((1-(COUNTIFS($B$2:$B$492,$B407,$O$2:$O$492,"&gt;"&amp;$O407)+1-1)/COUNTIF($B$2:$B$492,$B407))&gt;='Parametri Modello'!$B$65,"Nella Media","Scommessa/Riserva")))),"")</f>
        <v>Scommessa/Riserva</v>
      </c>
      <c r="Q407" s="26" t="str">
        <f>IF(AND($D407="",$N407&gt;1),SUMPRODUCT(($D$2:$D407="")*($N$2:$N407&gt;1)),"")</f>
        <v/>
      </c>
      <c r="R407" s="26" t="str">
        <f>IF($D407='Info Lega'!$B$28,COUNTIFS($D$2:$D407,'Info Lega'!$B$28),"")</f>
        <v/>
      </c>
      <c r="S407" s="27">
        <f>IFERROR(INDEX('Input Statistiche 2025_26'!$G$3:$G$665,MATCH($A407,'Input Statistiche 2025_26'!$A$3:$A$665,0)),"")</f>
        <v>5.5</v>
      </c>
      <c r="T407" s="27">
        <f>IFERROR(INDEX('Input Statistiche 2025_26'!$H$3:$H$665,MATCH($A407,'Input Statistiche 2025_26'!$A$3:$A$665,0)),"")</f>
        <v>5.5</v>
      </c>
      <c r="U407" s="23" t="str">
        <f>IF(OR('La Mia Rosa'!$O$12="",$D407&lt;&gt;""),"",IF($F407&lt;='La Mia Rosa'!$O$12*'Parametri Modello'!$B$24,"OK",IF($F407&lt;='La Mia Rosa'!$O$12*'Parametri Modello'!$B$25,"Attenzione","Rischio Alto")))</f>
        <v>OK</v>
      </c>
      <c r="V407" s="23">
        <f t="shared" si="55"/>
        <v>145</v>
      </c>
      <c r="W407" s="18">
        <f>'Info Lega'!$B$4-SUMIFS($M$2:$M$492,$D$2:$D$492,'Info Lega'!$B$28)</f>
        <v>1000</v>
      </c>
      <c r="X407" s="18">
        <f>('Info Lega'!$B$5-COUNTIFS($D$2:$D$492,'Info Lega'!$B$28,$B$2:$B$492,"P"))+('Info Lega'!$B$6-COUNTIFS($D$2:$D$492,'Info Lega'!$B$28,$B$2:$B$492,"D"))+('Info Lega'!$B$7-COUNTIFS($D$2:$D$492,'Info Lega'!$B$28,$B$2:$B$492,"C"))+('Info Lega'!$B$8-COUNTIFS($D$2:$D$492,'Info Lega'!$B$28,$B$2:$B$492,"A"))</f>
        <v>25</v>
      </c>
      <c r="Y407" s="18">
        <f>X407*'Parametri Modello'!$B$30</f>
        <v>25</v>
      </c>
      <c r="Z407" s="18">
        <f t="shared" si="56"/>
        <v>975</v>
      </c>
      <c r="AA407" s="18">
        <f t="shared" si="57"/>
        <v>1</v>
      </c>
      <c r="AB407" s="18"/>
      <c r="AC407" s="18" t="str">
        <f>IF($AB407="","",IF($AB407&gt;$AA407,"PASS",IF($AB407&lt;=$AA407*(1-'Parametri Modello'!$B$68),"BID","ATTENZIONE")))</f>
        <v/>
      </c>
      <c r="AD407" s="28">
        <f t="shared" si="58"/>
        <v>26</v>
      </c>
      <c r="AE407" s="5" t="str">
        <f>IFERROR(IF($AF407="Titolare",INDEX('Stato Asta'!$G$9:$G$12,MATCH($B407,'Stato Asta'!$A$9:$A$12,0)),INDEX('Stato Asta'!$P$9:$P$12,MATCH($B407,'Stato Asta'!$A$9:$A$12,0))),"")</f>
        <v>🟢 Riserve abbondanti</v>
      </c>
      <c r="AF407" t="str">
        <f>IFERROR(IF($V407&lt;=INDEX('Parametri Modello'!$C$57:$C$60,MATCH($B407,'Parametri Modello'!$A$57:$A$60,0)),"Titolare","Riserva"),"")</f>
        <v>Riserva</v>
      </c>
      <c r="AG407" t="str">
        <f>IFERROR(INDEX('Pressione Competitiva'!$F$3:$F$6,MATCH($B407,'Pressione Competitiva'!$B$3:$B$6,0)),"")</f>
        <v>🔴 Molto Alta</v>
      </c>
      <c r="AH407" t="str">
        <f t="shared" si="59"/>
        <v/>
      </c>
      <c r="AI407" t="str">
        <f>IFERROR(IF($AH407="","",IF($AH407&gt;=$AA407*'Parametri Modello'!$B$68,"🟢 Opportunita'",IF($AH407&lt;=$AA407*'Parametri Modello'!$B$69,"🔴 Sovrapprezzo","🟡 Prezzo Corretto"))),"")</f>
        <v/>
      </c>
      <c r="AJ407" t="str">
        <f t="shared" si="60"/>
        <v/>
      </c>
      <c r="AK407" t="str">
        <f t="shared" si="61"/>
        <v/>
      </c>
      <c r="AL407" t="str">
        <f t="shared" si="62"/>
        <v/>
      </c>
    </row>
    <row r="408" spans="1:38" ht="14.25" customHeight="1" x14ac:dyDescent="0.25">
      <c r="A408" s="18">
        <v>7476</v>
      </c>
      <c r="B408" s="18" t="s">
        <v>88</v>
      </c>
      <c r="C408" s="18" t="s">
        <v>253</v>
      </c>
      <c r="E408" s="23" t="str">
        <f>IF(COUNTIF('Info Strategia'!$D$2:$D$51,$C408)&gt;0,"SI","NO")</f>
        <v>NO</v>
      </c>
      <c r="F408" s="24">
        <f>IFERROR(ROUND(($G408+($H408-$G408)*'Info Strategia'!$B$6)*(1+IF($E408="SI",'Parametri Modello'!$B$7*'Info Strategia'!$B$6,0)),0),"")</f>
        <v>1</v>
      </c>
      <c r="G408" s="24">
        <f>IFERROR(ROUND(MAX(1,(IF($V408&lt;=INDEX('Parametri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H408" s="24">
        <f>IFERROR(ROUND((IF($V408&lt;=INDEX('Parametri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I408" s="23" t="str">
        <f>IFERROR(INDEX('Input Statistiche 2025_26'!$F$3:$F$665,MATCH($A408,'Input Statistiche 2025_26'!$A$3:$A$665,0)),"")</f>
        <v/>
      </c>
      <c r="J408" s="23" t="str">
        <f t="shared" si="54"/>
        <v/>
      </c>
      <c r="K408" s="23" t="str">
        <f>IFERROR(INDEX('Input Statistiche 2025_26'!$I$3:$I$665,MATCH($A408,'Input Statistiche 2025_26'!$A$3:$A$665,0)),"")</f>
        <v/>
      </c>
      <c r="L408" s="23" t="str">
        <f>IFERROR(INDEX('Input Statistiche 2025_26'!$O$3:$O$665,MATCH($A408,'Input Statistiche 2025_26'!$A$3:$A$665,0)),"")</f>
        <v/>
      </c>
      <c r="M408" s="25"/>
      <c r="N408" s="24">
        <f>IFERROR(INDEX('Input Giocatori 2026_27'!$E$3:$E$493,MATCH($A408,'Input Giocatori 2026_27'!$A$3:$A$493,0)),"")</f>
        <v>1</v>
      </c>
      <c r="O408" s="24">
        <f>IFERROR(INDEX('Input Giocatori 2026_27'!$G$3:$G$493,MATCH($A408,'Input Giocatori 2026_27'!$A$3:$A$493,0)),"")</f>
        <v>4</v>
      </c>
      <c r="P408" s="23" t="str">
        <f>IFERROR(IF($O408="","",IF((1-(COUNTIFS($B$2:$B$492,$B408,$O$2:$O$492,"&gt;"&amp;$O408)+1-1)/COUNTIF($B$2:$B$492,$B408))&gt;='Parametri Modello'!$B$63,"Top",IF((1-(COUNTIFS($B$2:$B$492,$B408,$O$2:$O$492,"&gt;"&amp;$O408)+1-1)/COUNTIF($B$2:$B$492,$B408))&gt;='Parametri Modello'!$B$64,"Buono",IF((1-(COUNTIFS($B$2:$B$492,$B408,$O$2:$O$492,"&gt;"&amp;$O408)+1-1)/COUNTIF($B$2:$B$492,$B408))&gt;='Parametri Modello'!$B$65,"Nella Media","Scommessa/Riserva")))),"")</f>
        <v>Scommessa/Riserva</v>
      </c>
      <c r="Q408" s="26" t="str">
        <f>IF(AND($D408="",$N408&gt;1),SUMPRODUCT(($D$2:$D408="")*($N$2:$N408&gt;1)),"")</f>
        <v/>
      </c>
      <c r="R408" s="26" t="str">
        <f>IF($D408='Info Lega'!$B$28,COUNTIFS($D$2:$D408,'Info Lega'!$B$28),"")</f>
        <v/>
      </c>
      <c r="S408" s="27" t="str">
        <f>IFERROR(INDEX('Input Statistiche 2025_26'!$G$3:$G$665,MATCH($A408,'Input Statistiche 2025_26'!$A$3:$A$665,0)),"")</f>
        <v/>
      </c>
      <c r="T408" s="27" t="str">
        <f>IFERROR(INDEX('Input Statistiche 2025_26'!$H$3:$H$665,MATCH($A408,'Input Statistiche 2025_26'!$A$3:$A$665,0)),"")</f>
        <v/>
      </c>
      <c r="U408" s="23" t="str">
        <f>IF(OR('La Mia Rosa'!$O$12="",$D408&lt;&gt;""),"",IF($F408&lt;='La Mia Rosa'!$O$12*'Parametri Modello'!$B$24,"OK",IF($F408&lt;='La Mia Rosa'!$O$12*'Parametri Modello'!$B$25,"Attenzione","Rischio Alto")))</f>
        <v>OK</v>
      </c>
      <c r="V408" s="23">
        <f t="shared" si="55"/>
        <v>145</v>
      </c>
      <c r="W408" s="18">
        <f>'Info Lega'!$B$4-SUMIFS($M$2:$M$492,$D$2:$D$492,'Info Lega'!$B$28)</f>
        <v>1000</v>
      </c>
      <c r="X408" s="18">
        <f>('Info Lega'!$B$5-COUNTIFS($D$2:$D$492,'Info Lega'!$B$28,$B$2:$B$492,"P"))+('Info Lega'!$B$6-COUNTIFS($D$2:$D$492,'Info Lega'!$B$28,$B$2:$B$492,"D"))+('Info Lega'!$B$7-COUNTIFS($D$2:$D$492,'Info Lega'!$B$28,$B$2:$B$492,"C"))+('Info Lega'!$B$8-COUNTIFS($D$2:$D$492,'Info Lega'!$B$28,$B$2:$B$492,"A"))</f>
        <v>25</v>
      </c>
      <c r="Y408" s="18">
        <f>X408*'Parametri Modello'!$B$30</f>
        <v>25</v>
      </c>
      <c r="Z408" s="18">
        <f t="shared" si="56"/>
        <v>975</v>
      </c>
      <c r="AA408" s="18">
        <f t="shared" si="57"/>
        <v>1</v>
      </c>
      <c r="AB408" s="18"/>
      <c r="AC408" s="18" t="str">
        <f>IF($AB408="","",IF($AB408&gt;$AA408,"PASS",IF($AB408&lt;=$AA408*(1-'Parametri Modello'!$B$68),"BID","ATTENZIONE")))</f>
        <v/>
      </c>
      <c r="AD408" s="28" t="str">
        <f t="shared" si="58"/>
        <v/>
      </c>
      <c r="AE408" s="5" t="str">
        <f>IFERROR(IF($AF408="Titolare",INDEX('Stato Asta'!$G$9:$G$12,MATCH($B408,'Stato Asta'!$A$9:$A$12,0)),INDEX('Stato Asta'!$P$9:$P$12,MATCH($B408,'Stato Asta'!$A$9:$A$12,0))),"")</f>
        <v>🟢 Riserve abbondanti</v>
      </c>
      <c r="AF408" t="str">
        <f>IFERROR(IF($V408&lt;=INDEX('Parametri Modello'!$C$57:$C$60,MATCH($B408,'Parametri Modello'!$A$57:$A$60,0)),"Titolare","Riserva"),"")</f>
        <v>Riserva</v>
      </c>
      <c r="AG408" t="str">
        <f>IFERROR(INDEX('Pressione Competitiva'!$F$3:$F$6,MATCH($B408,'Pressione Competitiva'!$B$3:$B$6,0)),"")</f>
        <v>🔴 Molto Alta</v>
      </c>
      <c r="AH408" t="str">
        <f t="shared" si="59"/>
        <v/>
      </c>
      <c r="AI408" t="str">
        <f>IFERROR(IF($AH408="","",IF($AH408&gt;=$AA408*'Parametri Modello'!$B$68,"🟢 Opportunita'",IF($AH408&lt;=$AA408*'Parametri Modello'!$B$69,"🔴 Sovrapprezzo","🟡 Prezzo Corretto"))),"")</f>
        <v/>
      </c>
      <c r="AJ408" t="str">
        <f t="shared" si="60"/>
        <v/>
      </c>
      <c r="AK408" t="str">
        <f t="shared" si="61"/>
        <v/>
      </c>
      <c r="AL408" t="str">
        <f t="shared" si="62"/>
        <v/>
      </c>
    </row>
    <row r="409" spans="1:38" ht="14.25" customHeight="1" x14ac:dyDescent="0.25">
      <c r="A409" s="18">
        <v>7202</v>
      </c>
      <c r="B409" s="18" t="s">
        <v>88</v>
      </c>
      <c r="C409" s="18" t="s">
        <v>256</v>
      </c>
      <c r="E409" s="23" t="str">
        <f>IF(COUNTIF('Info Strategia'!$D$2:$D$51,$C409)&gt;0,"SI","NO")</f>
        <v>NO</v>
      </c>
      <c r="F409" s="24">
        <f>IFERROR(ROUND(($G409+($H409-$G409)*'Info Strategia'!$B$6)*(1+IF($E409="SI",'Parametri Modello'!$B$7*'Info Strategia'!$B$6,0)),0),"")</f>
        <v>1</v>
      </c>
      <c r="G409" s="24">
        <f>IFERROR(ROUND(MAX(1,(IF($V409&lt;=INDEX('Parametri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H409" s="24">
        <f>IFERROR(ROUND((IF($V409&lt;=INDEX('Parametri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I409" s="23">
        <f>IFERROR(INDEX('Input Statistiche 2025_26'!$F$3:$F$665,MATCH($A409,'Input Statistiche 2025_26'!$A$3:$A$665,0)),"")</f>
        <v>11</v>
      </c>
      <c r="J409" s="23">
        <f t="shared" si="54"/>
        <v>27</v>
      </c>
      <c r="K409" s="23">
        <f>IFERROR(INDEX('Input Statistiche 2025_26'!$I$3:$I$665,MATCH($A409,'Input Statistiche 2025_26'!$A$3:$A$665,0)),"")</f>
        <v>0</v>
      </c>
      <c r="L409" s="23">
        <f>IFERROR(INDEX('Input Statistiche 2025_26'!$O$3:$O$665,MATCH($A409,'Input Statistiche 2025_26'!$A$3:$A$665,0)),"")</f>
        <v>0</v>
      </c>
      <c r="M409" s="25"/>
      <c r="N409" s="24">
        <f>IFERROR(INDEX('Input Giocatori 2026_27'!$E$3:$E$493,MATCH($A409,'Input Giocatori 2026_27'!$A$3:$A$493,0)),"")</f>
        <v>1</v>
      </c>
      <c r="O409" s="24">
        <f>IFERROR(INDEX('Input Giocatori 2026_27'!$G$3:$G$493,MATCH($A409,'Input Giocatori 2026_27'!$A$3:$A$493,0)),"")</f>
        <v>4</v>
      </c>
      <c r="P409" s="23" t="str">
        <f>IFERROR(IF($O409="","",IF((1-(COUNTIFS($B$2:$B$492,$B409,$O$2:$O$492,"&gt;"&amp;$O409)+1-1)/COUNTIF($B$2:$B$492,$B409))&gt;='Parametri Modello'!$B$63,"Top",IF((1-(COUNTIFS($B$2:$B$492,$B409,$O$2:$O$492,"&gt;"&amp;$O409)+1-1)/COUNTIF($B$2:$B$492,$B409))&gt;='Parametri Modello'!$B$64,"Buono",IF((1-(COUNTIFS($B$2:$B$492,$B409,$O$2:$O$492,"&gt;"&amp;$O409)+1-1)/COUNTIF($B$2:$B$492,$B409))&gt;='Parametri Modello'!$B$65,"Nella Media","Scommessa/Riserva")))),"")</f>
        <v>Scommessa/Riserva</v>
      </c>
      <c r="Q409" s="26" t="str">
        <f>IF(AND($D409="",$N409&gt;1),SUMPRODUCT(($D$2:$D409="")*($N$2:$N409&gt;1)),"")</f>
        <v/>
      </c>
      <c r="R409" s="26" t="str">
        <f>IF($D409='Info Lega'!$B$28,COUNTIFS($D$2:$D409,'Info Lega'!$B$28),"")</f>
        <v/>
      </c>
      <c r="S409" s="27">
        <f>IFERROR(INDEX('Input Statistiche 2025_26'!$G$3:$G$665,MATCH($A409,'Input Statistiche 2025_26'!$A$3:$A$665,0)),"")</f>
        <v>5.59</v>
      </c>
      <c r="T409" s="27">
        <f>IFERROR(INDEX('Input Statistiche 2025_26'!$H$3:$H$665,MATCH($A409,'Input Statistiche 2025_26'!$A$3:$A$665,0)),"")</f>
        <v>5.36</v>
      </c>
      <c r="U409" s="23" t="str">
        <f>IF(OR('La Mia Rosa'!$O$12="",$D409&lt;&gt;""),"",IF($F409&lt;='La Mia Rosa'!$O$12*'Parametri Modello'!$B$24,"OK",IF($F409&lt;='La Mia Rosa'!$O$12*'Parametri Modello'!$B$25,"Attenzione","Rischio Alto")))</f>
        <v>OK</v>
      </c>
      <c r="V409" s="23">
        <f t="shared" si="55"/>
        <v>145</v>
      </c>
      <c r="W409" s="18">
        <f>'Info Lega'!$B$4-SUMIFS($M$2:$M$492,$D$2:$D$492,'Info Lega'!$B$28)</f>
        <v>1000</v>
      </c>
      <c r="X409" s="18">
        <f>('Info Lega'!$B$5-COUNTIFS($D$2:$D$492,'Info Lega'!$B$28,$B$2:$B$492,"P"))+('Info Lega'!$B$6-COUNTIFS($D$2:$D$492,'Info Lega'!$B$28,$B$2:$B$492,"D"))+('Info Lega'!$B$7-COUNTIFS($D$2:$D$492,'Info Lega'!$B$28,$B$2:$B$492,"C"))+('Info Lega'!$B$8-COUNTIFS($D$2:$D$492,'Info Lega'!$B$28,$B$2:$B$492,"A"))</f>
        <v>25</v>
      </c>
      <c r="Y409" s="18">
        <f>X409*'Parametri Modello'!$B$30</f>
        <v>25</v>
      </c>
      <c r="Z409" s="18">
        <f t="shared" si="56"/>
        <v>975</v>
      </c>
      <c r="AA409" s="18">
        <f t="shared" si="57"/>
        <v>1</v>
      </c>
      <c r="AB409" s="18"/>
      <c r="AC409" s="18" t="str">
        <f>IF($AB409="","",IF($AB409&gt;$AA409,"PASS",IF($AB409&lt;=$AA409*(1-'Parametri Modello'!$B$68),"BID","ATTENZIONE")))</f>
        <v/>
      </c>
      <c r="AD409" s="28">
        <f t="shared" si="58"/>
        <v>31</v>
      </c>
      <c r="AE409" s="5" t="str">
        <f>IFERROR(IF($AF409="Titolare",INDEX('Stato Asta'!$G$9:$G$12,MATCH($B409,'Stato Asta'!$A$9:$A$12,0)),INDEX('Stato Asta'!$P$9:$P$12,MATCH($B409,'Stato Asta'!$A$9:$A$12,0))),"")</f>
        <v>🟢 Riserve abbondanti</v>
      </c>
      <c r="AF409" t="str">
        <f>IFERROR(IF($V409&lt;=INDEX('Parametri Modello'!$C$57:$C$60,MATCH($B409,'Parametri Modello'!$A$57:$A$60,0)),"Titolare","Riserva"),"")</f>
        <v>Riserva</v>
      </c>
      <c r="AG409" t="str">
        <f>IFERROR(INDEX('Pressione Competitiva'!$F$3:$F$6,MATCH($B409,'Pressione Competitiva'!$B$3:$B$6,0)),"")</f>
        <v>🔴 Molto Alta</v>
      </c>
      <c r="AH409" t="str">
        <f t="shared" si="59"/>
        <v/>
      </c>
      <c r="AI409" t="str">
        <f>IFERROR(IF($AH409="","",IF($AH409&gt;=$AA409*'Parametri Modello'!$B$68,"🟢 Opportunita'",IF($AH409&lt;=$AA409*'Parametri Modello'!$B$69,"🔴 Sovrapprezzo","🟡 Prezzo Corretto"))),"")</f>
        <v/>
      </c>
      <c r="AJ409" t="str">
        <f t="shared" si="60"/>
        <v/>
      </c>
      <c r="AK409" t="str">
        <f t="shared" si="61"/>
        <v/>
      </c>
      <c r="AL409" t="str">
        <f t="shared" si="62"/>
        <v/>
      </c>
    </row>
    <row r="410" spans="1:38" ht="14.25" customHeight="1" x14ac:dyDescent="0.25">
      <c r="A410" s="18">
        <v>6225</v>
      </c>
      <c r="B410" s="18" t="s">
        <v>264</v>
      </c>
      <c r="C410" s="18" t="s">
        <v>407</v>
      </c>
      <c r="E410" s="23" t="str">
        <f>IF(COUNTIF('Info Strategia'!$D$2:$D$51,$C410)&gt;0,"SI","NO")</f>
        <v>NO</v>
      </c>
      <c r="F410" s="24">
        <f>IFERROR(ROUND(($G410+($H410-$G410)*'Info Strategia'!$B$6)*(1+IF($E410="SI",'Parametri Modello'!$B$7*'Info Strategia'!$B$6,0)),0),"")</f>
        <v>1</v>
      </c>
      <c r="G410" s="24">
        <f>IFERROR(ROUND(MAX(1,(IF($V410&lt;=INDEX('Parametri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H410" s="24">
        <f>IFERROR(ROUND((IF($V410&lt;=INDEX('Parametri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I410" s="23">
        <f>IFERROR(INDEX('Input Statistiche 2025_26'!$F$3:$F$665,MATCH($A410,'Input Statistiche 2025_26'!$A$3:$A$665,0)),"")</f>
        <v>0</v>
      </c>
      <c r="J410" s="23">
        <f t="shared" si="54"/>
        <v>38</v>
      </c>
      <c r="K410" s="23">
        <f>IFERROR(INDEX('Input Statistiche 2025_26'!$I$3:$I$665,MATCH($A410,'Input Statistiche 2025_26'!$A$3:$A$665,0)),"")</f>
        <v>0</v>
      </c>
      <c r="L410" s="23">
        <f>IFERROR(INDEX('Input Statistiche 2025_26'!$O$3:$O$665,MATCH($A410,'Input Statistiche 2025_26'!$A$3:$A$665,0)),"")</f>
        <v>0</v>
      </c>
      <c r="M410" s="25"/>
      <c r="N410" s="24">
        <f>IFERROR(INDEX('Input Giocatori 2026_27'!$E$3:$E$493,MATCH($A410,'Input Giocatori 2026_27'!$A$3:$A$493,0)),"")</f>
        <v>2</v>
      </c>
      <c r="O410" s="24">
        <f>IFERROR(INDEX('Input Giocatori 2026_27'!$G$3:$G$493,MATCH($A410,'Input Giocatori 2026_27'!$A$3:$A$493,0)),"")</f>
        <v>4</v>
      </c>
      <c r="P410" s="23" t="str">
        <f>IFERROR(IF($O410="","",IF((1-(COUNTIFS($B$2:$B$492,$B410,$O$2:$O$492,"&gt;"&amp;$O410)+1-1)/COUNTIF($B$2:$B$492,$B410))&gt;='Parametri Modello'!$B$63,"Top",IF((1-(COUNTIFS($B$2:$B$492,$B410,$O$2:$O$492,"&gt;"&amp;$O410)+1-1)/COUNTIF($B$2:$B$492,$B410))&gt;='Parametri Modello'!$B$64,"Buono",IF((1-(COUNTIFS($B$2:$B$492,$B410,$O$2:$O$492,"&gt;"&amp;$O410)+1-1)/COUNTIF($B$2:$B$492,$B410))&gt;='Parametri Modello'!$B$65,"Nella Media","Scommessa/Riserva")))),"")</f>
        <v>Scommessa/Riserva</v>
      </c>
      <c r="Q410" s="26">
        <f>IF(AND($D410="",$N410&gt;1),SUMPRODUCT(($D$2:$D410="")*($N$2:$N410&gt;1)),"")</f>
        <v>399</v>
      </c>
      <c r="R410" s="26" t="str">
        <f>IF($D410='Info Lega'!$B$28,COUNTIFS($D$2:$D410,'Info Lega'!$B$28),"")</f>
        <v/>
      </c>
      <c r="S410" s="27">
        <f>IFERROR(INDEX('Input Statistiche 2025_26'!$G$3:$G$665,MATCH($A410,'Input Statistiche 2025_26'!$A$3:$A$665,0)),"")</f>
        <v>0</v>
      </c>
      <c r="T410" s="27">
        <f>IFERROR(INDEX('Input Statistiche 2025_26'!$H$3:$H$665,MATCH($A410,'Input Statistiche 2025_26'!$A$3:$A$665,0)),"")</f>
        <v>0</v>
      </c>
      <c r="U410" s="23" t="str">
        <f>IF(OR('La Mia Rosa'!$O$12="",$D410&lt;&gt;""),"",IF($F410&lt;='La Mia Rosa'!$O$12*'Parametri Modello'!$B$24,"OK",IF($F410&lt;='La Mia Rosa'!$O$12*'Parametri Modello'!$B$25,"Attenzione","Rischio Alto")))</f>
        <v>OK</v>
      </c>
      <c r="V410" s="23">
        <f t="shared" si="55"/>
        <v>154</v>
      </c>
      <c r="W410" s="18">
        <f>'Info Lega'!$B$4-SUMIFS($M$2:$M$492,$D$2:$D$492,'Info Lega'!$B$28)</f>
        <v>1000</v>
      </c>
      <c r="X410" s="18">
        <f>('Info Lega'!$B$5-COUNTIFS($D$2:$D$492,'Info Lega'!$B$28,$B$2:$B$492,"P"))+('Info Lega'!$B$6-COUNTIFS($D$2:$D$492,'Info Lega'!$B$28,$B$2:$B$492,"D"))+('Info Lega'!$B$7-COUNTIFS($D$2:$D$492,'Info Lega'!$B$28,$B$2:$B$492,"C"))+('Info Lega'!$B$8-COUNTIFS($D$2:$D$492,'Info Lega'!$B$28,$B$2:$B$492,"A"))</f>
        <v>25</v>
      </c>
      <c r="Y410" s="18">
        <f>X410*'Parametri Modello'!$B$30</f>
        <v>25</v>
      </c>
      <c r="Z410" s="18">
        <f t="shared" si="56"/>
        <v>975</v>
      </c>
      <c r="AA410" s="18">
        <f t="shared" si="57"/>
        <v>1</v>
      </c>
      <c r="AB410" s="18"/>
      <c r="AC410" s="18" t="str">
        <f>IF($AB410="","",IF($AB410&gt;$AA410,"PASS",IF($AB410&lt;=$AA410*(1-'Parametri Modello'!$B$68),"BID","ATTENZIONE")))</f>
        <v/>
      </c>
      <c r="AD410" s="28">
        <f t="shared" si="58"/>
        <v>0</v>
      </c>
      <c r="AE410" s="5" t="str">
        <f>IFERROR(IF($AF410="Titolare",INDEX('Stato Asta'!$G$9:$G$12,MATCH($B410,'Stato Asta'!$A$9:$A$12,0)),INDEX('Stato Asta'!$P$9:$P$12,MATCH($B410,'Stato Asta'!$A$9:$A$12,0))),"")</f>
        <v>🟢 Riserve abbondanti</v>
      </c>
      <c r="AF410" t="str">
        <f>IFERROR(IF($V410&lt;=INDEX('Parametri Modello'!$C$57:$C$60,MATCH($B410,'Parametri Modello'!$A$57:$A$60,0)),"Titolare","Riserva"),"")</f>
        <v>Riserva</v>
      </c>
      <c r="AG410" t="str">
        <f>IFERROR(INDEX('Pressione Competitiva'!$F$3:$F$6,MATCH($B410,'Pressione Competitiva'!$B$3:$B$6,0)),"")</f>
        <v>🔴 Molto Alta</v>
      </c>
      <c r="AH410" t="str">
        <f t="shared" si="59"/>
        <v/>
      </c>
      <c r="AI410" t="str">
        <f>IFERROR(IF($AH410="","",IF($AH410&gt;=$AA410*'Parametri Modello'!$B$68,"🟢 Opportunita'",IF($AH410&lt;=$AA410*'Parametri Modello'!$B$69,"🔴 Sovrapprezzo","🟡 Prezzo Corretto"))),"")</f>
        <v/>
      </c>
      <c r="AJ410" t="str">
        <f t="shared" si="60"/>
        <v/>
      </c>
      <c r="AK410">
        <f t="shared" si="61"/>
        <v>48</v>
      </c>
      <c r="AL410" t="str">
        <f t="shared" si="62"/>
        <v>C|Scommessa/Riserva|48</v>
      </c>
    </row>
    <row r="411" spans="1:38" ht="14.25" customHeight="1" x14ac:dyDescent="0.25">
      <c r="A411" s="18">
        <v>6917</v>
      </c>
      <c r="B411" s="18" t="s">
        <v>264</v>
      </c>
      <c r="C411" s="18" t="s">
        <v>410</v>
      </c>
      <c r="E411" s="23" t="str">
        <f>IF(COUNTIF('Info Strategia'!$D$2:$D$51,$C411)&gt;0,"SI","NO")</f>
        <v>NO</v>
      </c>
      <c r="F411" s="24">
        <f>IFERROR(ROUND(($G411+($H411-$G411)*'Info Strategia'!$B$6)*(1+IF($E411="SI",'Parametri Modello'!$B$7*'Info Strategia'!$B$6,0)),0),"")</f>
        <v>1</v>
      </c>
      <c r="G411" s="24">
        <f>IFERROR(ROUND(MAX(1,(IF($V411&lt;=INDEX('Parametri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H411" s="24">
        <f>IFERROR(ROUND((IF($V411&lt;=INDEX('Parametri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I411" s="23">
        <f>IFERROR(INDEX('Input Statistiche 2025_26'!$F$3:$F$665,MATCH($A411,'Input Statistiche 2025_26'!$A$3:$A$665,0)),"")</f>
        <v>21</v>
      </c>
      <c r="J411" s="23">
        <f t="shared" si="54"/>
        <v>17</v>
      </c>
      <c r="K411" s="23">
        <f>IFERROR(INDEX('Input Statistiche 2025_26'!$I$3:$I$665,MATCH($A411,'Input Statistiche 2025_26'!$A$3:$A$665,0)),"")</f>
        <v>0</v>
      </c>
      <c r="L411" s="23">
        <f>IFERROR(INDEX('Input Statistiche 2025_26'!$O$3:$O$665,MATCH($A411,'Input Statistiche 2025_26'!$A$3:$A$665,0)),"")</f>
        <v>1</v>
      </c>
      <c r="M411" s="25"/>
      <c r="N411" s="24">
        <f>IFERROR(INDEX('Input Giocatori 2026_27'!$E$3:$E$493,MATCH($A411,'Input Giocatori 2026_27'!$A$3:$A$493,0)),"")</f>
        <v>2</v>
      </c>
      <c r="O411" s="24">
        <f>IFERROR(INDEX('Input Giocatori 2026_27'!$G$3:$G$493,MATCH($A411,'Input Giocatori 2026_27'!$A$3:$A$493,0)),"")</f>
        <v>4</v>
      </c>
      <c r="P411" s="23" t="str">
        <f>IFERROR(IF($O411="","",IF((1-(COUNTIFS($B$2:$B$492,$B411,$O$2:$O$492,"&gt;"&amp;$O411)+1-1)/COUNTIF($B$2:$B$492,$B411))&gt;='Parametri Modello'!$B$63,"Top",IF((1-(COUNTIFS($B$2:$B$492,$B411,$O$2:$O$492,"&gt;"&amp;$O411)+1-1)/COUNTIF($B$2:$B$492,$B411))&gt;='Parametri Modello'!$B$64,"Buono",IF((1-(COUNTIFS($B$2:$B$492,$B411,$O$2:$O$492,"&gt;"&amp;$O411)+1-1)/COUNTIF($B$2:$B$492,$B411))&gt;='Parametri Modello'!$B$65,"Nella Media","Scommessa/Riserva")))),"")</f>
        <v>Scommessa/Riserva</v>
      </c>
      <c r="Q411" s="26">
        <f>IF(AND($D411="",$N411&gt;1),SUMPRODUCT(($D$2:$D411="")*($N$2:$N411&gt;1)),"")</f>
        <v>400</v>
      </c>
      <c r="R411" s="26" t="str">
        <f>IF($D411='Info Lega'!$B$28,COUNTIFS($D$2:$D411,'Info Lega'!$B$28),"")</f>
        <v/>
      </c>
      <c r="S411" s="27">
        <f>IFERROR(INDEX('Input Statistiche 2025_26'!$G$3:$G$665,MATCH($A411,'Input Statistiche 2025_26'!$A$3:$A$665,0)),"")</f>
        <v>5.98</v>
      </c>
      <c r="T411" s="27">
        <f>IFERROR(INDEX('Input Statistiche 2025_26'!$H$3:$H$665,MATCH($A411,'Input Statistiche 2025_26'!$A$3:$A$665,0)),"")</f>
        <v>5.9</v>
      </c>
      <c r="U411" s="23" t="str">
        <f>IF(OR('La Mia Rosa'!$O$12="",$D411&lt;&gt;""),"",IF($F411&lt;='La Mia Rosa'!$O$12*'Parametri Modello'!$B$24,"OK",IF($F411&lt;='La Mia Rosa'!$O$12*'Parametri Modello'!$B$25,"Attenzione","Rischio Alto")))</f>
        <v>OK</v>
      </c>
      <c r="V411" s="23">
        <f t="shared" si="55"/>
        <v>154</v>
      </c>
      <c r="W411" s="18">
        <f>'Info Lega'!$B$4-SUMIFS($M$2:$M$492,$D$2:$D$492,'Info Lega'!$B$28)</f>
        <v>1000</v>
      </c>
      <c r="X411" s="18">
        <f>('Info Lega'!$B$5-COUNTIFS($D$2:$D$492,'Info Lega'!$B$28,$B$2:$B$492,"P"))+('Info Lega'!$B$6-COUNTIFS($D$2:$D$492,'Info Lega'!$B$28,$B$2:$B$492,"D"))+('Info Lega'!$B$7-COUNTIFS($D$2:$D$492,'Info Lega'!$B$28,$B$2:$B$492,"C"))+('Info Lega'!$B$8-COUNTIFS($D$2:$D$492,'Info Lega'!$B$28,$B$2:$B$492,"A"))</f>
        <v>25</v>
      </c>
      <c r="Y411" s="18">
        <f>X411*'Parametri Modello'!$B$30</f>
        <v>25</v>
      </c>
      <c r="Z411" s="18">
        <f t="shared" si="56"/>
        <v>975</v>
      </c>
      <c r="AA411" s="18">
        <f t="shared" si="57"/>
        <v>1</v>
      </c>
      <c r="AB411" s="18"/>
      <c r="AC411" s="18" t="str">
        <f>IF($AB411="","",IF($AB411&gt;$AA411,"PASS",IF($AB411&lt;=$AA411*(1-'Parametri Modello'!$B$68),"BID","ATTENZIONE")))</f>
        <v/>
      </c>
      <c r="AD411" s="28">
        <f t="shared" si="58"/>
        <v>50</v>
      </c>
      <c r="AE411" s="5" t="str">
        <f>IFERROR(IF($AF411="Titolare",INDEX('Stato Asta'!$G$9:$G$12,MATCH($B411,'Stato Asta'!$A$9:$A$12,0)),INDEX('Stato Asta'!$P$9:$P$12,MATCH($B411,'Stato Asta'!$A$9:$A$12,0))),"")</f>
        <v>🟢 Riserve abbondanti</v>
      </c>
      <c r="AF411" t="str">
        <f>IFERROR(IF($V411&lt;=INDEX('Parametri Modello'!$C$57:$C$60,MATCH($B411,'Parametri Modello'!$A$57:$A$60,0)),"Titolare","Riserva"),"")</f>
        <v>Riserva</v>
      </c>
      <c r="AG411" t="str">
        <f>IFERROR(INDEX('Pressione Competitiva'!$F$3:$F$6,MATCH($B411,'Pressione Competitiva'!$B$3:$B$6,0)),"")</f>
        <v>🔴 Molto Alta</v>
      </c>
      <c r="AH411" t="str">
        <f t="shared" si="59"/>
        <v/>
      </c>
      <c r="AI411" t="str">
        <f>IFERROR(IF($AH411="","",IF($AH411&gt;=$AA411*'Parametri Modello'!$B$68,"🟢 Opportunita'",IF($AH411&lt;=$AA411*'Parametri Modello'!$B$69,"🔴 Sovrapprezzo","🟡 Prezzo Corretto"))),"")</f>
        <v/>
      </c>
      <c r="AJ411" t="str">
        <f t="shared" si="60"/>
        <v/>
      </c>
      <c r="AK411">
        <f t="shared" si="61"/>
        <v>48</v>
      </c>
      <c r="AL411" t="str">
        <f t="shared" si="62"/>
        <v>C|Scommessa/Riserva|48</v>
      </c>
    </row>
    <row r="412" spans="1:38" ht="14.25" customHeight="1" x14ac:dyDescent="0.25">
      <c r="A412" s="18">
        <v>526</v>
      </c>
      <c r="B412" s="18" t="s">
        <v>264</v>
      </c>
      <c r="C412" s="18" t="s">
        <v>419</v>
      </c>
      <c r="E412" s="23" t="str">
        <f>IF(COUNTIF('Info Strategia'!$D$2:$D$51,$C412)&gt;0,"SI","NO")</f>
        <v>NO</v>
      </c>
      <c r="F412" s="24">
        <f>IFERROR(ROUND(($G412+($H412-$G412)*'Info Strategia'!$B$6)*(1+IF($E412="SI",'Parametri Modello'!$B$7*'Info Strategia'!$B$6,0)),0),"")</f>
        <v>1</v>
      </c>
      <c r="G412" s="24">
        <f>IFERROR(ROUND(MAX(1,(IF($V412&lt;=INDEX('Parametri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H412" s="24">
        <f>IFERROR(ROUND((IF($V412&lt;=INDEX('Parametri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I412" s="23" t="str">
        <f>IFERROR(INDEX('Input Statistiche 2025_26'!$F$3:$F$665,MATCH($A412,'Input Statistiche 2025_26'!$A$3:$A$665,0)),"")</f>
        <v/>
      </c>
      <c r="J412" s="23" t="str">
        <f t="shared" si="54"/>
        <v/>
      </c>
      <c r="K412" s="23" t="str">
        <f>IFERROR(INDEX('Input Statistiche 2025_26'!$I$3:$I$665,MATCH($A412,'Input Statistiche 2025_26'!$A$3:$A$665,0)),"")</f>
        <v/>
      </c>
      <c r="L412" s="23" t="str">
        <f>IFERROR(INDEX('Input Statistiche 2025_26'!$O$3:$O$665,MATCH($A412,'Input Statistiche 2025_26'!$A$3:$A$665,0)),"")</f>
        <v/>
      </c>
      <c r="M412" s="25"/>
      <c r="N412" s="24">
        <f>IFERROR(INDEX('Input Giocatori 2026_27'!$E$3:$E$493,MATCH($A412,'Input Giocatori 2026_27'!$A$3:$A$493,0)),"")</f>
        <v>2</v>
      </c>
      <c r="O412" s="24">
        <f>IFERROR(INDEX('Input Giocatori 2026_27'!$G$3:$G$493,MATCH($A412,'Input Giocatori 2026_27'!$A$3:$A$493,0)),"")</f>
        <v>4</v>
      </c>
      <c r="P412" s="23" t="str">
        <f>IFERROR(IF($O412="","",IF((1-(COUNTIFS($B$2:$B$492,$B412,$O$2:$O$492,"&gt;"&amp;$O412)+1-1)/COUNTIF($B$2:$B$492,$B412))&gt;='Parametri Modello'!$B$63,"Top",IF((1-(COUNTIFS($B$2:$B$492,$B412,$O$2:$O$492,"&gt;"&amp;$O412)+1-1)/COUNTIF($B$2:$B$492,$B412))&gt;='Parametri Modello'!$B$64,"Buono",IF((1-(COUNTIFS($B$2:$B$492,$B412,$O$2:$O$492,"&gt;"&amp;$O412)+1-1)/COUNTIF($B$2:$B$492,$B412))&gt;='Parametri Modello'!$B$65,"Nella Media","Scommessa/Riserva")))),"")</f>
        <v>Scommessa/Riserva</v>
      </c>
      <c r="Q412" s="26">
        <f>IF(AND($D412="",$N412&gt;1),SUMPRODUCT(($D$2:$D412="")*($N$2:$N412&gt;1)),"")</f>
        <v>401</v>
      </c>
      <c r="R412" s="26" t="str">
        <f>IF($D412='Info Lega'!$B$28,COUNTIFS($D$2:$D412,'Info Lega'!$B$28),"")</f>
        <v/>
      </c>
      <c r="S412" s="27" t="str">
        <f>IFERROR(INDEX('Input Statistiche 2025_26'!$G$3:$G$665,MATCH($A412,'Input Statistiche 2025_26'!$A$3:$A$665,0)),"")</f>
        <v/>
      </c>
      <c r="T412" s="27" t="str">
        <f>IFERROR(INDEX('Input Statistiche 2025_26'!$H$3:$H$665,MATCH($A412,'Input Statistiche 2025_26'!$A$3:$A$665,0)),"")</f>
        <v/>
      </c>
      <c r="U412" s="23" t="str">
        <f>IF(OR('La Mia Rosa'!$O$12="",$D412&lt;&gt;""),"",IF($F412&lt;='La Mia Rosa'!$O$12*'Parametri Modello'!$B$24,"OK",IF($F412&lt;='La Mia Rosa'!$O$12*'Parametri Modello'!$B$25,"Attenzione","Rischio Alto")))</f>
        <v>OK</v>
      </c>
      <c r="V412" s="23">
        <f t="shared" si="55"/>
        <v>154</v>
      </c>
      <c r="W412" s="18">
        <f>'Info Lega'!$B$4-SUMIFS($M$2:$M$492,$D$2:$D$492,'Info Lega'!$B$28)</f>
        <v>1000</v>
      </c>
      <c r="X412" s="18">
        <f>('Info Lega'!$B$5-COUNTIFS($D$2:$D$492,'Info Lega'!$B$28,$B$2:$B$492,"P"))+('Info Lega'!$B$6-COUNTIFS($D$2:$D$492,'Info Lega'!$B$28,$B$2:$B$492,"D"))+('Info Lega'!$B$7-COUNTIFS($D$2:$D$492,'Info Lega'!$B$28,$B$2:$B$492,"C"))+('Info Lega'!$B$8-COUNTIFS($D$2:$D$492,'Info Lega'!$B$28,$B$2:$B$492,"A"))</f>
        <v>25</v>
      </c>
      <c r="Y412" s="18">
        <f>X412*'Parametri Modello'!$B$30</f>
        <v>25</v>
      </c>
      <c r="Z412" s="18">
        <f t="shared" si="56"/>
        <v>975</v>
      </c>
      <c r="AA412" s="18">
        <f t="shared" si="57"/>
        <v>1</v>
      </c>
      <c r="AB412" s="18"/>
      <c r="AC412" s="18" t="str">
        <f>IF($AB412="","",IF($AB412&gt;$AA412,"PASS",IF($AB412&lt;=$AA412*(1-'Parametri Modello'!$B$68),"BID","ATTENZIONE")))</f>
        <v/>
      </c>
      <c r="AD412" s="28" t="str">
        <f t="shared" si="58"/>
        <v/>
      </c>
      <c r="AE412" s="5" t="str">
        <f>IFERROR(IF($AF412="Titolare",INDEX('Stato Asta'!$G$9:$G$12,MATCH($B412,'Stato Asta'!$A$9:$A$12,0)),INDEX('Stato Asta'!$P$9:$P$12,MATCH($B412,'Stato Asta'!$A$9:$A$12,0))),"")</f>
        <v>🟢 Riserve abbondanti</v>
      </c>
      <c r="AF412" t="str">
        <f>IFERROR(IF($V412&lt;=INDEX('Parametri Modello'!$C$57:$C$60,MATCH($B412,'Parametri Modello'!$A$57:$A$60,0)),"Titolare","Riserva"),"")</f>
        <v>Riserva</v>
      </c>
      <c r="AG412" t="str">
        <f>IFERROR(INDEX('Pressione Competitiva'!$F$3:$F$6,MATCH($B412,'Pressione Competitiva'!$B$3:$B$6,0)),"")</f>
        <v>🔴 Molto Alta</v>
      </c>
      <c r="AH412" t="str">
        <f t="shared" si="59"/>
        <v/>
      </c>
      <c r="AI412" t="str">
        <f>IFERROR(IF($AH412="","",IF($AH412&gt;=$AA412*'Parametri Modello'!$B$68,"🟢 Opportunita'",IF($AH412&lt;=$AA412*'Parametri Modello'!$B$69,"🔴 Sovrapprezzo","🟡 Prezzo Corretto"))),"")</f>
        <v/>
      </c>
      <c r="AJ412" t="str">
        <f t="shared" si="60"/>
        <v/>
      </c>
      <c r="AK412">
        <f t="shared" si="61"/>
        <v>48</v>
      </c>
      <c r="AL412" t="str">
        <f t="shared" si="62"/>
        <v>C|Scommessa/Riserva|48</v>
      </c>
    </row>
    <row r="413" spans="1:38" ht="14.25" customHeight="1" x14ac:dyDescent="0.25">
      <c r="A413" s="18">
        <v>5007</v>
      </c>
      <c r="B413" s="18" t="s">
        <v>264</v>
      </c>
      <c r="C413" s="18" t="s">
        <v>431</v>
      </c>
      <c r="E413" s="23" t="str">
        <f>IF(COUNTIF('Info Strategia'!$D$2:$D$51,$C413)&gt;0,"SI","NO")</f>
        <v>NO</v>
      </c>
      <c r="F413" s="24">
        <f>IFERROR(ROUND(($G413+($H413-$G413)*'Info Strategia'!$B$6)*(1+IF($E413="SI",'Parametri Modello'!$B$7*'Info Strategia'!$B$6,0)),0),"")</f>
        <v>1</v>
      </c>
      <c r="G413" s="24">
        <f>IFERROR(ROUND(MAX(1,(IF($V413&lt;=INDEX('Parametri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H413" s="24">
        <f>IFERROR(ROUND((IF($V413&lt;=INDEX('Parametri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I413" s="23">
        <f>IFERROR(INDEX('Input Statistiche 2025_26'!$F$3:$F$665,MATCH($A413,'Input Statistiche 2025_26'!$A$3:$A$665,0)),"")</f>
        <v>8</v>
      </c>
      <c r="J413" s="23">
        <f t="shared" si="54"/>
        <v>30</v>
      </c>
      <c r="K413" s="23">
        <f>IFERROR(INDEX('Input Statistiche 2025_26'!$I$3:$I$665,MATCH($A413,'Input Statistiche 2025_26'!$A$3:$A$665,0)),"")</f>
        <v>0</v>
      </c>
      <c r="L413" s="23">
        <f>IFERROR(INDEX('Input Statistiche 2025_26'!$O$3:$O$665,MATCH($A413,'Input Statistiche 2025_26'!$A$3:$A$665,0)),"")</f>
        <v>0</v>
      </c>
      <c r="M413" s="25"/>
      <c r="N413" s="24">
        <f>IFERROR(INDEX('Input Giocatori 2026_27'!$E$3:$E$493,MATCH($A413,'Input Giocatori 2026_27'!$A$3:$A$493,0)),"")</f>
        <v>1</v>
      </c>
      <c r="O413" s="24">
        <f>IFERROR(INDEX('Input Giocatori 2026_27'!$G$3:$G$493,MATCH($A413,'Input Giocatori 2026_27'!$A$3:$A$493,0)),"")</f>
        <v>4</v>
      </c>
      <c r="P413" s="23" t="str">
        <f>IFERROR(IF($O413="","",IF((1-(COUNTIFS($B$2:$B$492,$B413,$O$2:$O$492,"&gt;"&amp;$O413)+1-1)/COUNTIF($B$2:$B$492,$B413))&gt;='Parametri Modello'!$B$63,"Top",IF((1-(COUNTIFS($B$2:$B$492,$B413,$O$2:$O$492,"&gt;"&amp;$O413)+1-1)/COUNTIF($B$2:$B$492,$B413))&gt;='Parametri Modello'!$B$64,"Buono",IF((1-(COUNTIFS($B$2:$B$492,$B413,$O$2:$O$492,"&gt;"&amp;$O413)+1-1)/COUNTIF($B$2:$B$492,$B413))&gt;='Parametri Modello'!$B$65,"Nella Media","Scommessa/Riserva")))),"")</f>
        <v>Scommessa/Riserva</v>
      </c>
      <c r="Q413" s="26" t="str">
        <f>IF(AND($D413="",$N413&gt;1),SUMPRODUCT(($D$2:$D413="")*($N$2:$N413&gt;1)),"")</f>
        <v/>
      </c>
      <c r="R413" s="26" t="str">
        <f>IF($D413='Info Lega'!$B$28,COUNTIFS($D$2:$D413,'Info Lega'!$B$28),"")</f>
        <v/>
      </c>
      <c r="S413" s="27">
        <f>IFERROR(INDEX('Input Statistiche 2025_26'!$G$3:$G$665,MATCH($A413,'Input Statistiche 2025_26'!$A$3:$A$665,0)),"")</f>
        <v>6</v>
      </c>
      <c r="T413" s="27">
        <f>IFERROR(INDEX('Input Statistiche 2025_26'!$H$3:$H$665,MATCH($A413,'Input Statistiche 2025_26'!$A$3:$A$665,0)),"")</f>
        <v>5.88</v>
      </c>
      <c r="U413" s="23" t="str">
        <f>IF(OR('La Mia Rosa'!$O$12="",$D413&lt;&gt;""),"",IF($F413&lt;='La Mia Rosa'!$O$12*'Parametri Modello'!$B$24,"OK",IF($F413&lt;='La Mia Rosa'!$O$12*'Parametri Modello'!$B$25,"Attenzione","Rischio Alto")))</f>
        <v>OK</v>
      </c>
      <c r="V413" s="23">
        <f t="shared" si="55"/>
        <v>154</v>
      </c>
      <c r="W413" s="18">
        <f>'Info Lega'!$B$4-SUMIFS($M$2:$M$492,$D$2:$D$492,'Info Lega'!$B$28)</f>
        <v>1000</v>
      </c>
      <c r="X413" s="18">
        <f>('Info Lega'!$B$5-COUNTIFS($D$2:$D$492,'Info Lega'!$B$28,$B$2:$B$492,"P"))+('Info Lega'!$B$6-COUNTIFS($D$2:$D$492,'Info Lega'!$B$28,$B$2:$B$492,"D"))+('Info Lega'!$B$7-COUNTIFS($D$2:$D$492,'Info Lega'!$B$28,$B$2:$B$492,"C"))+('Info Lega'!$B$8-COUNTIFS($D$2:$D$492,'Info Lega'!$B$28,$B$2:$B$492,"A"))</f>
        <v>25</v>
      </c>
      <c r="Y413" s="18">
        <f>X413*'Parametri Modello'!$B$30</f>
        <v>25</v>
      </c>
      <c r="Z413" s="18">
        <f t="shared" si="56"/>
        <v>975</v>
      </c>
      <c r="AA413" s="18">
        <f t="shared" si="57"/>
        <v>1</v>
      </c>
      <c r="AB413" s="18"/>
      <c r="AC413" s="18" t="str">
        <f>IF($AB413="","",IF($AB413&gt;$AA413,"PASS",IF($AB413&lt;=$AA413*(1-'Parametri Modello'!$B$68),"BID","ATTENZIONE")))</f>
        <v/>
      </c>
      <c r="AD413" s="28">
        <f t="shared" si="58"/>
        <v>23</v>
      </c>
      <c r="AE413" s="5" t="str">
        <f>IFERROR(IF($AF413="Titolare",INDEX('Stato Asta'!$G$9:$G$12,MATCH($B413,'Stato Asta'!$A$9:$A$12,0)),INDEX('Stato Asta'!$P$9:$P$12,MATCH($B413,'Stato Asta'!$A$9:$A$12,0))),"")</f>
        <v>🟢 Riserve abbondanti</v>
      </c>
      <c r="AF413" t="str">
        <f>IFERROR(IF($V413&lt;=INDEX('Parametri Modello'!$C$57:$C$60,MATCH($B413,'Parametri Modello'!$A$57:$A$60,0)),"Titolare","Riserva"),"")</f>
        <v>Riserva</v>
      </c>
      <c r="AG413" t="str">
        <f>IFERROR(INDEX('Pressione Competitiva'!$F$3:$F$6,MATCH($B413,'Pressione Competitiva'!$B$3:$B$6,0)),"")</f>
        <v>🔴 Molto Alta</v>
      </c>
      <c r="AH413" t="str">
        <f t="shared" si="59"/>
        <v/>
      </c>
      <c r="AI413" t="str">
        <f>IFERROR(IF($AH413="","",IF($AH413&gt;=$AA413*'Parametri Modello'!$B$68,"🟢 Opportunita'",IF($AH413&lt;=$AA413*'Parametri Modello'!$B$69,"🔴 Sovrapprezzo","🟡 Prezzo Corretto"))),"")</f>
        <v/>
      </c>
      <c r="AJ413" t="str">
        <f t="shared" si="60"/>
        <v/>
      </c>
      <c r="AK413" t="str">
        <f t="shared" si="61"/>
        <v/>
      </c>
      <c r="AL413" t="str">
        <f t="shared" si="62"/>
        <v/>
      </c>
    </row>
    <row r="414" spans="1:38" ht="14.25" customHeight="1" x14ac:dyDescent="0.25">
      <c r="A414" s="18">
        <v>6889</v>
      </c>
      <c r="B414" s="18" t="s">
        <v>264</v>
      </c>
      <c r="C414" s="18" t="s">
        <v>432</v>
      </c>
      <c r="E414" s="23" t="str">
        <f>IF(COUNTIF('Info Strategia'!$D$2:$D$51,$C414)&gt;0,"SI","NO")</f>
        <v>NO</v>
      </c>
      <c r="F414" s="24">
        <f>IFERROR(ROUND(($G414+($H414-$G414)*'Info Strategia'!$B$6)*(1+IF($E414="SI",'Parametri Modello'!$B$7*'Info Strategia'!$B$6,0)),0),"")</f>
        <v>1</v>
      </c>
      <c r="G414" s="24">
        <f>IFERROR(ROUND(MAX(1,(IF($V414&lt;=INDEX('Parametri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H414" s="24">
        <f>IFERROR(ROUND((IF($V414&lt;=INDEX('Parametri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I414" s="23">
        <f>IFERROR(INDEX('Input Statistiche 2025_26'!$F$3:$F$665,MATCH($A414,'Input Statistiche 2025_26'!$A$3:$A$665,0)),"")</f>
        <v>9</v>
      </c>
      <c r="J414" s="23">
        <f t="shared" si="54"/>
        <v>29</v>
      </c>
      <c r="K414" s="23">
        <f>IFERROR(INDEX('Input Statistiche 2025_26'!$I$3:$I$665,MATCH($A414,'Input Statistiche 2025_26'!$A$3:$A$665,0)),"")</f>
        <v>0</v>
      </c>
      <c r="L414" s="23">
        <f>IFERROR(INDEX('Input Statistiche 2025_26'!$O$3:$O$665,MATCH($A414,'Input Statistiche 2025_26'!$A$3:$A$665,0)),"")</f>
        <v>0</v>
      </c>
      <c r="M414" s="25"/>
      <c r="N414" s="24">
        <f>IFERROR(INDEX('Input Giocatori 2026_27'!$E$3:$E$493,MATCH($A414,'Input Giocatori 2026_27'!$A$3:$A$493,0)),"")</f>
        <v>1</v>
      </c>
      <c r="O414" s="24">
        <f>IFERROR(INDEX('Input Giocatori 2026_27'!$G$3:$G$493,MATCH($A414,'Input Giocatori 2026_27'!$A$3:$A$493,0)),"")</f>
        <v>4</v>
      </c>
      <c r="P414" s="23" t="str">
        <f>IFERROR(IF($O414="","",IF((1-(COUNTIFS($B$2:$B$492,$B414,$O$2:$O$492,"&gt;"&amp;$O414)+1-1)/COUNTIF($B$2:$B$492,$B414))&gt;='Parametri Modello'!$B$63,"Top",IF((1-(COUNTIFS($B$2:$B$492,$B414,$O$2:$O$492,"&gt;"&amp;$O414)+1-1)/COUNTIF($B$2:$B$492,$B414))&gt;='Parametri Modello'!$B$64,"Buono",IF((1-(COUNTIFS($B$2:$B$492,$B414,$O$2:$O$492,"&gt;"&amp;$O414)+1-1)/COUNTIF($B$2:$B$492,$B414))&gt;='Parametri Modello'!$B$65,"Nella Media","Scommessa/Riserva")))),"")</f>
        <v>Scommessa/Riserva</v>
      </c>
      <c r="Q414" s="26" t="str">
        <f>IF(AND($D414="",$N414&gt;1),SUMPRODUCT(($D$2:$D414="")*($N$2:$N414&gt;1)),"")</f>
        <v/>
      </c>
      <c r="R414" s="26" t="str">
        <f>IF($D414='Info Lega'!$B$28,COUNTIFS($D$2:$D414,'Info Lega'!$B$28),"")</f>
        <v/>
      </c>
      <c r="S414" s="27">
        <f>IFERROR(INDEX('Input Statistiche 2025_26'!$G$3:$G$665,MATCH($A414,'Input Statistiche 2025_26'!$A$3:$A$665,0)),"")</f>
        <v>5.78</v>
      </c>
      <c r="T414" s="27">
        <f>IFERROR(INDEX('Input Statistiche 2025_26'!$H$3:$H$665,MATCH($A414,'Input Statistiche 2025_26'!$A$3:$A$665,0)),"")</f>
        <v>5.72</v>
      </c>
      <c r="U414" s="23" t="str">
        <f>IF(OR('La Mia Rosa'!$O$12="",$D414&lt;&gt;""),"",IF($F414&lt;='La Mia Rosa'!$O$12*'Parametri Modello'!$B$24,"OK",IF($F414&lt;='La Mia Rosa'!$O$12*'Parametri Modello'!$B$25,"Attenzione","Rischio Alto")))</f>
        <v>OK</v>
      </c>
      <c r="V414" s="23">
        <f t="shared" si="55"/>
        <v>154</v>
      </c>
      <c r="W414" s="18">
        <f>'Info Lega'!$B$4-SUMIFS($M$2:$M$492,$D$2:$D$492,'Info Lega'!$B$28)</f>
        <v>1000</v>
      </c>
      <c r="X414" s="18">
        <f>('Info Lega'!$B$5-COUNTIFS($D$2:$D$492,'Info Lega'!$B$28,$B$2:$B$492,"P"))+('Info Lega'!$B$6-COUNTIFS($D$2:$D$492,'Info Lega'!$B$28,$B$2:$B$492,"D"))+('Info Lega'!$B$7-COUNTIFS($D$2:$D$492,'Info Lega'!$B$28,$B$2:$B$492,"C"))+('Info Lega'!$B$8-COUNTIFS($D$2:$D$492,'Info Lega'!$B$28,$B$2:$B$492,"A"))</f>
        <v>25</v>
      </c>
      <c r="Y414" s="18">
        <f>X414*'Parametri Modello'!$B$30</f>
        <v>25</v>
      </c>
      <c r="Z414" s="18">
        <f t="shared" si="56"/>
        <v>975</v>
      </c>
      <c r="AA414" s="18">
        <f t="shared" si="57"/>
        <v>1</v>
      </c>
      <c r="AB414" s="18"/>
      <c r="AC414" s="18" t="str">
        <f>IF($AB414="","",IF($AB414&gt;$AA414,"PASS",IF($AB414&lt;=$AA414*(1-'Parametri Modello'!$B$68),"BID","ATTENZIONE")))</f>
        <v/>
      </c>
      <c r="AD414" s="28">
        <f t="shared" si="58"/>
        <v>26</v>
      </c>
      <c r="AE414" s="5" t="str">
        <f>IFERROR(IF($AF414="Titolare",INDEX('Stato Asta'!$G$9:$G$12,MATCH($B414,'Stato Asta'!$A$9:$A$12,0)),INDEX('Stato Asta'!$P$9:$P$12,MATCH($B414,'Stato Asta'!$A$9:$A$12,0))),"")</f>
        <v>🟢 Riserve abbondanti</v>
      </c>
      <c r="AF414" t="str">
        <f>IFERROR(IF($V414&lt;=INDEX('Parametri Modello'!$C$57:$C$60,MATCH($B414,'Parametri Modello'!$A$57:$A$60,0)),"Titolare","Riserva"),"")</f>
        <v>Riserva</v>
      </c>
      <c r="AG414" t="str">
        <f>IFERROR(INDEX('Pressione Competitiva'!$F$3:$F$6,MATCH($B414,'Pressione Competitiva'!$B$3:$B$6,0)),"")</f>
        <v>🔴 Molto Alta</v>
      </c>
      <c r="AH414" t="str">
        <f t="shared" si="59"/>
        <v/>
      </c>
      <c r="AI414" t="str">
        <f>IFERROR(IF($AH414="","",IF($AH414&gt;=$AA414*'Parametri Modello'!$B$68,"🟢 Opportunita'",IF($AH414&lt;=$AA414*'Parametri Modello'!$B$69,"🔴 Sovrapprezzo","🟡 Prezzo Corretto"))),"")</f>
        <v/>
      </c>
      <c r="AJ414" t="str">
        <f t="shared" si="60"/>
        <v/>
      </c>
      <c r="AK414" t="str">
        <f t="shared" si="61"/>
        <v/>
      </c>
      <c r="AL414" t="str">
        <f t="shared" si="62"/>
        <v/>
      </c>
    </row>
    <row r="415" spans="1:38" ht="14.25" customHeight="1" x14ac:dyDescent="0.25">
      <c r="A415" s="18">
        <v>6212</v>
      </c>
      <c r="B415" s="18" t="s">
        <v>264</v>
      </c>
      <c r="C415" s="18" t="s">
        <v>434</v>
      </c>
      <c r="E415" s="23" t="str">
        <f>IF(COUNTIF('Info Strategia'!$D$2:$D$51,$C415)&gt;0,"SI","NO")</f>
        <v>NO</v>
      </c>
      <c r="F415" s="24">
        <f>IFERROR(ROUND(($G415+($H415-$G415)*'Info Strategia'!$B$6)*(1+IF($E415="SI",'Parametri Modello'!$B$7*'Info Strategia'!$B$6,0)),0),"")</f>
        <v>1</v>
      </c>
      <c r="G415" s="24">
        <f>IFERROR(ROUND(MAX(1,(IF($V415&lt;=INDEX('Parametri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H415" s="24">
        <f>IFERROR(ROUND((IF($V415&lt;=INDEX('Parametri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I415" s="23">
        <f>IFERROR(INDEX('Input Statistiche 2025_26'!$F$3:$F$665,MATCH($A415,'Input Statistiche 2025_26'!$A$3:$A$665,0)),"")</f>
        <v>10</v>
      </c>
      <c r="J415" s="23">
        <f t="shared" si="54"/>
        <v>28</v>
      </c>
      <c r="K415" s="23">
        <f>IFERROR(INDEX('Input Statistiche 2025_26'!$I$3:$I$665,MATCH($A415,'Input Statistiche 2025_26'!$A$3:$A$665,0)),"")</f>
        <v>0</v>
      </c>
      <c r="L415" s="23">
        <f>IFERROR(INDEX('Input Statistiche 2025_26'!$O$3:$O$665,MATCH($A415,'Input Statistiche 2025_26'!$A$3:$A$665,0)),"")</f>
        <v>0</v>
      </c>
      <c r="M415" s="25"/>
      <c r="N415" s="24">
        <f>IFERROR(INDEX('Input Giocatori 2026_27'!$E$3:$E$493,MATCH($A415,'Input Giocatori 2026_27'!$A$3:$A$493,0)),"")</f>
        <v>1</v>
      </c>
      <c r="O415" s="24">
        <f>IFERROR(INDEX('Input Giocatori 2026_27'!$G$3:$G$493,MATCH($A415,'Input Giocatori 2026_27'!$A$3:$A$493,0)),"")</f>
        <v>4</v>
      </c>
      <c r="P415" s="23" t="str">
        <f>IFERROR(IF($O415="","",IF((1-(COUNTIFS($B$2:$B$492,$B415,$O$2:$O$492,"&gt;"&amp;$O415)+1-1)/COUNTIF($B$2:$B$492,$B415))&gt;='Parametri Modello'!$B$63,"Top",IF((1-(COUNTIFS($B$2:$B$492,$B415,$O$2:$O$492,"&gt;"&amp;$O415)+1-1)/COUNTIF($B$2:$B$492,$B415))&gt;='Parametri Modello'!$B$64,"Buono",IF((1-(COUNTIFS($B$2:$B$492,$B415,$O$2:$O$492,"&gt;"&amp;$O415)+1-1)/COUNTIF($B$2:$B$492,$B415))&gt;='Parametri Modello'!$B$65,"Nella Media","Scommessa/Riserva")))),"")</f>
        <v>Scommessa/Riserva</v>
      </c>
      <c r="Q415" s="26" t="str">
        <f>IF(AND($D415="",$N415&gt;1),SUMPRODUCT(($D$2:$D415="")*($N$2:$N415&gt;1)),"")</f>
        <v/>
      </c>
      <c r="R415" s="26" t="str">
        <f>IF($D415='Info Lega'!$B$28,COUNTIFS($D$2:$D415,'Info Lega'!$B$28),"")</f>
        <v/>
      </c>
      <c r="S415" s="27">
        <f>IFERROR(INDEX('Input Statistiche 2025_26'!$G$3:$G$665,MATCH($A415,'Input Statistiche 2025_26'!$A$3:$A$665,0)),"")</f>
        <v>5.75</v>
      </c>
      <c r="T415" s="27">
        <f>IFERROR(INDEX('Input Statistiche 2025_26'!$H$3:$H$665,MATCH($A415,'Input Statistiche 2025_26'!$A$3:$A$665,0)),"")</f>
        <v>5.7</v>
      </c>
      <c r="U415" s="23" t="str">
        <f>IF(OR('La Mia Rosa'!$O$12="",$D415&lt;&gt;""),"",IF($F415&lt;='La Mia Rosa'!$O$12*'Parametri Modello'!$B$24,"OK",IF($F415&lt;='La Mia Rosa'!$O$12*'Parametri Modello'!$B$25,"Attenzione","Rischio Alto")))</f>
        <v>OK</v>
      </c>
      <c r="V415" s="23">
        <f t="shared" si="55"/>
        <v>154</v>
      </c>
      <c r="W415" s="18">
        <f>'Info Lega'!$B$4-SUMIFS($M$2:$M$492,$D$2:$D$492,'Info Lega'!$B$28)</f>
        <v>1000</v>
      </c>
      <c r="X415" s="18">
        <f>('Info Lega'!$B$5-COUNTIFS($D$2:$D$492,'Info Lega'!$B$28,$B$2:$B$492,"P"))+('Info Lega'!$B$6-COUNTIFS($D$2:$D$492,'Info Lega'!$B$28,$B$2:$B$492,"D"))+('Info Lega'!$B$7-COUNTIFS($D$2:$D$492,'Info Lega'!$B$28,$B$2:$B$492,"C"))+('Info Lega'!$B$8-COUNTIFS($D$2:$D$492,'Info Lega'!$B$28,$B$2:$B$492,"A"))</f>
        <v>25</v>
      </c>
      <c r="Y415" s="18">
        <f>X415*'Parametri Modello'!$B$30</f>
        <v>25</v>
      </c>
      <c r="Z415" s="18">
        <f t="shared" si="56"/>
        <v>975</v>
      </c>
      <c r="AA415" s="18">
        <f t="shared" si="57"/>
        <v>1</v>
      </c>
      <c r="AB415" s="18"/>
      <c r="AC415" s="18" t="str">
        <f>IF($AB415="","",IF($AB415&gt;$AA415,"PASS",IF($AB415&lt;=$AA415*(1-'Parametri Modello'!$B$68),"BID","ATTENZIONE")))</f>
        <v/>
      </c>
      <c r="AD415" s="28">
        <f t="shared" si="58"/>
        <v>28</v>
      </c>
      <c r="AE415" s="5" t="str">
        <f>IFERROR(IF($AF415="Titolare",INDEX('Stato Asta'!$G$9:$G$12,MATCH($B415,'Stato Asta'!$A$9:$A$12,0)),INDEX('Stato Asta'!$P$9:$P$12,MATCH($B415,'Stato Asta'!$A$9:$A$12,0))),"")</f>
        <v>🟢 Riserve abbondanti</v>
      </c>
      <c r="AF415" t="str">
        <f>IFERROR(IF($V415&lt;=INDEX('Parametri Modello'!$C$57:$C$60,MATCH($B415,'Parametri Modello'!$A$57:$A$60,0)),"Titolare","Riserva"),"")</f>
        <v>Riserva</v>
      </c>
      <c r="AG415" t="str">
        <f>IFERROR(INDEX('Pressione Competitiva'!$F$3:$F$6,MATCH($B415,'Pressione Competitiva'!$B$3:$B$6,0)),"")</f>
        <v>🔴 Molto Alta</v>
      </c>
      <c r="AH415" t="str">
        <f t="shared" si="59"/>
        <v/>
      </c>
      <c r="AI415" t="str">
        <f>IFERROR(IF($AH415="","",IF($AH415&gt;=$AA415*'Parametri Modello'!$B$68,"🟢 Opportunita'",IF($AH415&lt;=$AA415*'Parametri Modello'!$B$69,"🔴 Sovrapprezzo","🟡 Prezzo Corretto"))),"")</f>
        <v/>
      </c>
      <c r="AJ415" t="str">
        <f t="shared" si="60"/>
        <v/>
      </c>
      <c r="AK415" t="str">
        <f t="shared" si="61"/>
        <v/>
      </c>
      <c r="AL415" t="str">
        <f t="shared" si="62"/>
        <v/>
      </c>
    </row>
    <row r="416" spans="1:38" ht="14.25" customHeight="1" x14ac:dyDescent="0.25">
      <c r="A416" s="18">
        <v>7249</v>
      </c>
      <c r="B416" s="18" t="s">
        <v>437</v>
      </c>
      <c r="C416" s="18" t="s">
        <v>514</v>
      </c>
      <c r="E416" s="23" t="str">
        <f>IF(COUNTIF('Info Strategia'!$D$2:$D$51,$C416)&gt;0,"SI","NO")</f>
        <v>NO</v>
      </c>
      <c r="F416" s="24">
        <f>IFERROR(ROUND(($G416+($H416-$G416)*'Info Strategia'!$B$6)*(1+IF($E416="SI",'Parametri Modello'!$B$7*'Info Strategia'!$B$6,0)),0),"")</f>
        <v>1</v>
      </c>
      <c r="G416" s="24">
        <f>IFERROR(ROUND(MAX(1,(IF($V416&lt;=INDEX('Parametri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H416" s="24">
        <f>IFERROR(ROUND((IF($V416&lt;=INDEX('Parametri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I416" s="23">
        <f>IFERROR(INDEX('Input Statistiche 2025_26'!$F$3:$F$665,MATCH($A416,'Input Statistiche 2025_26'!$A$3:$A$665,0)),"")</f>
        <v>21</v>
      </c>
      <c r="J416" s="23">
        <f t="shared" si="54"/>
        <v>17</v>
      </c>
      <c r="K416" s="23">
        <f>IFERROR(INDEX('Input Statistiche 2025_26'!$I$3:$I$665,MATCH($A416,'Input Statistiche 2025_26'!$A$3:$A$665,0)),"")</f>
        <v>3</v>
      </c>
      <c r="L416" s="23">
        <f>IFERROR(INDEX('Input Statistiche 2025_26'!$O$3:$O$665,MATCH($A416,'Input Statistiche 2025_26'!$A$3:$A$665,0)),"")</f>
        <v>0</v>
      </c>
      <c r="M416" s="25"/>
      <c r="N416" s="24">
        <f>IFERROR(INDEX('Input Giocatori 2026_27'!$E$3:$E$493,MATCH($A416,'Input Giocatori 2026_27'!$A$3:$A$493,0)),"")</f>
        <v>2</v>
      </c>
      <c r="O416" s="24">
        <f>IFERROR(INDEX('Input Giocatori 2026_27'!$G$3:$G$493,MATCH($A416,'Input Giocatori 2026_27'!$A$3:$A$493,0)),"")</f>
        <v>4</v>
      </c>
      <c r="P416" s="23" t="str">
        <f>IFERROR(IF($O416="","",IF((1-(COUNTIFS($B$2:$B$492,$B416,$O$2:$O$492,"&gt;"&amp;$O416)+1-1)/COUNTIF($B$2:$B$492,$B416))&gt;='Parametri Modello'!$B$63,"Top",IF((1-(COUNTIFS($B$2:$B$492,$B416,$O$2:$O$492,"&gt;"&amp;$O416)+1-1)/COUNTIF($B$2:$B$492,$B416))&gt;='Parametri Modello'!$B$64,"Buono",IF((1-(COUNTIFS($B$2:$B$492,$B416,$O$2:$O$492,"&gt;"&amp;$O416)+1-1)/COUNTIF($B$2:$B$492,$B416))&gt;='Parametri Modello'!$B$65,"Nella Media","Scommessa/Riserva")))),"")</f>
        <v>Scommessa/Riserva</v>
      </c>
      <c r="Q416" s="26">
        <f>IF(AND($D416="",$N416&gt;1),SUMPRODUCT(($D$2:$D416="")*($N$2:$N416&gt;1)),"")</f>
        <v>402</v>
      </c>
      <c r="R416" s="26" t="str">
        <f>IF($D416='Info Lega'!$B$28,COUNTIFS($D$2:$D416,'Info Lega'!$B$28),"")</f>
        <v/>
      </c>
      <c r="S416" s="27">
        <f>IFERROR(INDEX('Input Statistiche 2025_26'!$G$3:$G$665,MATCH($A416,'Input Statistiche 2025_26'!$A$3:$A$665,0)),"")</f>
        <v>5.88</v>
      </c>
      <c r="T416" s="27">
        <f>IFERROR(INDEX('Input Statistiche 2025_26'!$H$3:$H$665,MATCH($A416,'Input Statistiche 2025_26'!$A$3:$A$665,0)),"")</f>
        <v>6.24</v>
      </c>
      <c r="U416" s="23" t="str">
        <f>IF(OR('La Mia Rosa'!$O$12="",$D416&lt;&gt;""),"",IF($F416&lt;='La Mia Rosa'!$O$12*'Parametri Modello'!$B$24,"OK",IF($F416&lt;='La Mia Rosa'!$O$12*'Parametri Modello'!$B$25,"Attenzione","Rischio Alto")))</f>
        <v>OK</v>
      </c>
      <c r="V416" s="23">
        <f t="shared" si="55"/>
        <v>77</v>
      </c>
      <c r="W416" s="18">
        <f>'Info Lega'!$B$4-SUMIFS($M$2:$M$492,$D$2:$D$492,'Info Lega'!$B$28)</f>
        <v>1000</v>
      </c>
      <c r="X416" s="18">
        <f>('Info Lega'!$B$5-COUNTIFS($D$2:$D$492,'Info Lega'!$B$28,$B$2:$B$492,"P"))+('Info Lega'!$B$6-COUNTIFS($D$2:$D$492,'Info Lega'!$B$28,$B$2:$B$492,"D"))+('Info Lega'!$B$7-COUNTIFS($D$2:$D$492,'Info Lega'!$B$28,$B$2:$B$492,"C"))+('Info Lega'!$B$8-COUNTIFS($D$2:$D$492,'Info Lega'!$B$28,$B$2:$B$492,"A"))</f>
        <v>25</v>
      </c>
      <c r="Y416" s="18">
        <f>X416*'Parametri Modello'!$B$30</f>
        <v>25</v>
      </c>
      <c r="Z416" s="18">
        <f t="shared" si="56"/>
        <v>975</v>
      </c>
      <c r="AA416" s="18">
        <f t="shared" si="57"/>
        <v>1</v>
      </c>
      <c r="AB416" s="18"/>
      <c r="AC416" s="18" t="str">
        <f>IF($AB416="","",IF($AB416&gt;$AA416,"PASS",IF($AB416&lt;=$AA416*(1-'Parametri Modello'!$B$68),"BID","ATTENZIONE")))</f>
        <v/>
      </c>
      <c r="AD416" s="28">
        <f t="shared" si="58"/>
        <v>50</v>
      </c>
      <c r="AE416" s="5" t="str">
        <f>IFERROR(IF($AF416="Titolare",INDEX('Stato Asta'!$G$9:$G$12,MATCH($B416,'Stato Asta'!$A$9:$A$12,0)),INDEX('Stato Asta'!$P$9:$P$12,MATCH($B416,'Stato Asta'!$A$9:$A$12,0))),"")</f>
        <v>🟢 Riserve abbondanti</v>
      </c>
      <c r="AF416" t="str">
        <f>IFERROR(IF($V416&lt;=INDEX('Parametri Modello'!$C$57:$C$60,MATCH($B416,'Parametri Modello'!$A$57:$A$60,0)),"Titolare","Riserva"),"")</f>
        <v>Riserva</v>
      </c>
      <c r="AG416" t="str">
        <f>IFERROR(INDEX('Pressione Competitiva'!$F$3:$F$6,MATCH($B416,'Pressione Competitiva'!$B$3:$B$6,0)),"")</f>
        <v>🔴 Molto Alta</v>
      </c>
      <c r="AH416" t="str">
        <f t="shared" si="59"/>
        <v/>
      </c>
      <c r="AI416" t="str">
        <f>IFERROR(IF($AH416="","",IF($AH416&gt;=$AA416*'Parametri Modello'!$B$68,"🟢 Opportunita'",IF($AH416&lt;=$AA416*'Parametri Modello'!$B$69,"🔴 Sovrapprezzo","🟡 Prezzo Corretto"))),"")</f>
        <v/>
      </c>
      <c r="AJ416" t="str">
        <f t="shared" si="60"/>
        <v/>
      </c>
      <c r="AK416">
        <f t="shared" si="61"/>
        <v>23</v>
      </c>
      <c r="AL416" t="str">
        <f t="shared" si="62"/>
        <v>A|Scommessa/Riserva|23</v>
      </c>
    </row>
    <row r="417" spans="1:38" ht="14.25" customHeight="1" x14ac:dyDescent="0.25">
      <c r="A417" s="18">
        <v>6981</v>
      </c>
      <c r="B417" s="18" t="s">
        <v>437</v>
      </c>
      <c r="C417" s="18" t="s">
        <v>518</v>
      </c>
      <c r="E417" s="23" t="str">
        <f>IF(COUNTIF('Info Strategia'!$D$2:$D$51,$C417)&gt;0,"SI","NO")</f>
        <v>NO</v>
      </c>
      <c r="F417" s="24">
        <f>IFERROR(ROUND(($G417+($H417-$G417)*'Info Strategia'!$B$6)*(1+IF($E417="SI",'Parametri Modello'!$B$7*'Info Strategia'!$B$6,0)),0),"")</f>
        <v>1</v>
      </c>
      <c r="G417" s="24">
        <f>IFERROR(ROUND(MAX(1,(IF($V417&lt;=INDEX('Parametri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H417" s="24">
        <f>IFERROR(ROUND((IF($V417&lt;=INDEX('Parametri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I417" s="23">
        <f>IFERROR(INDEX('Input Statistiche 2025_26'!$F$3:$F$665,MATCH($A417,'Input Statistiche 2025_26'!$A$3:$A$665,0)),"")</f>
        <v>7</v>
      </c>
      <c r="J417" s="23">
        <f t="shared" si="54"/>
        <v>31</v>
      </c>
      <c r="K417" s="23">
        <f>IFERROR(INDEX('Input Statistiche 2025_26'!$I$3:$I$665,MATCH($A417,'Input Statistiche 2025_26'!$A$3:$A$665,0)),"")</f>
        <v>1</v>
      </c>
      <c r="L417" s="23">
        <f>IFERROR(INDEX('Input Statistiche 2025_26'!$O$3:$O$665,MATCH($A417,'Input Statistiche 2025_26'!$A$3:$A$665,0)),"")</f>
        <v>0</v>
      </c>
      <c r="M417" s="25"/>
      <c r="N417" s="24">
        <f>IFERROR(INDEX('Input Giocatori 2026_27'!$E$3:$E$493,MATCH($A417,'Input Giocatori 2026_27'!$A$3:$A$493,0)),"")</f>
        <v>1</v>
      </c>
      <c r="O417" s="24">
        <f>IFERROR(INDEX('Input Giocatori 2026_27'!$G$3:$G$493,MATCH($A417,'Input Giocatori 2026_27'!$A$3:$A$493,0)),"")</f>
        <v>4</v>
      </c>
      <c r="P417" s="23" t="str">
        <f>IFERROR(IF($O417="","",IF((1-(COUNTIFS($B$2:$B$492,$B417,$O$2:$O$492,"&gt;"&amp;$O417)+1-1)/COUNTIF($B$2:$B$492,$B417))&gt;='Parametri Modello'!$B$63,"Top",IF((1-(COUNTIFS($B$2:$B$492,$B417,$O$2:$O$492,"&gt;"&amp;$O417)+1-1)/COUNTIF($B$2:$B$492,$B417))&gt;='Parametri Modello'!$B$64,"Buono",IF((1-(COUNTIFS($B$2:$B$492,$B417,$O$2:$O$492,"&gt;"&amp;$O417)+1-1)/COUNTIF($B$2:$B$492,$B417))&gt;='Parametri Modello'!$B$65,"Nella Media","Scommessa/Riserva")))),"")</f>
        <v>Scommessa/Riserva</v>
      </c>
      <c r="Q417" s="26" t="str">
        <f>IF(AND($D417="",$N417&gt;1),SUMPRODUCT(($D$2:$D417="")*($N$2:$N417&gt;1)),"")</f>
        <v/>
      </c>
      <c r="R417" s="26" t="str">
        <f>IF($D417='Info Lega'!$B$28,COUNTIFS($D$2:$D417,'Info Lega'!$B$28),"")</f>
        <v/>
      </c>
      <c r="S417" s="27">
        <f>IFERROR(INDEX('Input Statistiche 2025_26'!$G$3:$G$665,MATCH($A417,'Input Statistiche 2025_26'!$A$3:$A$665,0)),"")</f>
        <v>5.93</v>
      </c>
      <c r="T417" s="27">
        <f>IFERROR(INDEX('Input Statistiche 2025_26'!$H$3:$H$665,MATCH($A417,'Input Statistiche 2025_26'!$A$3:$A$665,0)),"")</f>
        <v>6.36</v>
      </c>
      <c r="U417" s="23" t="str">
        <f>IF(OR('La Mia Rosa'!$O$12="",$D417&lt;&gt;""),"",IF($F417&lt;='La Mia Rosa'!$O$12*'Parametri Modello'!$B$24,"OK",IF($F417&lt;='La Mia Rosa'!$O$12*'Parametri Modello'!$B$25,"Attenzione","Rischio Alto")))</f>
        <v>OK</v>
      </c>
      <c r="V417" s="23">
        <f t="shared" si="55"/>
        <v>77</v>
      </c>
      <c r="W417" s="18">
        <f>'Info Lega'!$B$4-SUMIFS($M$2:$M$492,$D$2:$D$492,'Info Lega'!$B$28)</f>
        <v>1000</v>
      </c>
      <c r="X417" s="18">
        <f>('Info Lega'!$B$5-COUNTIFS($D$2:$D$492,'Info Lega'!$B$28,$B$2:$B$492,"P"))+('Info Lega'!$B$6-COUNTIFS($D$2:$D$492,'Info Lega'!$B$28,$B$2:$B$492,"D"))+('Info Lega'!$B$7-COUNTIFS($D$2:$D$492,'Info Lega'!$B$28,$B$2:$B$492,"C"))+('Info Lega'!$B$8-COUNTIFS($D$2:$D$492,'Info Lega'!$B$28,$B$2:$B$492,"A"))</f>
        <v>25</v>
      </c>
      <c r="Y417" s="18">
        <f>X417*'Parametri Modello'!$B$30</f>
        <v>25</v>
      </c>
      <c r="Z417" s="18">
        <f t="shared" si="56"/>
        <v>975</v>
      </c>
      <c r="AA417" s="18">
        <f t="shared" si="57"/>
        <v>1</v>
      </c>
      <c r="AB417" s="18"/>
      <c r="AC417" s="18" t="str">
        <f>IF($AB417="","",IF($AB417&gt;$AA417,"PASS",IF($AB417&lt;=$AA417*(1-'Parametri Modello'!$B$68),"BID","ATTENZIONE")))</f>
        <v/>
      </c>
      <c r="AD417" s="28">
        <f t="shared" si="58"/>
        <v>21</v>
      </c>
      <c r="AE417" s="5" t="str">
        <f>IFERROR(IF($AF417="Titolare",INDEX('Stato Asta'!$G$9:$G$12,MATCH($B417,'Stato Asta'!$A$9:$A$12,0)),INDEX('Stato Asta'!$P$9:$P$12,MATCH($B417,'Stato Asta'!$A$9:$A$12,0))),"")</f>
        <v>🟢 Riserve abbondanti</v>
      </c>
      <c r="AF417" t="str">
        <f>IFERROR(IF($V417&lt;=INDEX('Parametri Modello'!$C$57:$C$60,MATCH($B417,'Parametri Modello'!$A$57:$A$60,0)),"Titolare","Riserva"),"")</f>
        <v>Riserva</v>
      </c>
      <c r="AG417" t="str">
        <f>IFERROR(INDEX('Pressione Competitiva'!$F$3:$F$6,MATCH($B417,'Pressione Competitiva'!$B$3:$B$6,0)),"")</f>
        <v>🔴 Molto Alta</v>
      </c>
      <c r="AH417" t="str">
        <f t="shared" si="59"/>
        <v/>
      </c>
      <c r="AI417" t="str">
        <f>IFERROR(IF($AH417="","",IF($AH417&gt;=$AA417*'Parametri Modello'!$B$68,"🟢 Opportunita'",IF($AH417&lt;=$AA417*'Parametri Modello'!$B$69,"🔴 Sovrapprezzo","🟡 Prezzo Corretto"))),"")</f>
        <v/>
      </c>
      <c r="AJ417" t="str">
        <f t="shared" si="60"/>
        <v/>
      </c>
      <c r="AK417" t="str">
        <f t="shared" si="61"/>
        <v/>
      </c>
      <c r="AL417" t="str">
        <f t="shared" si="62"/>
        <v/>
      </c>
    </row>
    <row r="418" spans="1:38" ht="14.25" customHeight="1" x14ac:dyDescent="0.25">
      <c r="A418" s="18">
        <v>4867</v>
      </c>
      <c r="B418" s="18" t="s">
        <v>8</v>
      </c>
      <c r="C418" s="18" t="s">
        <v>79</v>
      </c>
      <c r="E418" s="23" t="str">
        <f>IF(COUNTIF('Info Strategia'!$D$2:$D$51,$C418)&gt;0,"SI","NO")</f>
        <v>NO</v>
      </c>
      <c r="F418" s="24">
        <f>IFERROR(ROUND(($G418+($H418-$G418)*'Info Strategia'!$B$6)*(1+IF($E418="SI",'Parametri Modello'!$B$7*'Info Strategia'!$B$6,0)),0),"")</f>
        <v>1</v>
      </c>
      <c r="G418" s="24">
        <f>IFERROR(ROUND(MAX(1,(IF($V418&lt;=INDEX('Parametri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H418" s="24">
        <f>IFERROR(ROUND((IF($V418&lt;=INDEX('Parametri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I418" s="23">
        <f>IFERROR(INDEX('Input Statistiche 2025_26'!$F$3:$F$665,MATCH($A418,'Input Statistiche 2025_26'!$A$3:$A$665,0)),"")</f>
        <v>6</v>
      </c>
      <c r="J418" s="23">
        <f t="shared" si="54"/>
        <v>32</v>
      </c>
      <c r="K418" s="23">
        <f>IFERROR(INDEX('Input Statistiche 2025_26'!$I$3:$I$665,MATCH($A418,'Input Statistiche 2025_26'!$A$3:$A$665,0)),"")</f>
        <v>0</v>
      </c>
      <c r="L418" s="23">
        <f>IFERROR(INDEX('Input Statistiche 2025_26'!$O$3:$O$665,MATCH($A418,'Input Statistiche 2025_26'!$A$3:$A$665,0)),"")</f>
        <v>0</v>
      </c>
      <c r="M418" s="25"/>
      <c r="N418" s="24">
        <f>IFERROR(INDEX('Input Giocatori 2026_27'!$E$3:$E$493,MATCH($A418,'Input Giocatori 2026_27'!$A$3:$A$493,0)),"")</f>
        <v>1</v>
      </c>
      <c r="O418" s="24">
        <f>IFERROR(INDEX('Input Giocatori 2026_27'!$G$3:$G$493,MATCH($A418,'Input Giocatori 2026_27'!$A$3:$A$493,0)),"")</f>
        <v>3</v>
      </c>
      <c r="P418" s="23" t="str">
        <f>IFERROR(IF($O418="","",IF((1-(COUNTIFS($B$2:$B$492,$B418,$O$2:$O$492,"&gt;"&amp;$O418)+1-1)/COUNTIF($B$2:$B$492,$B418))&gt;='Parametri Modello'!$B$63,"Top",IF((1-(COUNTIFS($B$2:$B$492,$B418,$O$2:$O$492,"&gt;"&amp;$O418)+1-1)/COUNTIF($B$2:$B$492,$B418))&gt;='Parametri Modello'!$B$64,"Buono",IF((1-(COUNTIFS($B$2:$B$492,$B418,$O$2:$O$492,"&gt;"&amp;$O418)+1-1)/COUNTIF($B$2:$B$492,$B418))&gt;='Parametri Modello'!$B$65,"Nella Media","Scommessa/Riserva")))),"")</f>
        <v>Nella Media</v>
      </c>
      <c r="Q418" s="26" t="str">
        <f>IF(AND($D418="",$N418&gt;1),SUMPRODUCT(($D$2:$D418="")*($N$2:$N418&gt;1)),"")</f>
        <v/>
      </c>
      <c r="R418" s="26" t="str">
        <f>IF($D418='Info Lega'!$B$28,COUNTIFS($D$2:$D418,'Info Lega'!$B$28),"")</f>
        <v/>
      </c>
      <c r="S418" s="27">
        <f>IFERROR(INDEX('Input Statistiche 2025_26'!$G$3:$G$665,MATCH($A418,'Input Statistiche 2025_26'!$A$3:$A$665,0)),"")</f>
        <v>6.17</v>
      </c>
      <c r="T418" s="27">
        <f>IFERROR(INDEX('Input Statistiche 2025_26'!$H$3:$H$665,MATCH($A418,'Input Statistiche 2025_26'!$A$3:$A$665,0)),"")</f>
        <v>5</v>
      </c>
      <c r="U418" s="23" t="str">
        <f>IF(OR('La Mia Rosa'!$O$12="",$D418&lt;&gt;""),"",IF($F418&lt;='La Mia Rosa'!$O$12*'Parametri Modello'!$B$24,"OK",IF($F418&lt;='La Mia Rosa'!$O$12*'Parametri Modello'!$B$25,"Attenzione","Rischio Alto")))</f>
        <v>OK</v>
      </c>
      <c r="V418" s="23">
        <f t="shared" si="55"/>
        <v>25</v>
      </c>
      <c r="W418" s="18">
        <f>'Info Lega'!$B$4-SUMIFS($M$2:$M$492,$D$2:$D$492,'Info Lega'!$B$28)</f>
        <v>1000</v>
      </c>
      <c r="X418" s="18">
        <f>('Info Lega'!$B$5-COUNTIFS($D$2:$D$492,'Info Lega'!$B$28,$B$2:$B$492,"P"))+('Info Lega'!$B$6-COUNTIFS($D$2:$D$492,'Info Lega'!$B$28,$B$2:$B$492,"D"))+('Info Lega'!$B$7-COUNTIFS($D$2:$D$492,'Info Lega'!$B$28,$B$2:$B$492,"C"))+('Info Lega'!$B$8-COUNTIFS($D$2:$D$492,'Info Lega'!$B$28,$B$2:$B$492,"A"))</f>
        <v>25</v>
      </c>
      <c r="Y418" s="18">
        <f>X418*'Parametri Modello'!$B$30</f>
        <v>25</v>
      </c>
      <c r="Z418" s="18">
        <f t="shared" si="56"/>
        <v>975</v>
      </c>
      <c r="AA418" s="18">
        <f t="shared" si="57"/>
        <v>1</v>
      </c>
      <c r="AB418" s="18"/>
      <c r="AC418" s="18" t="str">
        <f>IF($AB418="","",IF($AB418&gt;$AA418,"PASS",IF($AB418&lt;=$AA418*(1-'Parametri Modello'!$B$68),"BID","ATTENZIONE")))</f>
        <v/>
      </c>
      <c r="AD418" s="28">
        <f t="shared" si="58"/>
        <v>18</v>
      </c>
      <c r="AE418" s="5" t="str">
        <f>IFERROR(IF($AF418="Titolare",INDEX('Stato Asta'!$G$9:$G$12,MATCH($B418,'Stato Asta'!$A$9:$A$12,0)),INDEX('Stato Asta'!$P$9:$P$12,MATCH($B418,'Stato Asta'!$A$9:$A$12,0))),"")</f>
        <v>🔴 Riserve scarse</v>
      </c>
      <c r="AF418" t="str">
        <f>IFERROR(IF($V418&lt;=INDEX('Parametri Modello'!$C$57:$C$60,MATCH($B418,'Parametri Modello'!$A$57:$A$60,0)),"Titolare","Riserva"),"")</f>
        <v>Riserva</v>
      </c>
      <c r="AG418" t="str">
        <f>IFERROR(INDEX('Pressione Competitiva'!$F$3:$F$6,MATCH($B418,'Pressione Competitiva'!$B$3:$B$6,0)),"")</f>
        <v>🔴 Molto Alta</v>
      </c>
      <c r="AH418" t="str">
        <f t="shared" si="59"/>
        <v/>
      </c>
      <c r="AI418" t="str">
        <f>IFERROR(IF($AH418="","",IF($AH418&gt;=$AA418*'Parametri Modello'!$B$68,"🟢 Opportunita'",IF($AH418&lt;=$AA418*'Parametri Modello'!$B$69,"🔴 Sovrapprezzo","🟡 Prezzo Corretto"))),"")</f>
        <v/>
      </c>
      <c r="AJ418" t="str">
        <f t="shared" si="60"/>
        <v/>
      </c>
      <c r="AK418" t="str">
        <f t="shared" si="61"/>
        <v/>
      </c>
      <c r="AL418" t="str">
        <f t="shared" si="62"/>
        <v/>
      </c>
    </row>
    <row r="419" spans="1:38" ht="14.25" customHeight="1" x14ac:dyDescent="0.25">
      <c r="A419" s="18">
        <v>7470</v>
      </c>
      <c r="B419" s="18" t="s">
        <v>88</v>
      </c>
      <c r="C419" s="18" t="s">
        <v>243</v>
      </c>
      <c r="E419" s="23" t="str">
        <f>IF(COUNTIF('Info Strategia'!$D$2:$D$51,$C419)&gt;0,"SI","NO")</f>
        <v>NO</v>
      </c>
      <c r="F419" s="24">
        <f>IFERROR(ROUND(($G419+($H419-$G419)*'Info Strategia'!$B$6)*(1+IF($E419="SI",'Parametri Modello'!$B$7*'Info Strategia'!$B$6,0)),0),"")</f>
        <v>1</v>
      </c>
      <c r="G419" s="24">
        <f>IFERROR(ROUND(MAX(1,(IF($V419&lt;=INDEX('Parametri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H419" s="24">
        <f>IFERROR(ROUND((IF($V419&lt;=INDEX('Parametri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I419" s="23" t="str">
        <f>IFERROR(INDEX('Input Statistiche 2025_26'!$F$3:$F$665,MATCH($A419,'Input Statistiche 2025_26'!$A$3:$A$665,0)),"")</f>
        <v/>
      </c>
      <c r="J419" s="23" t="str">
        <f t="shared" si="54"/>
        <v/>
      </c>
      <c r="K419" s="23" t="str">
        <f>IFERROR(INDEX('Input Statistiche 2025_26'!$I$3:$I$665,MATCH($A419,'Input Statistiche 2025_26'!$A$3:$A$665,0)),"")</f>
        <v/>
      </c>
      <c r="L419" s="23" t="str">
        <f>IFERROR(INDEX('Input Statistiche 2025_26'!$O$3:$O$665,MATCH($A419,'Input Statistiche 2025_26'!$A$3:$A$665,0)),"")</f>
        <v/>
      </c>
      <c r="M419" s="25"/>
      <c r="N419" s="24">
        <f>IFERROR(INDEX('Input Giocatori 2026_27'!$E$3:$E$493,MATCH($A419,'Input Giocatori 2026_27'!$A$3:$A$493,0)),"")</f>
        <v>1</v>
      </c>
      <c r="O419" s="24">
        <f>IFERROR(INDEX('Input Giocatori 2026_27'!$G$3:$G$493,MATCH($A419,'Input Giocatori 2026_27'!$A$3:$A$493,0)),"")</f>
        <v>3</v>
      </c>
      <c r="P419" s="23" t="str">
        <f>IFERROR(IF($O419="","",IF((1-(COUNTIFS($B$2:$B$492,$B419,$O$2:$O$492,"&gt;"&amp;$O419)+1-1)/COUNTIF($B$2:$B$492,$B419))&gt;='Parametri Modello'!$B$63,"Top",IF((1-(COUNTIFS($B$2:$B$492,$B419,$O$2:$O$492,"&gt;"&amp;$O419)+1-1)/COUNTIF($B$2:$B$492,$B419))&gt;='Parametri Modello'!$B$64,"Buono",IF((1-(COUNTIFS($B$2:$B$492,$B419,$O$2:$O$492,"&gt;"&amp;$O419)+1-1)/COUNTIF($B$2:$B$492,$B419))&gt;='Parametri Modello'!$B$65,"Nella Media","Scommessa/Riserva")))),"")</f>
        <v>Scommessa/Riserva</v>
      </c>
      <c r="Q419" s="26" t="str">
        <f>IF(AND($D419="",$N419&gt;1),SUMPRODUCT(($D$2:$D419="")*($N$2:$N419&gt;1)),"")</f>
        <v/>
      </c>
      <c r="R419" s="26" t="str">
        <f>IF($D419='Info Lega'!$B$28,COUNTIFS($D$2:$D419,'Info Lega'!$B$28),"")</f>
        <v/>
      </c>
      <c r="S419" s="27" t="str">
        <f>IFERROR(INDEX('Input Statistiche 2025_26'!$G$3:$G$665,MATCH($A419,'Input Statistiche 2025_26'!$A$3:$A$665,0)),"")</f>
        <v/>
      </c>
      <c r="T419" s="27" t="str">
        <f>IFERROR(INDEX('Input Statistiche 2025_26'!$H$3:$H$665,MATCH($A419,'Input Statistiche 2025_26'!$A$3:$A$665,0)),"")</f>
        <v/>
      </c>
      <c r="U419" s="23" t="str">
        <f>IF(OR('La Mia Rosa'!$O$12="",$D419&lt;&gt;""),"",IF($F419&lt;='La Mia Rosa'!$O$12*'Parametri Modello'!$B$24,"OK",IF($F419&lt;='La Mia Rosa'!$O$12*'Parametri Modello'!$B$25,"Attenzione","Rischio Alto")))</f>
        <v>OK</v>
      </c>
      <c r="V419" s="23">
        <f t="shared" si="55"/>
        <v>156</v>
      </c>
      <c r="W419" s="18">
        <f>'Info Lega'!$B$4-SUMIFS($M$2:$M$492,$D$2:$D$492,'Info Lega'!$B$28)</f>
        <v>1000</v>
      </c>
      <c r="X419" s="18">
        <f>('Info Lega'!$B$5-COUNTIFS($D$2:$D$492,'Info Lega'!$B$28,$B$2:$B$492,"P"))+('Info Lega'!$B$6-COUNTIFS($D$2:$D$492,'Info Lega'!$B$28,$B$2:$B$492,"D"))+('Info Lega'!$B$7-COUNTIFS($D$2:$D$492,'Info Lega'!$B$28,$B$2:$B$492,"C"))+('Info Lega'!$B$8-COUNTIFS($D$2:$D$492,'Info Lega'!$B$28,$B$2:$B$492,"A"))</f>
        <v>25</v>
      </c>
      <c r="Y419" s="18">
        <f>X419*'Parametri Modello'!$B$30</f>
        <v>25</v>
      </c>
      <c r="Z419" s="18">
        <f t="shared" si="56"/>
        <v>975</v>
      </c>
      <c r="AA419" s="18">
        <f t="shared" si="57"/>
        <v>1</v>
      </c>
      <c r="AB419" s="18"/>
      <c r="AC419" s="18" t="str">
        <f>IF($AB419="","",IF($AB419&gt;$AA419,"PASS",IF($AB419&lt;=$AA419*(1-'Parametri Modello'!$B$68),"BID","ATTENZIONE")))</f>
        <v/>
      </c>
      <c r="AD419" s="28" t="str">
        <f t="shared" si="58"/>
        <v/>
      </c>
      <c r="AE419" s="5" t="str">
        <f>IFERROR(IF($AF419="Titolare",INDEX('Stato Asta'!$G$9:$G$12,MATCH($B419,'Stato Asta'!$A$9:$A$12,0)),INDEX('Stato Asta'!$P$9:$P$12,MATCH($B419,'Stato Asta'!$A$9:$A$12,0))),"")</f>
        <v>🟢 Riserve abbondanti</v>
      </c>
      <c r="AF419" t="str">
        <f>IFERROR(IF($V419&lt;=INDEX('Parametri Modello'!$C$57:$C$60,MATCH($B419,'Parametri Modello'!$A$57:$A$60,0)),"Titolare","Riserva"),"")</f>
        <v>Riserva</v>
      </c>
      <c r="AG419" t="str">
        <f>IFERROR(INDEX('Pressione Competitiva'!$F$3:$F$6,MATCH($B419,'Pressione Competitiva'!$B$3:$B$6,0)),"")</f>
        <v>🔴 Molto Alta</v>
      </c>
      <c r="AH419" t="str">
        <f t="shared" si="59"/>
        <v/>
      </c>
      <c r="AI419" t="str">
        <f>IFERROR(IF($AH419="","",IF($AH419&gt;=$AA419*'Parametri Modello'!$B$68,"🟢 Opportunita'",IF($AH419&lt;=$AA419*'Parametri Modello'!$B$69,"🔴 Sovrapprezzo","🟡 Prezzo Corretto"))),"")</f>
        <v/>
      </c>
      <c r="AJ419" t="str">
        <f t="shared" si="60"/>
        <v/>
      </c>
      <c r="AK419" t="str">
        <f t="shared" si="61"/>
        <v/>
      </c>
      <c r="AL419" t="str">
        <f t="shared" si="62"/>
        <v/>
      </c>
    </row>
    <row r="420" spans="1:38" ht="14.25" customHeight="1" x14ac:dyDescent="0.25">
      <c r="A420" s="18">
        <v>7471</v>
      </c>
      <c r="B420" s="18" t="s">
        <v>88</v>
      </c>
      <c r="C420" s="18" t="s">
        <v>244</v>
      </c>
      <c r="E420" s="23" t="str">
        <f>IF(COUNTIF('Info Strategia'!$D$2:$D$51,$C420)&gt;0,"SI","NO")</f>
        <v>NO</v>
      </c>
      <c r="F420" s="24">
        <f>IFERROR(ROUND(($G420+($H420-$G420)*'Info Strategia'!$B$6)*(1+IF($E420="SI",'Parametri Modello'!$B$7*'Info Strategia'!$B$6,0)),0),"")</f>
        <v>1</v>
      </c>
      <c r="G420" s="24">
        <f>IFERROR(ROUND(MAX(1,(IF($V420&lt;=INDEX('Parametri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H420" s="24">
        <f>IFERROR(ROUND((IF($V420&lt;=INDEX('Parametri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I420" s="23" t="str">
        <f>IFERROR(INDEX('Input Statistiche 2025_26'!$F$3:$F$665,MATCH($A420,'Input Statistiche 2025_26'!$A$3:$A$665,0)),"")</f>
        <v/>
      </c>
      <c r="J420" s="23" t="str">
        <f t="shared" si="54"/>
        <v/>
      </c>
      <c r="K420" s="23" t="str">
        <f>IFERROR(INDEX('Input Statistiche 2025_26'!$I$3:$I$665,MATCH($A420,'Input Statistiche 2025_26'!$A$3:$A$665,0)),"")</f>
        <v/>
      </c>
      <c r="L420" s="23" t="str">
        <f>IFERROR(INDEX('Input Statistiche 2025_26'!$O$3:$O$665,MATCH($A420,'Input Statistiche 2025_26'!$A$3:$A$665,0)),"")</f>
        <v/>
      </c>
      <c r="M420" s="25"/>
      <c r="N420" s="24">
        <f>IFERROR(INDEX('Input Giocatori 2026_27'!$E$3:$E$493,MATCH($A420,'Input Giocatori 2026_27'!$A$3:$A$493,0)),"")</f>
        <v>1</v>
      </c>
      <c r="O420" s="24">
        <f>IFERROR(INDEX('Input Giocatori 2026_27'!$G$3:$G$493,MATCH($A420,'Input Giocatori 2026_27'!$A$3:$A$493,0)),"")</f>
        <v>3</v>
      </c>
      <c r="P420" s="23" t="str">
        <f>IFERROR(IF($O420="","",IF((1-(COUNTIFS($B$2:$B$492,$B420,$O$2:$O$492,"&gt;"&amp;$O420)+1-1)/COUNTIF($B$2:$B$492,$B420))&gt;='Parametri Modello'!$B$63,"Top",IF((1-(COUNTIFS($B$2:$B$492,$B420,$O$2:$O$492,"&gt;"&amp;$O420)+1-1)/COUNTIF($B$2:$B$492,$B420))&gt;='Parametri Modello'!$B$64,"Buono",IF((1-(COUNTIFS($B$2:$B$492,$B420,$O$2:$O$492,"&gt;"&amp;$O420)+1-1)/COUNTIF($B$2:$B$492,$B420))&gt;='Parametri Modello'!$B$65,"Nella Media","Scommessa/Riserva")))),"")</f>
        <v>Scommessa/Riserva</v>
      </c>
      <c r="Q420" s="26" t="str">
        <f>IF(AND($D420="",$N420&gt;1),SUMPRODUCT(($D$2:$D420="")*($N$2:$N420&gt;1)),"")</f>
        <v/>
      </c>
      <c r="R420" s="26" t="str">
        <f>IF($D420='Info Lega'!$B$28,COUNTIFS($D$2:$D420,'Info Lega'!$B$28),"")</f>
        <v/>
      </c>
      <c r="S420" s="27" t="str">
        <f>IFERROR(INDEX('Input Statistiche 2025_26'!$G$3:$G$665,MATCH($A420,'Input Statistiche 2025_26'!$A$3:$A$665,0)),"")</f>
        <v/>
      </c>
      <c r="T420" s="27" t="str">
        <f>IFERROR(INDEX('Input Statistiche 2025_26'!$H$3:$H$665,MATCH($A420,'Input Statistiche 2025_26'!$A$3:$A$665,0)),"")</f>
        <v/>
      </c>
      <c r="U420" s="23" t="str">
        <f>IF(OR('La Mia Rosa'!$O$12="",$D420&lt;&gt;""),"",IF($F420&lt;='La Mia Rosa'!$O$12*'Parametri Modello'!$B$24,"OK",IF($F420&lt;='La Mia Rosa'!$O$12*'Parametri Modello'!$B$25,"Attenzione","Rischio Alto")))</f>
        <v>OK</v>
      </c>
      <c r="V420" s="23">
        <f t="shared" si="55"/>
        <v>156</v>
      </c>
      <c r="W420" s="18">
        <f>'Info Lega'!$B$4-SUMIFS($M$2:$M$492,$D$2:$D$492,'Info Lega'!$B$28)</f>
        <v>1000</v>
      </c>
      <c r="X420" s="18">
        <f>('Info Lega'!$B$5-COUNTIFS($D$2:$D$492,'Info Lega'!$B$28,$B$2:$B$492,"P"))+('Info Lega'!$B$6-COUNTIFS($D$2:$D$492,'Info Lega'!$B$28,$B$2:$B$492,"D"))+('Info Lega'!$B$7-COUNTIFS($D$2:$D$492,'Info Lega'!$B$28,$B$2:$B$492,"C"))+('Info Lega'!$B$8-COUNTIFS($D$2:$D$492,'Info Lega'!$B$28,$B$2:$B$492,"A"))</f>
        <v>25</v>
      </c>
      <c r="Y420" s="18">
        <f>X420*'Parametri Modello'!$B$30</f>
        <v>25</v>
      </c>
      <c r="Z420" s="18">
        <f t="shared" si="56"/>
        <v>975</v>
      </c>
      <c r="AA420" s="18">
        <f t="shared" si="57"/>
        <v>1</v>
      </c>
      <c r="AB420" s="18"/>
      <c r="AC420" s="18" t="str">
        <f>IF($AB420="","",IF($AB420&gt;$AA420,"PASS",IF($AB420&lt;=$AA420*(1-'Parametri Modello'!$B$68),"BID","ATTENZIONE")))</f>
        <v/>
      </c>
      <c r="AD420" s="28" t="str">
        <f t="shared" si="58"/>
        <v/>
      </c>
      <c r="AE420" s="5" t="str">
        <f>IFERROR(IF($AF420="Titolare",INDEX('Stato Asta'!$G$9:$G$12,MATCH($B420,'Stato Asta'!$A$9:$A$12,0)),INDEX('Stato Asta'!$P$9:$P$12,MATCH($B420,'Stato Asta'!$A$9:$A$12,0))),"")</f>
        <v>🟢 Riserve abbondanti</v>
      </c>
      <c r="AF420" t="str">
        <f>IFERROR(IF($V420&lt;=INDEX('Parametri Modello'!$C$57:$C$60,MATCH($B420,'Parametri Modello'!$A$57:$A$60,0)),"Titolare","Riserva"),"")</f>
        <v>Riserva</v>
      </c>
      <c r="AG420" t="str">
        <f>IFERROR(INDEX('Pressione Competitiva'!$F$3:$F$6,MATCH($B420,'Pressione Competitiva'!$B$3:$B$6,0)),"")</f>
        <v>🔴 Molto Alta</v>
      </c>
      <c r="AH420" t="str">
        <f t="shared" si="59"/>
        <v/>
      </c>
      <c r="AI420" t="str">
        <f>IFERROR(IF($AH420="","",IF($AH420&gt;=$AA420*'Parametri Modello'!$B$68,"🟢 Opportunita'",IF($AH420&lt;=$AA420*'Parametri Modello'!$B$69,"🔴 Sovrapprezzo","🟡 Prezzo Corretto"))),"")</f>
        <v/>
      </c>
      <c r="AJ420" t="str">
        <f t="shared" si="60"/>
        <v/>
      </c>
      <c r="AK420" t="str">
        <f t="shared" si="61"/>
        <v/>
      </c>
      <c r="AL420" t="str">
        <f t="shared" si="62"/>
        <v/>
      </c>
    </row>
    <row r="421" spans="1:38" ht="14.25" customHeight="1" x14ac:dyDescent="0.25">
      <c r="A421" s="18">
        <v>294</v>
      </c>
      <c r="B421" s="18" t="s">
        <v>88</v>
      </c>
      <c r="C421" s="18" t="s">
        <v>247</v>
      </c>
      <c r="E421" s="23" t="str">
        <f>IF(COUNTIF('Info Strategia'!$D$2:$D$51,$C421)&gt;0,"SI","NO")</f>
        <v>NO</v>
      </c>
      <c r="F421" s="24">
        <f>IFERROR(ROUND(($G421+($H421-$G421)*'Info Strategia'!$B$6)*(1+IF($E421="SI",'Parametri Modello'!$B$7*'Info Strategia'!$B$6,0)),0),"")</f>
        <v>1</v>
      </c>
      <c r="G421" s="24">
        <f>IFERROR(ROUND(MAX(1,(IF($V421&lt;=INDEX('Parametri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H421" s="24">
        <f>IFERROR(ROUND((IF($V421&lt;=INDEX('Parametri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I421" s="23">
        <f>IFERROR(INDEX('Input Statistiche 2025_26'!$F$3:$F$665,MATCH($A421,'Input Statistiche 2025_26'!$A$3:$A$665,0)),"")</f>
        <v>8</v>
      </c>
      <c r="J421" s="23">
        <f t="shared" si="54"/>
        <v>30</v>
      </c>
      <c r="K421" s="23">
        <f>IFERROR(INDEX('Input Statistiche 2025_26'!$I$3:$I$665,MATCH($A421,'Input Statistiche 2025_26'!$A$3:$A$665,0)),"")</f>
        <v>0</v>
      </c>
      <c r="L421" s="23">
        <f>IFERROR(INDEX('Input Statistiche 2025_26'!$O$3:$O$665,MATCH($A421,'Input Statistiche 2025_26'!$A$3:$A$665,0)),"")</f>
        <v>0</v>
      </c>
      <c r="M421" s="25"/>
      <c r="N421" s="24">
        <f>IFERROR(INDEX('Input Giocatori 2026_27'!$E$3:$E$493,MATCH($A421,'Input Giocatori 2026_27'!$A$3:$A$493,0)),"")</f>
        <v>1</v>
      </c>
      <c r="O421" s="24">
        <f>IFERROR(INDEX('Input Giocatori 2026_27'!$G$3:$G$493,MATCH($A421,'Input Giocatori 2026_27'!$A$3:$A$493,0)),"")</f>
        <v>3</v>
      </c>
      <c r="P421" s="23" t="str">
        <f>IFERROR(IF($O421="","",IF((1-(COUNTIFS($B$2:$B$492,$B421,$O$2:$O$492,"&gt;"&amp;$O421)+1-1)/COUNTIF($B$2:$B$492,$B421))&gt;='Parametri Modello'!$B$63,"Top",IF((1-(COUNTIFS($B$2:$B$492,$B421,$O$2:$O$492,"&gt;"&amp;$O421)+1-1)/COUNTIF($B$2:$B$492,$B421))&gt;='Parametri Modello'!$B$64,"Buono",IF((1-(COUNTIFS($B$2:$B$492,$B421,$O$2:$O$492,"&gt;"&amp;$O421)+1-1)/COUNTIF($B$2:$B$492,$B421))&gt;='Parametri Modello'!$B$65,"Nella Media","Scommessa/Riserva")))),"")</f>
        <v>Scommessa/Riserva</v>
      </c>
      <c r="Q421" s="26" t="str">
        <f>IF(AND($D421="",$N421&gt;1),SUMPRODUCT(($D$2:$D421="")*($N$2:$N421&gt;1)),"")</f>
        <v/>
      </c>
      <c r="R421" s="26" t="str">
        <f>IF($D421='Info Lega'!$B$28,COUNTIFS($D$2:$D421,'Info Lega'!$B$28),"")</f>
        <v/>
      </c>
      <c r="S421" s="27">
        <f>IFERROR(INDEX('Input Statistiche 2025_26'!$G$3:$G$665,MATCH($A421,'Input Statistiche 2025_26'!$A$3:$A$665,0)),"")</f>
        <v>5.69</v>
      </c>
      <c r="T421" s="27">
        <f>IFERROR(INDEX('Input Statistiche 2025_26'!$H$3:$H$665,MATCH($A421,'Input Statistiche 2025_26'!$A$3:$A$665,0)),"")</f>
        <v>5.56</v>
      </c>
      <c r="U421" s="23" t="str">
        <f>IF(OR('La Mia Rosa'!$O$12="",$D421&lt;&gt;""),"",IF($F421&lt;='La Mia Rosa'!$O$12*'Parametri Modello'!$B$24,"OK",IF($F421&lt;='La Mia Rosa'!$O$12*'Parametri Modello'!$B$25,"Attenzione","Rischio Alto")))</f>
        <v>OK</v>
      </c>
      <c r="V421" s="23">
        <f t="shared" si="55"/>
        <v>156</v>
      </c>
      <c r="W421" s="18">
        <f>'Info Lega'!$B$4-SUMIFS($M$2:$M$492,$D$2:$D$492,'Info Lega'!$B$28)</f>
        <v>1000</v>
      </c>
      <c r="X421" s="18">
        <f>('Info Lega'!$B$5-COUNTIFS($D$2:$D$492,'Info Lega'!$B$28,$B$2:$B$492,"P"))+('Info Lega'!$B$6-COUNTIFS($D$2:$D$492,'Info Lega'!$B$28,$B$2:$B$492,"D"))+('Info Lega'!$B$7-COUNTIFS($D$2:$D$492,'Info Lega'!$B$28,$B$2:$B$492,"C"))+('Info Lega'!$B$8-COUNTIFS($D$2:$D$492,'Info Lega'!$B$28,$B$2:$B$492,"A"))</f>
        <v>25</v>
      </c>
      <c r="Y421" s="18">
        <f>X421*'Parametri Modello'!$B$30</f>
        <v>25</v>
      </c>
      <c r="Z421" s="18">
        <f t="shared" si="56"/>
        <v>975</v>
      </c>
      <c r="AA421" s="18">
        <f t="shared" si="57"/>
        <v>1</v>
      </c>
      <c r="AB421" s="18"/>
      <c r="AC421" s="18" t="str">
        <f>IF($AB421="","",IF($AB421&gt;$AA421,"PASS",IF($AB421&lt;=$AA421*(1-'Parametri Modello'!$B$68),"BID","ATTENZIONE")))</f>
        <v/>
      </c>
      <c r="AD421" s="28">
        <f t="shared" si="58"/>
        <v>23</v>
      </c>
      <c r="AE421" s="5" t="str">
        <f>IFERROR(IF($AF421="Titolare",INDEX('Stato Asta'!$G$9:$G$12,MATCH($B421,'Stato Asta'!$A$9:$A$12,0)),INDEX('Stato Asta'!$P$9:$P$12,MATCH($B421,'Stato Asta'!$A$9:$A$12,0))),"")</f>
        <v>🟢 Riserve abbondanti</v>
      </c>
      <c r="AF421" t="str">
        <f>IFERROR(IF($V421&lt;=INDEX('Parametri Modello'!$C$57:$C$60,MATCH($B421,'Parametri Modello'!$A$57:$A$60,0)),"Titolare","Riserva"),"")</f>
        <v>Riserva</v>
      </c>
      <c r="AG421" t="str">
        <f>IFERROR(INDEX('Pressione Competitiva'!$F$3:$F$6,MATCH($B421,'Pressione Competitiva'!$B$3:$B$6,0)),"")</f>
        <v>🔴 Molto Alta</v>
      </c>
      <c r="AH421" t="str">
        <f t="shared" si="59"/>
        <v/>
      </c>
      <c r="AI421" t="str">
        <f>IFERROR(IF($AH421="","",IF($AH421&gt;=$AA421*'Parametri Modello'!$B$68,"🟢 Opportunita'",IF($AH421&lt;=$AA421*'Parametri Modello'!$B$69,"🔴 Sovrapprezzo","🟡 Prezzo Corretto"))),"")</f>
        <v/>
      </c>
      <c r="AJ421" t="str">
        <f t="shared" si="60"/>
        <v/>
      </c>
      <c r="AK421" t="str">
        <f t="shared" si="61"/>
        <v/>
      </c>
      <c r="AL421" t="str">
        <f t="shared" si="62"/>
        <v/>
      </c>
    </row>
    <row r="422" spans="1:38" ht="14.25" customHeight="1" x14ac:dyDescent="0.25">
      <c r="A422" s="18">
        <v>5481</v>
      </c>
      <c r="B422" s="18" t="s">
        <v>88</v>
      </c>
      <c r="C422" s="18" t="s">
        <v>255</v>
      </c>
      <c r="E422" s="23" t="str">
        <f>IF(COUNTIF('Info Strategia'!$D$2:$D$51,$C422)&gt;0,"SI","NO")</f>
        <v>NO</v>
      </c>
      <c r="F422" s="24">
        <f>IFERROR(ROUND(($G422+($H422-$G422)*'Info Strategia'!$B$6)*(1+IF($E422="SI",'Parametri Modello'!$B$7*'Info Strategia'!$B$6,0)),0),"")</f>
        <v>1</v>
      </c>
      <c r="G422" s="24">
        <f>IFERROR(ROUND(MAX(1,(IF($V422&lt;=INDEX('Parametri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H422" s="24">
        <f>IFERROR(ROUND((IF($V422&lt;=INDEX('Parametri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I422" s="23">
        <f>IFERROR(INDEX('Input Statistiche 2025_26'!$F$3:$F$665,MATCH($A422,'Input Statistiche 2025_26'!$A$3:$A$665,0)),"")</f>
        <v>9</v>
      </c>
      <c r="J422" s="23">
        <f t="shared" si="54"/>
        <v>29</v>
      </c>
      <c r="K422" s="23">
        <f>IFERROR(INDEX('Input Statistiche 2025_26'!$I$3:$I$665,MATCH($A422,'Input Statistiche 2025_26'!$A$3:$A$665,0)),"")</f>
        <v>0</v>
      </c>
      <c r="L422" s="23">
        <f>IFERROR(INDEX('Input Statistiche 2025_26'!$O$3:$O$665,MATCH($A422,'Input Statistiche 2025_26'!$A$3:$A$665,0)),"")</f>
        <v>1</v>
      </c>
      <c r="M422" s="25"/>
      <c r="N422" s="24">
        <f>IFERROR(INDEX('Input Giocatori 2026_27'!$E$3:$E$493,MATCH($A422,'Input Giocatori 2026_27'!$A$3:$A$493,0)),"")</f>
        <v>1</v>
      </c>
      <c r="O422" s="24">
        <f>IFERROR(INDEX('Input Giocatori 2026_27'!$G$3:$G$493,MATCH($A422,'Input Giocatori 2026_27'!$A$3:$A$493,0)),"")</f>
        <v>3</v>
      </c>
      <c r="P422" s="23" t="str">
        <f>IFERROR(IF($O422="","",IF((1-(COUNTIFS($B$2:$B$492,$B422,$O$2:$O$492,"&gt;"&amp;$O422)+1-1)/COUNTIF($B$2:$B$492,$B422))&gt;='Parametri Modello'!$B$63,"Top",IF((1-(COUNTIFS($B$2:$B$492,$B422,$O$2:$O$492,"&gt;"&amp;$O422)+1-1)/COUNTIF($B$2:$B$492,$B422))&gt;='Parametri Modello'!$B$64,"Buono",IF((1-(COUNTIFS($B$2:$B$492,$B422,$O$2:$O$492,"&gt;"&amp;$O422)+1-1)/COUNTIF($B$2:$B$492,$B422))&gt;='Parametri Modello'!$B$65,"Nella Media","Scommessa/Riserva")))),"")</f>
        <v>Scommessa/Riserva</v>
      </c>
      <c r="Q422" s="26" t="str">
        <f>IF(AND($D422="",$N422&gt;1),SUMPRODUCT(($D$2:$D422="")*($N$2:$N422&gt;1)),"")</f>
        <v/>
      </c>
      <c r="R422" s="26" t="str">
        <f>IF($D422='Info Lega'!$B$28,COUNTIFS($D$2:$D422,'Info Lega'!$B$28),"")</f>
        <v/>
      </c>
      <c r="S422" s="27">
        <f>IFERROR(INDEX('Input Statistiche 2025_26'!$G$3:$G$665,MATCH($A422,'Input Statistiche 2025_26'!$A$3:$A$665,0)),"")</f>
        <v>5.94</v>
      </c>
      <c r="T422" s="27">
        <f>IFERROR(INDEX('Input Statistiche 2025_26'!$H$3:$H$665,MATCH($A422,'Input Statistiche 2025_26'!$A$3:$A$665,0)),"")</f>
        <v>5.94</v>
      </c>
      <c r="U422" s="23" t="str">
        <f>IF(OR('La Mia Rosa'!$O$12="",$D422&lt;&gt;""),"",IF($F422&lt;='La Mia Rosa'!$O$12*'Parametri Modello'!$B$24,"OK",IF($F422&lt;='La Mia Rosa'!$O$12*'Parametri Modello'!$B$25,"Attenzione","Rischio Alto")))</f>
        <v>OK</v>
      </c>
      <c r="V422" s="23">
        <f t="shared" si="55"/>
        <v>156</v>
      </c>
      <c r="W422" s="18">
        <f>'Info Lega'!$B$4-SUMIFS($M$2:$M$492,$D$2:$D$492,'Info Lega'!$B$28)</f>
        <v>1000</v>
      </c>
      <c r="X422" s="18">
        <f>('Info Lega'!$B$5-COUNTIFS($D$2:$D$492,'Info Lega'!$B$28,$B$2:$B$492,"P"))+('Info Lega'!$B$6-COUNTIFS($D$2:$D$492,'Info Lega'!$B$28,$B$2:$B$492,"D"))+('Info Lega'!$B$7-COUNTIFS($D$2:$D$492,'Info Lega'!$B$28,$B$2:$B$492,"C"))+('Info Lega'!$B$8-COUNTIFS($D$2:$D$492,'Info Lega'!$B$28,$B$2:$B$492,"A"))</f>
        <v>25</v>
      </c>
      <c r="Y422" s="18">
        <f>X422*'Parametri Modello'!$B$30</f>
        <v>25</v>
      </c>
      <c r="Z422" s="18">
        <f t="shared" si="56"/>
        <v>975</v>
      </c>
      <c r="AA422" s="18">
        <f t="shared" si="57"/>
        <v>1</v>
      </c>
      <c r="AB422" s="18"/>
      <c r="AC422" s="18" t="str">
        <f>IF($AB422="","",IF($AB422&gt;$AA422,"PASS",IF($AB422&lt;=$AA422*(1-'Parametri Modello'!$B$68),"BID","ATTENZIONE")))</f>
        <v/>
      </c>
      <c r="AD422" s="28">
        <f t="shared" si="58"/>
        <v>26</v>
      </c>
      <c r="AE422" s="5" t="str">
        <f>IFERROR(IF($AF422="Titolare",INDEX('Stato Asta'!$G$9:$G$12,MATCH($B422,'Stato Asta'!$A$9:$A$12,0)),INDEX('Stato Asta'!$P$9:$P$12,MATCH($B422,'Stato Asta'!$A$9:$A$12,0))),"")</f>
        <v>🟢 Riserve abbondanti</v>
      </c>
      <c r="AF422" t="str">
        <f>IFERROR(IF($V422&lt;=INDEX('Parametri Modello'!$C$57:$C$60,MATCH($B422,'Parametri Modello'!$A$57:$A$60,0)),"Titolare","Riserva"),"")</f>
        <v>Riserva</v>
      </c>
      <c r="AG422" t="str">
        <f>IFERROR(INDEX('Pressione Competitiva'!$F$3:$F$6,MATCH($B422,'Pressione Competitiva'!$B$3:$B$6,0)),"")</f>
        <v>🔴 Molto Alta</v>
      </c>
      <c r="AH422" t="str">
        <f t="shared" si="59"/>
        <v/>
      </c>
      <c r="AI422" t="str">
        <f>IFERROR(IF($AH422="","",IF($AH422&gt;=$AA422*'Parametri Modello'!$B$68,"🟢 Opportunita'",IF($AH422&lt;=$AA422*'Parametri Modello'!$B$69,"🔴 Sovrapprezzo","🟡 Prezzo Corretto"))),"")</f>
        <v/>
      </c>
      <c r="AJ422" t="str">
        <f t="shared" si="60"/>
        <v/>
      </c>
      <c r="AK422" t="str">
        <f t="shared" si="61"/>
        <v/>
      </c>
      <c r="AL422" t="str">
        <f t="shared" si="62"/>
        <v/>
      </c>
    </row>
    <row r="423" spans="1:38" ht="14.25" customHeight="1" x14ac:dyDescent="0.25">
      <c r="A423" s="18">
        <v>6149</v>
      </c>
      <c r="B423" s="18" t="s">
        <v>88</v>
      </c>
      <c r="C423" s="18" t="s">
        <v>257</v>
      </c>
      <c r="E423" s="23" t="str">
        <f>IF(COUNTIF('Info Strategia'!$D$2:$D$51,$C423)&gt;0,"SI","NO")</f>
        <v>NO</v>
      </c>
      <c r="F423" s="24">
        <f>IFERROR(ROUND(($G423+($H423-$G423)*'Info Strategia'!$B$6)*(1+IF($E423="SI",'Parametri Modello'!$B$7*'Info Strategia'!$B$6,0)),0),"")</f>
        <v>1</v>
      </c>
      <c r="G423" s="24">
        <f>IFERROR(ROUND(MAX(1,(IF($V423&lt;=INDEX('Parametri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H423" s="24">
        <f>IFERROR(ROUND((IF($V423&lt;=INDEX('Parametri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I423" s="23">
        <f>IFERROR(INDEX('Input Statistiche 2025_26'!$F$3:$F$665,MATCH($A423,'Input Statistiche 2025_26'!$A$3:$A$665,0)),"")</f>
        <v>2</v>
      </c>
      <c r="J423" s="23">
        <f t="shared" si="54"/>
        <v>36</v>
      </c>
      <c r="K423" s="23">
        <f>IFERROR(INDEX('Input Statistiche 2025_26'!$I$3:$I$665,MATCH($A423,'Input Statistiche 2025_26'!$A$3:$A$665,0)),"")</f>
        <v>0</v>
      </c>
      <c r="L423" s="23">
        <f>IFERROR(INDEX('Input Statistiche 2025_26'!$O$3:$O$665,MATCH($A423,'Input Statistiche 2025_26'!$A$3:$A$665,0)),"")</f>
        <v>0</v>
      </c>
      <c r="M423" s="25"/>
      <c r="N423" s="24">
        <f>IFERROR(INDEX('Input Giocatori 2026_27'!$E$3:$E$493,MATCH($A423,'Input Giocatori 2026_27'!$A$3:$A$493,0)),"")</f>
        <v>1</v>
      </c>
      <c r="O423" s="24">
        <f>IFERROR(INDEX('Input Giocatori 2026_27'!$G$3:$G$493,MATCH($A423,'Input Giocatori 2026_27'!$A$3:$A$493,0)),"")</f>
        <v>3</v>
      </c>
      <c r="P423" s="23" t="str">
        <f>IFERROR(IF($O423="","",IF((1-(COUNTIFS($B$2:$B$492,$B423,$O$2:$O$492,"&gt;"&amp;$O423)+1-1)/COUNTIF($B$2:$B$492,$B423))&gt;='Parametri Modello'!$B$63,"Top",IF((1-(COUNTIFS($B$2:$B$492,$B423,$O$2:$O$492,"&gt;"&amp;$O423)+1-1)/COUNTIF($B$2:$B$492,$B423))&gt;='Parametri Modello'!$B$64,"Buono",IF((1-(COUNTIFS($B$2:$B$492,$B423,$O$2:$O$492,"&gt;"&amp;$O423)+1-1)/COUNTIF($B$2:$B$492,$B423))&gt;='Parametri Modello'!$B$65,"Nella Media","Scommessa/Riserva")))),"")</f>
        <v>Scommessa/Riserva</v>
      </c>
      <c r="Q423" s="26" t="str">
        <f>IF(AND($D423="",$N423&gt;1),SUMPRODUCT(($D$2:$D423="")*($N$2:$N423&gt;1)),"")</f>
        <v/>
      </c>
      <c r="R423" s="26" t="str">
        <f>IF($D423='Info Lega'!$B$28,COUNTIFS($D$2:$D423,'Info Lega'!$B$28),"")</f>
        <v/>
      </c>
      <c r="S423" s="27">
        <f>IFERROR(INDEX('Input Statistiche 2025_26'!$G$3:$G$665,MATCH($A423,'Input Statistiche 2025_26'!$A$3:$A$665,0)),"")</f>
        <v>6</v>
      </c>
      <c r="T423" s="27">
        <f>IFERROR(INDEX('Input Statistiche 2025_26'!$H$3:$H$665,MATCH($A423,'Input Statistiche 2025_26'!$A$3:$A$665,0)),"")</f>
        <v>6</v>
      </c>
      <c r="U423" s="23" t="str">
        <f>IF(OR('La Mia Rosa'!$O$12="",$D423&lt;&gt;""),"",IF($F423&lt;='La Mia Rosa'!$O$12*'Parametri Modello'!$B$24,"OK",IF($F423&lt;='La Mia Rosa'!$O$12*'Parametri Modello'!$B$25,"Attenzione","Rischio Alto")))</f>
        <v>OK</v>
      </c>
      <c r="V423" s="23">
        <f t="shared" si="55"/>
        <v>156</v>
      </c>
      <c r="W423" s="18">
        <f>'Info Lega'!$B$4-SUMIFS($M$2:$M$492,$D$2:$D$492,'Info Lega'!$B$28)</f>
        <v>1000</v>
      </c>
      <c r="X423" s="18">
        <f>('Info Lega'!$B$5-COUNTIFS($D$2:$D$492,'Info Lega'!$B$28,$B$2:$B$492,"P"))+('Info Lega'!$B$6-COUNTIFS($D$2:$D$492,'Info Lega'!$B$28,$B$2:$B$492,"D"))+('Info Lega'!$B$7-COUNTIFS($D$2:$D$492,'Info Lega'!$B$28,$B$2:$B$492,"C"))+('Info Lega'!$B$8-COUNTIFS($D$2:$D$492,'Info Lega'!$B$28,$B$2:$B$492,"A"))</f>
        <v>25</v>
      </c>
      <c r="Y423" s="18">
        <f>X423*'Parametri Modello'!$B$30</f>
        <v>25</v>
      </c>
      <c r="Z423" s="18">
        <f t="shared" si="56"/>
        <v>975</v>
      </c>
      <c r="AA423" s="18">
        <f t="shared" si="57"/>
        <v>1</v>
      </c>
      <c r="AB423" s="18"/>
      <c r="AC423" s="18" t="str">
        <f>IF($AB423="","",IF($AB423&gt;$AA423,"PASS",IF($AB423&lt;=$AA423*(1-'Parametri Modello'!$B$68),"BID","ATTENZIONE")))</f>
        <v/>
      </c>
      <c r="AD423" s="28">
        <f t="shared" si="58"/>
        <v>6</v>
      </c>
      <c r="AE423" s="5" t="str">
        <f>IFERROR(IF($AF423="Titolare",INDEX('Stato Asta'!$G$9:$G$12,MATCH($B423,'Stato Asta'!$A$9:$A$12,0)),INDEX('Stato Asta'!$P$9:$P$12,MATCH($B423,'Stato Asta'!$A$9:$A$12,0))),"")</f>
        <v>🟢 Riserve abbondanti</v>
      </c>
      <c r="AF423" t="str">
        <f>IFERROR(IF($V423&lt;=INDEX('Parametri Modello'!$C$57:$C$60,MATCH($B423,'Parametri Modello'!$A$57:$A$60,0)),"Titolare","Riserva"),"")</f>
        <v>Riserva</v>
      </c>
      <c r="AG423" t="str">
        <f>IFERROR(INDEX('Pressione Competitiva'!$F$3:$F$6,MATCH($B423,'Pressione Competitiva'!$B$3:$B$6,0)),"")</f>
        <v>🔴 Molto Alta</v>
      </c>
      <c r="AH423" t="str">
        <f t="shared" si="59"/>
        <v/>
      </c>
      <c r="AI423" t="str">
        <f>IFERROR(IF($AH423="","",IF($AH423&gt;=$AA423*'Parametri Modello'!$B$68,"🟢 Opportunita'",IF($AH423&lt;=$AA423*'Parametri Modello'!$B$69,"🔴 Sovrapprezzo","🟡 Prezzo Corretto"))),"")</f>
        <v/>
      </c>
      <c r="AJ423" t="str">
        <f t="shared" si="60"/>
        <v/>
      </c>
      <c r="AK423" t="str">
        <f t="shared" si="61"/>
        <v/>
      </c>
      <c r="AL423" t="str">
        <f t="shared" si="62"/>
        <v/>
      </c>
    </row>
    <row r="424" spans="1:38" ht="14.25" customHeight="1" x14ac:dyDescent="0.25">
      <c r="A424" s="18">
        <v>7356</v>
      </c>
      <c r="B424" s="18" t="s">
        <v>88</v>
      </c>
      <c r="C424" s="18" t="s">
        <v>261</v>
      </c>
      <c r="E424" s="23" t="str">
        <f>IF(COUNTIF('Info Strategia'!$D$2:$D$51,$C424)&gt;0,"SI","NO")</f>
        <v>NO</v>
      </c>
      <c r="F424" s="24">
        <f>IFERROR(ROUND(($G424+($H424-$G424)*'Info Strategia'!$B$6)*(1+IF($E424="SI",'Parametri Modello'!$B$7*'Info Strategia'!$B$6,0)),0),"")</f>
        <v>1</v>
      </c>
      <c r="G424" s="24">
        <f>IFERROR(ROUND(MAX(1,(IF($V424&lt;=INDEX('Parametri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H424" s="24">
        <f>IFERROR(ROUND((IF($V424&lt;=INDEX('Parametri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I424" s="23">
        <f>IFERROR(INDEX('Input Statistiche 2025_26'!$F$3:$F$665,MATCH($A424,'Input Statistiche 2025_26'!$A$3:$A$665,0)),"")</f>
        <v>3</v>
      </c>
      <c r="J424" s="23">
        <f t="shared" si="54"/>
        <v>35</v>
      </c>
      <c r="K424" s="23">
        <f>IFERROR(INDEX('Input Statistiche 2025_26'!$I$3:$I$665,MATCH($A424,'Input Statistiche 2025_26'!$A$3:$A$665,0)),"")</f>
        <v>0</v>
      </c>
      <c r="L424" s="23">
        <f>IFERROR(INDEX('Input Statistiche 2025_26'!$O$3:$O$665,MATCH($A424,'Input Statistiche 2025_26'!$A$3:$A$665,0)),"")</f>
        <v>0</v>
      </c>
      <c r="M424" s="25"/>
      <c r="N424" s="24">
        <f>IFERROR(INDEX('Input Giocatori 2026_27'!$E$3:$E$493,MATCH($A424,'Input Giocatori 2026_27'!$A$3:$A$493,0)),"")</f>
        <v>1</v>
      </c>
      <c r="O424" s="24">
        <f>IFERROR(INDEX('Input Giocatori 2026_27'!$G$3:$G$493,MATCH($A424,'Input Giocatori 2026_27'!$A$3:$A$493,0)),"")</f>
        <v>3</v>
      </c>
      <c r="P424" s="23" t="str">
        <f>IFERROR(IF($O424="","",IF((1-(COUNTIFS($B$2:$B$492,$B424,$O$2:$O$492,"&gt;"&amp;$O424)+1-1)/COUNTIF($B$2:$B$492,$B424))&gt;='Parametri Modello'!$B$63,"Top",IF((1-(COUNTIFS($B$2:$B$492,$B424,$O$2:$O$492,"&gt;"&amp;$O424)+1-1)/COUNTIF($B$2:$B$492,$B424))&gt;='Parametri Modello'!$B$64,"Buono",IF((1-(COUNTIFS($B$2:$B$492,$B424,$O$2:$O$492,"&gt;"&amp;$O424)+1-1)/COUNTIF($B$2:$B$492,$B424))&gt;='Parametri Modello'!$B$65,"Nella Media","Scommessa/Riserva")))),"")</f>
        <v>Scommessa/Riserva</v>
      </c>
      <c r="Q424" s="26" t="str">
        <f>IF(AND($D424="",$N424&gt;1),SUMPRODUCT(($D$2:$D424="")*($N$2:$N424&gt;1)),"")</f>
        <v/>
      </c>
      <c r="R424" s="26" t="str">
        <f>IF($D424='Info Lega'!$B$28,COUNTIFS($D$2:$D424,'Info Lega'!$B$28),"")</f>
        <v/>
      </c>
      <c r="S424" s="27">
        <f>IFERROR(INDEX('Input Statistiche 2025_26'!$G$3:$G$665,MATCH($A424,'Input Statistiche 2025_26'!$A$3:$A$665,0)),"")</f>
        <v>5.83</v>
      </c>
      <c r="T424" s="27">
        <f>IFERROR(INDEX('Input Statistiche 2025_26'!$H$3:$H$665,MATCH($A424,'Input Statistiche 2025_26'!$A$3:$A$665,0)),"")</f>
        <v>5.67</v>
      </c>
      <c r="U424" s="23" t="str">
        <f>IF(OR('La Mia Rosa'!$O$12="",$D424&lt;&gt;""),"",IF($F424&lt;='La Mia Rosa'!$O$12*'Parametri Modello'!$B$24,"OK",IF($F424&lt;='La Mia Rosa'!$O$12*'Parametri Modello'!$B$25,"Attenzione","Rischio Alto")))</f>
        <v>OK</v>
      </c>
      <c r="V424" s="23">
        <f t="shared" si="55"/>
        <v>156</v>
      </c>
      <c r="W424" s="18">
        <f>'Info Lega'!$B$4-SUMIFS($M$2:$M$492,$D$2:$D$492,'Info Lega'!$B$28)</f>
        <v>1000</v>
      </c>
      <c r="X424" s="18">
        <f>('Info Lega'!$B$5-COUNTIFS($D$2:$D$492,'Info Lega'!$B$28,$B$2:$B$492,"P"))+('Info Lega'!$B$6-COUNTIFS($D$2:$D$492,'Info Lega'!$B$28,$B$2:$B$492,"D"))+('Info Lega'!$B$7-COUNTIFS($D$2:$D$492,'Info Lega'!$B$28,$B$2:$B$492,"C"))+('Info Lega'!$B$8-COUNTIFS($D$2:$D$492,'Info Lega'!$B$28,$B$2:$B$492,"A"))</f>
        <v>25</v>
      </c>
      <c r="Y424" s="18">
        <f>X424*'Parametri Modello'!$B$30</f>
        <v>25</v>
      </c>
      <c r="Z424" s="18">
        <f t="shared" si="56"/>
        <v>975</v>
      </c>
      <c r="AA424" s="18">
        <f t="shared" si="57"/>
        <v>1</v>
      </c>
      <c r="AB424" s="18"/>
      <c r="AC424" s="18" t="str">
        <f>IF($AB424="","",IF($AB424&gt;$AA424,"PASS",IF($AB424&lt;=$AA424*(1-'Parametri Modello'!$B$68),"BID","ATTENZIONE")))</f>
        <v/>
      </c>
      <c r="AD424" s="28">
        <f t="shared" si="58"/>
        <v>10</v>
      </c>
      <c r="AE424" s="5" t="str">
        <f>IFERROR(IF($AF424="Titolare",INDEX('Stato Asta'!$G$9:$G$12,MATCH($B424,'Stato Asta'!$A$9:$A$12,0)),INDEX('Stato Asta'!$P$9:$P$12,MATCH($B424,'Stato Asta'!$A$9:$A$12,0))),"")</f>
        <v>🟢 Riserve abbondanti</v>
      </c>
      <c r="AF424" t="str">
        <f>IFERROR(IF($V424&lt;=INDEX('Parametri Modello'!$C$57:$C$60,MATCH($B424,'Parametri Modello'!$A$57:$A$60,0)),"Titolare","Riserva"),"")</f>
        <v>Riserva</v>
      </c>
      <c r="AG424" t="str">
        <f>IFERROR(INDEX('Pressione Competitiva'!$F$3:$F$6,MATCH($B424,'Pressione Competitiva'!$B$3:$B$6,0)),"")</f>
        <v>🔴 Molto Alta</v>
      </c>
      <c r="AH424" t="str">
        <f t="shared" si="59"/>
        <v/>
      </c>
      <c r="AI424" t="str">
        <f>IFERROR(IF($AH424="","",IF($AH424&gt;=$AA424*'Parametri Modello'!$B$68,"🟢 Opportunita'",IF($AH424&lt;=$AA424*'Parametri Modello'!$B$69,"🔴 Sovrapprezzo","🟡 Prezzo Corretto"))),"")</f>
        <v/>
      </c>
      <c r="AJ424" t="str">
        <f t="shared" si="60"/>
        <v/>
      </c>
      <c r="AK424" t="str">
        <f t="shared" si="61"/>
        <v/>
      </c>
      <c r="AL424" t="str">
        <f t="shared" si="62"/>
        <v/>
      </c>
    </row>
    <row r="425" spans="1:38" ht="14.25" customHeight="1" x14ac:dyDescent="0.25">
      <c r="A425" s="18">
        <v>6021</v>
      </c>
      <c r="B425" s="18" t="s">
        <v>88</v>
      </c>
      <c r="C425" s="18" t="s">
        <v>262</v>
      </c>
      <c r="E425" s="23" t="str">
        <f>IF(COUNTIF('Info Strategia'!$D$2:$D$51,$C425)&gt;0,"SI","NO")</f>
        <v>NO</v>
      </c>
      <c r="F425" s="24">
        <f>IFERROR(ROUND(($G425+($H425-$G425)*'Info Strategia'!$B$6)*(1+IF($E425="SI",'Parametri Modello'!$B$7*'Info Strategia'!$B$6,0)),0),"")</f>
        <v>1</v>
      </c>
      <c r="G425" s="24">
        <f>IFERROR(ROUND(MAX(1,(IF($V425&lt;=INDEX('Parametri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H425" s="24">
        <f>IFERROR(ROUND((IF($V425&lt;=INDEX('Parametri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I425" s="23" t="str">
        <f>IFERROR(INDEX('Input Statistiche 2025_26'!$F$3:$F$665,MATCH($A425,'Input Statistiche 2025_26'!$A$3:$A$665,0)),"")</f>
        <v/>
      </c>
      <c r="J425" s="23" t="str">
        <f t="shared" si="54"/>
        <v/>
      </c>
      <c r="K425" s="23" t="str">
        <f>IFERROR(INDEX('Input Statistiche 2025_26'!$I$3:$I$665,MATCH($A425,'Input Statistiche 2025_26'!$A$3:$A$665,0)),"")</f>
        <v/>
      </c>
      <c r="L425" s="23" t="str">
        <f>IFERROR(INDEX('Input Statistiche 2025_26'!$O$3:$O$665,MATCH($A425,'Input Statistiche 2025_26'!$A$3:$A$665,0)),"")</f>
        <v/>
      </c>
      <c r="M425" s="25"/>
      <c r="N425" s="24">
        <f>IFERROR(INDEX('Input Giocatori 2026_27'!$E$3:$E$493,MATCH($A425,'Input Giocatori 2026_27'!$A$3:$A$493,0)),"")</f>
        <v>1</v>
      </c>
      <c r="O425" s="24">
        <f>IFERROR(INDEX('Input Giocatori 2026_27'!$G$3:$G$493,MATCH($A425,'Input Giocatori 2026_27'!$A$3:$A$493,0)),"")</f>
        <v>3</v>
      </c>
      <c r="P425" s="23" t="str">
        <f>IFERROR(IF($O425="","",IF((1-(COUNTIFS($B$2:$B$492,$B425,$O$2:$O$492,"&gt;"&amp;$O425)+1-1)/COUNTIF($B$2:$B$492,$B425))&gt;='Parametri Modello'!$B$63,"Top",IF((1-(COUNTIFS($B$2:$B$492,$B425,$O$2:$O$492,"&gt;"&amp;$O425)+1-1)/COUNTIF($B$2:$B$492,$B425))&gt;='Parametri Modello'!$B$64,"Buono",IF((1-(COUNTIFS($B$2:$B$492,$B425,$O$2:$O$492,"&gt;"&amp;$O425)+1-1)/COUNTIF($B$2:$B$492,$B425))&gt;='Parametri Modello'!$B$65,"Nella Media","Scommessa/Riserva")))),"")</f>
        <v>Scommessa/Riserva</v>
      </c>
      <c r="Q425" s="26" t="str">
        <f>IF(AND($D425="",$N425&gt;1),SUMPRODUCT(($D$2:$D425="")*($N$2:$N425&gt;1)),"")</f>
        <v/>
      </c>
      <c r="R425" s="26" t="str">
        <f>IF($D425='Info Lega'!$B$28,COUNTIFS($D$2:$D425,'Info Lega'!$B$28),"")</f>
        <v/>
      </c>
      <c r="S425" s="27" t="str">
        <f>IFERROR(INDEX('Input Statistiche 2025_26'!$G$3:$G$665,MATCH($A425,'Input Statistiche 2025_26'!$A$3:$A$665,0)),"")</f>
        <v/>
      </c>
      <c r="T425" s="27" t="str">
        <f>IFERROR(INDEX('Input Statistiche 2025_26'!$H$3:$H$665,MATCH($A425,'Input Statistiche 2025_26'!$A$3:$A$665,0)),"")</f>
        <v/>
      </c>
      <c r="U425" s="23" t="str">
        <f>IF(OR('La Mia Rosa'!$O$12="",$D425&lt;&gt;""),"",IF($F425&lt;='La Mia Rosa'!$O$12*'Parametri Modello'!$B$24,"OK",IF($F425&lt;='La Mia Rosa'!$O$12*'Parametri Modello'!$B$25,"Attenzione","Rischio Alto")))</f>
        <v>OK</v>
      </c>
      <c r="V425" s="23">
        <f t="shared" si="55"/>
        <v>156</v>
      </c>
      <c r="W425" s="18">
        <f>'Info Lega'!$B$4-SUMIFS($M$2:$M$492,$D$2:$D$492,'Info Lega'!$B$28)</f>
        <v>1000</v>
      </c>
      <c r="X425" s="18">
        <f>('Info Lega'!$B$5-COUNTIFS($D$2:$D$492,'Info Lega'!$B$28,$B$2:$B$492,"P"))+('Info Lega'!$B$6-COUNTIFS($D$2:$D$492,'Info Lega'!$B$28,$B$2:$B$492,"D"))+('Info Lega'!$B$7-COUNTIFS($D$2:$D$492,'Info Lega'!$B$28,$B$2:$B$492,"C"))+('Info Lega'!$B$8-COUNTIFS($D$2:$D$492,'Info Lega'!$B$28,$B$2:$B$492,"A"))</f>
        <v>25</v>
      </c>
      <c r="Y425" s="18">
        <f>X425*'Parametri Modello'!$B$30</f>
        <v>25</v>
      </c>
      <c r="Z425" s="18">
        <f t="shared" si="56"/>
        <v>975</v>
      </c>
      <c r="AA425" s="18">
        <f t="shared" si="57"/>
        <v>1</v>
      </c>
      <c r="AB425" s="18"/>
      <c r="AC425" s="18" t="str">
        <f>IF($AB425="","",IF($AB425&gt;$AA425,"PASS",IF($AB425&lt;=$AA425*(1-'Parametri Modello'!$B$68),"BID","ATTENZIONE")))</f>
        <v/>
      </c>
      <c r="AD425" s="28" t="str">
        <f t="shared" si="58"/>
        <v/>
      </c>
      <c r="AE425" s="5" t="str">
        <f>IFERROR(IF($AF425="Titolare",INDEX('Stato Asta'!$G$9:$G$12,MATCH($B425,'Stato Asta'!$A$9:$A$12,0)),INDEX('Stato Asta'!$P$9:$P$12,MATCH($B425,'Stato Asta'!$A$9:$A$12,0))),"")</f>
        <v>🟢 Riserve abbondanti</v>
      </c>
      <c r="AF425" t="str">
        <f>IFERROR(IF($V425&lt;=INDEX('Parametri Modello'!$C$57:$C$60,MATCH($B425,'Parametri Modello'!$A$57:$A$60,0)),"Titolare","Riserva"),"")</f>
        <v>Riserva</v>
      </c>
      <c r="AG425" t="str">
        <f>IFERROR(INDEX('Pressione Competitiva'!$F$3:$F$6,MATCH($B425,'Pressione Competitiva'!$B$3:$B$6,0)),"")</f>
        <v>🔴 Molto Alta</v>
      </c>
      <c r="AH425" t="str">
        <f t="shared" si="59"/>
        <v/>
      </c>
      <c r="AI425" t="str">
        <f>IFERROR(IF($AH425="","",IF($AH425&gt;=$AA425*'Parametri Modello'!$B$68,"🟢 Opportunita'",IF($AH425&lt;=$AA425*'Parametri Modello'!$B$69,"🔴 Sovrapprezzo","🟡 Prezzo Corretto"))),"")</f>
        <v/>
      </c>
      <c r="AJ425" t="str">
        <f t="shared" si="60"/>
        <v/>
      </c>
      <c r="AK425" t="str">
        <f t="shared" si="61"/>
        <v/>
      </c>
      <c r="AL425" t="str">
        <f t="shared" si="62"/>
        <v/>
      </c>
    </row>
    <row r="426" spans="1:38" ht="14.25" customHeight="1" x14ac:dyDescent="0.25">
      <c r="A426" s="18">
        <v>6815</v>
      </c>
      <c r="B426" s="18" t="s">
        <v>264</v>
      </c>
      <c r="C426" s="18" t="s">
        <v>408</v>
      </c>
      <c r="E426" s="23" t="str">
        <f>IF(COUNTIF('Info Strategia'!$D$2:$D$51,$C426)&gt;0,"SI","NO")</f>
        <v>NO</v>
      </c>
      <c r="F426" s="24">
        <f>IFERROR(ROUND(($G426+($H426-$G426)*'Info Strategia'!$B$6)*(1+IF($E426="SI",'Parametri Modello'!$B$7*'Info Strategia'!$B$6,0)),0),"")</f>
        <v>0</v>
      </c>
      <c r="G426" s="24">
        <f>IFERROR(ROUND(MAX(1,(IF($V426&lt;=INDEX('Parametri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1</v>
      </c>
      <c r="H426" s="24">
        <f>IFERROR(ROUND((IF($V426&lt;=INDEX('Parametri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0</v>
      </c>
      <c r="I426" s="23">
        <f>IFERROR(INDEX('Input Statistiche 2025_26'!$F$3:$F$665,MATCH($A426,'Input Statistiche 2025_26'!$A$3:$A$665,0)),"")</f>
        <v>24</v>
      </c>
      <c r="J426" s="23">
        <f t="shared" si="54"/>
        <v>14</v>
      </c>
      <c r="K426" s="23">
        <f>IFERROR(INDEX('Input Statistiche 2025_26'!$I$3:$I$665,MATCH($A426,'Input Statistiche 2025_26'!$A$3:$A$665,0)),"")</f>
        <v>2</v>
      </c>
      <c r="L426" s="23">
        <f>IFERROR(INDEX('Input Statistiche 2025_26'!$O$3:$O$665,MATCH($A426,'Input Statistiche 2025_26'!$A$3:$A$665,0)),"")</f>
        <v>1</v>
      </c>
      <c r="M426" s="25"/>
      <c r="N426" s="24">
        <f>IFERROR(INDEX('Input Giocatori 2026_27'!$E$3:$E$493,MATCH($A426,'Input Giocatori 2026_27'!$A$3:$A$493,0)),"")</f>
        <v>2</v>
      </c>
      <c r="O426" s="24">
        <f>IFERROR(INDEX('Input Giocatori 2026_27'!$G$3:$G$493,MATCH($A426,'Input Giocatori 2026_27'!$A$3:$A$493,0)),"")</f>
        <v>3</v>
      </c>
      <c r="P426" s="23" t="str">
        <f>IFERROR(IF($O426="","",IF((1-(COUNTIFS($B$2:$B$492,$B426,$O$2:$O$492,"&gt;"&amp;$O426)+1-1)/COUNTIF($B$2:$B$492,$B426))&gt;='Parametri Modello'!$B$63,"Top",IF((1-(COUNTIFS($B$2:$B$492,$B426,$O$2:$O$492,"&gt;"&amp;$O426)+1-1)/COUNTIF($B$2:$B$492,$B426))&gt;='Parametri Modello'!$B$64,"Buono",IF((1-(COUNTIFS($B$2:$B$492,$B426,$O$2:$O$492,"&gt;"&amp;$O426)+1-1)/COUNTIF($B$2:$B$492,$B426))&gt;='Parametri Modello'!$B$65,"Nella Media","Scommessa/Riserva")))),"")</f>
        <v>Scommessa/Riserva</v>
      </c>
      <c r="Q426" s="26">
        <f>IF(AND($D426="",$N426&gt;1),SUMPRODUCT(($D$2:$D426="")*($N$2:$N426&gt;1)),"")</f>
        <v>403</v>
      </c>
      <c r="R426" s="26" t="str">
        <f>IF($D426='Info Lega'!$B$28,COUNTIFS($D$2:$D426,'Info Lega'!$B$28),"")</f>
        <v/>
      </c>
      <c r="S426" s="27">
        <f>IFERROR(INDEX('Input Statistiche 2025_26'!$G$3:$G$665,MATCH($A426,'Input Statistiche 2025_26'!$A$3:$A$665,0)),"")</f>
        <v>5.92</v>
      </c>
      <c r="T426" s="27">
        <f>IFERROR(INDEX('Input Statistiche 2025_26'!$H$3:$H$665,MATCH($A426,'Input Statistiche 2025_26'!$A$3:$A$665,0)),"")</f>
        <v>6.15</v>
      </c>
      <c r="U426" s="23" t="str">
        <f>IF(OR('La Mia Rosa'!$O$12="",$D426&lt;&gt;""),"",IF($F426&lt;='La Mia Rosa'!$O$12*'Parametri Modello'!$B$24,"OK",IF($F426&lt;='La Mia Rosa'!$O$12*'Parametri Modello'!$B$25,"Attenzione","Rischio Alto")))</f>
        <v>OK</v>
      </c>
      <c r="V426" s="23">
        <f t="shared" si="55"/>
        <v>160</v>
      </c>
      <c r="W426" s="18">
        <f>'Info Lega'!$B$4-SUMIFS($M$2:$M$492,$D$2:$D$492,'Info Lega'!$B$28)</f>
        <v>1000</v>
      </c>
      <c r="X426" s="18">
        <f>('Info Lega'!$B$5-COUNTIFS($D$2:$D$492,'Info Lega'!$B$28,$B$2:$B$492,"P"))+('Info Lega'!$B$6-COUNTIFS($D$2:$D$492,'Info Lega'!$B$28,$B$2:$B$492,"D"))+('Info Lega'!$B$7-COUNTIFS($D$2:$D$492,'Info Lega'!$B$28,$B$2:$B$492,"C"))+('Info Lega'!$B$8-COUNTIFS($D$2:$D$492,'Info Lega'!$B$28,$B$2:$B$492,"A"))</f>
        <v>25</v>
      </c>
      <c r="Y426" s="18">
        <f>X426*'Parametri Modello'!$B$30</f>
        <v>25</v>
      </c>
      <c r="Z426" s="18">
        <f t="shared" si="56"/>
        <v>975</v>
      </c>
      <c r="AA426" s="18">
        <f t="shared" si="57"/>
        <v>0</v>
      </c>
      <c r="AB426" s="18"/>
      <c r="AC426" s="18" t="str">
        <f>IF($AB426="","",IF($AB426&gt;$AA426,"PASS",IF($AB426&lt;=$AA426*(1-'Parametri Modello'!$B$68),"BID","ATTENZIONE")))</f>
        <v/>
      </c>
      <c r="AD426" s="28">
        <f t="shared" si="58"/>
        <v>55</v>
      </c>
      <c r="AE426" s="5" t="str">
        <f>IFERROR(IF($AF426="Titolare",INDEX('Stato Asta'!$G$9:$G$12,MATCH($B426,'Stato Asta'!$A$9:$A$12,0)),INDEX('Stato Asta'!$P$9:$P$12,MATCH($B426,'Stato Asta'!$A$9:$A$12,0))),"")</f>
        <v>🟢 Riserve abbondanti</v>
      </c>
      <c r="AF426" t="str">
        <f>IFERROR(IF($V426&lt;=INDEX('Parametri Modello'!$C$57:$C$60,MATCH($B426,'Parametri Modello'!$A$57:$A$60,0)),"Titolare","Riserva"),"")</f>
        <v>Riserva</v>
      </c>
      <c r="AG426" t="str">
        <f>IFERROR(INDEX('Pressione Competitiva'!$F$3:$F$6,MATCH($B426,'Pressione Competitiva'!$B$3:$B$6,0)),"")</f>
        <v>🔴 Molto Alta</v>
      </c>
      <c r="AH426" t="str">
        <f t="shared" si="59"/>
        <v/>
      </c>
      <c r="AI426" t="str">
        <f>IFERROR(IF($AH426="","",IF($AH426&gt;=$AA426*'Parametri Modello'!$B$68,"🟢 Opportunita'",IF($AH426&lt;=$AA426*'Parametri Modello'!$B$69,"🔴 Sovrapprezzo","🟡 Prezzo Corretto"))),"")</f>
        <v/>
      </c>
      <c r="AJ426" t="str">
        <f t="shared" si="60"/>
        <v/>
      </c>
      <c r="AK426">
        <f t="shared" si="61"/>
        <v>51</v>
      </c>
      <c r="AL426" t="str">
        <f t="shared" si="62"/>
        <v>C|Scommessa/Riserva|51</v>
      </c>
    </row>
    <row r="427" spans="1:38" ht="14.25" customHeight="1" x14ac:dyDescent="0.25">
      <c r="A427" s="18">
        <v>7456</v>
      </c>
      <c r="B427" s="18" t="s">
        <v>264</v>
      </c>
      <c r="C427" s="18" t="s">
        <v>422</v>
      </c>
      <c r="E427" s="23" t="str">
        <f>IF(COUNTIF('Info Strategia'!$D$2:$D$51,$C427)&gt;0,"SI","NO")</f>
        <v>NO</v>
      </c>
      <c r="F427" s="24">
        <f>IFERROR(ROUND(($G427+($H427-$G427)*'Info Strategia'!$B$6)*(1+IF($E427="SI",'Parametri Modello'!$B$7*'Info Strategia'!$B$6,0)),0),"")</f>
        <v>0</v>
      </c>
      <c r="G427" s="24">
        <f>IFERROR(ROUND(MAX(1,(IF($V427&lt;=INDEX('Parametri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1</v>
      </c>
      <c r="H427" s="24">
        <f>IFERROR(ROUND((IF($V427&lt;=INDEX('Parametri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0</v>
      </c>
      <c r="I427" s="23" t="str">
        <f>IFERROR(INDEX('Input Statistiche 2025_26'!$F$3:$F$665,MATCH($A427,'Input Statistiche 2025_26'!$A$3:$A$665,0)),"")</f>
        <v/>
      </c>
      <c r="J427" s="23" t="str">
        <f t="shared" si="54"/>
        <v/>
      </c>
      <c r="K427" s="23" t="str">
        <f>IFERROR(INDEX('Input Statistiche 2025_26'!$I$3:$I$665,MATCH($A427,'Input Statistiche 2025_26'!$A$3:$A$665,0)),"")</f>
        <v/>
      </c>
      <c r="L427" s="23" t="str">
        <f>IFERROR(INDEX('Input Statistiche 2025_26'!$O$3:$O$665,MATCH($A427,'Input Statistiche 2025_26'!$A$3:$A$665,0)),"")</f>
        <v/>
      </c>
      <c r="M427" s="25"/>
      <c r="N427" s="24">
        <f>IFERROR(INDEX('Input Giocatori 2026_27'!$E$3:$E$493,MATCH($A427,'Input Giocatori 2026_27'!$A$3:$A$493,0)),"")</f>
        <v>1</v>
      </c>
      <c r="O427" s="24">
        <f>IFERROR(INDEX('Input Giocatori 2026_27'!$G$3:$G$493,MATCH($A427,'Input Giocatori 2026_27'!$A$3:$A$493,0)),"")</f>
        <v>3</v>
      </c>
      <c r="P427" s="23" t="str">
        <f>IFERROR(IF($O427="","",IF((1-(COUNTIFS($B$2:$B$492,$B427,$O$2:$O$492,"&gt;"&amp;$O427)+1-1)/COUNTIF($B$2:$B$492,$B427))&gt;='Parametri Modello'!$B$63,"Top",IF((1-(COUNTIFS($B$2:$B$492,$B427,$O$2:$O$492,"&gt;"&amp;$O427)+1-1)/COUNTIF($B$2:$B$492,$B427))&gt;='Parametri Modello'!$B$64,"Buono",IF((1-(COUNTIFS($B$2:$B$492,$B427,$O$2:$O$492,"&gt;"&amp;$O427)+1-1)/COUNTIF($B$2:$B$492,$B427))&gt;='Parametri Modello'!$B$65,"Nella Media","Scommessa/Riserva")))),"")</f>
        <v>Scommessa/Riserva</v>
      </c>
      <c r="Q427" s="26" t="str">
        <f>IF(AND($D427="",$N427&gt;1),SUMPRODUCT(($D$2:$D427="")*($N$2:$N427&gt;1)),"")</f>
        <v/>
      </c>
      <c r="R427" s="26" t="str">
        <f>IF($D427='Info Lega'!$B$28,COUNTIFS($D$2:$D427,'Info Lega'!$B$28),"")</f>
        <v/>
      </c>
      <c r="S427" s="27" t="str">
        <f>IFERROR(INDEX('Input Statistiche 2025_26'!$G$3:$G$665,MATCH($A427,'Input Statistiche 2025_26'!$A$3:$A$665,0)),"")</f>
        <v/>
      </c>
      <c r="T427" s="27" t="str">
        <f>IFERROR(INDEX('Input Statistiche 2025_26'!$H$3:$H$665,MATCH($A427,'Input Statistiche 2025_26'!$A$3:$A$665,0)),"")</f>
        <v/>
      </c>
      <c r="U427" s="23" t="str">
        <f>IF(OR('La Mia Rosa'!$O$12="",$D427&lt;&gt;""),"",IF($F427&lt;='La Mia Rosa'!$O$12*'Parametri Modello'!$B$24,"OK",IF($F427&lt;='La Mia Rosa'!$O$12*'Parametri Modello'!$B$25,"Attenzione","Rischio Alto")))</f>
        <v>OK</v>
      </c>
      <c r="V427" s="23">
        <f t="shared" si="55"/>
        <v>160</v>
      </c>
      <c r="W427" s="18">
        <f>'Info Lega'!$B$4-SUMIFS($M$2:$M$492,$D$2:$D$492,'Info Lega'!$B$28)</f>
        <v>1000</v>
      </c>
      <c r="X427" s="18">
        <f>('Info Lega'!$B$5-COUNTIFS($D$2:$D$492,'Info Lega'!$B$28,$B$2:$B$492,"P"))+('Info Lega'!$B$6-COUNTIFS($D$2:$D$492,'Info Lega'!$B$28,$B$2:$B$492,"D"))+('Info Lega'!$B$7-COUNTIFS($D$2:$D$492,'Info Lega'!$B$28,$B$2:$B$492,"C"))+('Info Lega'!$B$8-COUNTIFS($D$2:$D$492,'Info Lega'!$B$28,$B$2:$B$492,"A"))</f>
        <v>25</v>
      </c>
      <c r="Y427" s="18">
        <f>X427*'Parametri Modello'!$B$30</f>
        <v>25</v>
      </c>
      <c r="Z427" s="18">
        <f t="shared" si="56"/>
        <v>975</v>
      </c>
      <c r="AA427" s="18">
        <f t="shared" si="57"/>
        <v>0</v>
      </c>
      <c r="AB427" s="18"/>
      <c r="AC427" s="18" t="str">
        <f>IF($AB427="","",IF($AB427&gt;$AA427,"PASS",IF($AB427&lt;=$AA427*(1-'Parametri Modello'!$B$68),"BID","ATTENZIONE")))</f>
        <v/>
      </c>
      <c r="AD427" s="28" t="str">
        <f t="shared" si="58"/>
        <v/>
      </c>
      <c r="AE427" s="5" t="str">
        <f>IFERROR(IF($AF427="Titolare",INDEX('Stato Asta'!$G$9:$G$12,MATCH($B427,'Stato Asta'!$A$9:$A$12,0)),INDEX('Stato Asta'!$P$9:$P$12,MATCH($B427,'Stato Asta'!$A$9:$A$12,0))),"")</f>
        <v>🟢 Riserve abbondanti</v>
      </c>
      <c r="AF427" t="str">
        <f>IFERROR(IF($V427&lt;=INDEX('Parametri Modello'!$C$57:$C$60,MATCH($B427,'Parametri Modello'!$A$57:$A$60,0)),"Titolare","Riserva"),"")</f>
        <v>Riserva</v>
      </c>
      <c r="AG427" t="str">
        <f>IFERROR(INDEX('Pressione Competitiva'!$F$3:$F$6,MATCH($B427,'Pressione Competitiva'!$B$3:$B$6,0)),"")</f>
        <v>🔴 Molto Alta</v>
      </c>
      <c r="AH427" t="str">
        <f t="shared" si="59"/>
        <v/>
      </c>
      <c r="AI427" t="str">
        <f>IFERROR(IF($AH427="","",IF($AH427&gt;=$AA427*'Parametri Modello'!$B$68,"🟢 Opportunita'",IF($AH427&lt;=$AA427*'Parametri Modello'!$B$69,"🔴 Sovrapprezzo","🟡 Prezzo Corretto"))),"")</f>
        <v/>
      </c>
      <c r="AJ427" t="str">
        <f t="shared" si="60"/>
        <v/>
      </c>
      <c r="AK427" t="str">
        <f t="shared" si="61"/>
        <v/>
      </c>
      <c r="AL427" t="str">
        <f t="shared" si="62"/>
        <v/>
      </c>
    </row>
    <row r="428" spans="1:38" ht="14.25" customHeight="1" x14ac:dyDescent="0.25">
      <c r="A428" s="18">
        <v>5725</v>
      </c>
      <c r="B428" s="18" t="s">
        <v>264</v>
      </c>
      <c r="C428" s="18" t="s">
        <v>423</v>
      </c>
      <c r="E428" s="23" t="str">
        <f>IF(COUNTIF('Info Strategia'!$D$2:$D$51,$C428)&gt;0,"SI","NO")</f>
        <v>NO</v>
      </c>
      <c r="F428" s="24">
        <f>IFERROR(ROUND(($G428+($H428-$G428)*'Info Strategia'!$B$6)*(1+IF($E428="SI",'Parametri Modello'!$B$7*'Info Strategia'!$B$6,0)),0),"")</f>
        <v>0</v>
      </c>
      <c r="G428" s="24">
        <f>IFERROR(ROUND(MAX(1,(IF($V428&lt;=INDEX('Parametri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1</v>
      </c>
      <c r="H428" s="24">
        <f>IFERROR(ROUND((IF($V428&lt;=INDEX('Parametri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0</v>
      </c>
      <c r="I428" s="23" t="str">
        <f>IFERROR(INDEX('Input Statistiche 2025_26'!$F$3:$F$665,MATCH($A428,'Input Statistiche 2025_26'!$A$3:$A$665,0)),"")</f>
        <v/>
      </c>
      <c r="J428" s="23" t="str">
        <f t="shared" si="54"/>
        <v/>
      </c>
      <c r="K428" s="23" t="str">
        <f>IFERROR(INDEX('Input Statistiche 2025_26'!$I$3:$I$665,MATCH($A428,'Input Statistiche 2025_26'!$A$3:$A$665,0)),"")</f>
        <v/>
      </c>
      <c r="L428" s="23" t="str">
        <f>IFERROR(INDEX('Input Statistiche 2025_26'!$O$3:$O$665,MATCH($A428,'Input Statistiche 2025_26'!$A$3:$A$665,0)),"")</f>
        <v/>
      </c>
      <c r="M428" s="25"/>
      <c r="N428" s="24">
        <f>IFERROR(INDEX('Input Giocatori 2026_27'!$E$3:$E$493,MATCH($A428,'Input Giocatori 2026_27'!$A$3:$A$493,0)),"")</f>
        <v>1</v>
      </c>
      <c r="O428" s="24">
        <f>IFERROR(INDEX('Input Giocatori 2026_27'!$G$3:$G$493,MATCH($A428,'Input Giocatori 2026_27'!$A$3:$A$493,0)),"")</f>
        <v>3</v>
      </c>
      <c r="P428" s="23" t="str">
        <f>IFERROR(IF($O428="","",IF((1-(COUNTIFS($B$2:$B$492,$B428,$O$2:$O$492,"&gt;"&amp;$O428)+1-1)/COUNTIF($B$2:$B$492,$B428))&gt;='Parametri Modello'!$B$63,"Top",IF((1-(COUNTIFS($B$2:$B$492,$B428,$O$2:$O$492,"&gt;"&amp;$O428)+1-1)/COUNTIF($B$2:$B$492,$B428))&gt;='Parametri Modello'!$B$64,"Buono",IF((1-(COUNTIFS($B$2:$B$492,$B428,$O$2:$O$492,"&gt;"&amp;$O428)+1-1)/COUNTIF($B$2:$B$492,$B428))&gt;='Parametri Modello'!$B$65,"Nella Media","Scommessa/Riserva")))),"")</f>
        <v>Scommessa/Riserva</v>
      </c>
      <c r="Q428" s="26" t="str">
        <f>IF(AND($D428="",$N428&gt;1),SUMPRODUCT(($D$2:$D428="")*($N$2:$N428&gt;1)),"")</f>
        <v/>
      </c>
      <c r="R428" s="26" t="str">
        <f>IF($D428='Info Lega'!$B$28,COUNTIFS($D$2:$D428,'Info Lega'!$B$28),"")</f>
        <v/>
      </c>
      <c r="S428" s="27" t="str">
        <f>IFERROR(INDEX('Input Statistiche 2025_26'!$G$3:$G$665,MATCH($A428,'Input Statistiche 2025_26'!$A$3:$A$665,0)),"")</f>
        <v/>
      </c>
      <c r="T428" s="27" t="str">
        <f>IFERROR(INDEX('Input Statistiche 2025_26'!$H$3:$H$665,MATCH($A428,'Input Statistiche 2025_26'!$A$3:$A$665,0)),"")</f>
        <v/>
      </c>
      <c r="U428" s="23" t="str">
        <f>IF(OR('La Mia Rosa'!$O$12="",$D428&lt;&gt;""),"",IF($F428&lt;='La Mia Rosa'!$O$12*'Parametri Modello'!$B$24,"OK",IF($F428&lt;='La Mia Rosa'!$O$12*'Parametri Modello'!$B$25,"Attenzione","Rischio Alto")))</f>
        <v>OK</v>
      </c>
      <c r="V428" s="23">
        <f t="shared" si="55"/>
        <v>160</v>
      </c>
      <c r="W428" s="18">
        <f>'Info Lega'!$B$4-SUMIFS($M$2:$M$492,$D$2:$D$492,'Info Lega'!$B$28)</f>
        <v>1000</v>
      </c>
      <c r="X428" s="18">
        <f>('Info Lega'!$B$5-COUNTIFS($D$2:$D$492,'Info Lega'!$B$28,$B$2:$B$492,"P"))+('Info Lega'!$B$6-COUNTIFS($D$2:$D$492,'Info Lega'!$B$28,$B$2:$B$492,"D"))+('Info Lega'!$B$7-COUNTIFS($D$2:$D$492,'Info Lega'!$B$28,$B$2:$B$492,"C"))+('Info Lega'!$B$8-COUNTIFS($D$2:$D$492,'Info Lega'!$B$28,$B$2:$B$492,"A"))</f>
        <v>25</v>
      </c>
      <c r="Y428" s="18">
        <f>X428*'Parametri Modello'!$B$30</f>
        <v>25</v>
      </c>
      <c r="Z428" s="18">
        <f t="shared" si="56"/>
        <v>975</v>
      </c>
      <c r="AA428" s="18">
        <f t="shared" si="57"/>
        <v>0</v>
      </c>
      <c r="AB428" s="18"/>
      <c r="AC428" s="18" t="str">
        <f>IF($AB428="","",IF($AB428&gt;$AA428,"PASS",IF($AB428&lt;=$AA428*(1-'Parametri Modello'!$B$68),"BID","ATTENZIONE")))</f>
        <v/>
      </c>
      <c r="AD428" s="28" t="str">
        <f t="shared" si="58"/>
        <v/>
      </c>
      <c r="AE428" s="5" t="str">
        <f>IFERROR(IF($AF428="Titolare",INDEX('Stato Asta'!$G$9:$G$12,MATCH($B428,'Stato Asta'!$A$9:$A$12,0)),INDEX('Stato Asta'!$P$9:$P$12,MATCH($B428,'Stato Asta'!$A$9:$A$12,0))),"")</f>
        <v>🟢 Riserve abbondanti</v>
      </c>
      <c r="AF428" t="str">
        <f>IFERROR(IF($V428&lt;=INDEX('Parametri Modello'!$C$57:$C$60,MATCH($B428,'Parametri Modello'!$A$57:$A$60,0)),"Titolare","Riserva"),"")</f>
        <v>Riserva</v>
      </c>
      <c r="AG428" t="str">
        <f>IFERROR(INDEX('Pressione Competitiva'!$F$3:$F$6,MATCH($B428,'Pressione Competitiva'!$B$3:$B$6,0)),"")</f>
        <v>🔴 Molto Alta</v>
      </c>
      <c r="AH428" t="str">
        <f t="shared" si="59"/>
        <v/>
      </c>
      <c r="AI428" t="str">
        <f>IFERROR(IF($AH428="","",IF($AH428&gt;=$AA428*'Parametri Modello'!$B$68,"🟢 Opportunita'",IF($AH428&lt;=$AA428*'Parametri Modello'!$B$69,"🔴 Sovrapprezzo","🟡 Prezzo Corretto"))),"")</f>
        <v/>
      </c>
      <c r="AJ428" t="str">
        <f t="shared" si="60"/>
        <v/>
      </c>
      <c r="AK428" t="str">
        <f t="shared" si="61"/>
        <v/>
      </c>
      <c r="AL428" t="str">
        <f t="shared" si="62"/>
        <v/>
      </c>
    </row>
    <row r="429" spans="1:38" ht="14.25" customHeight="1" x14ac:dyDescent="0.25">
      <c r="A429" s="18">
        <v>7248</v>
      </c>
      <c r="B429" s="18" t="s">
        <v>264</v>
      </c>
      <c r="C429" s="18" t="s">
        <v>426</v>
      </c>
      <c r="E429" s="23" t="str">
        <f>IF(COUNTIF('Info Strategia'!$D$2:$D$51,$C429)&gt;0,"SI","NO")</f>
        <v>NO</v>
      </c>
      <c r="F429" s="24">
        <f>IFERROR(ROUND(($G429+($H429-$G429)*'Info Strategia'!$B$6)*(1+IF($E429="SI",'Parametri Modello'!$B$7*'Info Strategia'!$B$6,0)),0),"")</f>
        <v>0</v>
      </c>
      <c r="G429" s="24">
        <f>IFERROR(ROUND(MAX(1,(IF($V429&lt;=INDEX('Parametri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1</v>
      </c>
      <c r="H429" s="24">
        <f>IFERROR(ROUND((IF($V429&lt;=INDEX('Parametri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0</v>
      </c>
      <c r="I429" s="23">
        <f>IFERROR(INDEX('Input Statistiche 2025_26'!$F$3:$F$665,MATCH($A429,'Input Statistiche 2025_26'!$A$3:$A$665,0)),"")</f>
        <v>1</v>
      </c>
      <c r="J429" s="23">
        <f t="shared" si="54"/>
        <v>37</v>
      </c>
      <c r="K429" s="23">
        <f>IFERROR(INDEX('Input Statistiche 2025_26'!$I$3:$I$665,MATCH($A429,'Input Statistiche 2025_26'!$A$3:$A$665,0)),"")</f>
        <v>0</v>
      </c>
      <c r="L429" s="23">
        <f>IFERROR(INDEX('Input Statistiche 2025_26'!$O$3:$O$665,MATCH($A429,'Input Statistiche 2025_26'!$A$3:$A$665,0)),"")</f>
        <v>0</v>
      </c>
      <c r="M429" s="25"/>
      <c r="N429" s="24">
        <f>IFERROR(INDEX('Input Giocatori 2026_27'!$E$3:$E$493,MATCH($A429,'Input Giocatori 2026_27'!$A$3:$A$493,0)),"")</f>
        <v>1</v>
      </c>
      <c r="O429" s="24">
        <f>IFERROR(INDEX('Input Giocatori 2026_27'!$G$3:$G$493,MATCH($A429,'Input Giocatori 2026_27'!$A$3:$A$493,0)),"")</f>
        <v>3</v>
      </c>
      <c r="P429" s="23" t="str">
        <f>IFERROR(IF($O429="","",IF((1-(COUNTIFS($B$2:$B$492,$B429,$O$2:$O$492,"&gt;"&amp;$O429)+1-1)/COUNTIF($B$2:$B$492,$B429))&gt;='Parametri Modello'!$B$63,"Top",IF((1-(COUNTIFS($B$2:$B$492,$B429,$O$2:$O$492,"&gt;"&amp;$O429)+1-1)/COUNTIF($B$2:$B$492,$B429))&gt;='Parametri Modello'!$B$64,"Buono",IF((1-(COUNTIFS($B$2:$B$492,$B429,$O$2:$O$492,"&gt;"&amp;$O429)+1-1)/COUNTIF($B$2:$B$492,$B429))&gt;='Parametri Modello'!$B$65,"Nella Media","Scommessa/Riserva")))),"")</f>
        <v>Scommessa/Riserva</v>
      </c>
      <c r="Q429" s="26" t="str">
        <f>IF(AND($D429="",$N429&gt;1),SUMPRODUCT(($D$2:$D429="")*($N$2:$N429&gt;1)),"")</f>
        <v/>
      </c>
      <c r="R429" s="26" t="str">
        <f>IF($D429='Info Lega'!$B$28,COUNTIFS($D$2:$D429,'Info Lega'!$B$28),"")</f>
        <v/>
      </c>
      <c r="S429" s="27">
        <f>IFERROR(INDEX('Input Statistiche 2025_26'!$G$3:$G$665,MATCH($A429,'Input Statistiche 2025_26'!$A$3:$A$665,0)),"")</f>
        <v>5.5</v>
      </c>
      <c r="T429" s="27">
        <f>IFERROR(INDEX('Input Statistiche 2025_26'!$H$3:$H$665,MATCH($A429,'Input Statistiche 2025_26'!$A$3:$A$665,0)),"")</f>
        <v>5.5</v>
      </c>
      <c r="U429" s="23" t="str">
        <f>IF(OR('La Mia Rosa'!$O$12="",$D429&lt;&gt;""),"",IF($F429&lt;='La Mia Rosa'!$O$12*'Parametri Modello'!$B$24,"OK",IF($F429&lt;='La Mia Rosa'!$O$12*'Parametri Modello'!$B$25,"Attenzione","Rischio Alto")))</f>
        <v>OK</v>
      </c>
      <c r="V429" s="23">
        <f t="shared" si="55"/>
        <v>160</v>
      </c>
      <c r="W429" s="18">
        <f>'Info Lega'!$B$4-SUMIFS($M$2:$M$492,$D$2:$D$492,'Info Lega'!$B$28)</f>
        <v>1000</v>
      </c>
      <c r="X429" s="18">
        <f>('Info Lega'!$B$5-COUNTIFS($D$2:$D$492,'Info Lega'!$B$28,$B$2:$B$492,"P"))+('Info Lega'!$B$6-COUNTIFS($D$2:$D$492,'Info Lega'!$B$28,$B$2:$B$492,"D"))+('Info Lega'!$B$7-COUNTIFS($D$2:$D$492,'Info Lega'!$B$28,$B$2:$B$492,"C"))+('Info Lega'!$B$8-COUNTIFS($D$2:$D$492,'Info Lega'!$B$28,$B$2:$B$492,"A"))</f>
        <v>25</v>
      </c>
      <c r="Y429" s="18">
        <f>X429*'Parametri Modello'!$B$30</f>
        <v>25</v>
      </c>
      <c r="Z429" s="18">
        <f t="shared" si="56"/>
        <v>975</v>
      </c>
      <c r="AA429" s="18">
        <f t="shared" si="57"/>
        <v>0</v>
      </c>
      <c r="AB429" s="18"/>
      <c r="AC429" s="18" t="str">
        <f>IF($AB429="","",IF($AB429&gt;$AA429,"PASS",IF($AB429&lt;=$AA429*(1-'Parametri Modello'!$B$68),"BID","ATTENZIONE")))</f>
        <v/>
      </c>
      <c r="AD429" s="28">
        <f t="shared" si="58"/>
        <v>3</v>
      </c>
      <c r="AE429" s="5" t="str">
        <f>IFERROR(IF($AF429="Titolare",INDEX('Stato Asta'!$G$9:$G$12,MATCH($B429,'Stato Asta'!$A$9:$A$12,0)),INDEX('Stato Asta'!$P$9:$P$12,MATCH($B429,'Stato Asta'!$A$9:$A$12,0))),"")</f>
        <v>🟢 Riserve abbondanti</v>
      </c>
      <c r="AF429" t="str">
        <f>IFERROR(IF($V429&lt;=INDEX('Parametri Modello'!$C$57:$C$60,MATCH($B429,'Parametri Modello'!$A$57:$A$60,0)),"Titolare","Riserva"),"")</f>
        <v>Riserva</v>
      </c>
      <c r="AG429" t="str">
        <f>IFERROR(INDEX('Pressione Competitiva'!$F$3:$F$6,MATCH($B429,'Pressione Competitiva'!$B$3:$B$6,0)),"")</f>
        <v>🔴 Molto Alta</v>
      </c>
      <c r="AH429" t="str">
        <f t="shared" si="59"/>
        <v/>
      </c>
      <c r="AI429" t="str">
        <f>IFERROR(IF($AH429="","",IF($AH429&gt;=$AA429*'Parametri Modello'!$B$68,"🟢 Opportunita'",IF($AH429&lt;=$AA429*'Parametri Modello'!$B$69,"🔴 Sovrapprezzo","🟡 Prezzo Corretto"))),"")</f>
        <v/>
      </c>
      <c r="AJ429" t="str">
        <f t="shared" si="60"/>
        <v/>
      </c>
      <c r="AK429" t="str">
        <f t="shared" si="61"/>
        <v/>
      </c>
      <c r="AL429" t="str">
        <f t="shared" si="62"/>
        <v/>
      </c>
    </row>
    <row r="430" spans="1:38" ht="14.25" customHeight="1" x14ac:dyDescent="0.25">
      <c r="A430" s="18">
        <v>7276</v>
      </c>
      <c r="B430" s="18" t="s">
        <v>264</v>
      </c>
      <c r="C430" s="18" t="s">
        <v>429</v>
      </c>
      <c r="E430" s="23" t="str">
        <f>IF(COUNTIF('Info Strategia'!$D$2:$D$51,$C430)&gt;0,"SI","NO")</f>
        <v>NO</v>
      </c>
      <c r="F430" s="24">
        <f>IFERROR(ROUND(($G430+($H430-$G430)*'Info Strategia'!$B$6)*(1+IF($E430="SI",'Parametri Modello'!$B$7*'Info Strategia'!$B$6,0)),0),"")</f>
        <v>0</v>
      </c>
      <c r="G430" s="24">
        <f>IFERROR(ROUND(MAX(1,(IF($V430&lt;=INDEX('Parametri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1</v>
      </c>
      <c r="H430" s="24">
        <f>IFERROR(ROUND((IF($V430&lt;=INDEX('Parametri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0</v>
      </c>
      <c r="I430" s="23">
        <f>IFERROR(INDEX('Input Statistiche 2025_26'!$F$3:$F$665,MATCH($A430,'Input Statistiche 2025_26'!$A$3:$A$665,0)),"")</f>
        <v>1</v>
      </c>
      <c r="J430" s="23">
        <f t="shared" si="54"/>
        <v>37</v>
      </c>
      <c r="K430" s="23">
        <f>IFERROR(INDEX('Input Statistiche 2025_26'!$I$3:$I$665,MATCH($A430,'Input Statistiche 2025_26'!$A$3:$A$665,0)),"")</f>
        <v>0</v>
      </c>
      <c r="L430" s="23">
        <f>IFERROR(INDEX('Input Statistiche 2025_26'!$O$3:$O$665,MATCH($A430,'Input Statistiche 2025_26'!$A$3:$A$665,0)),"")</f>
        <v>0</v>
      </c>
      <c r="M430" s="25"/>
      <c r="N430" s="24">
        <f>IFERROR(INDEX('Input Giocatori 2026_27'!$E$3:$E$493,MATCH($A430,'Input Giocatori 2026_27'!$A$3:$A$493,0)),"")</f>
        <v>1</v>
      </c>
      <c r="O430" s="24">
        <f>IFERROR(INDEX('Input Giocatori 2026_27'!$G$3:$G$493,MATCH($A430,'Input Giocatori 2026_27'!$A$3:$A$493,0)),"")</f>
        <v>3</v>
      </c>
      <c r="P430" s="23" t="str">
        <f>IFERROR(IF($O430="","",IF((1-(COUNTIFS($B$2:$B$492,$B430,$O$2:$O$492,"&gt;"&amp;$O430)+1-1)/COUNTIF($B$2:$B$492,$B430))&gt;='Parametri Modello'!$B$63,"Top",IF((1-(COUNTIFS($B$2:$B$492,$B430,$O$2:$O$492,"&gt;"&amp;$O430)+1-1)/COUNTIF($B$2:$B$492,$B430))&gt;='Parametri Modello'!$B$64,"Buono",IF((1-(COUNTIFS($B$2:$B$492,$B430,$O$2:$O$492,"&gt;"&amp;$O430)+1-1)/COUNTIF($B$2:$B$492,$B430))&gt;='Parametri Modello'!$B$65,"Nella Media","Scommessa/Riserva")))),"")</f>
        <v>Scommessa/Riserva</v>
      </c>
      <c r="Q430" s="26" t="str">
        <f>IF(AND($D430="",$N430&gt;1),SUMPRODUCT(($D$2:$D430="")*($N$2:$N430&gt;1)),"")</f>
        <v/>
      </c>
      <c r="R430" s="26" t="str">
        <f>IF($D430='Info Lega'!$B$28,COUNTIFS($D$2:$D430,'Info Lega'!$B$28),"")</f>
        <v/>
      </c>
      <c r="S430" s="27">
        <f>IFERROR(INDEX('Input Statistiche 2025_26'!$G$3:$G$665,MATCH($A430,'Input Statistiche 2025_26'!$A$3:$A$665,0)),"")</f>
        <v>6</v>
      </c>
      <c r="T430" s="27">
        <f>IFERROR(INDEX('Input Statistiche 2025_26'!$H$3:$H$665,MATCH($A430,'Input Statistiche 2025_26'!$A$3:$A$665,0)),"")</f>
        <v>6</v>
      </c>
      <c r="U430" s="23" t="str">
        <f>IF(OR('La Mia Rosa'!$O$12="",$D430&lt;&gt;""),"",IF($F430&lt;='La Mia Rosa'!$O$12*'Parametri Modello'!$B$24,"OK",IF($F430&lt;='La Mia Rosa'!$O$12*'Parametri Modello'!$B$25,"Attenzione","Rischio Alto")))</f>
        <v>OK</v>
      </c>
      <c r="V430" s="23">
        <f t="shared" si="55"/>
        <v>160</v>
      </c>
      <c r="W430" s="18">
        <f>'Info Lega'!$B$4-SUMIFS($M$2:$M$492,$D$2:$D$492,'Info Lega'!$B$28)</f>
        <v>1000</v>
      </c>
      <c r="X430" s="18">
        <f>('Info Lega'!$B$5-COUNTIFS($D$2:$D$492,'Info Lega'!$B$28,$B$2:$B$492,"P"))+('Info Lega'!$B$6-COUNTIFS($D$2:$D$492,'Info Lega'!$B$28,$B$2:$B$492,"D"))+('Info Lega'!$B$7-COUNTIFS($D$2:$D$492,'Info Lega'!$B$28,$B$2:$B$492,"C"))+('Info Lega'!$B$8-COUNTIFS($D$2:$D$492,'Info Lega'!$B$28,$B$2:$B$492,"A"))</f>
        <v>25</v>
      </c>
      <c r="Y430" s="18">
        <f>X430*'Parametri Modello'!$B$30</f>
        <v>25</v>
      </c>
      <c r="Z430" s="18">
        <f t="shared" si="56"/>
        <v>975</v>
      </c>
      <c r="AA430" s="18">
        <f t="shared" si="57"/>
        <v>0</v>
      </c>
      <c r="AB430" s="18"/>
      <c r="AC430" s="18" t="str">
        <f>IF($AB430="","",IF($AB430&gt;$AA430,"PASS",IF($AB430&lt;=$AA430*(1-'Parametri Modello'!$B$68),"BID","ATTENZIONE")))</f>
        <v/>
      </c>
      <c r="AD430" s="28">
        <f t="shared" si="58"/>
        <v>3</v>
      </c>
      <c r="AE430" s="5" t="str">
        <f>IFERROR(IF($AF430="Titolare",INDEX('Stato Asta'!$G$9:$G$12,MATCH($B430,'Stato Asta'!$A$9:$A$12,0)),INDEX('Stato Asta'!$P$9:$P$12,MATCH($B430,'Stato Asta'!$A$9:$A$12,0))),"")</f>
        <v>🟢 Riserve abbondanti</v>
      </c>
      <c r="AF430" t="str">
        <f>IFERROR(IF($V430&lt;=INDEX('Parametri Modello'!$C$57:$C$60,MATCH($B430,'Parametri Modello'!$A$57:$A$60,0)),"Titolare","Riserva"),"")</f>
        <v>Riserva</v>
      </c>
      <c r="AG430" t="str">
        <f>IFERROR(INDEX('Pressione Competitiva'!$F$3:$F$6,MATCH($B430,'Pressione Competitiva'!$B$3:$B$6,0)),"")</f>
        <v>🔴 Molto Alta</v>
      </c>
      <c r="AH430" t="str">
        <f t="shared" si="59"/>
        <v/>
      </c>
      <c r="AI430" t="str">
        <f>IFERROR(IF($AH430="","",IF($AH430&gt;=$AA430*'Parametri Modello'!$B$68,"🟢 Opportunita'",IF($AH430&lt;=$AA430*'Parametri Modello'!$B$69,"🔴 Sovrapprezzo","🟡 Prezzo Corretto"))),"")</f>
        <v/>
      </c>
      <c r="AJ430" t="str">
        <f t="shared" si="60"/>
        <v/>
      </c>
      <c r="AK430" t="str">
        <f t="shared" si="61"/>
        <v/>
      </c>
      <c r="AL430" t="str">
        <f t="shared" si="62"/>
        <v/>
      </c>
    </row>
    <row r="431" spans="1:38" ht="14.25" customHeight="1" x14ac:dyDescent="0.25">
      <c r="A431" s="18">
        <v>7392</v>
      </c>
      <c r="B431" s="18" t="s">
        <v>264</v>
      </c>
      <c r="C431" s="18" t="s">
        <v>433</v>
      </c>
      <c r="E431" s="23" t="str">
        <f>IF(COUNTIF('Info Strategia'!$D$2:$D$51,$C431)&gt;0,"SI","NO")</f>
        <v>NO</v>
      </c>
      <c r="F431" s="24">
        <f>IFERROR(ROUND(($G431+($H431-$G431)*'Info Strategia'!$B$6)*(1+IF($E431="SI",'Parametri Modello'!$B$7*'Info Strategia'!$B$6,0)),0),"")</f>
        <v>0</v>
      </c>
      <c r="G431" s="24">
        <f>IFERROR(ROUND(MAX(1,(IF($V431&lt;=INDEX('Parametri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1</v>
      </c>
      <c r="H431" s="24">
        <f>IFERROR(ROUND((IF($V431&lt;=INDEX('Parametri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0</v>
      </c>
      <c r="I431" s="23" t="str">
        <f>IFERROR(INDEX('Input Statistiche 2025_26'!$F$3:$F$665,MATCH($A431,'Input Statistiche 2025_26'!$A$3:$A$665,0)),"")</f>
        <v/>
      </c>
      <c r="J431" s="23" t="str">
        <f t="shared" si="54"/>
        <v/>
      </c>
      <c r="K431" s="23" t="str">
        <f>IFERROR(INDEX('Input Statistiche 2025_26'!$I$3:$I$665,MATCH($A431,'Input Statistiche 2025_26'!$A$3:$A$665,0)),"")</f>
        <v/>
      </c>
      <c r="L431" s="23" t="str">
        <f>IFERROR(INDEX('Input Statistiche 2025_26'!$O$3:$O$665,MATCH($A431,'Input Statistiche 2025_26'!$A$3:$A$665,0)),"")</f>
        <v/>
      </c>
      <c r="M431" s="25"/>
      <c r="N431" s="24">
        <f>IFERROR(INDEX('Input Giocatori 2026_27'!$E$3:$E$493,MATCH($A431,'Input Giocatori 2026_27'!$A$3:$A$493,0)),"")</f>
        <v>1</v>
      </c>
      <c r="O431" s="24">
        <f>IFERROR(INDEX('Input Giocatori 2026_27'!$G$3:$G$493,MATCH($A431,'Input Giocatori 2026_27'!$A$3:$A$493,0)),"")</f>
        <v>3</v>
      </c>
      <c r="P431" s="23" t="str">
        <f>IFERROR(IF($O431="","",IF((1-(COUNTIFS($B$2:$B$492,$B431,$O$2:$O$492,"&gt;"&amp;$O431)+1-1)/COUNTIF($B$2:$B$492,$B431))&gt;='Parametri Modello'!$B$63,"Top",IF((1-(COUNTIFS($B$2:$B$492,$B431,$O$2:$O$492,"&gt;"&amp;$O431)+1-1)/COUNTIF($B$2:$B$492,$B431))&gt;='Parametri Modello'!$B$64,"Buono",IF((1-(COUNTIFS($B$2:$B$492,$B431,$O$2:$O$492,"&gt;"&amp;$O431)+1-1)/COUNTIF($B$2:$B$492,$B431))&gt;='Parametri Modello'!$B$65,"Nella Media","Scommessa/Riserva")))),"")</f>
        <v>Scommessa/Riserva</v>
      </c>
      <c r="Q431" s="26" t="str">
        <f>IF(AND($D431="",$N431&gt;1),SUMPRODUCT(($D$2:$D431="")*($N$2:$N431&gt;1)),"")</f>
        <v/>
      </c>
      <c r="R431" s="26" t="str">
        <f>IF($D431='Info Lega'!$B$28,COUNTIFS($D$2:$D431,'Info Lega'!$B$28),"")</f>
        <v/>
      </c>
      <c r="S431" s="27" t="str">
        <f>IFERROR(INDEX('Input Statistiche 2025_26'!$G$3:$G$665,MATCH($A431,'Input Statistiche 2025_26'!$A$3:$A$665,0)),"")</f>
        <v/>
      </c>
      <c r="T431" s="27" t="str">
        <f>IFERROR(INDEX('Input Statistiche 2025_26'!$H$3:$H$665,MATCH($A431,'Input Statistiche 2025_26'!$A$3:$A$665,0)),"")</f>
        <v/>
      </c>
      <c r="U431" s="23" t="str">
        <f>IF(OR('La Mia Rosa'!$O$12="",$D431&lt;&gt;""),"",IF($F431&lt;='La Mia Rosa'!$O$12*'Parametri Modello'!$B$24,"OK",IF($F431&lt;='La Mia Rosa'!$O$12*'Parametri Modello'!$B$25,"Attenzione","Rischio Alto")))</f>
        <v>OK</v>
      </c>
      <c r="V431" s="23">
        <f t="shared" si="55"/>
        <v>160</v>
      </c>
      <c r="W431" s="18">
        <f>'Info Lega'!$B$4-SUMIFS($M$2:$M$492,$D$2:$D$492,'Info Lega'!$B$28)</f>
        <v>1000</v>
      </c>
      <c r="X431" s="18">
        <f>('Info Lega'!$B$5-COUNTIFS($D$2:$D$492,'Info Lega'!$B$28,$B$2:$B$492,"P"))+('Info Lega'!$B$6-COUNTIFS($D$2:$D$492,'Info Lega'!$B$28,$B$2:$B$492,"D"))+('Info Lega'!$B$7-COUNTIFS($D$2:$D$492,'Info Lega'!$B$28,$B$2:$B$492,"C"))+('Info Lega'!$B$8-COUNTIFS($D$2:$D$492,'Info Lega'!$B$28,$B$2:$B$492,"A"))</f>
        <v>25</v>
      </c>
      <c r="Y431" s="18">
        <f>X431*'Parametri Modello'!$B$30</f>
        <v>25</v>
      </c>
      <c r="Z431" s="18">
        <f t="shared" si="56"/>
        <v>975</v>
      </c>
      <c r="AA431" s="18">
        <f t="shared" si="57"/>
        <v>0</v>
      </c>
      <c r="AB431" s="18"/>
      <c r="AC431" s="18" t="str">
        <f>IF($AB431="","",IF($AB431&gt;$AA431,"PASS",IF($AB431&lt;=$AA431*(1-'Parametri Modello'!$B$68),"BID","ATTENZIONE")))</f>
        <v/>
      </c>
      <c r="AD431" s="28" t="str">
        <f t="shared" si="58"/>
        <v/>
      </c>
      <c r="AE431" s="5" t="str">
        <f>IFERROR(IF($AF431="Titolare",INDEX('Stato Asta'!$G$9:$G$12,MATCH($B431,'Stato Asta'!$A$9:$A$12,0)),INDEX('Stato Asta'!$P$9:$P$12,MATCH($B431,'Stato Asta'!$A$9:$A$12,0))),"")</f>
        <v>🟢 Riserve abbondanti</v>
      </c>
      <c r="AF431" t="str">
        <f>IFERROR(IF($V431&lt;=INDEX('Parametri Modello'!$C$57:$C$60,MATCH($B431,'Parametri Modello'!$A$57:$A$60,0)),"Titolare","Riserva"),"")</f>
        <v>Riserva</v>
      </c>
      <c r="AG431" t="str">
        <f>IFERROR(INDEX('Pressione Competitiva'!$F$3:$F$6,MATCH($B431,'Pressione Competitiva'!$B$3:$B$6,0)),"")</f>
        <v>🔴 Molto Alta</v>
      </c>
      <c r="AH431" t="str">
        <f t="shared" si="59"/>
        <v/>
      </c>
      <c r="AI431" t="str">
        <f>IFERROR(IF($AH431="","",IF($AH431&gt;=$AA431*'Parametri Modello'!$B$68,"🟢 Opportunita'",IF($AH431&lt;=$AA431*'Parametri Modello'!$B$69,"🔴 Sovrapprezzo","🟡 Prezzo Corretto"))),"")</f>
        <v/>
      </c>
      <c r="AJ431" t="str">
        <f t="shared" si="60"/>
        <v/>
      </c>
      <c r="AK431" t="str">
        <f t="shared" si="61"/>
        <v/>
      </c>
      <c r="AL431" t="str">
        <f t="shared" si="62"/>
        <v/>
      </c>
    </row>
    <row r="432" spans="1:38" ht="14.25" customHeight="1" x14ac:dyDescent="0.25">
      <c r="A432" s="18">
        <v>5485</v>
      </c>
      <c r="B432" s="18" t="s">
        <v>264</v>
      </c>
      <c r="C432" s="18" t="s">
        <v>435</v>
      </c>
      <c r="E432" s="23" t="str">
        <f>IF(COUNTIF('Info Strategia'!$D$2:$D$51,$C432)&gt;0,"SI","NO")</f>
        <v>NO</v>
      </c>
      <c r="F432" s="24">
        <f>IFERROR(ROUND(($G432+($H432-$G432)*'Info Strategia'!$B$6)*(1+IF($E432="SI",'Parametri Modello'!$B$7*'Info Strategia'!$B$6,0)),0),"")</f>
        <v>0</v>
      </c>
      <c r="G432" s="24">
        <f>IFERROR(ROUND(MAX(1,(IF($V432&lt;=INDEX('Parametri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1</v>
      </c>
      <c r="H432" s="24">
        <f>IFERROR(ROUND((IF($V432&lt;=INDEX('Parametri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0</v>
      </c>
      <c r="I432" s="23" t="str">
        <f>IFERROR(INDEX('Input Statistiche 2025_26'!$F$3:$F$665,MATCH($A432,'Input Statistiche 2025_26'!$A$3:$A$665,0)),"")</f>
        <v/>
      </c>
      <c r="J432" s="23" t="str">
        <f t="shared" si="54"/>
        <v/>
      </c>
      <c r="K432" s="23" t="str">
        <f>IFERROR(INDEX('Input Statistiche 2025_26'!$I$3:$I$665,MATCH($A432,'Input Statistiche 2025_26'!$A$3:$A$665,0)),"")</f>
        <v/>
      </c>
      <c r="L432" s="23" t="str">
        <f>IFERROR(INDEX('Input Statistiche 2025_26'!$O$3:$O$665,MATCH($A432,'Input Statistiche 2025_26'!$A$3:$A$665,0)),"")</f>
        <v/>
      </c>
      <c r="M432" s="25"/>
      <c r="N432" s="24">
        <f>IFERROR(INDEX('Input Giocatori 2026_27'!$E$3:$E$493,MATCH($A432,'Input Giocatori 2026_27'!$A$3:$A$493,0)),"")</f>
        <v>1</v>
      </c>
      <c r="O432" s="24">
        <f>IFERROR(INDEX('Input Giocatori 2026_27'!$G$3:$G$493,MATCH($A432,'Input Giocatori 2026_27'!$A$3:$A$493,0)),"")</f>
        <v>3</v>
      </c>
      <c r="P432" s="23" t="str">
        <f>IFERROR(IF($O432="","",IF((1-(COUNTIFS($B$2:$B$492,$B432,$O$2:$O$492,"&gt;"&amp;$O432)+1-1)/COUNTIF($B$2:$B$492,$B432))&gt;='Parametri Modello'!$B$63,"Top",IF((1-(COUNTIFS($B$2:$B$492,$B432,$O$2:$O$492,"&gt;"&amp;$O432)+1-1)/COUNTIF($B$2:$B$492,$B432))&gt;='Parametri Modello'!$B$64,"Buono",IF((1-(COUNTIFS($B$2:$B$492,$B432,$O$2:$O$492,"&gt;"&amp;$O432)+1-1)/COUNTIF($B$2:$B$492,$B432))&gt;='Parametri Modello'!$B$65,"Nella Media","Scommessa/Riserva")))),"")</f>
        <v>Scommessa/Riserva</v>
      </c>
      <c r="Q432" s="26" t="str">
        <f>IF(AND($D432="",$N432&gt;1),SUMPRODUCT(($D$2:$D432="")*($N$2:$N432&gt;1)),"")</f>
        <v/>
      </c>
      <c r="R432" s="26" t="str">
        <f>IF($D432='Info Lega'!$B$28,COUNTIFS($D$2:$D432,'Info Lega'!$B$28),"")</f>
        <v/>
      </c>
      <c r="S432" s="27" t="str">
        <f>IFERROR(INDEX('Input Statistiche 2025_26'!$G$3:$G$665,MATCH($A432,'Input Statistiche 2025_26'!$A$3:$A$665,0)),"")</f>
        <v/>
      </c>
      <c r="T432" s="27" t="str">
        <f>IFERROR(INDEX('Input Statistiche 2025_26'!$H$3:$H$665,MATCH($A432,'Input Statistiche 2025_26'!$A$3:$A$665,0)),"")</f>
        <v/>
      </c>
      <c r="U432" s="23" t="str">
        <f>IF(OR('La Mia Rosa'!$O$12="",$D432&lt;&gt;""),"",IF($F432&lt;='La Mia Rosa'!$O$12*'Parametri Modello'!$B$24,"OK",IF($F432&lt;='La Mia Rosa'!$O$12*'Parametri Modello'!$B$25,"Attenzione","Rischio Alto")))</f>
        <v>OK</v>
      </c>
      <c r="V432" s="23">
        <f t="shared" si="55"/>
        <v>160</v>
      </c>
      <c r="W432" s="18">
        <f>'Info Lega'!$B$4-SUMIFS($M$2:$M$492,$D$2:$D$492,'Info Lega'!$B$28)</f>
        <v>1000</v>
      </c>
      <c r="X432" s="18">
        <f>('Info Lega'!$B$5-COUNTIFS($D$2:$D$492,'Info Lega'!$B$28,$B$2:$B$492,"P"))+('Info Lega'!$B$6-COUNTIFS($D$2:$D$492,'Info Lega'!$B$28,$B$2:$B$492,"D"))+('Info Lega'!$B$7-COUNTIFS($D$2:$D$492,'Info Lega'!$B$28,$B$2:$B$492,"C"))+('Info Lega'!$B$8-COUNTIFS($D$2:$D$492,'Info Lega'!$B$28,$B$2:$B$492,"A"))</f>
        <v>25</v>
      </c>
      <c r="Y432" s="18">
        <f>X432*'Parametri Modello'!$B$30</f>
        <v>25</v>
      </c>
      <c r="Z432" s="18">
        <f t="shared" si="56"/>
        <v>975</v>
      </c>
      <c r="AA432" s="18">
        <f t="shared" si="57"/>
        <v>0</v>
      </c>
      <c r="AB432" s="18"/>
      <c r="AC432" s="18" t="str">
        <f>IF($AB432="","",IF($AB432&gt;$AA432,"PASS",IF($AB432&lt;=$AA432*(1-'Parametri Modello'!$B$68),"BID","ATTENZIONE")))</f>
        <v/>
      </c>
      <c r="AD432" s="28" t="str">
        <f t="shared" si="58"/>
        <v/>
      </c>
      <c r="AE432" s="5" t="str">
        <f>IFERROR(IF($AF432="Titolare",INDEX('Stato Asta'!$G$9:$G$12,MATCH($B432,'Stato Asta'!$A$9:$A$12,0)),INDEX('Stato Asta'!$P$9:$P$12,MATCH($B432,'Stato Asta'!$A$9:$A$12,0))),"")</f>
        <v>🟢 Riserve abbondanti</v>
      </c>
      <c r="AF432" t="str">
        <f>IFERROR(IF($V432&lt;=INDEX('Parametri Modello'!$C$57:$C$60,MATCH($B432,'Parametri Modello'!$A$57:$A$60,0)),"Titolare","Riserva"),"")</f>
        <v>Riserva</v>
      </c>
      <c r="AG432" t="str">
        <f>IFERROR(INDEX('Pressione Competitiva'!$F$3:$F$6,MATCH($B432,'Pressione Competitiva'!$B$3:$B$6,0)),"")</f>
        <v>🔴 Molto Alta</v>
      </c>
      <c r="AH432" t="str">
        <f t="shared" si="59"/>
        <v/>
      </c>
      <c r="AI432" t="str">
        <f>IFERROR(IF($AH432="","",IF($AH432&gt;=$AA432*'Parametri Modello'!$B$68,"🟢 Opportunita'",IF($AH432&lt;=$AA432*'Parametri Modello'!$B$69,"🔴 Sovrapprezzo","🟡 Prezzo Corretto"))),"")</f>
        <v/>
      </c>
      <c r="AJ432" t="str">
        <f t="shared" si="60"/>
        <v/>
      </c>
      <c r="AK432" t="str">
        <f t="shared" si="61"/>
        <v/>
      </c>
      <c r="AL432" t="str">
        <f t="shared" si="62"/>
        <v/>
      </c>
    </row>
    <row r="433" spans="1:38" ht="14.25" customHeight="1" x14ac:dyDescent="0.25">
      <c r="A433" s="18">
        <v>7161</v>
      </c>
      <c r="B433" s="18" t="s">
        <v>437</v>
      </c>
      <c r="C433" s="18" t="s">
        <v>520</v>
      </c>
      <c r="E433" s="23" t="str">
        <f>IF(COUNTIF('Info Strategia'!$D$2:$D$51,$C433)&gt;0,"SI","NO")</f>
        <v>NO</v>
      </c>
      <c r="F433" s="24">
        <f>IFERROR(ROUND(($G433+($H433-$G433)*'Info Strategia'!$B$6)*(1+IF($E433="SI",'Parametri Modello'!$B$7*'Info Strategia'!$B$6,0)),0),"")</f>
        <v>1</v>
      </c>
      <c r="G433" s="24">
        <f>IFERROR(ROUND(MAX(1,(IF($V433&lt;=INDEX('Parametri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H433" s="24">
        <f>IFERROR(ROUND((IF($V433&lt;=INDEX('Parametri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I433" s="23">
        <f>IFERROR(INDEX('Input Statistiche 2025_26'!$F$3:$F$665,MATCH($A433,'Input Statistiche 2025_26'!$A$3:$A$665,0)),"")</f>
        <v>12</v>
      </c>
      <c r="J433" s="23">
        <f t="shared" si="54"/>
        <v>26</v>
      </c>
      <c r="K433" s="23">
        <f>IFERROR(INDEX('Input Statistiche 2025_26'!$I$3:$I$665,MATCH($A433,'Input Statistiche 2025_26'!$A$3:$A$665,0)),"")</f>
        <v>0</v>
      </c>
      <c r="L433" s="23">
        <f>IFERROR(INDEX('Input Statistiche 2025_26'!$O$3:$O$665,MATCH($A433,'Input Statistiche 2025_26'!$A$3:$A$665,0)),"")</f>
        <v>1</v>
      </c>
      <c r="M433" s="25"/>
      <c r="N433" s="24">
        <f>IFERROR(INDEX('Input Giocatori 2026_27'!$E$3:$E$493,MATCH($A433,'Input Giocatori 2026_27'!$A$3:$A$493,0)),"")</f>
        <v>1</v>
      </c>
      <c r="O433" s="24">
        <f>IFERROR(INDEX('Input Giocatori 2026_27'!$G$3:$G$493,MATCH($A433,'Input Giocatori 2026_27'!$A$3:$A$493,0)),"")</f>
        <v>3</v>
      </c>
      <c r="P433" s="23" t="str">
        <f>IFERROR(IF($O433="","",IF((1-(COUNTIFS($B$2:$B$492,$B433,$O$2:$O$492,"&gt;"&amp;$O433)+1-1)/COUNTIF($B$2:$B$492,$B433))&gt;='Parametri Modello'!$B$63,"Top",IF((1-(COUNTIFS($B$2:$B$492,$B433,$O$2:$O$492,"&gt;"&amp;$O433)+1-1)/COUNTIF($B$2:$B$492,$B433))&gt;='Parametri Modello'!$B$64,"Buono",IF((1-(COUNTIFS($B$2:$B$492,$B433,$O$2:$O$492,"&gt;"&amp;$O433)+1-1)/COUNTIF($B$2:$B$492,$B433))&gt;='Parametri Modello'!$B$65,"Nella Media","Scommessa/Riserva")))),"")</f>
        <v>Scommessa/Riserva</v>
      </c>
      <c r="Q433" s="26" t="str">
        <f>IF(AND($D433="",$N433&gt;1),SUMPRODUCT(($D$2:$D433="")*($N$2:$N433&gt;1)),"")</f>
        <v/>
      </c>
      <c r="R433" s="26" t="str">
        <f>IF($D433='Info Lega'!$B$28,COUNTIFS($D$2:$D433,'Info Lega'!$B$28),"")</f>
        <v/>
      </c>
      <c r="S433" s="27">
        <f>IFERROR(INDEX('Input Statistiche 2025_26'!$G$3:$G$665,MATCH($A433,'Input Statistiche 2025_26'!$A$3:$A$665,0)),"")</f>
        <v>5.75</v>
      </c>
      <c r="T433" s="27">
        <f>IFERROR(INDEX('Input Statistiche 2025_26'!$H$3:$H$665,MATCH($A433,'Input Statistiche 2025_26'!$A$3:$A$665,0)),"")</f>
        <v>5.83</v>
      </c>
      <c r="U433" s="23" t="str">
        <f>IF(OR('La Mia Rosa'!$O$12="",$D433&lt;&gt;""),"",IF($F433&lt;='La Mia Rosa'!$O$12*'Parametri Modello'!$B$24,"OK",IF($F433&lt;='La Mia Rosa'!$O$12*'Parametri Modello'!$B$25,"Attenzione","Rischio Alto")))</f>
        <v>OK</v>
      </c>
      <c r="V433" s="23">
        <f t="shared" si="55"/>
        <v>79</v>
      </c>
      <c r="W433" s="18">
        <f>'Info Lega'!$B$4-SUMIFS($M$2:$M$492,$D$2:$D$492,'Info Lega'!$B$28)</f>
        <v>1000</v>
      </c>
      <c r="X433" s="18">
        <f>('Info Lega'!$B$5-COUNTIFS($D$2:$D$492,'Info Lega'!$B$28,$B$2:$B$492,"P"))+('Info Lega'!$B$6-COUNTIFS($D$2:$D$492,'Info Lega'!$B$28,$B$2:$B$492,"D"))+('Info Lega'!$B$7-COUNTIFS($D$2:$D$492,'Info Lega'!$B$28,$B$2:$B$492,"C"))+('Info Lega'!$B$8-COUNTIFS($D$2:$D$492,'Info Lega'!$B$28,$B$2:$B$492,"A"))</f>
        <v>25</v>
      </c>
      <c r="Y433" s="18">
        <f>X433*'Parametri Modello'!$B$30</f>
        <v>25</v>
      </c>
      <c r="Z433" s="18">
        <f t="shared" si="56"/>
        <v>975</v>
      </c>
      <c r="AA433" s="18">
        <f t="shared" si="57"/>
        <v>1</v>
      </c>
      <c r="AB433" s="18"/>
      <c r="AC433" s="18" t="str">
        <f>IF($AB433="","",IF($AB433&gt;$AA433,"PASS",IF($AB433&lt;=$AA433*(1-'Parametri Modello'!$B$68),"BID","ATTENZIONE")))</f>
        <v/>
      </c>
      <c r="AD433" s="28">
        <f t="shared" si="58"/>
        <v>33</v>
      </c>
      <c r="AE433" s="5" t="str">
        <f>IFERROR(IF($AF433="Titolare",INDEX('Stato Asta'!$G$9:$G$12,MATCH($B433,'Stato Asta'!$A$9:$A$12,0)),INDEX('Stato Asta'!$P$9:$P$12,MATCH($B433,'Stato Asta'!$A$9:$A$12,0))),"")</f>
        <v>🟢 Riserve abbondanti</v>
      </c>
      <c r="AF433" t="str">
        <f>IFERROR(IF($V433&lt;=INDEX('Parametri Modello'!$C$57:$C$60,MATCH($B433,'Parametri Modello'!$A$57:$A$60,0)),"Titolare","Riserva"),"")</f>
        <v>Riserva</v>
      </c>
      <c r="AG433" t="str">
        <f>IFERROR(INDEX('Pressione Competitiva'!$F$3:$F$6,MATCH($B433,'Pressione Competitiva'!$B$3:$B$6,0)),"")</f>
        <v>🔴 Molto Alta</v>
      </c>
      <c r="AH433" t="str">
        <f t="shared" si="59"/>
        <v/>
      </c>
      <c r="AI433" t="str">
        <f>IFERROR(IF($AH433="","",IF($AH433&gt;=$AA433*'Parametri Modello'!$B$68,"🟢 Opportunita'",IF($AH433&lt;=$AA433*'Parametri Modello'!$B$69,"🔴 Sovrapprezzo","🟡 Prezzo Corretto"))),"")</f>
        <v/>
      </c>
      <c r="AJ433" t="str">
        <f t="shared" si="60"/>
        <v/>
      </c>
      <c r="AK433" t="str">
        <f t="shared" si="61"/>
        <v/>
      </c>
      <c r="AL433" t="str">
        <f t="shared" si="62"/>
        <v/>
      </c>
    </row>
    <row r="434" spans="1:38" ht="14.25" customHeight="1" x14ac:dyDescent="0.25">
      <c r="A434" s="18">
        <v>6245</v>
      </c>
      <c r="B434" s="18" t="s">
        <v>88</v>
      </c>
      <c r="C434" s="18" t="s">
        <v>245</v>
      </c>
      <c r="E434" s="23" t="str">
        <f>IF(COUNTIF('Info Strategia'!$D$2:$D$51,$C434)&gt;0,"SI","NO")</f>
        <v>NO</v>
      </c>
      <c r="F434" s="24">
        <f>IFERROR(ROUND(($G434+($H434-$G434)*'Info Strategia'!$B$6)*(1+IF($E434="SI",'Parametri Modello'!$B$7*'Info Strategia'!$B$6,0)),0),"")</f>
        <v>0</v>
      </c>
      <c r="G434" s="24">
        <f>IFERROR(ROUND(MAX(1,(IF($V434&lt;=INDEX('Parametri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H434" s="24">
        <f>IFERROR(ROUND((IF($V434&lt;=INDEX('Parametri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0</v>
      </c>
      <c r="I434" s="23">
        <f>IFERROR(INDEX('Input Statistiche 2025_26'!$F$3:$F$665,MATCH($A434,'Input Statistiche 2025_26'!$A$3:$A$665,0)),"")</f>
        <v>0</v>
      </c>
      <c r="J434" s="23">
        <f t="shared" si="54"/>
        <v>38</v>
      </c>
      <c r="K434" s="23">
        <f>IFERROR(INDEX('Input Statistiche 2025_26'!$I$3:$I$665,MATCH($A434,'Input Statistiche 2025_26'!$A$3:$A$665,0)),"")</f>
        <v>0</v>
      </c>
      <c r="L434" s="23">
        <f>IFERROR(INDEX('Input Statistiche 2025_26'!$O$3:$O$665,MATCH($A434,'Input Statistiche 2025_26'!$A$3:$A$665,0)),"")</f>
        <v>0</v>
      </c>
      <c r="M434" s="25"/>
      <c r="N434" s="24">
        <f>IFERROR(INDEX('Input Giocatori 2026_27'!$E$3:$E$493,MATCH($A434,'Input Giocatori 2026_27'!$A$3:$A$493,0)),"")</f>
        <v>1</v>
      </c>
      <c r="O434" s="24">
        <f>IFERROR(INDEX('Input Giocatori 2026_27'!$G$3:$G$493,MATCH($A434,'Input Giocatori 2026_27'!$A$3:$A$493,0)),"")</f>
        <v>2</v>
      </c>
      <c r="P434" s="23" t="str">
        <f>IFERROR(IF($O434="","",IF((1-(COUNTIFS($B$2:$B$492,$B434,$O$2:$O$492,"&gt;"&amp;$O434)+1-1)/COUNTIF($B$2:$B$492,$B434))&gt;='Parametri Modello'!$B$63,"Top",IF((1-(COUNTIFS($B$2:$B$492,$B434,$O$2:$O$492,"&gt;"&amp;$O434)+1-1)/COUNTIF($B$2:$B$492,$B434))&gt;='Parametri Modello'!$B$64,"Buono",IF((1-(COUNTIFS($B$2:$B$492,$B434,$O$2:$O$492,"&gt;"&amp;$O434)+1-1)/COUNTIF($B$2:$B$492,$B434))&gt;='Parametri Modello'!$B$65,"Nella Media","Scommessa/Riserva")))),"")</f>
        <v>Scommessa/Riserva</v>
      </c>
      <c r="Q434" s="26" t="str">
        <f>IF(AND($D434="",$N434&gt;1),SUMPRODUCT(($D$2:$D434="")*($N$2:$N434&gt;1)),"")</f>
        <v/>
      </c>
      <c r="R434" s="26" t="str">
        <f>IF($D434='Info Lega'!$B$28,COUNTIFS($D$2:$D434,'Info Lega'!$B$28),"")</f>
        <v/>
      </c>
      <c r="S434" s="27">
        <f>IFERROR(INDEX('Input Statistiche 2025_26'!$G$3:$G$665,MATCH($A434,'Input Statistiche 2025_26'!$A$3:$A$665,0)),"")</f>
        <v>0</v>
      </c>
      <c r="T434" s="27">
        <f>IFERROR(INDEX('Input Statistiche 2025_26'!$H$3:$H$665,MATCH($A434,'Input Statistiche 2025_26'!$A$3:$A$665,0)),"")</f>
        <v>0</v>
      </c>
      <c r="U434" s="23" t="str">
        <f>IF(OR('La Mia Rosa'!$O$12="",$D434&lt;&gt;""),"",IF($F434&lt;='La Mia Rosa'!$O$12*'Parametri Modello'!$B$24,"OK",IF($F434&lt;='La Mia Rosa'!$O$12*'Parametri Modello'!$B$25,"Attenzione","Rischio Alto")))</f>
        <v>OK</v>
      </c>
      <c r="V434" s="23">
        <f t="shared" si="55"/>
        <v>163</v>
      </c>
      <c r="W434" s="18">
        <f>'Info Lega'!$B$4-SUMIFS($M$2:$M$492,$D$2:$D$492,'Info Lega'!$B$28)</f>
        <v>1000</v>
      </c>
      <c r="X434" s="18">
        <f>('Info Lega'!$B$5-COUNTIFS($D$2:$D$492,'Info Lega'!$B$28,$B$2:$B$492,"P"))+('Info Lega'!$B$6-COUNTIFS($D$2:$D$492,'Info Lega'!$B$28,$B$2:$B$492,"D"))+('Info Lega'!$B$7-COUNTIFS($D$2:$D$492,'Info Lega'!$B$28,$B$2:$B$492,"C"))+('Info Lega'!$B$8-COUNTIFS($D$2:$D$492,'Info Lega'!$B$28,$B$2:$B$492,"A"))</f>
        <v>25</v>
      </c>
      <c r="Y434" s="18">
        <f>X434*'Parametri Modello'!$B$30</f>
        <v>25</v>
      </c>
      <c r="Z434" s="18">
        <f t="shared" si="56"/>
        <v>975</v>
      </c>
      <c r="AA434" s="18">
        <f t="shared" si="57"/>
        <v>0</v>
      </c>
      <c r="AB434" s="18"/>
      <c r="AC434" s="18" t="str">
        <f>IF($AB434="","",IF($AB434&gt;$AA434,"PASS",IF($AB434&lt;=$AA434*(1-'Parametri Modello'!$B$68),"BID","ATTENZIONE")))</f>
        <v/>
      </c>
      <c r="AD434" s="28">
        <f t="shared" si="58"/>
        <v>0</v>
      </c>
      <c r="AE434" s="5" t="str">
        <f>IFERROR(IF($AF434="Titolare",INDEX('Stato Asta'!$G$9:$G$12,MATCH($B434,'Stato Asta'!$A$9:$A$12,0)),INDEX('Stato Asta'!$P$9:$P$12,MATCH($B434,'Stato Asta'!$A$9:$A$12,0))),"")</f>
        <v>🟢 Riserve abbondanti</v>
      </c>
      <c r="AF434" t="str">
        <f>IFERROR(IF($V434&lt;=INDEX('Parametri Modello'!$C$57:$C$60,MATCH($B434,'Parametri Modello'!$A$57:$A$60,0)),"Titolare","Riserva"),"")</f>
        <v>Riserva</v>
      </c>
      <c r="AG434" t="str">
        <f>IFERROR(INDEX('Pressione Competitiva'!$F$3:$F$6,MATCH($B434,'Pressione Competitiva'!$B$3:$B$6,0)),"")</f>
        <v>🔴 Molto Alta</v>
      </c>
      <c r="AH434" t="str">
        <f t="shared" si="59"/>
        <v/>
      </c>
      <c r="AI434" t="str">
        <f>IFERROR(IF($AH434="","",IF($AH434&gt;=$AA434*'Parametri Modello'!$B$68,"🟢 Opportunita'",IF($AH434&lt;=$AA434*'Parametri Modello'!$B$69,"🔴 Sovrapprezzo","🟡 Prezzo Corretto"))),"")</f>
        <v/>
      </c>
      <c r="AJ434" t="str">
        <f t="shared" si="60"/>
        <v/>
      </c>
      <c r="AK434" t="str">
        <f t="shared" si="61"/>
        <v/>
      </c>
      <c r="AL434" t="str">
        <f t="shared" si="62"/>
        <v/>
      </c>
    </row>
    <row r="435" spans="1:38" ht="14.25" customHeight="1" x14ac:dyDescent="0.25">
      <c r="A435" s="18">
        <v>6244</v>
      </c>
      <c r="B435" s="18" t="s">
        <v>88</v>
      </c>
      <c r="C435" s="18" t="s">
        <v>246</v>
      </c>
      <c r="E435" s="23" t="str">
        <f>IF(COUNTIF('Info Strategia'!$D$2:$D$51,$C435)&gt;0,"SI","NO")</f>
        <v>NO</v>
      </c>
      <c r="F435" s="24">
        <f>IFERROR(ROUND(($G435+($H435-$G435)*'Info Strategia'!$B$6)*(1+IF($E435="SI",'Parametri Modello'!$B$7*'Info Strategia'!$B$6,0)),0),"")</f>
        <v>0</v>
      </c>
      <c r="G435" s="24">
        <f>IFERROR(ROUND(MAX(1,(IF($V435&lt;=INDEX('Parametri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H435" s="24">
        <f>IFERROR(ROUND((IF($V435&lt;=INDEX('Parametri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0</v>
      </c>
      <c r="I435" s="23" t="str">
        <f>IFERROR(INDEX('Input Statistiche 2025_26'!$F$3:$F$665,MATCH($A435,'Input Statistiche 2025_26'!$A$3:$A$665,0)),"")</f>
        <v/>
      </c>
      <c r="J435" s="23" t="str">
        <f t="shared" si="54"/>
        <v/>
      </c>
      <c r="K435" s="23" t="str">
        <f>IFERROR(INDEX('Input Statistiche 2025_26'!$I$3:$I$665,MATCH($A435,'Input Statistiche 2025_26'!$A$3:$A$665,0)),"")</f>
        <v/>
      </c>
      <c r="L435" s="23" t="str">
        <f>IFERROR(INDEX('Input Statistiche 2025_26'!$O$3:$O$665,MATCH($A435,'Input Statistiche 2025_26'!$A$3:$A$665,0)),"")</f>
        <v/>
      </c>
      <c r="M435" s="25"/>
      <c r="N435" s="24">
        <f>IFERROR(INDEX('Input Giocatori 2026_27'!$E$3:$E$493,MATCH($A435,'Input Giocatori 2026_27'!$A$3:$A$493,0)),"")</f>
        <v>1</v>
      </c>
      <c r="O435" s="24">
        <f>IFERROR(INDEX('Input Giocatori 2026_27'!$G$3:$G$493,MATCH($A435,'Input Giocatori 2026_27'!$A$3:$A$493,0)),"")</f>
        <v>2</v>
      </c>
      <c r="P435" s="23" t="str">
        <f>IFERROR(IF($O435="","",IF((1-(COUNTIFS($B$2:$B$492,$B435,$O$2:$O$492,"&gt;"&amp;$O435)+1-1)/COUNTIF($B$2:$B$492,$B435))&gt;='Parametri Modello'!$B$63,"Top",IF((1-(COUNTIFS($B$2:$B$492,$B435,$O$2:$O$492,"&gt;"&amp;$O435)+1-1)/COUNTIF($B$2:$B$492,$B435))&gt;='Parametri Modello'!$B$64,"Buono",IF((1-(COUNTIFS($B$2:$B$492,$B435,$O$2:$O$492,"&gt;"&amp;$O435)+1-1)/COUNTIF($B$2:$B$492,$B435))&gt;='Parametri Modello'!$B$65,"Nella Media","Scommessa/Riserva")))),"")</f>
        <v>Scommessa/Riserva</v>
      </c>
      <c r="Q435" s="26" t="str">
        <f>IF(AND($D435="",$N435&gt;1),SUMPRODUCT(($D$2:$D435="")*($N$2:$N435&gt;1)),"")</f>
        <v/>
      </c>
      <c r="R435" s="26" t="str">
        <f>IF($D435='Info Lega'!$B$28,COUNTIFS($D$2:$D435,'Info Lega'!$B$28),"")</f>
        <v/>
      </c>
      <c r="S435" s="27" t="str">
        <f>IFERROR(INDEX('Input Statistiche 2025_26'!$G$3:$G$665,MATCH($A435,'Input Statistiche 2025_26'!$A$3:$A$665,0)),"")</f>
        <v/>
      </c>
      <c r="T435" s="27" t="str">
        <f>IFERROR(INDEX('Input Statistiche 2025_26'!$H$3:$H$665,MATCH($A435,'Input Statistiche 2025_26'!$A$3:$A$665,0)),"")</f>
        <v/>
      </c>
      <c r="U435" s="23" t="str">
        <f>IF(OR('La Mia Rosa'!$O$12="",$D435&lt;&gt;""),"",IF($F435&lt;='La Mia Rosa'!$O$12*'Parametri Modello'!$B$24,"OK",IF($F435&lt;='La Mia Rosa'!$O$12*'Parametri Modello'!$B$25,"Attenzione","Rischio Alto")))</f>
        <v>OK</v>
      </c>
      <c r="V435" s="23">
        <f t="shared" si="55"/>
        <v>163</v>
      </c>
      <c r="W435" s="18">
        <f>'Info Lega'!$B$4-SUMIFS($M$2:$M$492,$D$2:$D$492,'Info Lega'!$B$28)</f>
        <v>1000</v>
      </c>
      <c r="X435" s="18">
        <f>('Info Lega'!$B$5-COUNTIFS($D$2:$D$492,'Info Lega'!$B$28,$B$2:$B$492,"P"))+('Info Lega'!$B$6-COUNTIFS($D$2:$D$492,'Info Lega'!$B$28,$B$2:$B$492,"D"))+('Info Lega'!$B$7-COUNTIFS($D$2:$D$492,'Info Lega'!$B$28,$B$2:$B$492,"C"))+('Info Lega'!$B$8-COUNTIFS($D$2:$D$492,'Info Lega'!$B$28,$B$2:$B$492,"A"))</f>
        <v>25</v>
      </c>
      <c r="Y435" s="18">
        <f>X435*'Parametri Modello'!$B$30</f>
        <v>25</v>
      </c>
      <c r="Z435" s="18">
        <f t="shared" si="56"/>
        <v>975</v>
      </c>
      <c r="AA435" s="18">
        <f t="shared" si="57"/>
        <v>0</v>
      </c>
      <c r="AB435" s="18"/>
      <c r="AC435" s="18" t="str">
        <f>IF($AB435="","",IF($AB435&gt;$AA435,"PASS",IF($AB435&lt;=$AA435*(1-'Parametri Modello'!$B$68),"BID","ATTENZIONE")))</f>
        <v/>
      </c>
      <c r="AD435" s="28" t="str">
        <f t="shared" si="58"/>
        <v/>
      </c>
      <c r="AE435" s="5" t="str">
        <f>IFERROR(IF($AF435="Titolare",INDEX('Stato Asta'!$G$9:$G$12,MATCH($B435,'Stato Asta'!$A$9:$A$12,0)),INDEX('Stato Asta'!$P$9:$P$12,MATCH($B435,'Stato Asta'!$A$9:$A$12,0))),"")</f>
        <v>🟢 Riserve abbondanti</v>
      </c>
      <c r="AF435" t="str">
        <f>IFERROR(IF($V435&lt;=INDEX('Parametri Modello'!$C$57:$C$60,MATCH($B435,'Parametri Modello'!$A$57:$A$60,0)),"Titolare","Riserva"),"")</f>
        <v>Riserva</v>
      </c>
      <c r="AG435" t="str">
        <f>IFERROR(INDEX('Pressione Competitiva'!$F$3:$F$6,MATCH($B435,'Pressione Competitiva'!$B$3:$B$6,0)),"")</f>
        <v>🔴 Molto Alta</v>
      </c>
      <c r="AH435" t="str">
        <f t="shared" si="59"/>
        <v/>
      </c>
      <c r="AI435" t="str">
        <f>IFERROR(IF($AH435="","",IF($AH435&gt;=$AA435*'Parametri Modello'!$B$68,"🟢 Opportunita'",IF($AH435&lt;=$AA435*'Parametri Modello'!$B$69,"🔴 Sovrapprezzo","🟡 Prezzo Corretto"))),"")</f>
        <v/>
      </c>
      <c r="AJ435" t="str">
        <f t="shared" si="60"/>
        <v/>
      </c>
      <c r="AK435" t="str">
        <f t="shared" si="61"/>
        <v/>
      </c>
      <c r="AL435" t="str">
        <f t="shared" si="62"/>
        <v/>
      </c>
    </row>
    <row r="436" spans="1:38" ht="14.25" customHeight="1" x14ac:dyDescent="0.25">
      <c r="A436" s="18">
        <v>5399</v>
      </c>
      <c r="B436" s="18" t="s">
        <v>88</v>
      </c>
      <c r="C436" s="18" t="s">
        <v>252</v>
      </c>
      <c r="E436" s="23" t="str">
        <f>IF(COUNTIF('Info Strategia'!$D$2:$D$51,$C436)&gt;0,"SI","NO")</f>
        <v>NO</v>
      </c>
      <c r="F436" s="24">
        <f>IFERROR(ROUND(($G436+($H436-$G436)*'Info Strategia'!$B$6)*(1+IF($E436="SI",'Parametri Modello'!$B$7*'Info Strategia'!$B$6,0)),0),"")</f>
        <v>0</v>
      </c>
      <c r="G436" s="24">
        <f>IFERROR(ROUND(MAX(1,(IF($V436&lt;=INDEX('Parametri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H436" s="24">
        <f>IFERROR(ROUND((IF($V436&lt;=INDEX('Parametri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0</v>
      </c>
      <c r="I436" s="23" t="str">
        <f>IFERROR(INDEX('Input Statistiche 2025_26'!$F$3:$F$665,MATCH($A436,'Input Statistiche 2025_26'!$A$3:$A$665,0)),"")</f>
        <v/>
      </c>
      <c r="J436" s="23" t="str">
        <f t="shared" si="54"/>
        <v/>
      </c>
      <c r="K436" s="23" t="str">
        <f>IFERROR(INDEX('Input Statistiche 2025_26'!$I$3:$I$665,MATCH($A436,'Input Statistiche 2025_26'!$A$3:$A$665,0)),"")</f>
        <v/>
      </c>
      <c r="L436" s="23" t="str">
        <f>IFERROR(INDEX('Input Statistiche 2025_26'!$O$3:$O$665,MATCH($A436,'Input Statistiche 2025_26'!$A$3:$A$665,0)),"")</f>
        <v/>
      </c>
      <c r="M436" s="25"/>
      <c r="N436" s="24">
        <f>IFERROR(INDEX('Input Giocatori 2026_27'!$E$3:$E$493,MATCH($A436,'Input Giocatori 2026_27'!$A$3:$A$493,0)),"")</f>
        <v>1</v>
      </c>
      <c r="O436" s="24">
        <f>IFERROR(INDEX('Input Giocatori 2026_27'!$G$3:$G$493,MATCH($A436,'Input Giocatori 2026_27'!$A$3:$A$493,0)),"")</f>
        <v>2</v>
      </c>
      <c r="P436" s="23" t="str">
        <f>IFERROR(IF($O436="","",IF((1-(COUNTIFS($B$2:$B$492,$B436,$O$2:$O$492,"&gt;"&amp;$O436)+1-1)/COUNTIF($B$2:$B$492,$B436))&gt;='Parametri Modello'!$B$63,"Top",IF((1-(COUNTIFS($B$2:$B$492,$B436,$O$2:$O$492,"&gt;"&amp;$O436)+1-1)/COUNTIF($B$2:$B$492,$B436))&gt;='Parametri Modello'!$B$64,"Buono",IF((1-(COUNTIFS($B$2:$B$492,$B436,$O$2:$O$492,"&gt;"&amp;$O436)+1-1)/COUNTIF($B$2:$B$492,$B436))&gt;='Parametri Modello'!$B$65,"Nella Media","Scommessa/Riserva")))),"")</f>
        <v>Scommessa/Riserva</v>
      </c>
      <c r="Q436" s="26" t="str">
        <f>IF(AND($D436="",$N436&gt;1),SUMPRODUCT(($D$2:$D436="")*($N$2:$N436&gt;1)),"")</f>
        <v/>
      </c>
      <c r="R436" s="26" t="str">
        <f>IF($D436='Info Lega'!$B$28,COUNTIFS($D$2:$D436,'Info Lega'!$B$28),"")</f>
        <v/>
      </c>
      <c r="S436" s="27" t="str">
        <f>IFERROR(INDEX('Input Statistiche 2025_26'!$G$3:$G$665,MATCH($A436,'Input Statistiche 2025_26'!$A$3:$A$665,0)),"")</f>
        <v/>
      </c>
      <c r="T436" s="27" t="str">
        <f>IFERROR(INDEX('Input Statistiche 2025_26'!$H$3:$H$665,MATCH($A436,'Input Statistiche 2025_26'!$A$3:$A$665,0)),"")</f>
        <v/>
      </c>
      <c r="U436" s="23" t="str">
        <f>IF(OR('La Mia Rosa'!$O$12="",$D436&lt;&gt;""),"",IF($F436&lt;='La Mia Rosa'!$O$12*'Parametri Modello'!$B$24,"OK",IF($F436&lt;='La Mia Rosa'!$O$12*'Parametri Modello'!$B$25,"Attenzione","Rischio Alto")))</f>
        <v>OK</v>
      </c>
      <c r="V436" s="23">
        <f t="shared" si="55"/>
        <v>163</v>
      </c>
      <c r="W436" s="18">
        <f>'Info Lega'!$B$4-SUMIFS($M$2:$M$492,$D$2:$D$492,'Info Lega'!$B$28)</f>
        <v>1000</v>
      </c>
      <c r="X436" s="18">
        <f>('Info Lega'!$B$5-COUNTIFS($D$2:$D$492,'Info Lega'!$B$28,$B$2:$B$492,"P"))+('Info Lega'!$B$6-COUNTIFS($D$2:$D$492,'Info Lega'!$B$28,$B$2:$B$492,"D"))+('Info Lega'!$B$7-COUNTIFS($D$2:$D$492,'Info Lega'!$B$28,$B$2:$B$492,"C"))+('Info Lega'!$B$8-COUNTIFS($D$2:$D$492,'Info Lega'!$B$28,$B$2:$B$492,"A"))</f>
        <v>25</v>
      </c>
      <c r="Y436" s="18">
        <f>X436*'Parametri Modello'!$B$30</f>
        <v>25</v>
      </c>
      <c r="Z436" s="18">
        <f t="shared" si="56"/>
        <v>975</v>
      </c>
      <c r="AA436" s="18">
        <f t="shared" si="57"/>
        <v>0</v>
      </c>
      <c r="AB436" s="18"/>
      <c r="AC436" s="18" t="str">
        <f>IF($AB436="","",IF($AB436&gt;$AA436,"PASS",IF($AB436&lt;=$AA436*(1-'Parametri Modello'!$B$68),"BID","ATTENZIONE")))</f>
        <v/>
      </c>
      <c r="AD436" s="28" t="str">
        <f t="shared" si="58"/>
        <v/>
      </c>
      <c r="AE436" s="5" t="str">
        <f>IFERROR(IF($AF436="Titolare",INDEX('Stato Asta'!$G$9:$G$12,MATCH($B436,'Stato Asta'!$A$9:$A$12,0)),INDEX('Stato Asta'!$P$9:$P$12,MATCH($B436,'Stato Asta'!$A$9:$A$12,0))),"")</f>
        <v>🟢 Riserve abbondanti</v>
      </c>
      <c r="AF436" t="str">
        <f>IFERROR(IF($V436&lt;=INDEX('Parametri Modello'!$C$57:$C$60,MATCH($B436,'Parametri Modello'!$A$57:$A$60,0)),"Titolare","Riserva"),"")</f>
        <v>Riserva</v>
      </c>
      <c r="AG436" t="str">
        <f>IFERROR(INDEX('Pressione Competitiva'!$F$3:$F$6,MATCH($B436,'Pressione Competitiva'!$B$3:$B$6,0)),"")</f>
        <v>🔴 Molto Alta</v>
      </c>
      <c r="AH436" t="str">
        <f t="shared" si="59"/>
        <v/>
      </c>
      <c r="AI436" t="str">
        <f>IFERROR(IF($AH436="","",IF($AH436&gt;=$AA436*'Parametri Modello'!$B$68,"🟢 Opportunita'",IF($AH436&lt;=$AA436*'Parametri Modello'!$B$69,"🔴 Sovrapprezzo","🟡 Prezzo Corretto"))),"")</f>
        <v/>
      </c>
      <c r="AJ436" t="str">
        <f t="shared" si="60"/>
        <v/>
      </c>
      <c r="AK436" t="str">
        <f t="shared" si="61"/>
        <v/>
      </c>
      <c r="AL436" t="str">
        <f t="shared" si="62"/>
        <v/>
      </c>
    </row>
    <row r="437" spans="1:38" ht="14.25" customHeight="1" x14ac:dyDescent="0.25">
      <c r="A437" s="18">
        <v>7260</v>
      </c>
      <c r="B437" s="18" t="s">
        <v>88</v>
      </c>
      <c r="C437" s="18" t="s">
        <v>258</v>
      </c>
      <c r="E437" s="23" t="str">
        <f>IF(COUNTIF('Info Strategia'!$D$2:$D$51,$C437)&gt;0,"SI","NO")</f>
        <v>NO</v>
      </c>
      <c r="F437" s="24">
        <f>IFERROR(ROUND(($G437+($H437-$G437)*'Info Strategia'!$B$6)*(1+IF($E437="SI",'Parametri Modello'!$B$7*'Info Strategia'!$B$6,0)),0),"")</f>
        <v>0</v>
      </c>
      <c r="G437" s="24">
        <f>IFERROR(ROUND(MAX(1,(IF($V437&lt;=INDEX('Parametri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H437" s="24">
        <f>IFERROR(ROUND((IF($V437&lt;=INDEX('Parametri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0</v>
      </c>
      <c r="I437" s="23">
        <f>IFERROR(INDEX('Input Statistiche 2025_26'!$F$3:$F$665,MATCH($A437,'Input Statistiche 2025_26'!$A$3:$A$665,0)),"")</f>
        <v>9</v>
      </c>
      <c r="J437" s="23">
        <f t="shared" si="54"/>
        <v>29</v>
      </c>
      <c r="K437" s="23">
        <f>IFERROR(INDEX('Input Statistiche 2025_26'!$I$3:$I$665,MATCH($A437,'Input Statistiche 2025_26'!$A$3:$A$665,0)),"")</f>
        <v>0</v>
      </c>
      <c r="L437" s="23">
        <f>IFERROR(INDEX('Input Statistiche 2025_26'!$O$3:$O$665,MATCH($A437,'Input Statistiche 2025_26'!$A$3:$A$665,0)),"")</f>
        <v>0</v>
      </c>
      <c r="M437" s="25"/>
      <c r="N437" s="24">
        <f>IFERROR(INDEX('Input Giocatori 2026_27'!$E$3:$E$493,MATCH($A437,'Input Giocatori 2026_27'!$A$3:$A$493,0)),"")</f>
        <v>1</v>
      </c>
      <c r="O437" s="24">
        <f>IFERROR(INDEX('Input Giocatori 2026_27'!$G$3:$G$493,MATCH($A437,'Input Giocatori 2026_27'!$A$3:$A$493,0)),"")</f>
        <v>2</v>
      </c>
      <c r="P437" s="23" t="str">
        <f>IFERROR(IF($O437="","",IF((1-(COUNTIFS($B$2:$B$492,$B437,$O$2:$O$492,"&gt;"&amp;$O437)+1-1)/COUNTIF($B$2:$B$492,$B437))&gt;='Parametri Modello'!$B$63,"Top",IF((1-(COUNTIFS($B$2:$B$492,$B437,$O$2:$O$492,"&gt;"&amp;$O437)+1-1)/COUNTIF($B$2:$B$492,$B437))&gt;='Parametri Modello'!$B$64,"Buono",IF((1-(COUNTIFS($B$2:$B$492,$B437,$O$2:$O$492,"&gt;"&amp;$O437)+1-1)/COUNTIF($B$2:$B$492,$B437))&gt;='Parametri Modello'!$B$65,"Nella Media","Scommessa/Riserva")))),"")</f>
        <v>Scommessa/Riserva</v>
      </c>
      <c r="Q437" s="26" t="str">
        <f>IF(AND($D437="",$N437&gt;1),SUMPRODUCT(($D$2:$D437="")*($N$2:$N437&gt;1)),"")</f>
        <v/>
      </c>
      <c r="R437" s="26" t="str">
        <f>IF($D437='Info Lega'!$B$28,COUNTIFS($D$2:$D437,'Info Lega'!$B$28),"")</f>
        <v/>
      </c>
      <c r="S437" s="27">
        <f>IFERROR(INDEX('Input Statistiche 2025_26'!$G$3:$G$665,MATCH($A437,'Input Statistiche 2025_26'!$A$3:$A$665,0)),"")</f>
        <v>5.94</v>
      </c>
      <c r="T437" s="27">
        <f>IFERROR(INDEX('Input Statistiche 2025_26'!$H$3:$H$665,MATCH($A437,'Input Statistiche 2025_26'!$A$3:$A$665,0)),"")</f>
        <v>5.78</v>
      </c>
      <c r="U437" s="23" t="str">
        <f>IF(OR('La Mia Rosa'!$O$12="",$D437&lt;&gt;""),"",IF($F437&lt;='La Mia Rosa'!$O$12*'Parametri Modello'!$B$24,"OK",IF($F437&lt;='La Mia Rosa'!$O$12*'Parametri Modello'!$B$25,"Attenzione","Rischio Alto")))</f>
        <v>OK</v>
      </c>
      <c r="V437" s="23">
        <f t="shared" si="55"/>
        <v>163</v>
      </c>
      <c r="W437" s="18">
        <f>'Info Lega'!$B$4-SUMIFS($M$2:$M$492,$D$2:$D$492,'Info Lega'!$B$28)</f>
        <v>1000</v>
      </c>
      <c r="X437" s="18">
        <f>('Info Lega'!$B$5-COUNTIFS($D$2:$D$492,'Info Lega'!$B$28,$B$2:$B$492,"P"))+('Info Lega'!$B$6-COUNTIFS($D$2:$D$492,'Info Lega'!$B$28,$B$2:$B$492,"D"))+('Info Lega'!$B$7-COUNTIFS($D$2:$D$492,'Info Lega'!$B$28,$B$2:$B$492,"C"))+('Info Lega'!$B$8-COUNTIFS($D$2:$D$492,'Info Lega'!$B$28,$B$2:$B$492,"A"))</f>
        <v>25</v>
      </c>
      <c r="Y437" s="18">
        <f>X437*'Parametri Modello'!$B$30</f>
        <v>25</v>
      </c>
      <c r="Z437" s="18">
        <f t="shared" si="56"/>
        <v>975</v>
      </c>
      <c r="AA437" s="18">
        <f t="shared" si="57"/>
        <v>0</v>
      </c>
      <c r="AB437" s="18"/>
      <c r="AC437" s="18" t="str">
        <f>IF($AB437="","",IF($AB437&gt;$AA437,"PASS",IF($AB437&lt;=$AA437*(1-'Parametri Modello'!$B$68),"BID","ATTENZIONE")))</f>
        <v/>
      </c>
      <c r="AD437" s="28">
        <f t="shared" si="58"/>
        <v>26</v>
      </c>
      <c r="AE437" s="5" t="str">
        <f>IFERROR(IF($AF437="Titolare",INDEX('Stato Asta'!$G$9:$G$12,MATCH($B437,'Stato Asta'!$A$9:$A$12,0)),INDEX('Stato Asta'!$P$9:$P$12,MATCH($B437,'Stato Asta'!$A$9:$A$12,0))),"")</f>
        <v>🟢 Riserve abbondanti</v>
      </c>
      <c r="AF437" t="str">
        <f>IFERROR(IF($V437&lt;=INDEX('Parametri Modello'!$C$57:$C$60,MATCH($B437,'Parametri Modello'!$A$57:$A$60,0)),"Titolare","Riserva"),"")</f>
        <v>Riserva</v>
      </c>
      <c r="AG437" t="str">
        <f>IFERROR(INDEX('Pressione Competitiva'!$F$3:$F$6,MATCH($B437,'Pressione Competitiva'!$B$3:$B$6,0)),"")</f>
        <v>🔴 Molto Alta</v>
      </c>
      <c r="AH437" t="str">
        <f t="shared" si="59"/>
        <v/>
      </c>
      <c r="AI437" t="str">
        <f>IFERROR(IF($AH437="","",IF($AH437&gt;=$AA437*'Parametri Modello'!$B$68,"🟢 Opportunita'",IF($AH437&lt;=$AA437*'Parametri Modello'!$B$69,"🔴 Sovrapprezzo","🟡 Prezzo Corretto"))),"")</f>
        <v/>
      </c>
      <c r="AJ437" t="str">
        <f t="shared" si="60"/>
        <v/>
      </c>
      <c r="AK437" t="str">
        <f t="shared" si="61"/>
        <v/>
      </c>
      <c r="AL437" t="str">
        <f t="shared" si="62"/>
        <v/>
      </c>
    </row>
    <row r="438" spans="1:38" ht="14.25" customHeight="1" x14ac:dyDescent="0.25">
      <c r="A438" s="18">
        <v>6189</v>
      </c>
      <c r="B438" s="18" t="s">
        <v>88</v>
      </c>
      <c r="C438" s="18" t="s">
        <v>259</v>
      </c>
      <c r="E438" s="23" t="str">
        <f>IF(COUNTIF('Info Strategia'!$D$2:$D$51,$C438)&gt;0,"SI","NO")</f>
        <v>NO</v>
      </c>
      <c r="F438" s="24">
        <f>IFERROR(ROUND(($G438+($H438-$G438)*'Info Strategia'!$B$6)*(1+IF($E438="SI",'Parametri Modello'!$B$7*'Info Strategia'!$B$6,0)),0),"")</f>
        <v>0</v>
      </c>
      <c r="G438" s="24">
        <f>IFERROR(ROUND(MAX(1,(IF($V438&lt;=INDEX('Parametri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H438" s="24">
        <f>IFERROR(ROUND((IF($V438&lt;=INDEX('Parametri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0</v>
      </c>
      <c r="I438" s="23">
        <f>IFERROR(INDEX('Input Statistiche 2025_26'!$F$3:$F$665,MATCH($A438,'Input Statistiche 2025_26'!$A$3:$A$665,0)),"")</f>
        <v>0</v>
      </c>
      <c r="J438" s="23">
        <f t="shared" si="54"/>
        <v>38</v>
      </c>
      <c r="K438" s="23">
        <f>IFERROR(INDEX('Input Statistiche 2025_26'!$I$3:$I$665,MATCH($A438,'Input Statistiche 2025_26'!$A$3:$A$665,0)),"")</f>
        <v>0</v>
      </c>
      <c r="L438" s="23">
        <f>IFERROR(INDEX('Input Statistiche 2025_26'!$O$3:$O$665,MATCH($A438,'Input Statistiche 2025_26'!$A$3:$A$665,0)),"")</f>
        <v>0</v>
      </c>
      <c r="M438" s="25"/>
      <c r="N438" s="24">
        <f>IFERROR(INDEX('Input Giocatori 2026_27'!$E$3:$E$493,MATCH($A438,'Input Giocatori 2026_27'!$A$3:$A$493,0)),"")</f>
        <v>1</v>
      </c>
      <c r="O438" s="24">
        <f>IFERROR(INDEX('Input Giocatori 2026_27'!$G$3:$G$493,MATCH($A438,'Input Giocatori 2026_27'!$A$3:$A$493,0)),"")</f>
        <v>2</v>
      </c>
      <c r="P438" s="23" t="str">
        <f>IFERROR(IF($O438="","",IF((1-(COUNTIFS($B$2:$B$492,$B438,$O$2:$O$492,"&gt;"&amp;$O438)+1-1)/COUNTIF($B$2:$B$492,$B438))&gt;='Parametri Modello'!$B$63,"Top",IF((1-(COUNTIFS($B$2:$B$492,$B438,$O$2:$O$492,"&gt;"&amp;$O438)+1-1)/COUNTIF($B$2:$B$492,$B438))&gt;='Parametri Modello'!$B$64,"Buono",IF((1-(COUNTIFS($B$2:$B$492,$B438,$O$2:$O$492,"&gt;"&amp;$O438)+1-1)/COUNTIF($B$2:$B$492,$B438))&gt;='Parametri Modello'!$B$65,"Nella Media","Scommessa/Riserva")))),"")</f>
        <v>Scommessa/Riserva</v>
      </c>
      <c r="Q438" s="26" t="str">
        <f>IF(AND($D438="",$N438&gt;1),SUMPRODUCT(($D$2:$D438="")*($N$2:$N438&gt;1)),"")</f>
        <v/>
      </c>
      <c r="R438" s="26" t="str">
        <f>IF($D438='Info Lega'!$B$28,COUNTIFS($D$2:$D438,'Info Lega'!$B$28),"")</f>
        <v/>
      </c>
      <c r="S438" s="27">
        <f>IFERROR(INDEX('Input Statistiche 2025_26'!$G$3:$G$665,MATCH($A438,'Input Statistiche 2025_26'!$A$3:$A$665,0)),"")</f>
        <v>0</v>
      </c>
      <c r="T438" s="27">
        <f>IFERROR(INDEX('Input Statistiche 2025_26'!$H$3:$H$665,MATCH($A438,'Input Statistiche 2025_26'!$A$3:$A$665,0)),"")</f>
        <v>0</v>
      </c>
      <c r="U438" s="23" t="str">
        <f>IF(OR('La Mia Rosa'!$O$12="",$D438&lt;&gt;""),"",IF($F438&lt;='La Mia Rosa'!$O$12*'Parametri Modello'!$B$24,"OK",IF($F438&lt;='La Mia Rosa'!$O$12*'Parametri Modello'!$B$25,"Attenzione","Rischio Alto")))</f>
        <v>OK</v>
      </c>
      <c r="V438" s="23">
        <f t="shared" si="55"/>
        <v>163</v>
      </c>
      <c r="W438" s="18">
        <f>'Info Lega'!$B$4-SUMIFS($M$2:$M$492,$D$2:$D$492,'Info Lega'!$B$28)</f>
        <v>1000</v>
      </c>
      <c r="X438" s="18">
        <f>('Info Lega'!$B$5-COUNTIFS($D$2:$D$492,'Info Lega'!$B$28,$B$2:$B$492,"P"))+('Info Lega'!$B$6-COUNTIFS($D$2:$D$492,'Info Lega'!$B$28,$B$2:$B$492,"D"))+('Info Lega'!$B$7-COUNTIFS($D$2:$D$492,'Info Lega'!$B$28,$B$2:$B$492,"C"))+('Info Lega'!$B$8-COUNTIFS($D$2:$D$492,'Info Lega'!$B$28,$B$2:$B$492,"A"))</f>
        <v>25</v>
      </c>
      <c r="Y438" s="18">
        <f>X438*'Parametri Modello'!$B$30</f>
        <v>25</v>
      </c>
      <c r="Z438" s="18">
        <f t="shared" si="56"/>
        <v>975</v>
      </c>
      <c r="AA438" s="18">
        <f t="shared" si="57"/>
        <v>0</v>
      </c>
      <c r="AB438" s="18"/>
      <c r="AC438" s="18" t="str">
        <f>IF($AB438="","",IF($AB438&gt;$AA438,"PASS",IF($AB438&lt;=$AA438*(1-'Parametri Modello'!$B$68),"BID","ATTENZIONE")))</f>
        <v/>
      </c>
      <c r="AD438" s="28">
        <f t="shared" si="58"/>
        <v>0</v>
      </c>
      <c r="AE438" s="5" t="str">
        <f>IFERROR(IF($AF438="Titolare",INDEX('Stato Asta'!$G$9:$G$12,MATCH($B438,'Stato Asta'!$A$9:$A$12,0)),INDEX('Stato Asta'!$P$9:$P$12,MATCH($B438,'Stato Asta'!$A$9:$A$12,0))),"")</f>
        <v>🟢 Riserve abbondanti</v>
      </c>
      <c r="AF438" t="str">
        <f>IFERROR(IF($V438&lt;=INDEX('Parametri Modello'!$C$57:$C$60,MATCH($B438,'Parametri Modello'!$A$57:$A$60,0)),"Titolare","Riserva"),"")</f>
        <v>Riserva</v>
      </c>
      <c r="AG438" t="str">
        <f>IFERROR(INDEX('Pressione Competitiva'!$F$3:$F$6,MATCH($B438,'Pressione Competitiva'!$B$3:$B$6,0)),"")</f>
        <v>🔴 Molto Alta</v>
      </c>
      <c r="AH438" t="str">
        <f t="shared" si="59"/>
        <v/>
      </c>
      <c r="AI438" t="str">
        <f>IFERROR(IF($AH438="","",IF($AH438&gt;=$AA438*'Parametri Modello'!$B$68,"🟢 Opportunita'",IF($AH438&lt;=$AA438*'Parametri Modello'!$B$69,"🔴 Sovrapprezzo","🟡 Prezzo Corretto"))),"")</f>
        <v/>
      </c>
      <c r="AJ438" t="str">
        <f t="shared" si="60"/>
        <v/>
      </c>
      <c r="AK438" t="str">
        <f t="shared" si="61"/>
        <v/>
      </c>
      <c r="AL438" t="str">
        <f t="shared" si="62"/>
        <v/>
      </c>
    </row>
    <row r="439" spans="1:38" ht="14.25" customHeight="1" x14ac:dyDescent="0.25">
      <c r="A439" s="18">
        <v>6410</v>
      </c>
      <c r="B439" s="18" t="s">
        <v>264</v>
      </c>
      <c r="C439" s="18" t="s">
        <v>427</v>
      </c>
      <c r="E439" s="23" t="str">
        <f>IF(COUNTIF('Info Strategia'!$D$2:$D$51,$C439)&gt;0,"SI","NO")</f>
        <v>NO</v>
      </c>
      <c r="F439" s="24">
        <f>IFERROR(ROUND(($G439+($H439-$G439)*'Info Strategia'!$B$6)*(1+IF($E439="SI",'Parametri Modello'!$B$7*'Info Strategia'!$B$6,0)),0),"")</f>
        <v>0</v>
      </c>
      <c r="G439" s="24">
        <f>IFERROR(ROUND(MAX(1,(IF($V439&lt;=INDEX('Parametri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H439" s="24">
        <f>IFERROR(ROUND((IF($V439&lt;=INDEX('Parametri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0</v>
      </c>
      <c r="I439" s="23">
        <f>IFERROR(INDEX('Input Statistiche 2025_26'!$F$3:$F$665,MATCH($A439,'Input Statistiche 2025_26'!$A$3:$A$665,0)),"")</f>
        <v>11</v>
      </c>
      <c r="J439" s="23">
        <f t="shared" si="54"/>
        <v>27</v>
      </c>
      <c r="K439" s="23">
        <f>IFERROR(INDEX('Input Statistiche 2025_26'!$I$3:$I$665,MATCH($A439,'Input Statistiche 2025_26'!$A$3:$A$665,0)),"")</f>
        <v>0</v>
      </c>
      <c r="L439" s="23">
        <f>IFERROR(INDEX('Input Statistiche 2025_26'!$O$3:$O$665,MATCH($A439,'Input Statistiche 2025_26'!$A$3:$A$665,0)),"")</f>
        <v>0</v>
      </c>
      <c r="M439" s="25"/>
      <c r="N439" s="24">
        <f>IFERROR(INDEX('Input Giocatori 2026_27'!$E$3:$E$493,MATCH($A439,'Input Giocatori 2026_27'!$A$3:$A$493,0)),"")</f>
        <v>1</v>
      </c>
      <c r="O439" s="24">
        <f>IFERROR(INDEX('Input Giocatori 2026_27'!$G$3:$G$493,MATCH($A439,'Input Giocatori 2026_27'!$A$3:$A$493,0)),"")</f>
        <v>2</v>
      </c>
      <c r="P439" s="23" t="str">
        <f>IFERROR(IF($O439="","",IF((1-(COUNTIFS($B$2:$B$492,$B439,$O$2:$O$492,"&gt;"&amp;$O439)+1-1)/COUNTIF($B$2:$B$492,$B439))&gt;='Parametri Modello'!$B$63,"Top",IF((1-(COUNTIFS($B$2:$B$492,$B439,$O$2:$O$492,"&gt;"&amp;$O439)+1-1)/COUNTIF($B$2:$B$492,$B439))&gt;='Parametri Modello'!$B$64,"Buono",IF((1-(COUNTIFS($B$2:$B$492,$B439,$O$2:$O$492,"&gt;"&amp;$O439)+1-1)/COUNTIF($B$2:$B$492,$B439))&gt;='Parametri Modello'!$B$65,"Nella Media","Scommessa/Riserva")))),"")</f>
        <v>Scommessa/Riserva</v>
      </c>
      <c r="Q439" s="26" t="str">
        <f>IF(AND($D439="",$N439&gt;1),SUMPRODUCT(($D$2:$D439="")*($N$2:$N439&gt;1)),"")</f>
        <v/>
      </c>
      <c r="R439" s="26" t="str">
        <f>IF($D439='Info Lega'!$B$28,COUNTIFS($D$2:$D439,'Info Lega'!$B$28),"")</f>
        <v/>
      </c>
      <c r="S439" s="27">
        <f>IFERROR(INDEX('Input Statistiche 2025_26'!$G$3:$G$665,MATCH($A439,'Input Statistiche 2025_26'!$A$3:$A$665,0)),"")</f>
        <v>5.77</v>
      </c>
      <c r="T439" s="27">
        <f>IFERROR(INDEX('Input Statistiche 2025_26'!$H$3:$H$665,MATCH($A439,'Input Statistiche 2025_26'!$A$3:$A$665,0)),"")</f>
        <v>5.73</v>
      </c>
      <c r="U439" s="23" t="str">
        <f>IF(OR('La Mia Rosa'!$O$12="",$D439&lt;&gt;""),"",IF($F439&lt;='La Mia Rosa'!$O$12*'Parametri Modello'!$B$24,"OK",IF($F439&lt;='La Mia Rosa'!$O$12*'Parametri Modello'!$B$25,"Attenzione","Rischio Alto")))</f>
        <v>OK</v>
      </c>
      <c r="V439" s="23">
        <f t="shared" si="55"/>
        <v>167</v>
      </c>
      <c r="W439" s="18">
        <f>'Info Lega'!$B$4-SUMIFS($M$2:$M$492,$D$2:$D$492,'Info Lega'!$B$28)</f>
        <v>1000</v>
      </c>
      <c r="X439" s="18">
        <f>('Info Lega'!$B$5-COUNTIFS($D$2:$D$492,'Info Lega'!$B$28,$B$2:$B$492,"P"))+('Info Lega'!$B$6-COUNTIFS($D$2:$D$492,'Info Lega'!$B$28,$B$2:$B$492,"D"))+('Info Lega'!$B$7-COUNTIFS($D$2:$D$492,'Info Lega'!$B$28,$B$2:$B$492,"C"))+('Info Lega'!$B$8-COUNTIFS($D$2:$D$492,'Info Lega'!$B$28,$B$2:$B$492,"A"))</f>
        <v>25</v>
      </c>
      <c r="Y439" s="18">
        <f>X439*'Parametri Modello'!$B$30</f>
        <v>25</v>
      </c>
      <c r="Z439" s="18">
        <f t="shared" si="56"/>
        <v>975</v>
      </c>
      <c r="AA439" s="18">
        <f t="shared" si="57"/>
        <v>0</v>
      </c>
      <c r="AB439" s="18"/>
      <c r="AC439" s="18" t="str">
        <f>IF($AB439="","",IF($AB439&gt;$AA439,"PASS",IF($AB439&lt;=$AA439*(1-'Parametri Modello'!$B$68),"BID","ATTENZIONE")))</f>
        <v/>
      </c>
      <c r="AD439" s="28">
        <f t="shared" si="58"/>
        <v>31</v>
      </c>
      <c r="AE439" s="5" t="str">
        <f>IFERROR(IF($AF439="Titolare",INDEX('Stato Asta'!$G$9:$G$12,MATCH($B439,'Stato Asta'!$A$9:$A$12,0)),INDEX('Stato Asta'!$P$9:$P$12,MATCH($B439,'Stato Asta'!$A$9:$A$12,0))),"")</f>
        <v>🟢 Riserve abbondanti</v>
      </c>
      <c r="AF439" t="str">
        <f>IFERROR(IF($V439&lt;=INDEX('Parametri Modello'!$C$57:$C$60,MATCH($B439,'Parametri Modello'!$A$57:$A$60,0)),"Titolare","Riserva"),"")</f>
        <v>Riserva</v>
      </c>
      <c r="AG439" t="str">
        <f>IFERROR(INDEX('Pressione Competitiva'!$F$3:$F$6,MATCH($B439,'Pressione Competitiva'!$B$3:$B$6,0)),"")</f>
        <v>🔴 Molto Alta</v>
      </c>
      <c r="AH439" t="str">
        <f t="shared" si="59"/>
        <v/>
      </c>
      <c r="AI439" t="str">
        <f>IFERROR(IF($AH439="","",IF($AH439&gt;=$AA439*'Parametri Modello'!$B$68,"🟢 Opportunita'",IF($AH439&lt;=$AA439*'Parametri Modello'!$B$69,"🔴 Sovrapprezzo","🟡 Prezzo Corretto"))),"")</f>
        <v/>
      </c>
      <c r="AJ439" t="str">
        <f t="shared" si="60"/>
        <v/>
      </c>
      <c r="AK439" t="str">
        <f t="shared" si="61"/>
        <v/>
      </c>
      <c r="AL439" t="str">
        <f t="shared" si="62"/>
        <v/>
      </c>
    </row>
    <row r="440" spans="1:38" ht="14.25" customHeight="1" x14ac:dyDescent="0.25">
      <c r="A440" s="18">
        <v>7317</v>
      </c>
      <c r="B440" s="18" t="s">
        <v>437</v>
      </c>
      <c r="C440" s="18" t="s">
        <v>516</v>
      </c>
      <c r="E440" s="23" t="str">
        <f>IF(COUNTIF('Info Strategia'!$D$2:$D$51,$C440)&gt;0,"SI","NO")</f>
        <v>NO</v>
      </c>
      <c r="F440" s="24">
        <f>IFERROR(ROUND(($G440+($H440-$G440)*'Info Strategia'!$B$6)*(1+IF($E440="SI",'Parametri Modello'!$B$7*'Info Strategia'!$B$6,0)),0),"")</f>
        <v>1</v>
      </c>
      <c r="G440" s="24">
        <f>IFERROR(ROUND(MAX(1,(IF($V440&lt;=INDEX('Parametri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H440" s="24">
        <f>IFERROR(ROUND((IF($V440&lt;=INDEX('Parametri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I440" s="23">
        <f>IFERROR(INDEX('Input Statistiche 2025_26'!$F$3:$F$665,MATCH($A440,'Input Statistiche 2025_26'!$A$3:$A$665,0)),"")</f>
        <v>3</v>
      </c>
      <c r="J440" s="23">
        <f t="shared" si="54"/>
        <v>35</v>
      </c>
      <c r="K440" s="23">
        <f>IFERROR(INDEX('Input Statistiche 2025_26'!$I$3:$I$665,MATCH($A440,'Input Statistiche 2025_26'!$A$3:$A$665,0)),"")</f>
        <v>0</v>
      </c>
      <c r="L440" s="23">
        <f>IFERROR(INDEX('Input Statistiche 2025_26'!$O$3:$O$665,MATCH($A440,'Input Statistiche 2025_26'!$A$3:$A$665,0)),"")</f>
        <v>0</v>
      </c>
      <c r="M440" s="25"/>
      <c r="N440" s="24">
        <f>IFERROR(INDEX('Input Giocatori 2026_27'!$E$3:$E$493,MATCH($A440,'Input Giocatori 2026_27'!$A$3:$A$493,0)),"")</f>
        <v>1</v>
      </c>
      <c r="O440" s="24">
        <f>IFERROR(INDEX('Input Giocatori 2026_27'!$G$3:$G$493,MATCH($A440,'Input Giocatori 2026_27'!$A$3:$A$493,0)),"")</f>
        <v>2</v>
      </c>
      <c r="P440" s="23" t="str">
        <f>IFERROR(IF($O440="","",IF((1-(COUNTIFS($B$2:$B$492,$B440,$O$2:$O$492,"&gt;"&amp;$O440)+1-1)/COUNTIF($B$2:$B$492,$B440))&gt;='Parametri Modello'!$B$63,"Top",IF((1-(COUNTIFS($B$2:$B$492,$B440,$O$2:$O$492,"&gt;"&amp;$O440)+1-1)/COUNTIF($B$2:$B$492,$B440))&gt;='Parametri Modello'!$B$64,"Buono",IF((1-(COUNTIFS($B$2:$B$492,$B440,$O$2:$O$492,"&gt;"&amp;$O440)+1-1)/COUNTIF($B$2:$B$492,$B440))&gt;='Parametri Modello'!$B$65,"Nella Media","Scommessa/Riserva")))),"")</f>
        <v>Scommessa/Riserva</v>
      </c>
      <c r="Q440" s="26" t="str">
        <f>IF(AND($D440="",$N440&gt;1),SUMPRODUCT(($D$2:$D440="")*($N$2:$N440&gt;1)),"")</f>
        <v/>
      </c>
      <c r="R440" s="26" t="str">
        <f>IF($D440='Info Lega'!$B$28,COUNTIFS($D$2:$D440,'Info Lega'!$B$28),"")</f>
        <v/>
      </c>
      <c r="S440" s="27">
        <f>IFERROR(INDEX('Input Statistiche 2025_26'!$G$3:$G$665,MATCH($A440,'Input Statistiche 2025_26'!$A$3:$A$665,0)),"")</f>
        <v>5.67</v>
      </c>
      <c r="T440" s="27">
        <f>IFERROR(INDEX('Input Statistiche 2025_26'!$H$3:$H$665,MATCH($A440,'Input Statistiche 2025_26'!$A$3:$A$665,0)),"")</f>
        <v>5.67</v>
      </c>
      <c r="U440" s="23" t="str">
        <f>IF(OR('La Mia Rosa'!$O$12="",$D440&lt;&gt;""),"",IF($F440&lt;='La Mia Rosa'!$O$12*'Parametri Modello'!$B$24,"OK",IF($F440&lt;='La Mia Rosa'!$O$12*'Parametri Modello'!$B$25,"Attenzione","Rischio Alto")))</f>
        <v>OK</v>
      </c>
      <c r="V440" s="23">
        <f t="shared" si="55"/>
        <v>80</v>
      </c>
      <c r="W440" s="18">
        <f>'Info Lega'!$B$4-SUMIFS($M$2:$M$492,$D$2:$D$492,'Info Lega'!$B$28)</f>
        <v>1000</v>
      </c>
      <c r="X440" s="18">
        <f>('Info Lega'!$B$5-COUNTIFS($D$2:$D$492,'Info Lega'!$B$28,$B$2:$B$492,"P"))+('Info Lega'!$B$6-COUNTIFS($D$2:$D$492,'Info Lega'!$B$28,$B$2:$B$492,"D"))+('Info Lega'!$B$7-COUNTIFS($D$2:$D$492,'Info Lega'!$B$28,$B$2:$B$492,"C"))+('Info Lega'!$B$8-COUNTIFS($D$2:$D$492,'Info Lega'!$B$28,$B$2:$B$492,"A"))</f>
        <v>25</v>
      </c>
      <c r="Y440" s="18">
        <f>X440*'Parametri Modello'!$B$30</f>
        <v>25</v>
      </c>
      <c r="Z440" s="18">
        <f t="shared" si="56"/>
        <v>975</v>
      </c>
      <c r="AA440" s="18">
        <f t="shared" si="57"/>
        <v>1</v>
      </c>
      <c r="AB440" s="18"/>
      <c r="AC440" s="18" t="str">
        <f>IF($AB440="","",IF($AB440&gt;$AA440,"PASS",IF($AB440&lt;=$AA440*(1-'Parametri Modello'!$B$68),"BID","ATTENZIONE")))</f>
        <v/>
      </c>
      <c r="AD440" s="28">
        <f t="shared" si="58"/>
        <v>10</v>
      </c>
      <c r="AE440" s="5" t="str">
        <f>IFERROR(IF($AF440="Titolare",INDEX('Stato Asta'!$G$9:$G$12,MATCH($B440,'Stato Asta'!$A$9:$A$12,0)),INDEX('Stato Asta'!$P$9:$P$12,MATCH($B440,'Stato Asta'!$A$9:$A$12,0))),"")</f>
        <v>🟢 Riserve abbondanti</v>
      </c>
      <c r="AF440" t="str">
        <f>IFERROR(IF($V440&lt;=INDEX('Parametri Modello'!$C$57:$C$60,MATCH($B440,'Parametri Modello'!$A$57:$A$60,0)),"Titolare","Riserva"),"")</f>
        <v>Riserva</v>
      </c>
      <c r="AG440" t="str">
        <f>IFERROR(INDEX('Pressione Competitiva'!$F$3:$F$6,MATCH($B440,'Pressione Competitiva'!$B$3:$B$6,0)),"")</f>
        <v>🔴 Molto Alta</v>
      </c>
      <c r="AH440" t="str">
        <f t="shared" si="59"/>
        <v/>
      </c>
      <c r="AI440" t="str">
        <f>IFERROR(IF($AH440="","",IF($AH440&gt;=$AA440*'Parametri Modello'!$B$68,"🟢 Opportunita'",IF($AH440&lt;=$AA440*'Parametri Modello'!$B$69,"🔴 Sovrapprezzo","🟡 Prezzo Corretto"))),"")</f>
        <v/>
      </c>
      <c r="AJ440" t="str">
        <f t="shared" si="60"/>
        <v/>
      </c>
      <c r="AK440" t="str">
        <f t="shared" si="61"/>
        <v/>
      </c>
      <c r="AL440" t="str">
        <f t="shared" si="62"/>
        <v/>
      </c>
    </row>
    <row r="441" spans="1:38" ht="14.25" customHeight="1" x14ac:dyDescent="0.25">
      <c r="A441" s="18">
        <v>2297</v>
      </c>
      <c r="B441" s="18" t="s">
        <v>8</v>
      </c>
      <c r="C441" s="18" t="s">
        <v>52</v>
      </c>
      <c r="E441" s="23" t="str">
        <f>IF(COUNTIF('Info Strategia'!$D$2:$D$51,$C441)&gt;0,"SI","NO")</f>
        <v>NO</v>
      </c>
      <c r="F441" s="24">
        <f>IFERROR(ROUND(($G441+($H441-$G441)*'Info Strategia'!$B$6)*(1+IF($E441="SI",'Parametri Modello'!$B$7*'Info Strategia'!$B$6,0)),0),"")</f>
        <v>0</v>
      </c>
      <c r="G441" s="24">
        <f>IFERROR(ROUND(MAX(1,(IF($V441&lt;=INDEX('Parametri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H441" s="24">
        <f>IFERROR(ROUND((IF($V441&lt;=INDEX('Parametri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0</v>
      </c>
      <c r="I441" s="23">
        <f>IFERROR(INDEX('Input Statistiche 2025_26'!$F$3:$F$665,MATCH($A441,'Input Statistiche 2025_26'!$A$3:$A$665,0)),"")</f>
        <v>0</v>
      </c>
      <c r="J441" s="23">
        <f t="shared" si="54"/>
        <v>38</v>
      </c>
      <c r="K441" s="23">
        <f>IFERROR(INDEX('Input Statistiche 2025_26'!$I$3:$I$665,MATCH($A441,'Input Statistiche 2025_26'!$A$3:$A$665,0)),"")</f>
        <v>0</v>
      </c>
      <c r="L441" s="23">
        <f>IFERROR(INDEX('Input Statistiche 2025_26'!$O$3:$O$665,MATCH($A441,'Input Statistiche 2025_26'!$A$3:$A$665,0)),"")</f>
        <v>0</v>
      </c>
      <c r="M441" s="25"/>
      <c r="N441" s="24">
        <f>IFERROR(INDEX('Input Giocatori 2026_27'!$E$3:$E$493,MATCH($A441,'Input Giocatori 2026_27'!$A$3:$A$493,0)),"")</f>
        <v>1</v>
      </c>
      <c r="O441" s="24">
        <f>IFERROR(INDEX('Input Giocatori 2026_27'!$G$3:$G$493,MATCH($A441,'Input Giocatori 2026_27'!$A$3:$A$493,0)),"")</f>
        <v>1</v>
      </c>
      <c r="P441" s="23" t="str">
        <f>IFERROR(IF($O441="","",IF((1-(COUNTIFS($B$2:$B$492,$B441,$O$2:$O$492,"&gt;"&amp;$O441)+1-1)/COUNTIF($B$2:$B$492,$B441))&gt;='Parametri Modello'!$B$63,"Top",IF((1-(COUNTIFS($B$2:$B$492,$B441,$O$2:$O$492,"&gt;"&amp;$O441)+1-1)/COUNTIF($B$2:$B$492,$B441))&gt;='Parametri Modello'!$B$64,"Buono",IF((1-(COUNTIFS($B$2:$B$492,$B441,$O$2:$O$492,"&gt;"&amp;$O441)+1-1)/COUNTIF($B$2:$B$492,$B441))&gt;='Parametri Modello'!$B$65,"Nella Media","Scommessa/Riserva")))),"")</f>
        <v>Nella Media</v>
      </c>
      <c r="Q441" s="26" t="str">
        <f>IF(AND($D441="",$N441&gt;1),SUMPRODUCT(($D$2:$D441="")*($N$2:$N441&gt;1)),"")</f>
        <v/>
      </c>
      <c r="R441" s="26" t="str">
        <f>IF($D441='Info Lega'!$B$28,COUNTIFS($D$2:$D441,'Info Lega'!$B$28),"")</f>
        <v/>
      </c>
      <c r="S441" s="27">
        <f>IFERROR(INDEX('Input Statistiche 2025_26'!$G$3:$G$665,MATCH($A441,'Input Statistiche 2025_26'!$A$3:$A$665,0)),"")</f>
        <v>0</v>
      </c>
      <c r="T441" s="27">
        <f>IFERROR(INDEX('Input Statistiche 2025_26'!$H$3:$H$665,MATCH($A441,'Input Statistiche 2025_26'!$A$3:$A$665,0)),"")</f>
        <v>0</v>
      </c>
      <c r="U441" s="23" t="str">
        <f>IF(OR('La Mia Rosa'!$O$12="",$D441&lt;&gt;""),"",IF($F441&lt;='La Mia Rosa'!$O$12*'Parametri Modello'!$B$24,"OK",IF($F441&lt;='La Mia Rosa'!$O$12*'Parametri Modello'!$B$25,"Attenzione","Rischio Alto")))</f>
        <v>OK</v>
      </c>
      <c r="V441" s="23">
        <f t="shared" si="55"/>
        <v>26</v>
      </c>
      <c r="W441" s="18">
        <f>'Info Lega'!$B$4-SUMIFS($M$2:$M$492,$D$2:$D$492,'Info Lega'!$B$28)</f>
        <v>1000</v>
      </c>
      <c r="X441" s="18">
        <f>('Info Lega'!$B$5-COUNTIFS($D$2:$D$492,'Info Lega'!$B$28,$B$2:$B$492,"P"))+('Info Lega'!$B$6-COUNTIFS($D$2:$D$492,'Info Lega'!$B$28,$B$2:$B$492,"D"))+('Info Lega'!$B$7-COUNTIFS($D$2:$D$492,'Info Lega'!$B$28,$B$2:$B$492,"C"))+('Info Lega'!$B$8-COUNTIFS($D$2:$D$492,'Info Lega'!$B$28,$B$2:$B$492,"A"))</f>
        <v>25</v>
      </c>
      <c r="Y441" s="18">
        <f>X441*'Parametri Modello'!$B$30</f>
        <v>25</v>
      </c>
      <c r="Z441" s="18">
        <f t="shared" si="56"/>
        <v>975</v>
      </c>
      <c r="AA441" s="18">
        <f t="shared" si="57"/>
        <v>0</v>
      </c>
      <c r="AB441" s="18"/>
      <c r="AC441" s="18" t="str">
        <f>IF($AB441="","",IF($AB441&gt;$AA441,"PASS",IF($AB441&lt;=$AA441*(1-'Parametri Modello'!$B$68),"BID","ATTENZIONE")))</f>
        <v/>
      </c>
      <c r="AD441" s="28">
        <f t="shared" si="58"/>
        <v>0</v>
      </c>
      <c r="AE441" s="5" t="str">
        <f>IFERROR(IF($AF441="Titolare",INDEX('Stato Asta'!$G$9:$G$12,MATCH($B441,'Stato Asta'!$A$9:$A$12,0)),INDEX('Stato Asta'!$P$9:$P$12,MATCH($B441,'Stato Asta'!$A$9:$A$12,0))),"")</f>
        <v>🔴 Riserve scarse</v>
      </c>
      <c r="AF441" t="str">
        <f>IFERROR(IF($V441&lt;=INDEX('Parametri Modello'!$C$57:$C$60,MATCH($B441,'Parametri Modello'!$A$57:$A$60,0)),"Titolare","Riserva"),"")</f>
        <v>Riserva</v>
      </c>
      <c r="AG441" t="str">
        <f>IFERROR(INDEX('Pressione Competitiva'!$F$3:$F$6,MATCH($B441,'Pressione Competitiva'!$B$3:$B$6,0)),"")</f>
        <v>🔴 Molto Alta</v>
      </c>
      <c r="AH441" t="str">
        <f t="shared" si="59"/>
        <v/>
      </c>
      <c r="AI441" t="str">
        <f>IFERROR(IF($AH441="","",IF($AH441&gt;=$AA441*'Parametri Modello'!$B$68,"🟢 Opportunita'",IF($AH441&lt;=$AA441*'Parametri Modello'!$B$69,"🔴 Sovrapprezzo","🟡 Prezzo Corretto"))),"")</f>
        <v/>
      </c>
      <c r="AJ441" t="str">
        <f t="shared" si="60"/>
        <v/>
      </c>
      <c r="AK441" t="str">
        <f t="shared" si="61"/>
        <v/>
      </c>
      <c r="AL441" t="str">
        <f t="shared" si="62"/>
        <v/>
      </c>
    </row>
    <row r="442" spans="1:38" ht="14.25" customHeight="1" x14ac:dyDescent="0.25">
      <c r="A442" s="18">
        <v>4</v>
      </c>
      <c r="B442" s="18" t="s">
        <v>8</v>
      </c>
      <c r="C442" s="18" t="s">
        <v>53</v>
      </c>
      <c r="E442" s="23" t="str">
        <f>IF(COUNTIF('Info Strategia'!$D$2:$D$51,$C442)&gt;0,"SI","NO")</f>
        <v>NO</v>
      </c>
      <c r="F442" s="24">
        <f>IFERROR(ROUND(($G442+($H442-$G442)*'Info Strategia'!$B$6)*(1+IF($E442="SI",'Parametri Modello'!$B$7*'Info Strategia'!$B$6,0)),0),"")</f>
        <v>0</v>
      </c>
      <c r="G442" s="24">
        <f>IFERROR(ROUND(MAX(1,(IF($V442&lt;=INDEX('Parametri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H442" s="24">
        <f>IFERROR(ROUND((IF($V442&lt;=INDEX('Parametri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0</v>
      </c>
      <c r="I442" s="23">
        <f>IFERROR(INDEX('Input Statistiche 2025_26'!$F$3:$F$665,MATCH($A442,'Input Statistiche 2025_26'!$A$3:$A$665,0)),"")</f>
        <v>1</v>
      </c>
      <c r="J442" s="23">
        <f t="shared" si="54"/>
        <v>37</v>
      </c>
      <c r="K442" s="23">
        <f>IFERROR(INDEX('Input Statistiche 2025_26'!$I$3:$I$665,MATCH($A442,'Input Statistiche 2025_26'!$A$3:$A$665,0)),"")</f>
        <v>0</v>
      </c>
      <c r="L442" s="23">
        <f>IFERROR(INDEX('Input Statistiche 2025_26'!$O$3:$O$665,MATCH($A442,'Input Statistiche 2025_26'!$A$3:$A$665,0)),"")</f>
        <v>0</v>
      </c>
      <c r="M442" s="25"/>
      <c r="N442" s="24">
        <f>IFERROR(INDEX('Input Giocatori 2026_27'!$E$3:$E$493,MATCH($A442,'Input Giocatori 2026_27'!$A$3:$A$493,0)),"")</f>
        <v>1</v>
      </c>
      <c r="O442" s="24">
        <f>IFERROR(INDEX('Input Giocatori 2026_27'!$G$3:$G$493,MATCH($A442,'Input Giocatori 2026_27'!$A$3:$A$493,0)),"")</f>
        <v>1</v>
      </c>
      <c r="P442" s="23" t="str">
        <f>IFERROR(IF($O442="","",IF((1-(COUNTIFS($B$2:$B$492,$B442,$O$2:$O$492,"&gt;"&amp;$O442)+1-1)/COUNTIF($B$2:$B$492,$B442))&gt;='Parametri Modello'!$B$63,"Top",IF((1-(COUNTIFS($B$2:$B$492,$B442,$O$2:$O$492,"&gt;"&amp;$O442)+1-1)/COUNTIF($B$2:$B$492,$B442))&gt;='Parametri Modello'!$B$64,"Buono",IF((1-(COUNTIFS($B$2:$B$492,$B442,$O$2:$O$492,"&gt;"&amp;$O442)+1-1)/COUNTIF($B$2:$B$492,$B442))&gt;='Parametri Modello'!$B$65,"Nella Media","Scommessa/Riserva")))),"")</f>
        <v>Nella Media</v>
      </c>
      <c r="Q442" s="26" t="str">
        <f>IF(AND($D442="",$N442&gt;1),SUMPRODUCT(($D$2:$D442="")*($N$2:$N442&gt;1)),"")</f>
        <v/>
      </c>
      <c r="R442" s="26" t="str">
        <f>IF($D442='Info Lega'!$B$28,COUNTIFS($D$2:$D442,'Info Lega'!$B$28),"")</f>
        <v/>
      </c>
      <c r="S442" s="27">
        <f>IFERROR(INDEX('Input Statistiche 2025_26'!$G$3:$G$665,MATCH($A442,'Input Statistiche 2025_26'!$A$3:$A$665,0)),"")</f>
        <v>5.5</v>
      </c>
      <c r="T442" s="27">
        <f>IFERROR(INDEX('Input Statistiche 2025_26'!$H$3:$H$665,MATCH($A442,'Input Statistiche 2025_26'!$A$3:$A$665,0)),"")</f>
        <v>4.5</v>
      </c>
      <c r="U442" s="23" t="str">
        <f>IF(OR('La Mia Rosa'!$O$12="",$D442&lt;&gt;""),"",IF($F442&lt;='La Mia Rosa'!$O$12*'Parametri Modello'!$B$24,"OK",IF($F442&lt;='La Mia Rosa'!$O$12*'Parametri Modello'!$B$25,"Attenzione","Rischio Alto")))</f>
        <v>OK</v>
      </c>
      <c r="V442" s="23">
        <f t="shared" si="55"/>
        <v>26</v>
      </c>
      <c r="W442" s="18">
        <f>'Info Lega'!$B$4-SUMIFS($M$2:$M$492,$D$2:$D$492,'Info Lega'!$B$28)</f>
        <v>1000</v>
      </c>
      <c r="X442" s="18">
        <f>('Info Lega'!$B$5-COUNTIFS($D$2:$D$492,'Info Lega'!$B$28,$B$2:$B$492,"P"))+('Info Lega'!$B$6-COUNTIFS($D$2:$D$492,'Info Lega'!$B$28,$B$2:$B$492,"D"))+('Info Lega'!$B$7-COUNTIFS($D$2:$D$492,'Info Lega'!$B$28,$B$2:$B$492,"C"))+('Info Lega'!$B$8-COUNTIFS($D$2:$D$492,'Info Lega'!$B$28,$B$2:$B$492,"A"))</f>
        <v>25</v>
      </c>
      <c r="Y442" s="18">
        <f>X442*'Parametri Modello'!$B$30</f>
        <v>25</v>
      </c>
      <c r="Z442" s="18">
        <f t="shared" si="56"/>
        <v>975</v>
      </c>
      <c r="AA442" s="18">
        <f t="shared" si="57"/>
        <v>0</v>
      </c>
      <c r="AB442" s="18"/>
      <c r="AC442" s="18" t="str">
        <f>IF($AB442="","",IF($AB442&gt;$AA442,"PASS",IF($AB442&lt;=$AA442*(1-'Parametri Modello'!$B$68),"BID","ATTENZIONE")))</f>
        <v/>
      </c>
      <c r="AD442" s="28">
        <f t="shared" si="58"/>
        <v>3</v>
      </c>
      <c r="AE442" s="5" t="str">
        <f>IFERROR(IF($AF442="Titolare",INDEX('Stato Asta'!$G$9:$G$12,MATCH($B442,'Stato Asta'!$A$9:$A$12,0)),INDEX('Stato Asta'!$P$9:$P$12,MATCH($B442,'Stato Asta'!$A$9:$A$12,0))),"")</f>
        <v>🔴 Riserve scarse</v>
      </c>
      <c r="AF442" t="str">
        <f>IFERROR(IF($V442&lt;=INDEX('Parametri Modello'!$C$57:$C$60,MATCH($B442,'Parametri Modello'!$A$57:$A$60,0)),"Titolare","Riserva"),"")</f>
        <v>Riserva</v>
      </c>
      <c r="AG442" t="str">
        <f>IFERROR(INDEX('Pressione Competitiva'!$F$3:$F$6,MATCH($B442,'Pressione Competitiva'!$B$3:$B$6,0)),"")</f>
        <v>🔴 Molto Alta</v>
      </c>
      <c r="AH442" t="str">
        <f t="shared" si="59"/>
        <v/>
      </c>
      <c r="AI442" t="str">
        <f>IFERROR(IF($AH442="","",IF($AH442&gt;=$AA442*'Parametri Modello'!$B$68,"🟢 Opportunita'",IF($AH442&lt;=$AA442*'Parametri Modello'!$B$69,"🔴 Sovrapprezzo","🟡 Prezzo Corretto"))),"")</f>
        <v/>
      </c>
      <c r="AJ442" t="str">
        <f t="shared" si="60"/>
        <v/>
      </c>
      <c r="AK442" t="str">
        <f t="shared" si="61"/>
        <v/>
      </c>
      <c r="AL442" t="str">
        <f t="shared" si="62"/>
        <v/>
      </c>
    </row>
    <row r="443" spans="1:38" ht="14.25" customHeight="1" x14ac:dyDescent="0.25">
      <c r="A443" s="18">
        <v>7533</v>
      </c>
      <c r="B443" s="18" t="s">
        <v>8</v>
      </c>
      <c r="C443" s="18" t="s">
        <v>54</v>
      </c>
      <c r="E443" s="23" t="str">
        <f>IF(COUNTIF('Info Strategia'!$D$2:$D$51,$C443)&gt;0,"SI","NO")</f>
        <v>NO</v>
      </c>
      <c r="F443" s="24">
        <f>IFERROR(ROUND(($G443+($H443-$G443)*'Info Strategia'!$B$6)*(1+IF($E443="SI",'Parametri Modello'!$B$7*'Info Strategia'!$B$6,0)),0),"")</f>
        <v>0</v>
      </c>
      <c r="G443" s="24">
        <f>IFERROR(ROUND(MAX(1,(IF($V443&lt;=INDEX('Parametri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H443" s="24">
        <f>IFERROR(ROUND((IF($V443&lt;=INDEX('Parametri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0</v>
      </c>
      <c r="I443" s="23" t="str">
        <f>IFERROR(INDEX('Input Statistiche 2025_26'!$F$3:$F$665,MATCH($A443,'Input Statistiche 2025_26'!$A$3:$A$665,0)),"")</f>
        <v/>
      </c>
      <c r="J443" s="23" t="str">
        <f t="shared" si="54"/>
        <v/>
      </c>
      <c r="K443" s="23" t="str">
        <f>IFERROR(INDEX('Input Statistiche 2025_26'!$I$3:$I$665,MATCH($A443,'Input Statistiche 2025_26'!$A$3:$A$665,0)),"")</f>
        <v/>
      </c>
      <c r="L443" s="23" t="str">
        <f>IFERROR(INDEX('Input Statistiche 2025_26'!$O$3:$O$665,MATCH($A443,'Input Statistiche 2025_26'!$A$3:$A$665,0)),"")</f>
        <v/>
      </c>
      <c r="M443" s="25"/>
      <c r="N443" s="24">
        <f>IFERROR(INDEX('Input Giocatori 2026_27'!$E$3:$E$493,MATCH($A443,'Input Giocatori 2026_27'!$A$3:$A$493,0)),"")</f>
        <v>1</v>
      </c>
      <c r="O443" s="24">
        <f>IFERROR(INDEX('Input Giocatori 2026_27'!$G$3:$G$493,MATCH($A443,'Input Giocatori 2026_27'!$A$3:$A$493,0)),"")</f>
        <v>1</v>
      </c>
      <c r="P443" s="23" t="str">
        <f>IFERROR(IF($O443="","",IF((1-(COUNTIFS($B$2:$B$492,$B443,$O$2:$O$492,"&gt;"&amp;$O443)+1-1)/COUNTIF($B$2:$B$492,$B443))&gt;='Parametri Modello'!$B$63,"Top",IF((1-(COUNTIFS($B$2:$B$492,$B443,$O$2:$O$492,"&gt;"&amp;$O443)+1-1)/COUNTIF($B$2:$B$492,$B443))&gt;='Parametri Modello'!$B$64,"Buono",IF((1-(COUNTIFS($B$2:$B$492,$B443,$O$2:$O$492,"&gt;"&amp;$O443)+1-1)/COUNTIF($B$2:$B$492,$B443))&gt;='Parametri Modello'!$B$65,"Nella Media","Scommessa/Riserva")))),"")</f>
        <v>Nella Media</v>
      </c>
      <c r="Q443" s="26" t="str">
        <f>IF(AND($D443="",$N443&gt;1),SUMPRODUCT(($D$2:$D443="")*($N$2:$N443&gt;1)),"")</f>
        <v/>
      </c>
      <c r="R443" s="26" t="str">
        <f>IF($D443='Info Lega'!$B$28,COUNTIFS($D$2:$D443,'Info Lega'!$B$28),"")</f>
        <v/>
      </c>
      <c r="S443" s="27" t="str">
        <f>IFERROR(INDEX('Input Statistiche 2025_26'!$G$3:$G$665,MATCH($A443,'Input Statistiche 2025_26'!$A$3:$A$665,0)),"")</f>
        <v/>
      </c>
      <c r="T443" s="27" t="str">
        <f>IFERROR(INDEX('Input Statistiche 2025_26'!$H$3:$H$665,MATCH($A443,'Input Statistiche 2025_26'!$A$3:$A$665,0)),"")</f>
        <v/>
      </c>
      <c r="U443" s="23" t="str">
        <f>IF(OR('La Mia Rosa'!$O$12="",$D443&lt;&gt;""),"",IF($F443&lt;='La Mia Rosa'!$O$12*'Parametri Modello'!$B$24,"OK",IF($F443&lt;='La Mia Rosa'!$O$12*'Parametri Modello'!$B$25,"Attenzione","Rischio Alto")))</f>
        <v>OK</v>
      </c>
      <c r="V443" s="23">
        <f t="shared" si="55"/>
        <v>26</v>
      </c>
      <c r="W443" s="18">
        <f>'Info Lega'!$B$4-SUMIFS($M$2:$M$492,$D$2:$D$492,'Info Lega'!$B$28)</f>
        <v>1000</v>
      </c>
      <c r="X443" s="18">
        <f>('Info Lega'!$B$5-COUNTIFS($D$2:$D$492,'Info Lega'!$B$28,$B$2:$B$492,"P"))+('Info Lega'!$B$6-COUNTIFS($D$2:$D$492,'Info Lega'!$B$28,$B$2:$B$492,"D"))+('Info Lega'!$B$7-COUNTIFS($D$2:$D$492,'Info Lega'!$B$28,$B$2:$B$492,"C"))+('Info Lega'!$B$8-COUNTIFS($D$2:$D$492,'Info Lega'!$B$28,$B$2:$B$492,"A"))</f>
        <v>25</v>
      </c>
      <c r="Y443" s="18">
        <f>X443*'Parametri Modello'!$B$30</f>
        <v>25</v>
      </c>
      <c r="Z443" s="18">
        <f t="shared" si="56"/>
        <v>975</v>
      </c>
      <c r="AA443" s="18">
        <f t="shared" si="57"/>
        <v>0</v>
      </c>
      <c r="AB443" s="18"/>
      <c r="AC443" s="18" t="str">
        <f>IF($AB443="","",IF($AB443&gt;$AA443,"PASS",IF($AB443&lt;=$AA443*(1-'Parametri Modello'!$B$68),"BID","ATTENZIONE")))</f>
        <v/>
      </c>
      <c r="AD443" s="28" t="str">
        <f t="shared" si="58"/>
        <v/>
      </c>
      <c r="AE443" s="5" t="str">
        <f>IFERROR(IF($AF443="Titolare",INDEX('Stato Asta'!$G$9:$G$12,MATCH($B443,'Stato Asta'!$A$9:$A$12,0)),INDEX('Stato Asta'!$P$9:$P$12,MATCH($B443,'Stato Asta'!$A$9:$A$12,0))),"")</f>
        <v>🔴 Riserve scarse</v>
      </c>
      <c r="AF443" t="str">
        <f>IFERROR(IF($V443&lt;=INDEX('Parametri Modello'!$C$57:$C$60,MATCH($B443,'Parametri Modello'!$A$57:$A$60,0)),"Titolare","Riserva"),"")</f>
        <v>Riserva</v>
      </c>
      <c r="AG443" t="str">
        <f>IFERROR(INDEX('Pressione Competitiva'!$F$3:$F$6,MATCH($B443,'Pressione Competitiva'!$B$3:$B$6,0)),"")</f>
        <v>🔴 Molto Alta</v>
      </c>
      <c r="AH443" t="str">
        <f t="shared" si="59"/>
        <v/>
      </c>
      <c r="AI443" t="str">
        <f>IFERROR(IF($AH443="","",IF($AH443&gt;=$AA443*'Parametri Modello'!$B$68,"🟢 Opportunita'",IF($AH443&lt;=$AA443*'Parametri Modello'!$B$69,"🔴 Sovrapprezzo","🟡 Prezzo Corretto"))),"")</f>
        <v/>
      </c>
      <c r="AJ443" t="str">
        <f t="shared" si="60"/>
        <v/>
      </c>
      <c r="AK443" t="str">
        <f t="shared" si="61"/>
        <v/>
      </c>
      <c r="AL443" t="str">
        <f t="shared" si="62"/>
        <v/>
      </c>
    </row>
    <row r="444" spans="1:38" ht="14.25" customHeight="1" x14ac:dyDescent="0.25">
      <c r="A444" s="18">
        <v>7172</v>
      </c>
      <c r="B444" s="18" t="s">
        <v>8</v>
      </c>
      <c r="C444" s="18" t="s">
        <v>55</v>
      </c>
      <c r="E444" s="23" t="str">
        <f>IF(COUNTIF('Info Strategia'!$D$2:$D$51,$C444)&gt;0,"SI","NO")</f>
        <v>NO</v>
      </c>
      <c r="F444" s="24">
        <f>IFERROR(ROUND(($G444+($H444-$G444)*'Info Strategia'!$B$6)*(1+IF($E444="SI",'Parametri Modello'!$B$7*'Info Strategia'!$B$6,0)),0),"")</f>
        <v>0</v>
      </c>
      <c r="G444" s="24">
        <f>IFERROR(ROUND(MAX(1,(IF($V444&lt;=INDEX('Parametri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H444" s="24">
        <f>IFERROR(ROUND((IF($V444&lt;=INDEX('Parametri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0</v>
      </c>
      <c r="I444" s="23">
        <f>IFERROR(INDEX('Input Statistiche 2025_26'!$F$3:$F$665,MATCH($A444,'Input Statistiche 2025_26'!$A$3:$A$665,0)),"")</f>
        <v>4</v>
      </c>
      <c r="J444" s="23">
        <f t="shared" si="54"/>
        <v>34</v>
      </c>
      <c r="K444" s="23">
        <f>IFERROR(INDEX('Input Statistiche 2025_26'!$I$3:$I$665,MATCH($A444,'Input Statistiche 2025_26'!$A$3:$A$665,0)),"")</f>
        <v>0</v>
      </c>
      <c r="L444" s="23">
        <f>IFERROR(INDEX('Input Statistiche 2025_26'!$O$3:$O$665,MATCH($A444,'Input Statistiche 2025_26'!$A$3:$A$665,0)),"")</f>
        <v>0</v>
      </c>
      <c r="M444" s="25"/>
      <c r="N444" s="24">
        <f>IFERROR(INDEX('Input Giocatori 2026_27'!$E$3:$E$493,MATCH($A444,'Input Giocatori 2026_27'!$A$3:$A$493,0)),"")</f>
        <v>1</v>
      </c>
      <c r="O444" s="24">
        <f>IFERROR(INDEX('Input Giocatori 2026_27'!$G$3:$G$493,MATCH($A444,'Input Giocatori 2026_27'!$A$3:$A$493,0)),"")</f>
        <v>1</v>
      </c>
      <c r="P444" s="23" t="str">
        <f>IFERROR(IF($O444="","",IF((1-(COUNTIFS($B$2:$B$492,$B444,$O$2:$O$492,"&gt;"&amp;$O444)+1-1)/COUNTIF($B$2:$B$492,$B444))&gt;='Parametri Modello'!$B$63,"Top",IF((1-(COUNTIFS($B$2:$B$492,$B444,$O$2:$O$492,"&gt;"&amp;$O444)+1-1)/COUNTIF($B$2:$B$492,$B444))&gt;='Parametri Modello'!$B$64,"Buono",IF((1-(COUNTIFS($B$2:$B$492,$B444,$O$2:$O$492,"&gt;"&amp;$O444)+1-1)/COUNTIF($B$2:$B$492,$B444))&gt;='Parametri Modello'!$B$65,"Nella Media","Scommessa/Riserva")))),"")</f>
        <v>Nella Media</v>
      </c>
      <c r="Q444" s="26" t="str">
        <f>IF(AND($D444="",$N444&gt;1),SUMPRODUCT(($D$2:$D444="")*($N$2:$N444&gt;1)),"")</f>
        <v/>
      </c>
      <c r="R444" s="26" t="str">
        <f>IF($D444='Info Lega'!$B$28,COUNTIFS($D$2:$D444,'Info Lega'!$B$28),"")</f>
        <v/>
      </c>
      <c r="S444" s="27">
        <f>IFERROR(INDEX('Input Statistiche 2025_26'!$G$3:$G$665,MATCH($A444,'Input Statistiche 2025_26'!$A$3:$A$665,0)),"")</f>
        <v>6.12</v>
      </c>
      <c r="T444" s="27">
        <f>IFERROR(INDEX('Input Statistiche 2025_26'!$H$3:$H$665,MATCH($A444,'Input Statistiche 2025_26'!$A$3:$A$665,0)),"")</f>
        <v>5.62</v>
      </c>
      <c r="U444" s="23" t="str">
        <f>IF(OR('La Mia Rosa'!$O$12="",$D444&lt;&gt;""),"",IF($F444&lt;='La Mia Rosa'!$O$12*'Parametri Modello'!$B$24,"OK",IF($F444&lt;='La Mia Rosa'!$O$12*'Parametri Modello'!$B$25,"Attenzione","Rischio Alto")))</f>
        <v>OK</v>
      </c>
      <c r="V444" s="23">
        <f t="shared" si="55"/>
        <v>26</v>
      </c>
      <c r="W444" s="18">
        <f>'Info Lega'!$B$4-SUMIFS($M$2:$M$492,$D$2:$D$492,'Info Lega'!$B$28)</f>
        <v>1000</v>
      </c>
      <c r="X444" s="18">
        <f>('Info Lega'!$B$5-COUNTIFS($D$2:$D$492,'Info Lega'!$B$28,$B$2:$B$492,"P"))+('Info Lega'!$B$6-COUNTIFS($D$2:$D$492,'Info Lega'!$B$28,$B$2:$B$492,"D"))+('Info Lega'!$B$7-COUNTIFS($D$2:$D$492,'Info Lega'!$B$28,$B$2:$B$492,"C"))+('Info Lega'!$B$8-COUNTIFS($D$2:$D$492,'Info Lega'!$B$28,$B$2:$B$492,"A"))</f>
        <v>25</v>
      </c>
      <c r="Y444" s="18">
        <f>X444*'Parametri Modello'!$B$30</f>
        <v>25</v>
      </c>
      <c r="Z444" s="18">
        <f t="shared" si="56"/>
        <v>975</v>
      </c>
      <c r="AA444" s="18">
        <f t="shared" si="57"/>
        <v>0</v>
      </c>
      <c r="AB444" s="18"/>
      <c r="AC444" s="18" t="str">
        <f>IF($AB444="","",IF($AB444&gt;$AA444,"PASS",IF($AB444&lt;=$AA444*(1-'Parametri Modello'!$B$68),"BID","ATTENZIONE")))</f>
        <v/>
      </c>
      <c r="AD444" s="28">
        <f t="shared" si="58"/>
        <v>12</v>
      </c>
      <c r="AE444" s="5" t="str">
        <f>IFERROR(IF($AF444="Titolare",INDEX('Stato Asta'!$G$9:$G$12,MATCH($B444,'Stato Asta'!$A$9:$A$12,0)),INDEX('Stato Asta'!$P$9:$P$12,MATCH($B444,'Stato Asta'!$A$9:$A$12,0))),"")</f>
        <v>🔴 Riserve scarse</v>
      </c>
      <c r="AF444" t="str">
        <f>IFERROR(IF($V444&lt;=INDEX('Parametri Modello'!$C$57:$C$60,MATCH($B444,'Parametri Modello'!$A$57:$A$60,0)),"Titolare","Riserva"),"")</f>
        <v>Riserva</v>
      </c>
      <c r="AG444" t="str">
        <f>IFERROR(INDEX('Pressione Competitiva'!$F$3:$F$6,MATCH($B444,'Pressione Competitiva'!$B$3:$B$6,0)),"")</f>
        <v>🔴 Molto Alta</v>
      </c>
      <c r="AH444" t="str">
        <f t="shared" si="59"/>
        <v/>
      </c>
      <c r="AI444" t="str">
        <f>IFERROR(IF($AH444="","",IF($AH444&gt;=$AA444*'Parametri Modello'!$B$68,"🟢 Opportunita'",IF($AH444&lt;=$AA444*'Parametri Modello'!$B$69,"🔴 Sovrapprezzo","🟡 Prezzo Corretto"))),"")</f>
        <v/>
      </c>
      <c r="AJ444" t="str">
        <f t="shared" si="60"/>
        <v/>
      </c>
      <c r="AK444" t="str">
        <f t="shared" si="61"/>
        <v/>
      </c>
      <c r="AL444" t="str">
        <f t="shared" si="62"/>
        <v/>
      </c>
    </row>
    <row r="445" spans="1:38" ht="14.25" customHeight="1" x14ac:dyDescent="0.25">
      <c r="A445" s="18">
        <v>4929</v>
      </c>
      <c r="B445" s="18" t="s">
        <v>8</v>
      </c>
      <c r="C445" s="18" t="s">
        <v>56</v>
      </c>
      <c r="E445" s="23" t="str">
        <f>IF(COUNTIF('Info Strategia'!$D$2:$D$51,$C445)&gt;0,"SI","NO")</f>
        <v>NO</v>
      </c>
      <c r="F445" s="24">
        <f>IFERROR(ROUND(($G445+($H445-$G445)*'Info Strategia'!$B$6)*(1+IF($E445="SI",'Parametri Modello'!$B$7*'Info Strategia'!$B$6,0)),0),"")</f>
        <v>0</v>
      </c>
      <c r="G445" s="24">
        <f>IFERROR(ROUND(MAX(1,(IF($V445&lt;=INDEX('Parametri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H445" s="24">
        <f>IFERROR(ROUND((IF($V445&lt;=INDEX('Parametri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0</v>
      </c>
      <c r="I445" s="23">
        <f>IFERROR(INDEX('Input Statistiche 2025_26'!$F$3:$F$665,MATCH($A445,'Input Statistiche 2025_26'!$A$3:$A$665,0)),"")</f>
        <v>0</v>
      </c>
      <c r="J445" s="23">
        <f t="shared" si="54"/>
        <v>38</v>
      </c>
      <c r="K445" s="23">
        <f>IFERROR(INDEX('Input Statistiche 2025_26'!$I$3:$I$665,MATCH($A445,'Input Statistiche 2025_26'!$A$3:$A$665,0)),"")</f>
        <v>0</v>
      </c>
      <c r="L445" s="23">
        <f>IFERROR(INDEX('Input Statistiche 2025_26'!$O$3:$O$665,MATCH($A445,'Input Statistiche 2025_26'!$A$3:$A$665,0)),"")</f>
        <v>0</v>
      </c>
      <c r="M445" s="25"/>
      <c r="N445" s="24">
        <f>IFERROR(INDEX('Input Giocatori 2026_27'!$E$3:$E$493,MATCH($A445,'Input Giocatori 2026_27'!$A$3:$A$493,0)),"")</f>
        <v>1</v>
      </c>
      <c r="O445" s="24">
        <f>IFERROR(INDEX('Input Giocatori 2026_27'!$G$3:$G$493,MATCH($A445,'Input Giocatori 2026_27'!$A$3:$A$493,0)),"")</f>
        <v>1</v>
      </c>
      <c r="P445" s="23" t="str">
        <f>IFERROR(IF($O445="","",IF((1-(COUNTIFS($B$2:$B$492,$B445,$O$2:$O$492,"&gt;"&amp;$O445)+1-1)/COUNTIF($B$2:$B$492,$B445))&gt;='Parametri Modello'!$B$63,"Top",IF((1-(COUNTIFS($B$2:$B$492,$B445,$O$2:$O$492,"&gt;"&amp;$O445)+1-1)/COUNTIF($B$2:$B$492,$B445))&gt;='Parametri Modello'!$B$64,"Buono",IF((1-(COUNTIFS($B$2:$B$492,$B445,$O$2:$O$492,"&gt;"&amp;$O445)+1-1)/COUNTIF($B$2:$B$492,$B445))&gt;='Parametri Modello'!$B$65,"Nella Media","Scommessa/Riserva")))),"")</f>
        <v>Nella Media</v>
      </c>
      <c r="Q445" s="26" t="str">
        <f>IF(AND($D445="",$N445&gt;1),SUMPRODUCT(($D$2:$D445="")*($N$2:$N445&gt;1)),"")</f>
        <v/>
      </c>
      <c r="R445" s="26" t="str">
        <f>IF($D445='Info Lega'!$B$28,COUNTIFS($D$2:$D445,'Info Lega'!$B$28),"")</f>
        <v/>
      </c>
      <c r="S445" s="27">
        <f>IFERROR(INDEX('Input Statistiche 2025_26'!$G$3:$G$665,MATCH($A445,'Input Statistiche 2025_26'!$A$3:$A$665,0)),"")</f>
        <v>0</v>
      </c>
      <c r="T445" s="27">
        <f>IFERROR(INDEX('Input Statistiche 2025_26'!$H$3:$H$665,MATCH($A445,'Input Statistiche 2025_26'!$A$3:$A$665,0)),"")</f>
        <v>0</v>
      </c>
      <c r="U445" s="23" t="str">
        <f>IF(OR('La Mia Rosa'!$O$12="",$D445&lt;&gt;""),"",IF($F445&lt;='La Mia Rosa'!$O$12*'Parametri Modello'!$B$24,"OK",IF($F445&lt;='La Mia Rosa'!$O$12*'Parametri Modello'!$B$25,"Attenzione","Rischio Alto")))</f>
        <v>OK</v>
      </c>
      <c r="V445" s="23">
        <f t="shared" si="55"/>
        <v>26</v>
      </c>
      <c r="W445" s="18">
        <f>'Info Lega'!$B$4-SUMIFS($M$2:$M$492,$D$2:$D$492,'Info Lega'!$B$28)</f>
        <v>1000</v>
      </c>
      <c r="X445" s="18">
        <f>('Info Lega'!$B$5-COUNTIFS($D$2:$D$492,'Info Lega'!$B$28,$B$2:$B$492,"P"))+('Info Lega'!$B$6-COUNTIFS($D$2:$D$492,'Info Lega'!$B$28,$B$2:$B$492,"D"))+('Info Lega'!$B$7-COUNTIFS($D$2:$D$492,'Info Lega'!$B$28,$B$2:$B$492,"C"))+('Info Lega'!$B$8-COUNTIFS($D$2:$D$492,'Info Lega'!$B$28,$B$2:$B$492,"A"))</f>
        <v>25</v>
      </c>
      <c r="Y445" s="18">
        <f>X445*'Parametri Modello'!$B$30</f>
        <v>25</v>
      </c>
      <c r="Z445" s="18">
        <f t="shared" si="56"/>
        <v>975</v>
      </c>
      <c r="AA445" s="18">
        <f t="shared" si="57"/>
        <v>0</v>
      </c>
      <c r="AB445" s="18"/>
      <c r="AC445" s="18" t="str">
        <f>IF($AB445="","",IF($AB445&gt;$AA445,"PASS",IF($AB445&lt;=$AA445*(1-'Parametri Modello'!$B$68),"BID","ATTENZIONE")))</f>
        <v/>
      </c>
      <c r="AD445" s="28">
        <f t="shared" si="58"/>
        <v>0</v>
      </c>
      <c r="AE445" s="5" t="str">
        <f>IFERROR(IF($AF445="Titolare",INDEX('Stato Asta'!$G$9:$G$12,MATCH($B445,'Stato Asta'!$A$9:$A$12,0)),INDEX('Stato Asta'!$P$9:$P$12,MATCH($B445,'Stato Asta'!$A$9:$A$12,0))),"")</f>
        <v>🔴 Riserve scarse</v>
      </c>
      <c r="AF445" t="str">
        <f>IFERROR(IF($V445&lt;=INDEX('Parametri Modello'!$C$57:$C$60,MATCH($B445,'Parametri Modello'!$A$57:$A$60,0)),"Titolare","Riserva"),"")</f>
        <v>Riserva</v>
      </c>
      <c r="AG445" t="str">
        <f>IFERROR(INDEX('Pressione Competitiva'!$F$3:$F$6,MATCH($B445,'Pressione Competitiva'!$B$3:$B$6,0)),"")</f>
        <v>🔴 Molto Alta</v>
      </c>
      <c r="AH445" t="str">
        <f t="shared" si="59"/>
        <v/>
      </c>
      <c r="AI445" t="str">
        <f>IFERROR(IF($AH445="","",IF($AH445&gt;=$AA445*'Parametri Modello'!$B$68,"🟢 Opportunita'",IF($AH445&lt;=$AA445*'Parametri Modello'!$B$69,"🔴 Sovrapprezzo","🟡 Prezzo Corretto"))),"")</f>
        <v/>
      </c>
      <c r="AJ445" t="str">
        <f t="shared" si="60"/>
        <v/>
      </c>
      <c r="AK445" t="str">
        <f t="shared" si="61"/>
        <v/>
      </c>
      <c r="AL445" t="str">
        <f t="shared" si="62"/>
        <v/>
      </c>
    </row>
    <row r="446" spans="1:38" ht="14.25" customHeight="1" x14ac:dyDescent="0.25">
      <c r="A446" s="18">
        <v>6650</v>
      </c>
      <c r="B446" s="18" t="s">
        <v>8</v>
      </c>
      <c r="C446" s="18" t="s">
        <v>57</v>
      </c>
      <c r="E446" s="23" t="str">
        <f>IF(COUNTIF('Info Strategia'!$D$2:$D$51,$C446)&gt;0,"SI","NO")</f>
        <v>NO</v>
      </c>
      <c r="F446" s="24">
        <f>IFERROR(ROUND(($G446+($H446-$G446)*'Info Strategia'!$B$6)*(1+IF($E446="SI",'Parametri Modello'!$B$7*'Info Strategia'!$B$6,0)),0),"")</f>
        <v>0</v>
      </c>
      <c r="G446" s="24">
        <f>IFERROR(ROUND(MAX(1,(IF($V446&lt;=INDEX('Parametri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H446" s="24">
        <f>IFERROR(ROUND((IF($V446&lt;=INDEX('Parametri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0</v>
      </c>
      <c r="I446" s="23">
        <f>IFERROR(INDEX('Input Statistiche 2025_26'!$F$3:$F$665,MATCH($A446,'Input Statistiche 2025_26'!$A$3:$A$665,0)),"")</f>
        <v>0</v>
      </c>
      <c r="J446" s="23">
        <f t="shared" si="54"/>
        <v>38</v>
      </c>
      <c r="K446" s="23">
        <f>IFERROR(INDEX('Input Statistiche 2025_26'!$I$3:$I$665,MATCH($A446,'Input Statistiche 2025_26'!$A$3:$A$665,0)),"")</f>
        <v>0</v>
      </c>
      <c r="L446" s="23">
        <f>IFERROR(INDEX('Input Statistiche 2025_26'!$O$3:$O$665,MATCH($A446,'Input Statistiche 2025_26'!$A$3:$A$665,0)),"")</f>
        <v>0</v>
      </c>
      <c r="M446" s="25"/>
      <c r="N446" s="24">
        <f>IFERROR(INDEX('Input Giocatori 2026_27'!$E$3:$E$493,MATCH($A446,'Input Giocatori 2026_27'!$A$3:$A$493,0)),"")</f>
        <v>1</v>
      </c>
      <c r="O446" s="24">
        <f>IFERROR(INDEX('Input Giocatori 2026_27'!$G$3:$G$493,MATCH($A446,'Input Giocatori 2026_27'!$A$3:$A$493,0)),"")</f>
        <v>1</v>
      </c>
      <c r="P446" s="23" t="str">
        <f>IFERROR(IF($O446="","",IF((1-(COUNTIFS($B$2:$B$492,$B446,$O$2:$O$492,"&gt;"&amp;$O446)+1-1)/COUNTIF($B$2:$B$492,$B446))&gt;='Parametri Modello'!$B$63,"Top",IF((1-(COUNTIFS($B$2:$B$492,$B446,$O$2:$O$492,"&gt;"&amp;$O446)+1-1)/COUNTIF($B$2:$B$492,$B446))&gt;='Parametri Modello'!$B$64,"Buono",IF((1-(COUNTIFS($B$2:$B$492,$B446,$O$2:$O$492,"&gt;"&amp;$O446)+1-1)/COUNTIF($B$2:$B$492,$B446))&gt;='Parametri Modello'!$B$65,"Nella Media","Scommessa/Riserva")))),"")</f>
        <v>Nella Media</v>
      </c>
      <c r="Q446" s="26" t="str">
        <f>IF(AND($D446="",$N446&gt;1),SUMPRODUCT(($D$2:$D446="")*($N$2:$N446&gt;1)),"")</f>
        <v/>
      </c>
      <c r="R446" s="26" t="str">
        <f>IF($D446='Info Lega'!$B$28,COUNTIFS($D$2:$D446,'Info Lega'!$B$28),"")</f>
        <v/>
      </c>
      <c r="S446" s="27">
        <f>IFERROR(INDEX('Input Statistiche 2025_26'!$G$3:$G$665,MATCH($A446,'Input Statistiche 2025_26'!$A$3:$A$665,0)),"")</f>
        <v>0</v>
      </c>
      <c r="T446" s="27">
        <f>IFERROR(INDEX('Input Statistiche 2025_26'!$H$3:$H$665,MATCH($A446,'Input Statistiche 2025_26'!$A$3:$A$665,0)),"")</f>
        <v>0</v>
      </c>
      <c r="U446" s="23" t="str">
        <f>IF(OR('La Mia Rosa'!$O$12="",$D446&lt;&gt;""),"",IF($F446&lt;='La Mia Rosa'!$O$12*'Parametri Modello'!$B$24,"OK",IF($F446&lt;='La Mia Rosa'!$O$12*'Parametri Modello'!$B$25,"Attenzione","Rischio Alto")))</f>
        <v>OK</v>
      </c>
      <c r="V446" s="23">
        <f t="shared" si="55"/>
        <v>26</v>
      </c>
      <c r="W446" s="18">
        <f>'Info Lega'!$B$4-SUMIFS($M$2:$M$492,$D$2:$D$492,'Info Lega'!$B$28)</f>
        <v>1000</v>
      </c>
      <c r="X446" s="18">
        <f>('Info Lega'!$B$5-COUNTIFS($D$2:$D$492,'Info Lega'!$B$28,$B$2:$B$492,"P"))+('Info Lega'!$B$6-COUNTIFS($D$2:$D$492,'Info Lega'!$B$28,$B$2:$B$492,"D"))+('Info Lega'!$B$7-COUNTIFS($D$2:$D$492,'Info Lega'!$B$28,$B$2:$B$492,"C"))+('Info Lega'!$B$8-COUNTIFS($D$2:$D$492,'Info Lega'!$B$28,$B$2:$B$492,"A"))</f>
        <v>25</v>
      </c>
      <c r="Y446" s="18">
        <f>X446*'Parametri Modello'!$B$30</f>
        <v>25</v>
      </c>
      <c r="Z446" s="18">
        <f t="shared" si="56"/>
        <v>975</v>
      </c>
      <c r="AA446" s="18">
        <f t="shared" si="57"/>
        <v>0</v>
      </c>
      <c r="AB446" s="18"/>
      <c r="AC446" s="18" t="str">
        <f>IF($AB446="","",IF($AB446&gt;$AA446,"PASS",IF($AB446&lt;=$AA446*(1-'Parametri Modello'!$B$68),"BID","ATTENZIONE")))</f>
        <v/>
      </c>
      <c r="AD446" s="28">
        <f t="shared" si="58"/>
        <v>0</v>
      </c>
      <c r="AE446" s="5" t="str">
        <f>IFERROR(IF($AF446="Titolare",INDEX('Stato Asta'!$G$9:$G$12,MATCH($B446,'Stato Asta'!$A$9:$A$12,0)),INDEX('Stato Asta'!$P$9:$P$12,MATCH($B446,'Stato Asta'!$A$9:$A$12,0))),"")</f>
        <v>🔴 Riserve scarse</v>
      </c>
      <c r="AF446" t="str">
        <f>IFERROR(IF($V446&lt;=INDEX('Parametri Modello'!$C$57:$C$60,MATCH($B446,'Parametri Modello'!$A$57:$A$60,0)),"Titolare","Riserva"),"")</f>
        <v>Riserva</v>
      </c>
      <c r="AG446" t="str">
        <f>IFERROR(INDEX('Pressione Competitiva'!$F$3:$F$6,MATCH($B446,'Pressione Competitiva'!$B$3:$B$6,0)),"")</f>
        <v>🔴 Molto Alta</v>
      </c>
      <c r="AH446" t="str">
        <f t="shared" si="59"/>
        <v/>
      </c>
      <c r="AI446" t="str">
        <f>IFERROR(IF($AH446="","",IF($AH446&gt;=$AA446*'Parametri Modello'!$B$68,"🟢 Opportunita'",IF($AH446&lt;=$AA446*'Parametri Modello'!$B$69,"🔴 Sovrapprezzo","🟡 Prezzo Corretto"))),"")</f>
        <v/>
      </c>
      <c r="AJ446" t="str">
        <f t="shared" si="60"/>
        <v/>
      </c>
      <c r="AK446" t="str">
        <f t="shared" si="61"/>
        <v/>
      </c>
      <c r="AL446" t="str">
        <f t="shared" si="62"/>
        <v/>
      </c>
    </row>
    <row r="447" spans="1:38" ht="14.25" customHeight="1" x14ac:dyDescent="0.25">
      <c r="A447" s="18">
        <v>7301</v>
      </c>
      <c r="B447" s="18" t="s">
        <v>8</v>
      </c>
      <c r="C447" s="18" t="s">
        <v>58</v>
      </c>
      <c r="E447" s="23" t="str">
        <f>IF(COUNTIF('Info Strategia'!$D$2:$D$51,$C447)&gt;0,"SI","NO")</f>
        <v>NO</v>
      </c>
      <c r="F447" s="24">
        <f>IFERROR(ROUND(($G447+($H447-$G447)*'Info Strategia'!$B$6)*(1+IF($E447="SI",'Parametri Modello'!$B$7*'Info Strategia'!$B$6,0)),0),"")</f>
        <v>0</v>
      </c>
      <c r="G447" s="24">
        <f>IFERROR(ROUND(MAX(1,(IF($V447&lt;=INDEX('Parametri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H447" s="24">
        <f>IFERROR(ROUND((IF($V447&lt;=INDEX('Parametri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0</v>
      </c>
      <c r="I447" s="23">
        <f>IFERROR(INDEX('Input Statistiche 2025_26'!$F$3:$F$665,MATCH($A447,'Input Statistiche 2025_26'!$A$3:$A$665,0)),"")</f>
        <v>0</v>
      </c>
      <c r="J447" s="23">
        <f t="shared" si="54"/>
        <v>38</v>
      </c>
      <c r="K447" s="23">
        <f>IFERROR(INDEX('Input Statistiche 2025_26'!$I$3:$I$665,MATCH($A447,'Input Statistiche 2025_26'!$A$3:$A$665,0)),"")</f>
        <v>0</v>
      </c>
      <c r="L447" s="23">
        <f>IFERROR(INDEX('Input Statistiche 2025_26'!$O$3:$O$665,MATCH($A447,'Input Statistiche 2025_26'!$A$3:$A$665,0)),"")</f>
        <v>0</v>
      </c>
      <c r="M447" s="25"/>
      <c r="N447" s="24">
        <f>IFERROR(INDEX('Input Giocatori 2026_27'!$E$3:$E$493,MATCH($A447,'Input Giocatori 2026_27'!$A$3:$A$493,0)),"")</f>
        <v>1</v>
      </c>
      <c r="O447" s="24">
        <f>IFERROR(INDEX('Input Giocatori 2026_27'!$G$3:$G$493,MATCH($A447,'Input Giocatori 2026_27'!$A$3:$A$493,0)),"")</f>
        <v>1</v>
      </c>
      <c r="P447" s="23" t="str">
        <f>IFERROR(IF($O447="","",IF((1-(COUNTIFS($B$2:$B$492,$B447,$O$2:$O$492,"&gt;"&amp;$O447)+1-1)/COUNTIF($B$2:$B$492,$B447))&gt;='Parametri Modello'!$B$63,"Top",IF((1-(COUNTIFS($B$2:$B$492,$B447,$O$2:$O$492,"&gt;"&amp;$O447)+1-1)/COUNTIF($B$2:$B$492,$B447))&gt;='Parametri Modello'!$B$64,"Buono",IF((1-(COUNTIFS($B$2:$B$492,$B447,$O$2:$O$492,"&gt;"&amp;$O447)+1-1)/COUNTIF($B$2:$B$492,$B447))&gt;='Parametri Modello'!$B$65,"Nella Media","Scommessa/Riserva")))),"")</f>
        <v>Nella Media</v>
      </c>
      <c r="Q447" s="26" t="str">
        <f>IF(AND($D447="",$N447&gt;1),SUMPRODUCT(($D$2:$D447="")*($N$2:$N447&gt;1)),"")</f>
        <v/>
      </c>
      <c r="R447" s="26" t="str">
        <f>IF($D447='Info Lega'!$B$28,COUNTIFS($D$2:$D447,'Info Lega'!$B$28),"")</f>
        <v/>
      </c>
      <c r="S447" s="27">
        <f>IFERROR(INDEX('Input Statistiche 2025_26'!$G$3:$G$665,MATCH($A447,'Input Statistiche 2025_26'!$A$3:$A$665,0)),"")</f>
        <v>0</v>
      </c>
      <c r="T447" s="27">
        <f>IFERROR(INDEX('Input Statistiche 2025_26'!$H$3:$H$665,MATCH($A447,'Input Statistiche 2025_26'!$A$3:$A$665,0)),"")</f>
        <v>0</v>
      </c>
      <c r="U447" s="23" t="str">
        <f>IF(OR('La Mia Rosa'!$O$12="",$D447&lt;&gt;""),"",IF($F447&lt;='La Mia Rosa'!$O$12*'Parametri Modello'!$B$24,"OK",IF($F447&lt;='La Mia Rosa'!$O$12*'Parametri Modello'!$B$25,"Attenzione","Rischio Alto")))</f>
        <v>OK</v>
      </c>
      <c r="V447" s="23">
        <f t="shared" si="55"/>
        <v>26</v>
      </c>
      <c r="W447" s="18">
        <f>'Info Lega'!$B$4-SUMIFS($M$2:$M$492,$D$2:$D$492,'Info Lega'!$B$28)</f>
        <v>1000</v>
      </c>
      <c r="X447" s="18">
        <f>('Info Lega'!$B$5-COUNTIFS($D$2:$D$492,'Info Lega'!$B$28,$B$2:$B$492,"P"))+('Info Lega'!$B$6-COUNTIFS($D$2:$D$492,'Info Lega'!$B$28,$B$2:$B$492,"D"))+('Info Lega'!$B$7-COUNTIFS($D$2:$D$492,'Info Lega'!$B$28,$B$2:$B$492,"C"))+('Info Lega'!$B$8-COUNTIFS($D$2:$D$492,'Info Lega'!$B$28,$B$2:$B$492,"A"))</f>
        <v>25</v>
      </c>
      <c r="Y447" s="18">
        <f>X447*'Parametri Modello'!$B$30</f>
        <v>25</v>
      </c>
      <c r="Z447" s="18">
        <f t="shared" si="56"/>
        <v>975</v>
      </c>
      <c r="AA447" s="18">
        <f t="shared" si="57"/>
        <v>0</v>
      </c>
      <c r="AB447" s="18"/>
      <c r="AC447" s="18" t="str">
        <f>IF($AB447="","",IF($AB447&gt;$AA447,"PASS",IF($AB447&lt;=$AA447*(1-'Parametri Modello'!$B$68),"BID","ATTENZIONE")))</f>
        <v/>
      </c>
      <c r="AD447" s="28">
        <f t="shared" si="58"/>
        <v>0</v>
      </c>
      <c r="AE447" s="5" t="str">
        <f>IFERROR(IF($AF447="Titolare",INDEX('Stato Asta'!$G$9:$G$12,MATCH($B447,'Stato Asta'!$A$9:$A$12,0)),INDEX('Stato Asta'!$P$9:$P$12,MATCH($B447,'Stato Asta'!$A$9:$A$12,0))),"")</f>
        <v>🔴 Riserve scarse</v>
      </c>
      <c r="AF447" t="str">
        <f>IFERROR(IF($V447&lt;=INDEX('Parametri Modello'!$C$57:$C$60,MATCH($B447,'Parametri Modello'!$A$57:$A$60,0)),"Titolare","Riserva"),"")</f>
        <v>Riserva</v>
      </c>
      <c r="AG447" t="str">
        <f>IFERROR(INDEX('Pressione Competitiva'!$F$3:$F$6,MATCH($B447,'Pressione Competitiva'!$B$3:$B$6,0)),"")</f>
        <v>🔴 Molto Alta</v>
      </c>
      <c r="AH447" t="str">
        <f t="shared" si="59"/>
        <v/>
      </c>
      <c r="AI447" t="str">
        <f>IFERROR(IF($AH447="","",IF($AH447&gt;=$AA447*'Parametri Modello'!$B$68,"🟢 Opportunita'",IF($AH447&lt;=$AA447*'Parametri Modello'!$B$69,"🔴 Sovrapprezzo","🟡 Prezzo Corretto"))),"")</f>
        <v/>
      </c>
      <c r="AJ447" t="str">
        <f t="shared" si="60"/>
        <v/>
      </c>
      <c r="AK447" t="str">
        <f t="shared" si="61"/>
        <v/>
      </c>
      <c r="AL447" t="str">
        <f t="shared" si="62"/>
        <v/>
      </c>
    </row>
    <row r="448" spans="1:38" ht="14.25" customHeight="1" x14ac:dyDescent="0.25">
      <c r="A448" s="18">
        <v>2809</v>
      </c>
      <c r="B448" s="18" t="s">
        <v>8</v>
      </c>
      <c r="C448" s="18" t="s">
        <v>59</v>
      </c>
      <c r="E448" s="23" t="str">
        <f>IF(COUNTIF('Info Strategia'!$D$2:$D$51,$C448)&gt;0,"SI","NO")</f>
        <v>NO</v>
      </c>
      <c r="F448" s="24">
        <f>IFERROR(ROUND(($G448+($H448-$G448)*'Info Strategia'!$B$6)*(1+IF($E448="SI",'Parametri Modello'!$B$7*'Info Strategia'!$B$6,0)),0),"")</f>
        <v>0</v>
      </c>
      <c r="G448" s="24">
        <f>IFERROR(ROUND(MAX(1,(IF($V448&lt;=INDEX('Parametri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H448" s="24">
        <f>IFERROR(ROUND((IF($V448&lt;=INDEX('Parametri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0</v>
      </c>
      <c r="I448" s="23">
        <f>IFERROR(INDEX('Input Statistiche 2025_26'!$F$3:$F$665,MATCH($A448,'Input Statistiche 2025_26'!$A$3:$A$665,0)),"")</f>
        <v>0</v>
      </c>
      <c r="J448" s="23">
        <f t="shared" si="54"/>
        <v>38</v>
      </c>
      <c r="K448" s="23">
        <f>IFERROR(INDEX('Input Statistiche 2025_26'!$I$3:$I$665,MATCH($A448,'Input Statistiche 2025_26'!$A$3:$A$665,0)),"")</f>
        <v>0</v>
      </c>
      <c r="L448" s="23">
        <f>IFERROR(INDEX('Input Statistiche 2025_26'!$O$3:$O$665,MATCH($A448,'Input Statistiche 2025_26'!$A$3:$A$665,0)),"")</f>
        <v>0</v>
      </c>
      <c r="M448" s="25"/>
      <c r="N448" s="24">
        <f>IFERROR(INDEX('Input Giocatori 2026_27'!$E$3:$E$493,MATCH($A448,'Input Giocatori 2026_27'!$A$3:$A$493,0)),"")</f>
        <v>1</v>
      </c>
      <c r="O448" s="24">
        <f>IFERROR(INDEX('Input Giocatori 2026_27'!$G$3:$G$493,MATCH($A448,'Input Giocatori 2026_27'!$A$3:$A$493,0)),"")</f>
        <v>1</v>
      </c>
      <c r="P448" s="23" t="str">
        <f>IFERROR(IF($O448="","",IF((1-(COUNTIFS($B$2:$B$492,$B448,$O$2:$O$492,"&gt;"&amp;$O448)+1-1)/COUNTIF($B$2:$B$492,$B448))&gt;='Parametri Modello'!$B$63,"Top",IF((1-(COUNTIFS($B$2:$B$492,$B448,$O$2:$O$492,"&gt;"&amp;$O448)+1-1)/COUNTIF($B$2:$B$492,$B448))&gt;='Parametri Modello'!$B$64,"Buono",IF((1-(COUNTIFS($B$2:$B$492,$B448,$O$2:$O$492,"&gt;"&amp;$O448)+1-1)/COUNTIF($B$2:$B$492,$B448))&gt;='Parametri Modello'!$B$65,"Nella Media","Scommessa/Riserva")))),"")</f>
        <v>Nella Media</v>
      </c>
      <c r="Q448" s="26" t="str">
        <f>IF(AND($D448="",$N448&gt;1),SUMPRODUCT(($D$2:$D448="")*($N$2:$N448&gt;1)),"")</f>
        <v/>
      </c>
      <c r="R448" s="26" t="str">
        <f>IF($D448='Info Lega'!$B$28,COUNTIFS($D$2:$D448,'Info Lega'!$B$28),"")</f>
        <v/>
      </c>
      <c r="S448" s="27">
        <f>IFERROR(INDEX('Input Statistiche 2025_26'!$G$3:$G$665,MATCH($A448,'Input Statistiche 2025_26'!$A$3:$A$665,0)),"")</f>
        <v>0</v>
      </c>
      <c r="T448" s="27">
        <f>IFERROR(INDEX('Input Statistiche 2025_26'!$H$3:$H$665,MATCH($A448,'Input Statistiche 2025_26'!$A$3:$A$665,0)),"")</f>
        <v>0</v>
      </c>
      <c r="U448" s="23" t="str">
        <f>IF(OR('La Mia Rosa'!$O$12="",$D448&lt;&gt;""),"",IF($F448&lt;='La Mia Rosa'!$O$12*'Parametri Modello'!$B$24,"OK",IF($F448&lt;='La Mia Rosa'!$O$12*'Parametri Modello'!$B$25,"Attenzione","Rischio Alto")))</f>
        <v>OK</v>
      </c>
      <c r="V448" s="23">
        <f t="shared" si="55"/>
        <v>26</v>
      </c>
      <c r="W448" s="18">
        <f>'Info Lega'!$B$4-SUMIFS($M$2:$M$492,$D$2:$D$492,'Info Lega'!$B$28)</f>
        <v>1000</v>
      </c>
      <c r="X448" s="18">
        <f>('Info Lega'!$B$5-COUNTIFS($D$2:$D$492,'Info Lega'!$B$28,$B$2:$B$492,"P"))+('Info Lega'!$B$6-COUNTIFS($D$2:$D$492,'Info Lega'!$B$28,$B$2:$B$492,"D"))+('Info Lega'!$B$7-COUNTIFS($D$2:$D$492,'Info Lega'!$B$28,$B$2:$B$492,"C"))+('Info Lega'!$B$8-COUNTIFS($D$2:$D$492,'Info Lega'!$B$28,$B$2:$B$492,"A"))</f>
        <v>25</v>
      </c>
      <c r="Y448" s="18">
        <f>X448*'Parametri Modello'!$B$30</f>
        <v>25</v>
      </c>
      <c r="Z448" s="18">
        <f t="shared" si="56"/>
        <v>975</v>
      </c>
      <c r="AA448" s="18">
        <f t="shared" si="57"/>
        <v>0</v>
      </c>
      <c r="AB448" s="18"/>
      <c r="AC448" s="18" t="str">
        <f>IF($AB448="","",IF($AB448&gt;$AA448,"PASS",IF($AB448&lt;=$AA448*(1-'Parametri Modello'!$B$68),"BID","ATTENZIONE")))</f>
        <v/>
      </c>
      <c r="AD448" s="28">
        <f t="shared" si="58"/>
        <v>0</v>
      </c>
      <c r="AE448" s="5" t="str">
        <f>IFERROR(IF($AF448="Titolare",INDEX('Stato Asta'!$G$9:$G$12,MATCH($B448,'Stato Asta'!$A$9:$A$12,0)),INDEX('Stato Asta'!$P$9:$P$12,MATCH($B448,'Stato Asta'!$A$9:$A$12,0))),"")</f>
        <v>🔴 Riserve scarse</v>
      </c>
      <c r="AF448" t="str">
        <f>IFERROR(IF($V448&lt;=INDEX('Parametri Modello'!$C$57:$C$60,MATCH($B448,'Parametri Modello'!$A$57:$A$60,0)),"Titolare","Riserva"),"")</f>
        <v>Riserva</v>
      </c>
      <c r="AG448" t="str">
        <f>IFERROR(INDEX('Pressione Competitiva'!$F$3:$F$6,MATCH($B448,'Pressione Competitiva'!$B$3:$B$6,0)),"")</f>
        <v>🔴 Molto Alta</v>
      </c>
      <c r="AH448" t="str">
        <f t="shared" si="59"/>
        <v/>
      </c>
      <c r="AI448" t="str">
        <f>IFERROR(IF($AH448="","",IF($AH448&gt;=$AA448*'Parametri Modello'!$B$68,"🟢 Opportunita'",IF($AH448&lt;=$AA448*'Parametri Modello'!$B$69,"🔴 Sovrapprezzo","🟡 Prezzo Corretto"))),"")</f>
        <v/>
      </c>
      <c r="AJ448" t="str">
        <f t="shared" si="60"/>
        <v/>
      </c>
      <c r="AK448" t="str">
        <f t="shared" si="61"/>
        <v/>
      </c>
      <c r="AL448" t="str">
        <f t="shared" si="62"/>
        <v/>
      </c>
    </row>
    <row r="449" spans="1:38" ht="14.25" customHeight="1" x14ac:dyDescent="0.25">
      <c r="A449" s="18">
        <v>6403</v>
      </c>
      <c r="B449" s="18" t="s">
        <v>8</v>
      </c>
      <c r="C449" s="18" t="s">
        <v>60</v>
      </c>
      <c r="E449" s="23" t="str">
        <f>IF(COUNTIF('Info Strategia'!$D$2:$D$51,$C449)&gt;0,"SI","NO")</f>
        <v>NO</v>
      </c>
      <c r="F449" s="24">
        <f>IFERROR(ROUND(($G449+($H449-$G449)*'Info Strategia'!$B$6)*(1+IF($E449="SI",'Parametri Modello'!$B$7*'Info Strategia'!$B$6,0)),0),"")</f>
        <v>0</v>
      </c>
      <c r="G449" s="24">
        <f>IFERROR(ROUND(MAX(1,(IF($V449&lt;=INDEX('Parametri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H449" s="24">
        <f>IFERROR(ROUND((IF($V449&lt;=INDEX('Parametri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0</v>
      </c>
      <c r="I449" s="23">
        <f>IFERROR(INDEX('Input Statistiche 2025_26'!$F$3:$F$665,MATCH($A449,'Input Statistiche 2025_26'!$A$3:$A$665,0)),"")</f>
        <v>1</v>
      </c>
      <c r="J449" s="23">
        <f t="shared" si="54"/>
        <v>37</v>
      </c>
      <c r="K449" s="23">
        <f>IFERROR(INDEX('Input Statistiche 2025_26'!$I$3:$I$665,MATCH($A449,'Input Statistiche 2025_26'!$A$3:$A$665,0)),"")</f>
        <v>0</v>
      </c>
      <c r="L449" s="23">
        <f>IFERROR(INDEX('Input Statistiche 2025_26'!$O$3:$O$665,MATCH($A449,'Input Statistiche 2025_26'!$A$3:$A$665,0)),"")</f>
        <v>0</v>
      </c>
      <c r="M449" s="25"/>
      <c r="N449" s="24">
        <f>IFERROR(INDEX('Input Giocatori 2026_27'!$E$3:$E$493,MATCH($A449,'Input Giocatori 2026_27'!$A$3:$A$493,0)),"")</f>
        <v>1</v>
      </c>
      <c r="O449" s="24">
        <f>IFERROR(INDEX('Input Giocatori 2026_27'!$G$3:$G$493,MATCH($A449,'Input Giocatori 2026_27'!$A$3:$A$493,0)),"")</f>
        <v>1</v>
      </c>
      <c r="P449" s="23" t="str">
        <f>IFERROR(IF($O449="","",IF((1-(COUNTIFS($B$2:$B$492,$B449,$O$2:$O$492,"&gt;"&amp;$O449)+1-1)/COUNTIF($B$2:$B$492,$B449))&gt;='Parametri Modello'!$B$63,"Top",IF((1-(COUNTIFS($B$2:$B$492,$B449,$O$2:$O$492,"&gt;"&amp;$O449)+1-1)/COUNTIF($B$2:$B$492,$B449))&gt;='Parametri Modello'!$B$64,"Buono",IF((1-(COUNTIFS($B$2:$B$492,$B449,$O$2:$O$492,"&gt;"&amp;$O449)+1-1)/COUNTIF($B$2:$B$492,$B449))&gt;='Parametri Modello'!$B$65,"Nella Media","Scommessa/Riserva")))),"")</f>
        <v>Nella Media</v>
      </c>
      <c r="Q449" s="26" t="str">
        <f>IF(AND($D449="",$N449&gt;1),SUMPRODUCT(($D$2:$D449="")*($N$2:$N449&gt;1)),"")</f>
        <v/>
      </c>
      <c r="R449" s="26" t="str">
        <f>IF($D449='Info Lega'!$B$28,COUNTIFS($D$2:$D449,'Info Lega'!$B$28),"")</f>
        <v/>
      </c>
      <c r="S449" s="27">
        <f>IFERROR(INDEX('Input Statistiche 2025_26'!$G$3:$G$665,MATCH($A449,'Input Statistiche 2025_26'!$A$3:$A$665,0)),"")</f>
        <v>7.5</v>
      </c>
      <c r="T449" s="27">
        <f>IFERROR(INDEX('Input Statistiche 2025_26'!$H$3:$H$665,MATCH($A449,'Input Statistiche 2025_26'!$A$3:$A$665,0)),"")</f>
        <v>6.5</v>
      </c>
      <c r="U449" s="23" t="str">
        <f>IF(OR('La Mia Rosa'!$O$12="",$D449&lt;&gt;""),"",IF($F449&lt;='La Mia Rosa'!$O$12*'Parametri Modello'!$B$24,"OK",IF($F449&lt;='La Mia Rosa'!$O$12*'Parametri Modello'!$B$25,"Attenzione","Rischio Alto")))</f>
        <v>OK</v>
      </c>
      <c r="V449" s="23">
        <f t="shared" si="55"/>
        <v>26</v>
      </c>
      <c r="W449" s="18">
        <f>'Info Lega'!$B$4-SUMIFS($M$2:$M$492,$D$2:$D$492,'Info Lega'!$B$28)</f>
        <v>1000</v>
      </c>
      <c r="X449" s="18">
        <f>('Info Lega'!$B$5-COUNTIFS($D$2:$D$492,'Info Lega'!$B$28,$B$2:$B$492,"P"))+('Info Lega'!$B$6-COUNTIFS($D$2:$D$492,'Info Lega'!$B$28,$B$2:$B$492,"D"))+('Info Lega'!$B$7-COUNTIFS($D$2:$D$492,'Info Lega'!$B$28,$B$2:$B$492,"C"))+('Info Lega'!$B$8-COUNTIFS($D$2:$D$492,'Info Lega'!$B$28,$B$2:$B$492,"A"))</f>
        <v>25</v>
      </c>
      <c r="Y449" s="18">
        <f>X449*'Parametri Modello'!$B$30</f>
        <v>25</v>
      </c>
      <c r="Z449" s="18">
        <f t="shared" si="56"/>
        <v>975</v>
      </c>
      <c r="AA449" s="18">
        <f t="shared" si="57"/>
        <v>0</v>
      </c>
      <c r="AB449" s="18"/>
      <c r="AC449" s="18" t="str">
        <f>IF($AB449="","",IF($AB449&gt;$AA449,"PASS",IF($AB449&lt;=$AA449*(1-'Parametri Modello'!$B$68),"BID","ATTENZIONE")))</f>
        <v/>
      </c>
      <c r="AD449" s="28">
        <f t="shared" si="58"/>
        <v>3</v>
      </c>
      <c r="AE449" s="5" t="str">
        <f>IFERROR(IF($AF449="Titolare",INDEX('Stato Asta'!$G$9:$G$12,MATCH($B449,'Stato Asta'!$A$9:$A$12,0)),INDEX('Stato Asta'!$P$9:$P$12,MATCH($B449,'Stato Asta'!$A$9:$A$12,0))),"")</f>
        <v>🔴 Riserve scarse</v>
      </c>
      <c r="AF449" t="str">
        <f>IFERROR(IF($V449&lt;=INDEX('Parametri Modello'!$C$57:$C$60,MATCH($B449,'Parametri Modello'!$A$57:$A$60,0)),"Titolare","Riserva"),"")</f>
        <v>Riserva</v>
      </c>
      <c r="AG449" t="str">
        <f>IFERROR(INDEX('Pressione Competitiva'!$F$3:$F$6,MATCH($B449,'Pressione Competitiva'!$B$3:$B$6,0)),"")</f>
        <v>🔴 Molto Alta</v>
      </c>
      <c r="AH449" t="str">
        <f t="shared" si="59"/>
        <v/>
      </c>
      <c r="AI449" t="str">
        <f>IFERROR(IF($AH449="","",IF($AH449&gt;=$AA449*'Parametri Modello'!$B$68,"🟢 Opportunita'",IF($AH449&lt;=$AA449*'Parametri Modello'!$B$69,"🔴 Sovrapprezzo","🟡 Prezzo Corretto"))),"")</f>
        <v/>
      </c>
      <c r="AJ449" t="str">
        <f t="shared" si="60"/>
        <v/>
      </c>
      <c r="AK449" t="str">
        <f t="shared" si="61"/>
        <v/>
      </c>
      <c r="AL449" t="str">
        <f t="shared" si="62"/>
        <v/>
      </c>
    </row>
    <row r="450" spans="1:38" ht="14.25" customHeight="1" x14ac:dyDescent="0.25">
      <c r="A450" s="18">
        <v>158</v>
      </c>
      <c r="B450" s="18" t="s">
        <v>8</v>
      </c>
      <c r="C450" s="18" t="s">
        <v>61</v>
      </c>
      <c r="E450" s="23" t="str">
        <f>IF(COUNTIF('Info Strategia'!$D$2:$D$51,$C450)&gt;0,"SI","NO")</f>
        <v>NO</v>
      </c>
      <c r="F450" s="24">
        <f>IFERROR(ROUND(($G450+($H450-$G450)*'Info Strategia'!$B$6)*(1+IF($E450="SI",'Parametri Modello'!$B$7*'Info Strategia'!$B$6,0)),0),"")</f>
        <v>0</v>
      </c>
      <c r="G450" s="24">
        <f>IFERROR(ROUND(MAX(1,(IF($V450&lt;=INDEX('Parametri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H450" s="24">
        <f>IFERROR(ROUND((IF($V450&lt;=INDEX('Parametri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0</v>
      </c>
      <c r="I450" s="23">
        <f>IFERROR(INDEX('Input Statistiche 2025_26'!$F$3:$F$665,MATCH($A450,'Input Statistiche 2025_26'!$A$3:$A$665,0)),"")</f>
        <v>0</v>
      </c>
      <c r="J450" s="23">
        <f t="shared" ref="J450:J492" si="63">IFERROR(IF($I450="","",MAX(0,38-$I450)),"")</f>
        <v>38</v>
      </c>
      <c r="K450" s="23">
        <f>IFERROR(INDEX('Input Statistiche 2025_26'!$I$3:$I$665,MATCH($A450,'Input Statistiche 2025_26'!$A$3:$A$665,0)),"")</f>
        <v>0</v>
      </c>
      <c r="L450" s="23">
        <f>IFERROR(INDEX('Input Statistiche 2025_26'!$O$3:$O$665,MATCH($A450,'Input Statistiche 2025_26'!$A$3:$A$665,0)),"")</f>
        <v>0</v>
      </c>
      <c r="M450" s="25"/>
      <c r="N450" s="24">
        <f>IFERROR(INDEX('Input Giocatori 2026_27'!$E$3:$E$493,MATCH($A450,'Input Giocatori 2026_27'!$A$3:$A$493,0)),"")</f>
        <v>1</v>
      </c>
      <c r="O450" s="24">
        <f>IFERROR(INDEX('Input Giocatori 2026_27'!$G$3:$G$493,MATCH($A450,'Input Giocatori 2026_27'!$A$3:$A$493,0)),"")</f>
        <v>1</v>
      </c>
      <c r="P450" s="23" t="str">
        <f>IFERROR(IF($O450="","",IF((1-(COUNTIFS($B$2:$B$492,$B450,$O$2:$O$492,"&gt;"&amp;$O450)+1-1)/COUNTIF($B$2:$B$492,$B450))&gt;='Parametri Modello'!$B$63,"Top",IF((1-(COUNTIFS($B$2:$B$492,$B450,$O$2:$O$492,"&gt;"&amp;$O450)+1-1)/COUNTIF($B$2:$B$492,$B450))&gt;='Parametri Modello'!$B$64,"Buono",IF((1-(COUNTIFS($B$2:$B$492,$B450,$O$2:$O$492,"&gt;"&amp;$O450)+1-1)/COUNTIF($B$2:$B$492,$B450))&gt;='Parametri Modello'!$B$65,"Nella Media","Scommessa/Riserva")))),"")</f>
        <v>Nella Media</v>
      </c>
      <c r="Q450" s="26" t="str">
        <f>IF(AND($D450="",$N450&gt;1),SUMPRODUCT(($D$2:$D450="")*($N$2:$N450&gt;1)),"")</f>
        <v/>
      </c>
      <c r="R450" s="26" t="str">
        <f>IF($D450='Info Lega'!$B$28,COUNTIFS($D$2:$D450,'Info Lega'!$B$28),"")</f>
        <v/>
      </c>
      <c r="S450" s="27">
        <f>IFERROR(INDEX('Input Statistiche 2025_26'!$G$3:$G$665,MATCH($A450,'Input Statistiche 2025_26'!$A$3:$A$665,0)),"")</f>
        <v>0</v>
      </c>
      <c r="T450" s="27">
        <f>IFERROR(INDEX('Input Statistiche 2025_26'!$H$3:$H$665,MATCH($A450,'Input Statistiche 2025_26'!$A$3:$A$665,0)),"")</f>
        <v>0</v>
      </c>
      <c r="U450" s="23" t="str">
        <f>IF(OR('La Mia Rosa'!$O$12="",$D450&lt;&gt;""),"",IF($F450&lt;='La Mia Rosa'!$O$12*'Parametri Modello'!$B$24,"OK",IF($F450&lt;='La Mia Rosa'!$O$12*'Parametri Modello'!$B$25,"Attenzione","Rischio Alto")))</f>
        <v>OK</v>
      </c>
      <c r="V450" s="23">
        <f t="shared" ref="V450:V492" si="64">IFERROR(COUNTIFS($B$2:$B$492,$B450,$O$2:$O$492,"&gt;"&amp;$O450)+1,"")</f>
        <v>26</v>
      </c>
      <c r="W450" s="18">
        <f>'Info Lega'!$B$4-SUMIFS($M$2:$M$492,$D$2:$D$492,'Info Lega'!$B$28)</f>
        <v>1000</v>
      </c>
      <c r="X450" s="18">
        <f>('Info Lega'!$B$5-COUNTIFS($D$2:$D$492,'Info Lega'!$B$28,$B$2:$B$492,"P"))+('Info Lega'!$B$6-COUNTIFS($D$2:$D$492,'Info Lega'!$B$28,$B$2:$B$492,"D"))+('Info Lega'!$B$7-COUNTIFS($D$2:$D$492,'Info Lega'!$B$28,$B$2:$B$492,"C"))+('Info Lega'!$B$8-COUNTIFS($D$2:$D$492,'Info Lega'!$B$28,$B$2:$B$492,"A"))</f>
        <v>25</v>
      </c>
      <c r="Y450" s="18">
        <f>X450*'Parametri Modello'!$B$30</f>
        <v>25</v>
      </c>
      <c r="Z450" s="18">
        <f t="shared" ref="Z450:Z513" si="65">MAX(0,W450-Y450)</f>
        <v>975</v>
      </c>
      <c r="AA450" s="18">
        <f t="shared" ref="AA450:AA513" si="66">MIN(F450,Z450)</f>
        <v>0</v>
      </c>
      <c r="AB450" s="18"/>
      <c r="AC450" s="18" t="str">
        <f>IF($AB450="","",IF($AB450&gt;$AA450,"PASS",IF($AB450&lt;=$AA450*(1-'Parametri Modello'!$B$68),"BID","ATTENZIONE")))</f>
        <v/>
      </c>
      <c r="AD450" s="28">
        <f t="shared" ref="AD450:AD492" si="67">IF(I450="","",ROUND(100*(1-EXP(-I450/30)),0))</f>
        <v>0</v>
      </c>
      <c r="AE450" s="5" t="str">
        <f>IFERROR(IF($AF450="Titolare",INDEX('Stato Asta'!$G$9:$G$12,MATCH($B450,'Stato Asta'!$A$9:$A$12,0)),INDEX('Stato Asta'!$P$9:$P$12,MATCH($B450,'Stato Asta'!$A$9:$A$12,0))),"")</f>
        <v>🔴 Riserve scarse</v>
      </c>
      <c r="AF450" t="str">
        <f>IFERROR(IF($V450&lt;=INDEX('Parametri Modello'!$C$57:$C$60,MATCH($B450,'Parametri Modello'!$A$57:$A$60,0)),"Titolare","Riserva"),"")</f>
        <v>Riserva</v>
      </c>
      <c r="AG450" t="str">
        <f>IFERROR(INDEX('Pressione Competitiva'!$F$3:$F$6,MATCH($B450,'Pressione Competitiva'!$B$3:$B$6,0)),"")</f>
        <v>🔴 Molto Alta</v>
      </c>
      <c r="AH450" t="str">
        <f t="shared" ref="AH450:AH492" si="68">IF($AB450="","",$AA450-$AB450)</f>
        <v/>
      </c>
      <c r="AI450" t="str">
        <f>IFERROR(IF($AH450="","",IF($AH450&gt;=$AA450*'Parametri Modello'!$B$68,"🟢 Opportunita'",IF($AH450&lt;=$AA450*'Parametri Modello'!$B$69,"🔴 Sovrapprezzo","🟡 Prezzo Corretto"))),"")</f>
        <v/>
      </c>
      <c r="AJ450" t="str">
        <f t="shared" ref="AJ450:AJ492" si="69">IF($AB450="","",IF($AC450="PASS","Prezzo sopra la tua Offerta Max Dinamica ("&amp;$AA450&amp;" cr).",IF($AC450="BID","Margine ampio sul tuo tetto (+"&amp;($AA450-$AB450)&amp;" cr).","Margine ridotto: sei vicino al tuo tetto ("&amp;($AA450-$AB450)&amp;" cr residui).")))</f>
        <v/>
      </c>
      <c r="AK450" t="str">
        <f t="shared" ref="AK450:AK492" si="70">IF(AND($D450="",$N450&gt;1),COUNTIFS($B$2:$B$492,$B450,$P$2:$P$492,$P450,$D$2:$D$492,"",$N$2:$N$492,"&gt;1",$O$2:$O$492,"&gt;"&amp;$O450)+1,"")</f>
        <v/>
      </c>
      <c r="AL450" t="str">
        <f t="shared" ref="AL450:AL492" si="71">IF($AK450="","",$B450&amp;"|"&amp;$P450&amp;"|"&amp;$AK450)</f>
        <v/>
      </c>
    </row>
    <row r="451" spans="1:38" ht="14.25" customHeight="1" x14ac:dyDescent="0.25">
      <c r="A451" s="18">
        <v>7466</v>
      </c>
      <c r="B451" s="18" t="s">
        <v>8</v>
      </c>
      <c r="C451" s="18" t="s">
        <v>62</v>
      </c>
      <c r="E451" s="23" t="str">
        <f>IF(COUNTIF('Info Strategia'!$D$2:$D$51,$C451)&gt;0,"SI","NO")</f>
        <v>NO</v>
      </c>
      <c r="F451" s="24">
        <f>IFERROR(ROUND(($G451+($H451-$G451)*'Info Strategia'!$B$6)*(1+IF($E451="SI",'Parametri Modello'!$B$7*'Info Strategia'!$B$6,0)),0),"")</f>
        <v>0</v>
      </c>
      <c r="G451" s="24">
        <f>IFERROR(ROUND(MAX(1,(IF($V451&lt;=INDEX('Parametri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H451" s="24">
        <f>IFERROR(ROUND((IF($V451&lt;=INDEX('Parametri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0</v>
      </c>
      <c r="I451" s="23" t="str">
        <f>IFERROR(INDEX('Input Statistiche 2025_26'!$F$3:$F$665,MATCH($A451,'Input Statistiche 2025_26'!$A$3:$A$665,0)),"")</f>
        <v/>
      </c>
      <c r="J451" s="23" t="str">
        <f t="shared" si="63"/>
        <v/>
      </c>
      <c r="K451" s="23" t="str">
        <f>IFERROR(INDEX('Input Statistiche 2025_26'!$I$3:$I$665,MATCH($A451,'Input Statistiche 2025_26'!$A$3:$A$665,0)),"")</f>
        <v/>
      </c>
      <c r="L451" s="23" t="str">
        <f>IFERROR(INDEX('Input Statistiche 2025_26'!$O$3:$O$665,MATCH($A451,'Input Statistiche 2025_26'!$A$3:$A$665,0)),"")</f>
        <v/>
      </c>
      <c r="M451" s="25"/>
      <c r="N451" s="24">
        <f>IFERROR(INDEX('Input Giocatori 2026_27'!$E$3:$E$493,MATCH($A451,'Input Giocatori 2026_27'!$A$3:$A$493,0)),"")</f>
        <v>1</v>
      </c>
      <c r="O451" s="24">
        <f>IFERROR(INDEX('Input Giocatori 2026_27'!$G$3:$G$493,MATCH($A451,'Input Giocatori 2026_27'!$A$3:$A$493,0)),"")</f>
        <v>1</v>
      </c>
      <c r="P451" s="23" t="str">
        <f>IFERROR(IF($O451="","",IF((1-(COUNTIFS($B$2:$B$492,$B451,$O$2:$O$492,"&gt;"&amp;$O451)+1-1)/COUNTIF($B$2:$B$492,$B451))&gt;='Parametri Modello'!$B$63,"Top",IF((1-(COUNTIFS($B$2:$B$492,$B451,$O$2:$O$492,"&gt;"&amp;$O451)+1-1)/COUNTIF($B$2:$B$492,$B451))&gt;='Parametri Modello'!$B$64,"Buono",IF((1-(COUNTIFS($B$2:$B$492,$B451,$O$2:$O$492,"&gt;"&amp;$O451)+1-1)/COUNTIF($B$2:$B$492,$B451))&gt;='Parametri Modello'!$B$65,"Nella Media","Scommessa/Riserva")))),"")</f>
        <v>Nella Media</v>
      </c>
      <c r="Q451" s="26" t="str">
        <f>IF(AND($D451="",$N451&gt;1),SUMPRODUCT(($D$2:$D451="")*($N$2:$N451&gt;1)),"")</f>
        <v/>
      </c>
      <c r="R451" s="26" t="str">
        <f>IF($D451='Info Lega'!$B$28,COUNTIFS($D$2:$D451,'Info Lega'!$B$28),"")</f>
        <v/>
      </c>
      <c r="S451" s="27" t="str">
        <f>IFERROR(INDEX('Input Statistiche 2025_26'!$G$3:$G$665,MATCH($A451,'Input Statistiche 2025_26'!$A$3:$A$665,0)),"")</f>
        <v/>
      </c>
      <c r="T451" s="27" t="str">
        <f>IFERROR(INDEX('Input Statistiche 2025_26'!$H$3:$H$665,MATCH($A451,'Input Statistiche 2025_26'!$A$3:$A$665,0)),"")</f>
        <v/>
      </c>
      <c r="U451" s="23" t="str">
        <f>IF(OR('La Mia Rosa'!$O$12="",$D451&lt;&gt;""),"",IF($F451&lt;='La Mia Rosa'!$O$12*'Parametri Modello'!$B$24,"OK",IF($F451&lt;='La Mia Rosa'!$O$12*'Parametri Modello'!$B$25,"Attenzione","Rischio Alto")))</f>
        <v>OK</v>
      </c>
      <c r="V451" s="23">
        <f t="shared" si="64"/>
        <v>26</v>
      </c>
      <c r="W451" s="18">
        <f>'Info Lega'!$B$4-SUMIFS($M$2:$M$492,$D$2:$D$492,'Info Lega'!$B$28)</f>
        <v>1000</v>
      </c>
      <c r="X451" s="18">
        <f>('Info Lega'!$B$5-COUNTIFS($D$2:$D$492,'Info Lega'!$B$28,$B$2:$B$492,"P"))+('Info Lega'!$B$6-COUNTIFS($D$2:$D$492,'Info Lega'!$B$28,$B$2:$B$492,"D"))+('Info Lega'!$B$7-COUNTIFS($D$2:$D$492,'Info Lega'!$B$28,$B$2:$B$492,"C"))+('Info Lega'!$B$8-COUNTIFS($D$2:$D$492,'Info Lega'!$B$28,$B$2:$B$492,"A"))</f>
        <v>25</v>
      </c>
      <c r="Y451" s="18">
        <f>X451*'Parametri Modello'!$B$30</f>
        <v>25</v>
      </c>
      <c r="Z451" s="18">
        <f t="shared" si="65"/>
        <v>975</v>
      </c>
      <c r="AA451" s="18">
        <f t="shared" si="66"/>
        <v>0</v>
      </c>
      <c r="AB451" s="18"/>
      <c r="AC451" s="18" t="str">
        <f>IF($AB451="","",IF($AB451&gt;$AA451,"PASS",IF($AB451&lt;=$AA451*(1-'Parametri Modello'!$B$68),"BID","ATTENZIONE")))</f>
        <v/>
      </c>
      <c r="AD451" s="28" t="str">
        <f t="shared" si="67"/>
        <v/>
      </c>
      <c r="AE451" s="5" t="str">
        <f>IFERROR(IF($AF451="Titolare",INDEX('Stato Asta'!$G$9:$G$12,MATCH($B451,'Stato Asta'!$A$9:$A$12,0)),INDEX('Stato Asta'!$P$9:$P$12,MATCH($B451,'Stato Asta'!$A$9:$A$12,0))),"")</f>
        <v>🔴 Riserve scarse</v>
      </c>
      <c r="AF451" t="str">
        <f>IFERROR(IF($V451&lt;=INDEX('Parametri Modello'!$C$57:$C$60,MATCH($B451,'Parametri Modello'!$A$57:$A$60,0)),"Titolare","Riserva"),"")</f>
        <v>Riserva</v>
      </c>
      <c r="AG451" t="str">
        <f>IFERROR(INDEX('Pressione Competitiva'!$F$3:$F$6,MATCH($B451,'Pressione Competitiva'!$B$3:$B$6,0)),"")</f>
        <v>🔴 Molto Alta</v>
      </c>
      <c r="AH451" t="str">
        <f t="shared" si="68"/>
        <v/>
      </c>
      <c r="AI451" t="str">
        <f>IFERROR(IF($AH451="","",IF($AH451&gt;=$AA451*'Parametri Modello'!$B$68,"🟢 Opportunita'",IF($AH451&lt;=$AA451*'Parametri Modello'!$B$69,"🔴 Sovrapprezzo","🟡 Prezzo Corretto"))),"")</f>
        <v/>
      </c>
      <c r="AJ451" t="str">
        <f t="shared" si="69"/>
        <v/>
      </c>
      <c r="AK451" t="str">
        <f t="shared" si="70"/>
        <v/>
      </c>
      <c r="AL451" t="str">
        <f t="shared" si="71"/>
        <v/>
      </c>
    </row>
    <row r="452" spans="1:38" ht="14.25" customHeight="1" x14ac:dyDescent="0.25">
      <c r="A452" s="18">
        <v>219</v>
      </c>
      <c r="B452" s="18" t="s">
        <v>8</v>
      </c>
      <c r="C452" s="18" t="s">
        <v>63</v>
      </c>
      <c r="E452" s="23" t="str">
        <f>IF(COUNTIF('Info Strategia'!$D$2:$D$51,$C452)&gt;0,"SI","NO")</f>
        <v>NO</v>
      </c>
      <c r="F452" s="24">
        <f>IFERROR(ROUND(($G452+($H452-$G452)*'Info Strategia'!$B$6)*(1+IF($E452="SI",'Parametri Modello'!$B$7*'Info Strategia'!$B$6,0)),0),"")</f>
        <v>0</v>
      </c>
      <c r="G452" s="24">
        <f>IFERROR(ROUND(MAX(1,(IF($V452&lt;=INDEX('Parametri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H452" s="24">
        <f>IFERROR(ROUND((IF($V452&lt;=INDEX('Parametri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0</v>
      </c>
      <c r="I452" s="23">
        <f>IFERROR(INDEX('Input Statistiche 2025_26'!$F$3:$F$665,MATCH($A452,'Input Statistiche 2025_26'!$A$3:$A$665,0)),"")</f>
        <v>2</v>
      </c>
      <c r="J452" s="23">
        <f t="shared" si="63"/>
        <v>36</v>
      </c>
      <c r="K452" s="23">
        <f>IFERROR(INDEX('Input Statistiche 2025_26'!$I$3:$I$665,MATCH($A452,'Input Statistiche 2025_26'!$A$3:$A$665,0)),"")</f>
        <v>0</v>
      </c>
      <c r="L452" s="23">
        <f>IFERROR(INDEX('Input Statistiche 2025_26'!$O$3:$O$665,MATCH($A452,'Input Statistiche 2025_26'!$A$3:$A$665,0)),"")</f>
        <v>0</v>
      </c>
      <c r="M452" s="25"/>
      <c r="N452" s="24">
        <f>IFERROR(INDEX('Input Giocatori 2026_27'!$E$3:$E$493,MATCH($A452,'Input Giocatori 2026_27'!$A$3:$A$493,0)),"")</f>
        <v>1</v>
      </c>
      <c r="O452" s="24">
        <f>IFERROR(INDEX('Input Giocatori 2026_27'!$G$3:$G$493,MATCH($A452,'Input Giocatori 2026_27'!$A$3:$A$493,0)),"")</f>
        <v>1</v>
      </c>
      <c r="P452" s="23" t="str">
        <f>IFERROR(IF($O452="","",IF((1-(COUNTIFS($B$2:$B$492,$B452,$O$2:$O$492,"&gt;"&amp;$O452)+1-1)/COUNTIF($B$2:$B$492,$B452))&gt;='Parametri Modello'!$B$63,"Top",IF((1-(COUNTIFS($B$2:$B$492,$B452,$O$2:$O$492,"&gt;"&amp;$O452)+1-1)/COUNTIF($B$2:$B$492,$B452))&gt;='Parametri Modello'!$B$64,"Buono",IF((1-(COUNTIFS($B$2:$B$492,$B452,$O$2:$O$492,"&gt;"&amp;$O452)+1-1)/COUNTIF($B$2:$B$492,$B452))&gt;='Parametri Modello'!$B$65,"Nella Media","Scommessa/Riserva")))),"")</f>
        <v>Nella Media</v>
      </c>
      <c r="Q452" s="26" t="str">
        <f>IF(AND($D452="",$N452&gt;1),SUMPRODUCT(($D$2:$D452="")*($N$2:$N452&gt;1)),"")</f>
        <v/>
      </c>
      <c r="R452" s="26" t="str">
        <f>IF($D452='Info Lega'!$B$28,COUNTIFS($D$2:$D452,'Info Lega'!$B$28),"")</f>
        <v/>
      </c>
      <c r="S452" s="27">
        <f>IFERROR(INDEX('Input Statistiche 2025_26'!$G$3:$G$665,MATCH($A452,'Input Statistiche 2025_26'!$A$3:$A$665,0)),"")</f>
        <v>5.75</v>
      </c>
      <c r="T452" s="27">
        <f>IFERROR(INDEX('Input Statistiche 2025_26'!$H$3:$H$665,MATCH($A452,'Input Statistiche 2025_26'!$A$3:$A$665,0)),"")</f>
        <v>3.75</v>
      </c>
      <c r="U452" s="23" t="str">
        <f>IF(OR('La Mia Rosa'!$O$12="",$D452&lt;&gt;""),"",IF($F452&lt;='La Mia Rosa'!$O$12*'Parametri Modello'!$B$24,"OK",IF($F452&lt;='La Mia Rosa'!$O$12*'Parametri Modello'!$B$25,"Attenzione","Rischio Alto")))</f>
        <v>OK</v>
      </c>
      <c r="V452" s="23">
        <f t="shared" si="64"/>
        <v>26</v>
      </c>
      <c r="W452" s="18">
        <f>'Info Lega'!$B$4-SUMIFS($M$2:$M$492,$D$2:$D$492,'Info Lega'!$B$28)</f>
        <v>1000</v>
      </c>
      <c r="X452" s="18">
        <f>('Info Lega'!$B$5-COUNTIFS($D$2:$D$492,'Info Lega'!$B$28,$B$2:$B$492,"P"))+('Info Lega'!$B$6-COUNTIFS($D$2:$D$492,'Info Lega'!$B$28,$B$2:$B$492,"D"))+('Info Lega'!$B$7-COUNTIFS($D$2:$D$492,'Info Lega'!$B$28,$B$2:$B$492,"C"))+('Info Lega'!$B$8-COUNTIFS($D$2:$D$492,'Info Lega'!$B$28,$B$2:$B$492,"A"))</f>
        <v>25</v>
      </c>
      <c r="Y452" s="18">
        <f>X452*'Parametri Modello'!$B$30</f>
        <v>25</v>
      </c>
      <c r="Z452" s="18">
        <f t="shared" si="65"/>
        <v>975</v>
      </c>
      <c r="AA452" s="18">
        <f t="shared" si="66"/>
        <v>0</v>
      </c>
      <c r="AB452" s="18"/>
      <c r="AC452" s="18" t="str">
        <f>IF($AB452="","",IF($AB452&gt;$AA452,"PASS",IF($AB452&lt;=$AA452*(1-'Parametri Modello'!$B$68),"BID","ATTENZIONE")))</f>
        <v/>
      </c>
      <c r="AD452" s="28">
        <f t="shared" si="67"/>
        <v>6</v>
      </c>
      <c r="AE452" s="5" t="str">
        <f>IFERROR(IF($AF452="Titolare",INDEX('Stato Asta'!$G$9:$G$12,MATCH($B452,'Stato Asta'!$A$9:$A$12,0)),INDEX('Stato Asta'!$P$9:$P$12,MATCH($B452,'Stato Asta'!$A$9:$A$12,0))),"")</f>
        <v>🔴 Riserve scarse</v>
      </c>
      <c r="AF452" t="str">
        <f>IFERROR(IF($V452&lt;=INDEX('Parametri Modello'!$C$57:$C$60,MATCH($B452,'Parametri Modello'!$A$57:$A$60,0)),"Titolare","Riserva"),"")</f>
        <v>Riserva</v>
      </c>
      <c r="AG452" t="str">
        <f>IFERROR(INDEX('Pressione Competitiva'!$F$3:$F$6,MATCH($B452,'Pressione Competitiva'!$B$3:$B$6,0)),"")</f>
        <v>🔴 Molto Alta</v>
      </c>
      <c r="AH452" t="str">
        <f t="shared" si="68"/>
        <v/>
      </c>
      <c r="AI452" t="str">
        <f>IFERROR(IF($AH452="","",IF($AH452&gt;=$AA452*'Parametri Modello'!$B$68,"🟢 Opportunita'",IF($AH452&lt;=$AA452*'Parametri Modello'!$B$69,"🔴 Sovrapprezzo","🟡 Prezzo Corretto"))),"")</f>
        <v/>
      </c>
      <c r="AJ452" t="str">
        <f t="shared" si="69"/>
        <v/>
      </c>
      <c r="AK452" t="str">
        <f t="shared" si="70"/>
        <v/>
      </c>
      <c r="AL452" t="str">
        <f t="shared" si="71"/>
        <v/>
      </c>
    </row>
    <row r="453" spans="1:38" ht="14.25" customHeight="1" x14ac:dyDescent="0.25">
      <c r="A453" s="18">
        <v>6569</v>
      </c>
      <c r="B453" s="18" t="s">
        <v>8</v>
      </c>
      <c r="C453" s="18" t="s">
        <v>64</v>
      </c>
      <c r="E453" s="23" t="str">
        <f>IF(COUNTIF('Info Strategia'!$D$2:$D$51,$C453)&gt;0,"SI","NO")</f>
        <v>NO</v>
      </c>
      <c r="F453" s="24">
        <f>IFERROR(ROUND(($G453+($H453-$G453)*'Info Strategia'!$B$6)*(1+IF($E453="SI",'Parametri Modello'!$B$7*'Info Strategia'!$B$6,0)),0),"")</f>
        <v>0</v>
      </c>
      <c r="G453" s="24">
        <f>IFERROR(ROUND(MAX(1,(IF($V453&lt;=INDEX('Parametri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H453" s="24">
        <f>IFERROR(ROUND((IF($V453&lt;=INDEX('Parametri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0</v>
      </c>
      <c r="I453" s="23" t="str">
        <f>IFERROR(INDEX('Input Statistiche 2025_26'!$F$3:$F$665,MATCH($A453,'Input Statistiche 2025_26'!$A$3:$A$665,0)),"")</f>
        <v/>
      </c>
      <c r="J453" s="23" t="str">
        <f t="shared" si="63"/>
        <v/>
      </c>
      <c r="K453" s="23" t="str">
        <f>IFERROR(INDEX('Input Statistiche 2025_26'!$I$3:$I$665,MATCH($A453,'Input Statistiche 2025_26'!$A$3:$A$665,0)),"")</f>
        <v/>
      </c>
      <c r="L453" s="23" t="str">
        <f>IFERROR(INDEX('Input Statistiche 2025_26'!$O$3:$O$665,MATCH($A453,'Input Statistiche 2025_26'!$A$3:$A$665,0)),"")</f>
        <v/>
      </c>
      <c r="M453" s="25"/>
      <c r="N453" s="24">
        <f>IFERROR(INDEX('Input Giocatori 2026_27'!$E$3:$E$493,MATCH($A453,'Input Giocatori 2026_27'!$A$3:$A$493,0)),"")</f>
        <v>1</v>
      </c>
      <c r="O453" s="24">
        <f>IFERROR(INDEX('Input Giocatori 2026_27'!$G$3:$G$493,MATCH($A453,'Input Giocatori 2026_27'!$A$3:$A$493,0)),"")</f>
        <v>1</v>
      </c>
      <c r="P453" s="23" t="str">
        <f>IFERROR(IF($O453="","",IF((1-(COUNTIFS($B$2:$B$492,$B453,$O$2:$O$492,"&gt;"&amp;$O453)+1-1)/COUNTIF($B$2:$B$492,$B453))&gt;='Parametri Modello'!$B$63,"Top",IF((1-(COUNTIFS($B$2:$B$492,$B453,$O$2:$O$492,"&gt;"&amp;$O453)+1-1)/COUNTIF($B$2:$B$492,$B453))&gt;='Parametri Modello'!$B$64,"Buono",IF((1-(COUNTIFS($B$2:$B$492,$B453,$O$2:$O$492,"&gt;"&amp;$O453)+1-1)/COUNTIF($B$2:$B$492,$B453))&gt;='Parametri Modello'!$B$65,"Nella Media","Scommessa/Riserva")))),"")</f>
        <v>Nella Media</v>
      </c>
      <c r="Q453" s="26" t="str">
        <f>IF(AND($D453="",$N453&gt;1),SUMPRODUCT(($D$2:$D453="")*($N$2:$N453&gt;1)),"")</f>
        <v/>
      </c>
      <c r="R453" s="26" t="str">
        <f>IF($D453='Info Lega'!$B$28,COUNTIFS($D$2:$D453,'Info Lega'!$B$28),"")</f>
        <v/>
      </c>
      <c r="S453" s="27" t="str">
        <f>IFERROR(INDEX('Input Statistiche 2025_26'!$G$3:$G$665,MATCH($A453,'Input Statistiche 2025_26'!$A$3:$A$665,0)),"")</f>
        <v/>
      </c>
      <c r="T453" s="27" t="str">
        <f>IFERROR(INDEX('Input Statistiche 2025_26'!$H$3:$H$665,MATCH($A453,'Input Statistiche 2025_26'!$A$3:$A$665,0)),"")</f>
        <v/>
      </c>
      <c r="U453" s="23" t="str">
        <f>IF(OR('La Mia Rosa'!$O$12="",$D453&lt;&gt;""),"",IF($F453&lt;='La Mia Rosa'!$O$12*'Parametri Modello'!$B$24,"OK",IF($F453&lt;='La Mia Rosa'!$O$12*'Parametri Modello'!$B$25,"Attenzione","Rischio Alto")))</f>
        <v>OK</v>
      </c>
      <c r="V453" s="23">
        <f t="shared" si="64"/>
        <v>26</v>
      </c>
      <c r="W453" s="18">
        <f>'Info Lega'!$B$4-SUMIFS($M$2:$M$492,$D$2:$D$492,'Info Lega'!$B$28)</f>
        <v>1000</v>
      </c>
      <c r="X453" s="18">
        <f>('Info Lega'!$B$5-COUNTIFS($D$2:$D$492,'Info Lega'!$B$28,$B$2:$B$492,"P"))+('Info Lega'!$B$6-COUNTIFS($D$2:$D$492,'Info Lega'!$B$28,$B$2:$B$492,"D"))+('Info Lega'!$B$7-COUNTIFS($D$2:$D$492,'Info Lega'!$B$28,$B$2:$B$492,"C"))+('Info Lega'!$B$8-COUNTIFS($D$2:$D$492,'Info Lega'!$B$28,$B$2:$B$492,"A"))</f>
        <v>25</v>
      </c>
      <c r="Y453" s="18">
        <f>X453*'Parametri Modello'!$B$30</f>
        <v>25</v>
      </c>
      <c r="Z453" s="18">
        <f t="shared" si="65"/>
        <v>975</v>
      </c>
      <c r="AA453" s="18">
        <f t="shared" si="66"/>
        <v>0</v>
      </c>
      <c r="AB453" s="18"/>
      <c r="AC453" s="18" t="str">
        <f>IF($AB453="","",IF($AB453&gt;$AA453,"PASS",IF($AB453&lt;=$AA453*(1-'Parametri Modello'!$B$68),"BID","ATTENZIONE")))</f>
        <v/>
      </c>
      <c r="AD453" s="28" t="str">
        <f t="shared" si="67"/>
        <v/>
      </c>
      <c r="AE453" s="5" t="str">
        <f>IFERROR(IF($AF453="Titolare",INDEX('Stato Asta'!$G$9:$G$12,MATCH($B453,'Stato Asta'!$A$9:$A$12,0)),INDEX('Stato Asta'!$P$9:$P$12,MATCH($B453,'Stato Asta'!$A$9:$A$12,0))),"")</f>
        <v>🔴 Riserve scarse</v>
      </c>
      <c r="AF453" t="str">
        <f>IFERROR(IF($V453&lt;=INDEX('Parametri Modello'!$C$57:$C$60,MATCH($B453,'Parametri Modello'!$A$57:$A$60,0)),"Titolare","Riserva"),"")</f>
        <v>Riserva</v>
      </c>
      <c r="AG453" t="str">
        <f>IFERROR(INDEX('Pressione Competitiva'!$F$3:$F$6,MATCH($B453,'Pressione Competitiva'!$B$3:$B$6,0)),"")</f>
        <v>🔴 Molto Alta</v>
      </c>
      <c r="AH453" t="str">
        <f t="shared" si="68"/>
        <v/>
      </c>
      <c r="AI453" t="str">
        <f>IFERROR(IF($AH453="","",IF($AH453&gt;=$AA453*'Parametri Modello'!$B$68,"🟢 Opportunita'",IF($AH453&lt;=$AA453*'Parametri Modello'!$B$69,"🔴 Sovrapprezzo","🟡 Prezzo Corretto"))),"")</f>
        <v/>
      </c>
      <c r="AJ453" t="str">
        <f t="shared" si="69"/>
        <v/>
      </c>
      <c r="AK453" t="str">
        <f t="shared" si="70"/>
        <v/>
      </c>
      <c r="AL453" t="str">
        <f t="shared" si="71"/>
        <v/>
      </c>
    </row>
    <row r="454" spans="1:38" ht="14.25" customHeight="1" x14ac:dyDescent="0.25">
      <c r="A454" s="18">
        <v>1926</v>
      </c>
      <c r="B454" s="18" t="s">
        <v>8</v>
      </c>
      <c r="C454" s="18" t="s">
        <v>65</v>
      </c>
      <c r="E454" s="23" t="str">
        <f>IF(COUNTIF('Info Strategia'!$D$2:$D$51,$C454)&gt;0,"SI","NO")</f>
        <v>NO</v>
      </c>
      <c r="F454" s="24">
        <f>IFERROR(ROUND(($G454+($H454-$G454)*'Info Strategia'!$B$6)*(1+IF($E454="SI",'Parametri Modello'!$B$7*'Info Strategia'!$B$6,0)),0),"")</f>
        <v>0</v>
      </c>
      <c r="G454" s="24">
        <f>IFERROR(ROUND(MAX(1,(IF($V454&lt;=INDEX('Parametri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H454" s="24">
        <f>IFERROR(ROUND((IF($V454&lt;=INDEX('Parametri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0</v>
      </c>
      <c r="I454" s="23">
        <f>IFERROR(INDEX('Input Statistiche 2025_26'!$F$3:$F$665,MATCH($A454,'Input Statistiche 2025_26'!$A$3:$A$665,0)),"")</f>
        <v>1</v>
      </c>
      <c r="J454" s="23">
        <f t="shared" si="63"/>
        <v>37</v>
      </c>
      <c r="K454" s="23">
        <f>IFERROR(INDEX('Input Statistiche 2025_26'!$I$3:$I$665,MATCH($A454,'Input Statistiche 2025_26'!$A$3:$A$665,0)),"")</f>
        <v>0</v>
      </c>
      <c r="L454" s="23">
        <f>IFERROR(INDEX('Input Statistiche 2025_26'!$O$3:$O$665,MATCH($A454,'Input Statistiche 2025_26'!$A$3:$A$665,0)),"")</f>
        <v>0</v>
      </c>
      <c r="M454" s="25"/>
      <c r="N454" s="24">
        <f>IFERROR(INDEX('Input Giocatori 2026_27'!$E$3:$E$493,MATCH($A454,'Input Giocatori 2026_27'!$A$3:$A$493,0)),"")</f>
        <v>1</v>
      </c>
      <c r="O454" s="24">
        <f>IFERROR(INDEX('Input Giocatori 2026_27'!$G$3:$G$493,MATCH($A454,'Input Giocatori 2026_27'!$A$3:$A$493,0)),"")</f>
        <v>1</v>
      </c>
      <c r="P454" s="23" t="str">
        <f>IFERROR(IF($O454="","",IF((1-(COUNTIFS($B$2:$B$492,$B454,$O$2:$O$492,"&gt;"&amp;$O454)+1-1)/COUNTIF($B$2:$B$492,$B454))&gt;='Parametri Modello'!$B$63,"Top",IF((1-(COUNTIFS($B$2:$B$492,$B454,$O$2:$O$492,"&gt;"&amp;$O454)+1-1)/COUNTIF($B$2:$B$492,$B454))&gt;='Parametri Modello'!$B$64,"Buono",IF((1-(COUNTIFS($B$2:$B$492,$B454,$O$2:$O$492,"&gt;"&amp;$O454)+1-1)/COUNTIF($B$2:$B$492,$B454))&gt;='Parametri Modello'!$B$65,"Nella Media","Scommessa/Riserva")))),"")</f>
        <v>Nella Media</v>
      </c>
      <c r="Q454" s="26" t="str">
        <f>IF(AND($D454="",$N454&gt;1),SUMPRODUCT(($D$2:$D454="")*($N$2:$N454&gt;1)),"")</f>
        <v/>
      </c>
      <c r="R454" s="26" t="str">
        <f>IF($D454='Info Lega'!$B$28,COUNTIFS($D$2:$D454,'Info Lega'!$B$28),"")</f>
        <v/>
      </c>
      <c r="S454" s="27">
        <f>IFERROR(INDEX('Input Statistiche 2025_26'!$G$3:$G$665,MATCH($A454,'Input Statistiche 2025_26'!$A$3:$A$665,0)),"")</f>
        <v>6</v>
      </c>
      <c r="T454" s="27">
        <f>IFERROR(INDEX('Input Statistiche 2025_26'!$H$3:$H$665,MATCH($A454,'Input Statistiche 2025_26'!$A$3:$A$665,0)),"")</f>
        <v>5</v>
      </c>
      <c r="U454" s="23" t="str">
        <f>IF(OR('La Mia Rosa'!$O$12="",$D454&lt;&gt;""),"",IF($F454&lt;='La Mia Rosa'!$O$12*'Parametri Modello'!$B$24,"OK",IF($F454&lt;='La Mia Rosa'!$O$12*'Parametri Modello'!$B$25,"Attenzione","Rischio Alto")))</f>
        <v>OK</v>
      </c>
      <c r="V454" s="23">
        <f t="shared" si="64"/>
        <v>26</v>
      </c>
      <c r="W454" s="18">
        <f>'Info Lega'!$B$4-SUMIFS($M$2:$M$492,$D$2:$D$492,'Info Lega'!$B$28)</f>
        <v>1000</v>
      </c>
      <c r="X454" s="18">
        <f>('Info Lega'!$B$5-COUNTIFS($D$2:$D$492,'Info Lega'!$B$28,$B$2:$B$492,"P"))+('Info Lega'!$B$6-COUNTIFS($D$2:$D$492,'Info Lega'!$B$28,$B$2:$B$492,"D"))+('Info Lega'!$B$7-COUNTIFS($D$2:$D$492,'Info Lega'!$B$28,$B$2:$B$492,"C"))+('Info Lega'!$B$8-COUNTIFS($D$2:$D$492,'Info Lega'!$B$28,$B$2:$B$492,"A"))</f>
        <v>25</v>
      </c>
      <c r="Y454" s="18">
        <f>X454*'Parametri Modello'!$B$30</f>
        <v>25</v>
      </c>
      <c r="Z454" s="18">
        <f t="shared" si="65"/>
        <v>975</v>
      </c>
      <c r="AA454" s="18">
        <f t="shared" si="66"/>
        <v>0</v>
      </c>
      <c r="AB454" s="18"/>
      <c r="AC454" s="18" t="str">
        <f>IF($AB454="","",IF($AB454&gt;$AA454,"PASS",IF($AB454&lt;=$AA454*(1-'Parametri Modello'!$B$68),"BID","ATTENZIONE")))</f>
        <v/>
      </c>
      <c r="AD454" s="28">
        <f t="shared" si="67"/>
        <v>3</v>
      </c>
      <c r="AE454" s="5" t="str">
        <f>IFERROR(IF($AF454="Titolare",INDEX('Stato Asta'!$G$9:$G$12,MATCH($B454,'Stato Asta'!$A$9:$A$12,0)),INDEX('Stato Asta'!$P$9:$P$12,MATCH($B454,'Stato Asta'!$A$9:$A$12,0))),"")</f>
        <v>🔴 Riserve scarse</v>
      </c>
      <c r="AF454" t="str">
        <f>IFERROR(IF($V454&lt;=INDEX('Parametri Modello'!$C$57:$C$60,MATCH($B454,'Parametri Modello'!$A$57:$A$60,0)),"Titolare","Riserva"),"")</f>
        <v>Riserva</v>
      </c>
      <c r="AG454" t="str">
        <f>IFERROR(INDEX('Pressione Competitiva'!$F$3:$F$6,MATCH($B454,'Pressione Competitiva'!$B$3:$B$6,0)),"")</f>
        <v>🔴 Molto Alta</v>
      </c>
      <c r="AH454" t="str">
        <f t="shared" si="68"/>
        <v/>
      </c>
      <c r="AI454" t="str">
        <f>IFERROR(IF($AH454="","",IF($AH454&gt;=$AA454*'Parametri Modello'!$B$68,"🟢 Opportunita'",IF($AH454&lt;=$AA454*'Parametri Modello'!$B$69,"🔴 Sovrapprezzo","🟡 Prezzo Corretto"))),"")</f>
        <v/>
      </c>
      <c r="AJ454" t="str">
        <f t="shared" si="69"/>
        <v/>
      </c>
      <c r="AK454" t="str">
        <f t="shared" si="70"/>
        <v/>
      </c>
      <c r="AL454" t="str">
        <f t="shared" si="71"/>
        <v/>
      </c>
    </row>
    <row r="455" spans="1:38" ht="14.25" customHeight="1" x14ac:dyDescent="0.25">
      <c r="A455" s="18">
        <v>1930</v>
      </c>
      <c r="B455" s="18" t="s">
        <v>8</v>
      </c>
      <c r="C455" s="18" t="s">
        <v>66</v>
      </c>
      <c r="E455" s="23" t="str">
        <f>IF(COUNTIF('Info Strategia'!$D$2:$D$51,$C455)&gt;0,"SI","NO")</f>
        <v>NO</v>
      </c>
      <c r="F455" s="24">
        <f>IFERROR(ROUND(($G455+($H455-$G455)*'Info Strategia'!$B$6)*(1+IF($E455="SI",'Parametri Modello'!$B$7*'Info Strategia'!$B$6,0)),0),"")</f>
        <v>0</v>
      </c>
      <c r="G455" s="24">
        <f>IFERROR(ROUND(MAX(1,(IF($V455&lt;=INDEX('Parametri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H455" s="24">
        <f>IFERROR(ROUND((IF($V455&lt;=INDEX('Parametri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0</v>
      </c>
      <c r="I455" s="23">
        <f>IFERROR(INDEX('Input Statistiche 2025_26'!$F$3:$F$665,MATCH($A455,'Input Statistiche 2025_26'!$A$3:$A$665,0)),"")</f>
        <v>0</v>
      </c>
      <c r="J455" s="23">
        <f t="shared" si="63"/>
        <v>38</v>
      </c>
      <c r="K455" s="23">
        <f>IFERROR(INDEX('Input Statistiche 2025_26'!$I$3:$I$665,MATCH($A455,'Input Statistiche 2025_26'!$A$3:$A$665,0)),"")</f>
        <v>0</v>
      </c>
      <c r="L455" s="23">
        <f>IFERROR(INDEX('Input Statistiche 2025_26'!$O$3:$O$665,MATCH($A455,'Input Statistiche 2025_26'!$A$3:$A$665,0)),"")</f>
        <v>0</v>
      </c>
      <c r="M455" s="25"/>
      <c r="N455" s="24">
        <f>IFERROR(INDEX('Input Giocatori 2026_27'!$E$3:$E$493,MATCH($A455,'Input Giocatori 2026_27'!$A$3:$A$493,0)),"")</f>
        <v>1</v>
      </c>
      <c r="O455" s="24">
        <f>IFERROR(INDEX('Input Giocatori 2026_27'!$G$3:$G$493,MATCH($A455,'Input Giocatori 2026_27'!$A$3:$A$493,0)),"")</f>
        <v>1</v>
      </c>
      <c r="P455" s="23" t="str">
        <f>IFERROR(IF($O455="","",IF((1-(COUNTIFS($B$2:$B$492,$B455,$O$2:$O$492,"&gt;"&amp;$O455)+1-1)/COUNTIF($B$2:$B$492,$B455))&gt;='Parametri Modello'!$B$63,"Top",IF((1-(COUNTIFS($B$2:$B$492,$B455,$O$2:$O$492,"&gt;"&amp;$O455)+1-1)/COUNTIF($B$2:$B$492,$B455))&gt;='Parametri Modello'!$B$64,"Buono",IF((1-(COUNTIFS($B$2:$B$492,$B455,$O$2:$O$492,"&gt;"&amp;$O455)+1-1)/COUNTIF($B$2:$B$492,$B455))&gt;='Parametri Modello'!$B$65,"Nella Media","Scommessa/Riserva")))),"")</f>
        <v>Nella Media</v>
      </c>
      <c r="Q455" s="26" t="str">
        <f>IF(AND($D455="",$N455&gt;1),SUMPRODUCT(($D$2:$D455="")*($N$2:$N455&gt;1)),"")</f>
        <v/>
      </c>
      <c r="R455" s="26" t="str">
        <f>IF($D455='Info Lega'!$B$28,COUNTIFS($D$2:$D455,'Info Lega'!$B$28),"")</f>
        <v/>
      </c>
      <c r="S455" s="27">
        <f>IFERROR(INDEX('Input Statistiche 2025_26'!$G$3:$G$665,MATCH($A455,'Input Statistiche 2025_26'!$A$3:$A$665,0)),"")</f>
        <v>0</v>
      </c>
      <c r="T455" s="27">
        <f>IFERROR(INDEX('Input Statistiche 2025_26'!$H$3:$H$665,MATCH($A455,'Input Statistiche 2025_26'!$A$3:$A$665,0)),"")</f>
        <v>0</v>
      </c>
      <c r="U455" s="23" t="str">
        <f>IF(OR('La Mia Rosa'!$O$12="",$D455&lt;&gt;""),"",IF($F455&lt;='La Mia Rosa'!$O$12*'Parametri Modello'!$B$24,"OK",IF($F455&lt;='La Mia Rosa'!$O$12*'Parametri Modello'!$B$25,"Attenzione","Rischio Alto")))</f>
        <v>OK</v>
      </c>
      <c r="V455" s="23">
        <f t="shared" si="64"/>
        <v>26</v>
      </c>
      <c r="W455" s="18">
        <f>'Info Lega'!$B$4-SUMIFS($M$2:$M$492,$D$2:$D$492,'Info Lega'!$B$28)</f>
        <v>1000</v>
      </c>
      <c r="X455" s="18">
        <f>('Info Lega'!$B$5-COUNTIFS($D$2:$D$492,'Info Lega'!$B$28,$B$2:$B$492,"P"))+('Info Lega'!$B$6-COUNTIFS($D$2:$D$492,'Info Lega'!$B$28,$B$2:$B$492,"D"))+('Info Lega'!$B$7-COUNTIFS($D$2:$D$492,'Info Lega'!$B$28,$B$2:$B$492,"C"))+('Info Lega'!$B$8-COUNTIFS($D$2:$D$492,'Info Lega'!$B$28,$B$2:$B$492,"A"))</f>
        <v>25</v>
      </c>
      <c r="Y455" s="18">
        <f>X455*'Parametri Modello'!$B$30</f>
        <v>25</v>
      </c>
      <c r="Z455" s="18">
        <f t="shared" si="65"/>
        <v>975</v>
      </c>
      <c r="AA455" s="18">
        <f t="shared" si="66"/>
        <v>0</v>
      </c>
      <c r="AB455" s="18"/>
      <c r="AC455" s="18" t="str">
        <f>IF($AB455="","",IF($AB455&gt;$AA455,"PASS",IF($AB455&lt;=$AA455*(1-'Parametri Modello'!$B$68),"BID","ATTENZIONE")))</f>
        <v/>
      </c>
      <c r="AD455" s="28">
        <f t="shared" si="67"/>
        <v>0</v>
      </c>
      <c r="AE455" s="5" t="str">
        <f>IFERROR(IF($AF455="Titolare",INDEX('Stato Asta'!$G$9:$G$12,MATCH($B455,'Stato Asta'!$A$9:$A$12,0)),INDEX('Stato Asta'!$P$9:$P$12,MATCH($B455,'Stato Asta'!$A$9:$A$12,0))),"")</f>
        <v>🔴 Riserve scarse</v>
      </c>
      <c r="AF455" t="str">
        <f>IFERROR(IF($V455&lt;=INDEX('Parametri Modello'!$C$57:$C$60,MATCH($B455,'Parametri Modello'!$A$57:$A$60,0)),"Titolare","Riserva"),"")</f>
        <v>Riserva</v>
      </c>
      <c r="AG455" t="str">
        <f>IFERROR(INDEX('Pressione Competitiva'!$F$3:$F$6,MATCH($B455,'Pressione Competitiva'!$B$3:$B$6,0)),"")</f>
        <v>🔴 Molto Alta</v>
      </c>
      <c r="AH455" t="str">
        <f t="shared" si="68"/>
        <v/>
      </c>
      <c r="AI455" t="str">
        <f>IFERROR(IF($AH455="","",IF($AH455&gt;=$AA455*'Parametri Modello'!$B$68,"🟢 Opportunita'",IF($AH455&lt;=$AA455*'Parametri Modello'!$B$69,"🔴 Sovrapprezzo","🟡 Prezzo Corretto"))),"")</f>
        <v/>
      </c>
      <c r="AJ455" t="str">
        <f t="shared" si="69"/>
        <v/>
      </c>
      <c r="AK455" t="str">
        <f t="shared" si="70"/>
        <v/>
      </c>
      <c r="AL455" t="str">
        <f t="shared" si="71"/>
        <v/>
      </c>
    </row>
    <row r="456" spans="1:38" ht="14.25" customHeight="1" x14ac:dyDescent="0.25">
      <c r="A456" s="18">
        <v>7337</v>
      </c>
      <c r="B456" s="18" t="s">
        <v>8</v>
      </c>
      <c r="C456" s="18" t="s">
        <v>67</v>
      </c>
      <c r="E456" s="23" t="str">
        <f>IF(COUNTIF('Info Strategia'!$D$2:$D$51,$C456)&gt;0,"SI","NO")</f>
        <v>NO</v>
      </c>
      <c r="F456" s="24">
        <f>IFERROR(ROUND(($G456+($H456-$G456)*'Info Strategia'!$B$6)*(1+IF($E456="SI",'Parametri Modello'!$B$7*'Info Strategia'!$B$6,0)),0),"")</f>
        <v>0</v>
      </c>
      <c r="G456" s="24">
        <f>IFERROR(ROUND(MAX(1,(IF($V456&lt;=INDEX('Parametri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H456" s="24">
        <f>IFERROR(ROUND((IF($V456&lt;=INDEX('Parametri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0</v>
      </c>
      <c r="I456" s="23">
        <f>IFERROR(INDEX('Input Statistiche 2025_26'!$F$3:$F$665,MATCH($A456,'Input Statistiche 2025_26'!$A$3:$A$665,0)),"")</f>
        <v>9</v>
      </c>
      <c r="J456" s="23">
        <f t="shared" si="63"/>
        <v>29</v>
      </c>
      <c r="K456" s="23">
        <f>IFERROR(INDEX('Input Statistiche 2025_26'!$I$3:$I$665,MATCH($A456,'Input Statistiche 2025_26'!$A$3:$A$665,0)),"")</f>
        <v>0</v>
      </c>
      <c r="L456" s="23">
        <f>IFERROR(INDEX('Input Statistiche 2025_26'!$O$3:$O$665,MATCH($A456,'Input Statistiche 2025_26'!$A$3:$A$665,0)),"")</f>
        <v>0</v>
      </c>
      <c r="M456" s="25"/>
      <c r="N456" s="24">
        <f>IFERROR(INDEX('Input Giocatori 2026_27'!$E$3:$E$493,MATCH($A456,'Input Giocatori 2026_27'!$A$3:$A$493,0)),"")</f>
        <v>1</v>
      </c>
      <c r="O456" s="24">
        <f>IFERROR(INDEX('Input Giocatori 2026_27'!$G$3:$G$493,MATCH($A456,'Input Giocatori 2026_27'!$A$3:$A$493,0)),"")</f>
        <v>1</v>
      </c>
      <c r="P456" s="23" t="str">
        <f>IFERROR(IF($O456="","",IF((1-(COUNTIFS($B$2:$B$492,$B456,$O$2:$O$492,"&gt;"&amp;$O456)+1-1)/COUNTIF($B$2:$B$492,$B456))&gt;='Parametri Modello'!$B$63,"Top",IF((1-(COUNTIFS($B$2:$B$492,$B456,$O$2:$O$492,"&gt;"&amp;$O456)+1-1)/COUNTIF($B$2:$B$492,$B456))&gt;='Parametri Modello'!$B$64,"Buono",IF((1-(COUNTIFS($B$2:$B$492,$B456,$O$2:$O$492,"&gt;"&amp;$O456)+1-1)/COUNTIF($B$2:$B$492,$B456))&gt;='Parametri Modello'!$B$65,"Nella Media","Scommessa/Riserva")))),"")</f>
        <v>Nella Media</v>
      </c>
      <c r="Q456" s="26" t="str">
        <f>IF(AND($D456="",$N456&gt;1),SUMPRODUCT(($D$2:$D456="")*($N$2:$N456&gt;1)),"")</f>
        <v/>
      </c>
      <c r="R456" s="26" t="str">
        <f>IF($D456='Info Lega'!$B$28,COUNTIFS($D$2:$D456,'Info Lega'!$B$28),"")</f>
        <v/>
      </c>
      <c r="S456" s="27">
        <f>IFERROR(INDEX('Input Statistiche 2025_26'!$G$3:$G$665,MATCH($A456,'Input Statistiche 2025_26'!$A$3:$A$665,0)),"")</f>
        <v>6</v>
      </c>
      <c r="T456" s="27">
        <f>IFERROR(INDEX('Input Statistiche 2025_26'!$H$3:$H$665,MATCH($A456,'Input Statistiche 2025_26'!$A$3:$A$665,0)),"")</f>
        <v>5.17</v>
      </c>
      <c r="U456" s="23" t="str">
        <f>IF(OR('La Mia Rosa'!$O$12="",$D456&lt;&gt;""),"",IF($F456&lt;='La Mia Rosa'!$O$12*'Parametri Modello'!$B$24,"OK",IF($F456&lt;='La Mia Rosa'!$O$12*'Parametri Modello'!$B$25,"Attenzione","Rischio Alto")))</f>
        <v>OK</v>
      </c>
      <c r="V456" s="23">
        <f t="shared" si="64"/>
        <v>26</v>
      </c>
      <c r="W456" s="18">
        <f>'Info Lega'!$B$4-SUMIFS($M$2:$M$492,$D$2:$D$492,'Info Lega'!$B$28)</f>
        <v>1000</v>
      </c>
      <c r="X456" s="18">
        <f>('Info Lega'!$B$5-COUNTIFS($D$2:$D$492,'Info Lega'!$B$28,$B$2:$B$492,"P"))+('Info Lega'!$B$6-COUNTIFS($D$2:$D$492,'Info Lega'!$B$28,$B$2:$B$492,"D"))+('Info Lega'!$B$7-COUNTIFS($D$2:$D$492,'Info Lega'!$B$28,$B$2:$B$492,"C"))+('Info Lega'!$B$8-COUNTIFS($D$2:$D$492,'Info Lega'!$B$28,$B$2:$B$492,"A"))</f>
        <v>25</v>
      </c>
      <c r="Y456" s="18">
        <f>X456*'Parametri Modello'!$B$30</f>
        <v>25</v>
      </c>
      <c r="Z456" s="18">
        <f t="shared" si="65"/>
        <v>975</v>
      </c>
      <c r="AA456" s="18">
        <f t="shared" si="66"/>
        <v>0</v>
      </c>
      <c r="AB456" s="18"/>
      <c r="AC456" s="18" t="str">
        <f>IF($AB456="","",IF($AB456&gt;$AA456,"PASS",IF($AB456&lt;=$AA456*(1-'Parametri Modello'!$B$68),"BID","ATTENZIONE")))</f>
        <v/>
      </c>
      <c r="AD456" s="28">
        <f t="shared" si="67"/>
        <v>26</v>
      </c>
      <c r="AE456" s="5" t="str">
        <f>IFERROR(IF($AF456="Titolare",INDEX('Stato Asta'!$G$9:$G$12,MATCH($B456,'Stato Asta'!$A$9:$A$12,0)),INDEX('Stato Asta'!$P$9:$P$12,MATCH($B456,'Stato Asta'!$A$9:$A$12,0))),"")</f>
        <v>🔴 Riserve scarse</v>
      </c>
      <c r="AF456" t="str">
        <f>IFERROR(IF($V456&lt;=INDEX('Parametri Modello'!$C$57:$C$60,MATCH($B456,'Parametri Modello'!$A$57:$A$60,0)),"Titolare","Riserva"),"")</f>
        <v>Riserva</v>
      </c>
      <c r="AG456" t="str">
        <f>IFERROR(INDEX('Pressione Competitiva'!$F$3:$F$6,MATCH($B456,'Pressione Competitiva'!$B$3:$B$6,0)),"")</f>
        <v>🔴 Molto Alta</v>
      </c>
      <c r="AH456" t="str">
        <f t="shared" si="68"/>
        <v/>
      </c>
      <c r="AI456" t="str">
        <f>IFERROR(IF($AH456="","",IF($AH456&gt;=$AA456*'Parametri Modello'!$B$68,"🟢 Opportunita'",IF($AH456&lt;=$AA456*'Parametri Modello'!$B$69,"🔴 Sovrapprezzo","🟡 Prezzo Corretto"))),"")</f>
        <v/>
      </c>
      <c r="AJ456" t="str">
        <f t="shared" si="69"/>
        <v/>
      </c>
      <c r="AK456" t="str">
        <f t="shared" si="70"/>
        <v/>
      </c>
      <c r="AL456" t="str">
        <f t="shared" si="71"/>
        <v/>
      </c>
    </row>
    <row r="457" spans="1:38" ht="14.25" customHeight="1" x14ac:dyDescent="0.25">
      <c r="A457" s="18">
        <v>7534</v>
      </c>
      <c r="B457" s="18" t="s">
        <v>8</v>
      </c>
      <c r="C457" s="18" t="s">
        <v>68</v>
      </c>
      <c r="E457" s="23" t="str">
        <f>IF(COUNTIF('Info Strategia'!$D$2:$D$51,$C457)&gt;0,"SI","NO")</f>
        <v>NO</v>
      </c>
      <c r="F457" s="24">
        <f>IFERROR(ROUND(($G457+($H457-$G457)*'Info Strategia'!$B$6)*(1+IF($E457="SI",'Parametri Modello'!$B$7*'Info Strategia'!$B$6,0)),0),"")</f>
        <v>0</v>
      </c>
      <c r="G457" s="24">
        <f>IFERROR(ROUND(MAX(1,(IF($V457&lt;=INDEX('Parametri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H457" s="24">
        <f>IFERROR(ROUND((IF($V457&lt;=INDEX('Parametri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0</v>
      </c>
      <c r="I457" s="23" t="str">
        <f>IFERROR(INDEX('Input Statistiche 2025_26'!$F$3:$F$665,MATCH($A457,'Input Statistiche 2025_26'!$A$3:$A$665,0)),"")</f>
        <v/>
      </c>
      <c r="J457" s="23" t="str">
        <f t="shared" si="63"/>
        <v/>
      </c>
      <c r="K457" s="23" t="str">
        <f>IFERROR(INDEX('Input Statistiche 2025_26'!$I$3:$I$665,MATCH($A457,'Input Statistiche 2025_26'!$A$3:$A$665,0)),"")</f>
        <v/>
      </c>
      <c r="L457" s="23" t="str">
        <f>IFERROR(INDEX('Input Statistiche 2025_26'!$O$3:$O$665,MATCH($A457,'Input Statistiche 2025_26'!$A$3:$A$665,0)),"")</f>
        <v/>
      </c>
      <c r="M457" s="25"/>
      <c r="N457" s="24">
        <f>IFERROR(INDEX('Input Giocatori 2026_27'!$E$3:$E$493,MATCH($A457,'Input Giocatori 2026_27'!$A$3:$A$493,0)),"")</f>
        <v>1</v>
      </c>
      <c r="O457" s="24">
        <f>IFERROR(INDEX('Input Giocatori 2026_27'!$G$3:$G$493,MATCH($A457,'Input Giocatori 2026_27'!$A$3:$A$493,0)),"")</f>
        <v>1</v>
      </c>
      <c r="P457" s="23" t="str">
        <f>IFERROR(IF($O457="","",IF((1-(COUNTIFS($B$2:$B$492,$B457,$O$2:$O$492,"&gt;"&amp;$O457)+1-1)/COUNTIF($B$2:$B$492,$B457))&gt;='Parametri Modello'!$B$63,"Top",IF((1-(COUNTIFS($B$2:$B$492,$B457,$O$2:$O$492,"&gt;"&amp;$O457)+1-1)/COUNTIF($B$2:$B$492,$B457))&gt;='Parametri Modello'!$B$64,"Buono",IF((1-(COUNTIFS($B$2:$B$492,$B457,$O$2:$O$492,"&gt;"&amp;$O457)+1-1)/COUNTIF($B$2:$B$492,$B457))&gt;='Parametri Modello'!$B$65,"Nella Media","Scommessa/Riserva")))),"")</f>
        <v>Nella Media</v>
      </c>
      <c r="Q457" s="26" t="str">
        <f>IF(AND($D457="",$N457&gt;1),SUMPRODUCT(($D$2:$D457="")*($N$2:$N457&gt;1)),"")</f>
        <v/>
      </c>
      <c r="R457" s="26" t="str">
        <f>IF($D457='Info Lega'!$B$28,COUNTIFS($D$2:$D457,'Info Lega'!$B$28),"")</f>
        <v/>
      </c>
      <c r="S457" s="27" t="str">
        <f>IFERROR(INDEX('Input Statistiche 2025_26'!$G$3:$G$665,MATCH($A457,'Input Statistiche 2025_26'!$A$3:$A$665,0)),"")</f>
        <v/>
      </c>
      <c r="T457" s="27" t="str">
        <f>IFERROR(INDEX('Input Statistiche 2025_26'!$H$3:$H$665,MATCH($A457,'Input Statistiche 2025_26'!$A$3:$A$665,0)),"")</f>
        <v/>
      </c>
      <c r="U457" s="23" t="str">
        <f>IF(OR('La Mia Rosa'!$O$12="",$D457&lt;&gt;""),"",IF($F457&lt;='La Mia Rosa'!$O$12*'Parametri Modello'!$B$24,"OK",IF($F457&lt;='La Mia Rosa'!$O$12*'Parametri Modello'!$B$25,"Attenzione","Rischio Alto")))</f>
        <v>OK</v>
      </c>
      <c r="V457" s="23">
        <f t="shared" si="64"/>
        <v>26</v>
      </c>
      <c r="W457" s="18">
        <f>'Info Lega'!$B$4-SUMIFS($M$2:$M$492,$D$2:$D$492,'Info Lega'!$B$28)</f>
        <v>1000</v>
      </c>
      <c r="X457" s="18">
        <f>('Info Lega'!$B$5-COUNTIFS($D$2:$D$492,'Info Lega'!$B$28,$B$2:$B$492,"P"))+('Info Lega'!$B$6-COUNTIFS($D$2:$D$492,'Info Lega'!$B$28,$B$2:$B$492,"D"))+('Info Lega'!$B$7-COUNTIFS($D$2:$D$492,'Info Lega'!$B$28,$B$2:$B$492,"C"))+('Info Lega'!$B$8-COUNTIFS($D$2:$D$492,'Info Lega'!$B$28,$B$2:$B$492,"A"))</f>
        <v>25</v>
      </c>
      <c r="Y457" s="18">
        <f>X457*'Parametri Modello'!$B$30</f>
        <v>25</v>
      </c>
      <c r="Z457" s="18">
        <f t="shared" si="65"/>
        <v>975</v>
      </c>
      <c r="AA457" s="18">
        <f t="shared" si="66"/>
        <v>0</v>
      </c>
      <c r="AB457" s="18"/>
      <c r="AC457" s="18" t="str">
        <f>IF($AB457="","",IF($AB457&gt;$AA457,"PASS",IF($AB457&lt;=$AA457*(1-'Parametri Modello'!$B$68),"BID","ATTENZIONE")))</f>
        <v/>
      </c>
      <c r="AD457" s="28" t="str">
        <f t="shared" si="67"/>
        <v/>
      </c>
      <c r="AE457" s="5" t="str">
        <f>IFERROR(IF($AF457="Titolare",INDEX('Stato Asta'!$G$9:$G$12,MATCH($B457,'Stato Asta'!$A$9:$A$12,0)),INDEX('Stato Asta'!$P$9:$P$12,MATCH($B457,'Stato Asta'!$A$9:$A$12,0))),"")</f>
        <v>🔴 Riserve scarse</v>
      </c>
      <c r="AF457" t="str">
        <f>IFERROR(IF($V457&lt;=INDEX('Parametri Modello'!$C$57:$C$60,MATCH($B457,'Parametri Modello'!$A$57:$A$60,0)),"Titolare","Riserva"),"")</f>
        <v>Riserva</v>
      </c>
      <c r="AG457" t="str">
        <f>IFERROR(INDEX('Pressione Competitiva'!$F$3:$F$6,MATCH($B457,'Pressione Competitiva'!$B$3:$B$6,0)),"")</f>
        <v>🔴 Molto Alta</v>
      </c>
      <c r="AH457" t="str">
        <f t="shared" si="68"/>
        <v/>
      </c>
      <c r="AI457" t="str">
        <f>IFERROR(IF($AH457="","",IF($AH457&gt;=$AA457*'Parametri Modello'!$B$68,"🟢 Opportunita'",IF($AH457&lt;=$AA457*'Parametri Modello'!$B$69,"🔴 Sovrapprezzo","🟡 Prezzo Corretto"))),"")</f>
        <v/>
      </c>
      <c r="AJ457" t="str">
        <f t="shared" si="69"/>
        <v/>
      </c>
      <c r="AK457" t="str">
        <f t="shared" si="70"/>
        <v/>
      </c>
      <c r="AL457" t="str">
        <f t="shared" si="71"/>
        <v/>
      </c>
    </row>
    <row r="458" spans="1:38" ht="14.25" customHeight="1" x14ac:dyDescent="0.25">
      <c r="A458" s="18">
        <v>6523</v>
      </c>
      <c r="B458" s="18" t="s">
        <v>8</v>
      </c>
      <c r="C458" s="18" t="s">
        <v>69</v>
      </c>
      <c r="E458" s="23" t="str">
        <f>IF(COUNTIF('Info Strategia'!$D$2:$D$51,$C458)&gt;0,"SI","NO")</f>
        <v>NO</v>
      </c>
      <c r="F458" s="24">
        <f>IFERROR(ROUND(($G458+($H458-$G458)*'Info Strategia'!$B$6)*(1+IF($E458="SI",'Parametri Modello'!$B$7*'Info Strategia'!$B$6,0)),0),"")</f>
        <v>0</v>
      </c>
      <c r="G458" s="24">
        <f>IFERROR(ROUND(MAX(1,(IF($V458&lt;=INDEX('Parametri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H458" s="24">
        <f>IFERROR(ROUND((IF($V458&lt;=INDEX('Parametri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0</v>
      </c>
      <c r="I458" s="23">
        <f>IFERROR(INDEX('Input Statistiche 2025_26'!$F$3:$F$665,MATCH($A458,'Input Statistiche 2025_26'!$A$3:$A$665,0)),"")</f>
        <v>0</v>
      </c>
      <c r="J458" s="23">
        <f t="shared" si="63"/>
        <v>38</v>
      </c>
      <c r="K458" s="23">
        <f>IFERROR(INDEX('Input Statistiche 2025_26'!$I$3:$I$665,MATCH($A458,'Input Statistiche 2025_26'!$A$3:$A$665,0)),"")</f>
        <v>0</v>
      </c>
      <c r="L458" s="23">
        <f>IFERROR(INDEX('Input Statistiche 2025_26'!$O$3:$O$665,MATCH($A458,'Input Statistiche 2025_26'!$A$3:$A$665,0)),"")</f>
        <v>0</v>
      </c>
      <c r="M458" s="25"/>
      <c r="N458" s="24">
        <f>IFERROR(INDEX('Input Giocatori 2026_27'!$E$3:$E$493,MATCH($A458,'Input Giocatori 2026_27'!$A$3:$A$493,0)),"")</f>
        <v>1</v>
      </c>
      <c r="O458" s="24">
        <f>IFERROR(INDEX('Input Giocatori 2026_27'!$G$3:$G$493,MATCH($A458,'Input Giocatori 2026_27'!$A$3:$A$493,0)),"")</f>
        <v>1</v>
      </c>
      <c r="P458" s="23" t="str">
        <f>IFERROR(IF($O458="","",IF((1-(COUNTIFS($B$2:$B$492,$B458,$O$2:$O$492,"&gt;"&amp;$O458)+1-1)/COUNTIF($B$2:$B$492,$B458))&gt;='Parametri Modello'!$B$63,"Top",IF((1-(COUNTIFS($B$2:$B$492,$B458,$O$2:$O$492,"&gt;"&amp;$O458)+1-1)/COUNTIF($B$2:$B$492,$B458))&gt;='Parametri Modello'!$B$64,"Buono",IF((1-(COUNTIFS($B$2:$B$492,$B458,$O$2:$O$492,"&gt;"&amp;$O458)+1-1)/COUNTIF($B$2:$B$492,$B458))&gt;='Parametri Modello'!$B$65,"Nella Media","Scommessa/Riserva")))),"")</f>
        <v>Nella Media</v>
      </c>
      <c r="Q458" s="26" t="str">
        <f>IF(AND($D458="",$N458&gt;1),SUMPRODUCT(($D$2:$D458="")*($N$2:$N458&gt;1)),"")</f>
        <v/>
      </c>
      <c r="R458" s="26" t="str">
        <f>IF($D458='Info Lega'!$B$28,COUNTIFS($D$2:$D458,'Info Lega'!$B$28),"")</f>
        <v/>
      </c>
      <c r="S458" s="27">
        <f>IFERROR(INDEX('Input Statistiche 2025_26'!$G$3:$G$665,MATCH($A458,'Input Statistiche 2025_26'!$A$3:$A$665,0)),"")</f>
        <v>0</v>
      </c>
      <c r="T458" s="27">
        <f>IFERROR(INDEX('Input Statistiche 2025_26'!$H$3:$H$665,MATCH($A458,'Input Statistiche 2025_26'!$A$3:$A$665,0)),"")</f>
        <v>0</v>
      </c>
      <c r="U458" s="23" t="str">
        <f>IF(OR('La Mia Rosa'!$O$12="",$D458&lt;&gt;""),"",IF($F458&lt;='La Mia Rosa'!$O$12*'Parametri Modello'!$B$24,"OK",IF($F458&lt;='La Mia Rosa'!$O$12*'Parametri Modello'!$B$25,"Attenzione","Rischio Alto")))</f>
        <v>OK</v>
      </c>
      <c r="V458" s="23">
        <f t="shared" si="64"/>
        <v>26</v>
      </c>
      <c r="W458" s="18">
        <f>'Info Lega'!$B$4-SUMIFS($M$2:$M$492,$D$2:$D$492,'Info Lega'!$B$28)</f>
        <v>1000</v>
      </c>
      <c r="X458" s="18">
        <f>('Info Lega'!$B$5-COUNTIFS($D$2:$D$492,'Info Lega'!$B$28,$B$2:$B$492,"P"))+('Info Lega'!$B$6-COUNTIFS($D$2:$D$492,'Info Lega'!$B$28,$B$2:$B$492,"D"))+('Info Lega'!$B$7-COUNTIFS($D$2:$D$492,'Info Lega'!$B$28,$B$2:$B$492,"C"))+('Info Lega'!$B$8-COUNTIFS($D$2:$D$492,'Info Lega'!$B$28,$B$2:$B$492,"A"))</f>
        <v>25</v>
      </c>
      <c r="Y458" s="18">
        <f>X458*'Parametri Modello'!$B$30</f>
        <v>25</v>
      </c>
      <c r="Z458" s="18">
        <f t="shared" si="65"/>
        <v>975</v>
      </c>
      <c r="AA458" s="18">
        <f t="shared" si="66"/>
        <v>0</v>
      </c>
      <c r="AB458" s="18"/>
      <c r="AC458" s="18" t="str">
        <f>IF($AB458="","",IF($AB458&gt;$AA458,"PASS",IF($AB458&lt;=$AA458*(1-'Parametri Modello'!$B$68),"BID","ATTENZIONE")))</f>
        <v/>
      </c>
      <c r="AD458" s="28">
        <f t="shared" si="67"/>
        <v>0</v>
      </c>
      <c r="AE458" s="5" t="str">
        <f>IFERROR(IF($AF458="Titolare",INDEX('Stato Asta'!$G$9:$G$12,MATCH($B458,'Stato Asta'!$A$9:$A$12,0)),INDEX('Stato Asta'!$P$9:$P$12,MATCH($B458,'Stato Asta'!$A$9:$A$12,0))),"")</f>
        <v>🔴 Riserve scarse</v>
      </c>
      <c r="AF458" t="str">
        <f>IFERROR(IF($V458&lt;=INDEX('Parametri Modello'!$C$57:$C$60,MATCH($B458,'Parametri Modello'!$A$57:$A$60,0)),"Titolare","Riserva"),"")</f>
        <v>Riserva</v>
      </c>
      <c r="AG458" t="str">
        <f>IFERROR(INDEX('Pressione Competitiva'!$F$3:$F$6,MATCH($B458,'Pressione Competitiva'!$B$3:$B$6,0)),"")</f>
        <v>🔴 Molto Alta</v>
      </c>
      <c r="AH458" t="str">
        <f t="shared" si="68"/>
        <v/>
      </c>
      <c r="AI458" t="str">
        <f>IFERROR(IF($AH458="","",IF($AH458&gt;=$AA458*'Parametri Modello'!$B$68,"🟢 Opportunita'",IF($AH458&lt;=$AA458*'Parametri Modello'!$B$69,"🔴 Sovrapprezzo","🟡 Prezzo Corretto"))),"")</f>
        <v/>
      </c>
      <c r="AJ458" t="str">
        <f t="shared" si="69"/>
        <v/>
      </c>
      <c r="AK458" t="str">
        <f t="shared" si="70"/>
        <v/>
      </c>
      <c r="AL458" t="str">
        <f t="shared" si="71"/>
        <v/>
      </c>
    </row>
    <row r="459" spans="1:38" ht="14.25" customHeight="1" x14ac:dyDescent="0.25">
      <c r="A459" s="18">
        <v>2815</v>
      </c>
      <c r="B459" s="18" t="s">
        <v>8</v>
      </c>
      <c r="C459" s="18" t="s">
        <v>70</v>
      </c>
      <c r="E459" s="23" t="str">
        <f>IF(COUNTIF('Info Strategia'!$D$2:$D$51,$C459)&gt;0,"SI","NO")</f>
        <v>NO</v>
      </c>
      <c r="F459" s="24">
        <f>IFERROR(ROUND(($G459+($H459-$G459)*'Info Strategia'!$B$6)*(1+IF($E459="SI",'Parametri Modello'!$B$7*'Info Strategia'!$B$6,0)),0),"")</f>
        <v>0</v>
      </c>
      <c r="G459" s="24">
        <f>IFERROR(ROUND(MAX(1,(IF($V459&lt;=INDEX('Parametri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H459" s="24">
        <f>IFERROR(ROUND((IF($V459&lt;=INDEX('Parametri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0</v>
      </c>
      <c r="I459" s="23">
        <f>IFERROR(INDEX('Input Statistiche 2025_26'!$F$3:$F$665,MATCH($A459,'Input Statistiche 2025_26'!$A$3:$A$665,0)),"")</f>
        <v>2</v>
      </c>
      <c r="J459" s="23">
        <f t="shared" si="63"/>
        <v>36</v>
      </c>
      <c r="K459" s="23">
        <f>IFERROR(INDEX('Input Statistiche 2025_26'!$I$3:$I$665,MATCH($A459,'Input Statistiche 2025_26'!$A$3:$A$665,0)),"")</f>
        <v>0</v>
      </c>
      <c r="L459" s="23">
        <f>IFERROR(INDEX('Input Statistiche 2025_26'!$O$3:$O$665,MATCH($A459,'Input Statistiche 2025_26'!$A$3:$A$665,0)),"")</f>
        <v>0</v>
      </c>
      <c r="M459" s="25"/>
      <c r="N459" s="24">
        <f>IFERROR(INDEX('Input Giocatori 2026_27'!$E$3:$E$493,MATCH($A459,'Input Giocatori 2026_27'!$A$3:$A$493,0)),"")</f>
        <v>1</v>
      </c>
      <c r="O459" s="24">
        <f>IFERROR(INDEX('Input Giocatori 2026_27'!$G$3:$G$493,MATCH($A459,'Input Giocatori 2026_27'!$A$3:$A$493,0)),"")</f>
        <v>1</v>
      </c>
      <c r="P459" s="23" t="str">
        <f>IFERROR(IF($O459="","",IF((1-(COUNTIFS($B$2:$B$492,$B459,$O$2:$O$492,"&gt;"&amp;$O459)+1-1)/COUNTIF($B$2:$B$492,$B459))&gt;='Parametri Modello'!$B$63,"Top",IF((1-(COUNTIFS($B$2:$B$492,$B459,$O$2:$O$492,"&gt;"&amp;$O459)+1-1)/COUNTIF($B$2:$B$492,$B459))&gt;='Parametri Modello'!$B$64,"Buono",IF((1-(COUNTIFS($B$2:$B$492,$B459,$O$2:$O$492,"&gt;"&amp;$O459)+1-1)/COUNTIF($B$2:$B$492,$B459))&gt;='Parametri Modello'!$B$65,"Nella Media","Scommessa/Riserva")))),"")</f>
        <v>Nella Media</v>
      </c>
      <c r="Q459" s="26" t="str">
        <f>IF(AND($D459="",$N459&gt;1),SUMPRODUCT(($D$2:$D459="")*($N$2:$N459&gt;1)),"")</f>
        <v/>
      </c>
      <c r="R459" s="26" t="str">
        <f>IF($D459='Info Lega'!$B$28,COUNTIFS($D$2:$D459,'Info Lega'!$B$28),"")</f>
        <v/>
      </c>
      <c r="S459" s="27">
        <f>IFERROR(INDEX('Input Statistiche 2025_26'!$G$3:$G$665,MATCH($A459,'Input Statistiche 2025_26'!$A$3:$A$665,0)),"")</f>
        <v>6</v>
      </c>
      <c r="T459" s="27">
        <f>IFERROR(INDEX('Input Statistiche 2025_26'!$H$3:$H$665,MATCH($A459,'Input Statistiche 2025_26'!$A$3:$A$665,0)),"")</f>
        <v>6</v>
      </c>
      <c r="U459" s="23" t="str">
        <f>IF(OR('La Mia Rosa'!$O$12="",$D459&lt;&gt;""),"",IF($F459&lt;='La Mia Rosa'!$O$12*'Parametri Modello'!$B$24,"OK",IF($F459&lt;='La Mia Rosa'!$O$12*'Parametri Modello'!$B$25,"Attenzione","Rischio Alto")))</f>
        <v>OK</v>
      </c>
      <c r="V459" s="23">
        <f t="shared" si="64"/>
        <v>26</v>
      </c>
      <c r="W459" s="18">
        <f>'Info Lega'!$B$4-SUMIFS($M$2:$M$492,$D$2:$D$492,'Info Lega'!$B$28)</f>
        <v>1000</v>
      </c>
      <c r="X459" s="18">
        <f>('Info Lega'!$B$5-COUNTIFS($D$2:$D$492,'Info Lega'!$B$28,$B$2:$B$492,"P"))+('Info Lega'!$B$6-COUNTIFS($D$2:$D$492,'Info Lega'!$B$28,$B$2:$B$492,"D"))+('Info Lega'!$B$7-COUNTIFS($D$2:$D$492,'Info Lega'!$B$28,$B$2:$B$492,"C"))+('Info Lega'!$B$8-COUNTIFS($D$2:$D$492,'Info Lega'!$B$28,$B$2:$B$492,"A"))</f>
        <v>25</v>
      </c>
      <c r="Y459" s="18">
        <f>X459*'Parametri Modello'!$B$30</f>
        <v>25</v>
      </c>
      <c r="Z459" s="18">
        <f t="shared" si="65"/>
        <v>975</v>
      </c>
      <c r="AA459" s="18">
        <f t="shared" si="66"/>
        <v>0</v>
      </c>
      <c r="AB459" s="18"/>
      <c r="AC459" s="18" t="str">
        <f>IF($AB459="","",IF($AB459&gt;$AA459,"PASS",IF($AB459&lt;=$AA459*(1-'Parametri Modello'!$B$68),"BID","ATTENZIONE")))</f>
        <v/>
      </c>
      <c r="AD459" s="28">
        <f t="shared" si="67"/>
        <v>6</v>
      </c>
      <c r="AE459" s="5" t="str">
        <f>IFERROR(IF($AF459="Titolare",INDEX('Stato Asta'!$G$9:$G$12,MATCH($B459,'Stato Asta'!$A$9:$A$12,0)),INDEX('Stato Asta'!$P$9:$P$12,MATCH($B459,'Stato Asta'!$A$9:$A$12,0))),"")</f>
        <v>🔴 Riserve scarse</v>
      </c>
      <c r="AF459" t="str">
        <f>IFERROR(IF($V459&lt;=INDEX('Parametri Modello'!$C$57:$C$60,MATCH($B459,'Parametri Modello'!$A$57:$A$60,0)),"Titolare","Riserva"),"")</f>
        <v>Riserva</v>
      </c>
      <c r="AG459" t="str">
        <f>IFERROR(INDEX('Pressione Competitiva'!$F$3:$F$6,MATCH($B459,'Pressione Competitiva'!$B$3:$B$6,0)),"")</f>
        <v>🔴 Molto Alta</v>
      </c>
      <c r="AH459" t="str">
        <f t="shared" si="68"/>
        <v/>
      </c>
      <c r="AI459" t="str">
        <f>IFERROR(IF($AH459="","",IF($AH459&gt;=$AA459*'Parametri Modello'!$B$68,"🟢 Opportunita'",IF($AH459&lt;=$AA459*'Parametri Modello'!$B$69,"🔴 Sovrapprezzo","🟡 Prezzo Corretto"))),"")</f>
        <v/>
      </c>
      <c r="AJ459" t="str">
        <f t="shared" si="69"/>
        <v/>
      </c>
      <c r="AK459" t="str">
        <f t="shared" si="70"/>
        <v/>
      </c>
      <c r="AL459" t="str">
        <f t="shared" si="71"/>
        <v/>
      </c>
    </row>
    <row r="460" spans="1:38" ht="14.25" customHeight="1" x14ac:dyDescent="0.25">
      <c r="A460" s="18">
        <v>6813</v>
      </c>
      <c r="B460" s="18" t="s">
        <v>8</v>
      </c>
      <c r="C460" s="18" t="s">
        <v>71</v>
      </c>
      <c r="E460" s="23" t="str">
        <f>IF(COUNTIF('Info Strategia'!$D$2:$D$51,$C460)&gt;0,"SI","NO")</f>
        <v>NO</v>
      </c>
      <c r="F460" s="24">
        <f>IFERROR(ROUND(($G460+($H460-$G460)*'Info Strategia'!$B$6)*(1+IF($E460="SI",'Parametri Modello'!$B$7*'Info Strategia'!$B$6,0)),0),"")</f>
        <v>0</v>
      </c>
      <c r="G460" s="24">
        <f>IFERROR(ROUND(MAX(1,(IF($V460&lt;=INDEX('Parametri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H460" s="24">
        <f>IFERROR(ROUND((IF($V460&lt;=INDEX('Parametri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0</v>
      </c>
      <c r="I460" s="23">
        <f>IFERROR(INDEX('Input Statistiche 2025_26'!$F$3:$F$665,MATCH($A460,'Input Statistiche 2025_26'!$A$3:$A$665,0)),"")</f>
        <v>0</v>
      </c>
      <c r="J460" s="23">
        <f t="shared" si="63"/>
        <v>38</v>
      </c>
      <c r="K460" s="23">
        <f>IFERROR(INDEX('Input Statistiche 2025_26'!$I$3:$I$665,MATCH($A460,'Input Statistiche 2025_26'!$A$3:$A$665,0)),"")</f>
        <v>0</v>
      </c>
      <c r="L460" s="23">
        <f>IFERROR(INDEX('Input Statistiche 2025_26'!$O$3:$O$665,MATCH($A460,'Input Statistiche 2025_26'!$A$3:$A$665,0)),"")</f>
        <v>0</v>
      </c>
      <c r="M460" s="25"/>
      <c r="N460" s="24">
        <f>IFERROR(INDEX('Input Giocatori 2026_27'!$E$3:$E$493,MATCH($A460,'Input Giocatori 2026_27'!$A$3:$A$493,0)),"")</f>
        <v>1</v>
      </c>
      <c r="O460" s="24">
        <f>IFERROR(INDEX('Input Giocatori 2026_27'!$G$3:$G$493,MATCH($A460,'Input Giocatori 2026_27'!$A$3:$A$493,0)),"")</f>
        <v>1</v>
      </c>
      <c r="P460" s="23" t="str">
        <f>IFERROR(IF($O460="","",IF((1-(COUNTIFS($B$2:$B$492,$B460,$O$2:$O$492,"&gt;"&amp;$O460)+1-1)/COUNTIF($B$2:$B$492,$B460))&gt;='Parametri Modello'!$B$63,"Top",IF((1-(COUNTIFS($B$2:$B$492,$B460,$O$2:$O$492,"&gt;"&amp;$O460)+1-1)/COUNTIF($B$2:$B$492,$B460))&gt;='Parametri Modello'!$B$64,"Buono",IF((1-(COUNTIFS($B$2:$B$492,$B460,$O$2:$O$492,"&gt;"&amp;$O460)+1-1)/COUNTIF($B$2:$B$492,$B460))&gt;='Parametri Modello'!$B$65,"Nella Media","Scommessa/Riserva")))),"")</f>
        <v>Nella Media</v>
      </c>
      <c r="Q460" s="26" t="str">
        <f>IF(AND($D460="",$N460&gt;1),SUMPRODUCT(($D$2:$D460="")*($N$2:$N460&gt;1)),"")</f>
        <v/>
      </c>
      <c r="R460" s="26" t="str">
        <f>IF($D460='Info Lega'!$B$28,COUNTIFS($D$2:$D460,'Info Lega'!$B$28),"")</f>
        <v/>
      </c>
      <c r="S460" s="27">
        <f>IFERROR(INDEX('Input Statistiche 2025_26'!$G$3:$G$665,MATCH($A460,'Input Statistiche 2025_26'!$A$3:$A$665,0)),"")</f>
        <v>0</v>
      </c>
      <c r="T460" s="27">
        <f>IFERROR(INDEX('Input Statistiche 2025_26'!$H$3:$H$665,MATCH($A460,'Input Statistiche 2025_26'!$A$3:$A$665,0)),"")</f>
        <v>0</v>
      </c>
      <c r="U460" s="23" t="str">
        <f>IF(OR('La Mia Rosa'!$O$12="",$D460&lt;&gt;""),"",IF($F460&lt;='La Mia Rosa'!$O$12*'Parametri Modello'!$B$24,"OK",IF($F460&lt;='La Mia Rosa'!$O$12*'Parametri Modello'!$B$25,"Attenzione","Rischio Alto")))</f>
        <v>OK</v>
      </c>
      <c r="V460" s="23">
        <f t="shared" si="64"/>
        <v>26</v>
      </c>
      <c r="W460" s="18">
        <f>'Info Lega'!$B$4-SUMIFS($M$2:$M$492,$D$2:$D$492,'Info Lega'!$B$28)</f>
        <v>1000</v>
      </c>
      <c r="X460" s="18">
        <f>('Info Lega'!$B$5-COUNTIFS($D$2:$D$492,'Info Lega'!$B$28,$B$2:$B$492,"P"))+('Info Lega'!$B$6-COUNTIFS($D$2:$D$492,'Info Lega'!$B$28,$B$2:$B$492,"D"))+('Info Lega'!$B$7-COUNTIFS($D$2:$D$492,'Info Lega'!$B$28,$B$2:$B$492,"C"))+('Info Lega'!$B$8-COUNTIFS($D$2:$D$492,'Info Lega'!$B$28,$B$2:$B$492,"A"))</f>
        <v>25</v>
      </c>
      <c r="Y460" s="18">
        <f>X460*'Parametri Modello'!$B$30</f>
        <v>25</v>
      </c>
      <c r="Z460" s="18">
        <f t="shared" si="65"/>
        <v>975</v>
      </c>
      <c r="AA460" s="18">
        <f t="shared" si="66"/>
        <v>0</v>
      </c>
      <c r="AB460" s="18"/>
      <c r="AC460" s="18" t="str">
        <f>IF($AB460="","",IF($AB460&gt;$AA460,"PASS",IF($AB460&lt;=$AA460*(1-'Parametri Modello'!$B$68),"BID","ATTENZIONE")))</f>
        <v/>
      </c>
      <c r="AD460" s="28">
        <f t="shared" si="67"/>
        <v>0</v>
      </c>
      <c r="AE460" s="5" t="str">
        <f>IFERROR(IF($AF460="Titolare",INDEX('Stato Asta'!$G$9:$G$12,MATCH($B460,'Stato Asta'!$A$9:$A$12,0)),INDEX('Stato Asta'!$P$9:$P$12,MATCH($B460,'Stato Asta'!$A$9:$A$12,0))),"")</f>
        <v>🔴 Riserve scarse</v>
      </c>
      <c r="AF460" t="str">
        <f>IFERROR(IF($V460&lt;=INDEX('Parametri Modello'!$C$57:$C$60,MATCH($B460,'Parametri Modello'!$A$57:$A$60,0)),"Titolare","Riserva"),"")</f>
        <v>Riserva</v>
      </c>
      <c r="AG460" t="str">
        <f>IFERROR(INDEX('Pressione Competitiva'!$F$3:$F$6,MATCH($B460,'Pressione Competitiva'!$B$3:$B$6,0)),"")</f>
        <v>🔴 Molto Alta</v>
      </c>
      <c r="AH460" t="str">
        <f t="shared" si="68"/>
        <v/>
      </c>
      <c r="AI460" t="str">
        <f>IFERROR(IF($AH460="","",IF($AH460&gt;=$AA460*'Parametri Modello'!$B$68,"🟢 Opportunita'",IF($AH460&lt;=$AA460*'Parametri Modello'!$B$69,"🔴 Sovrapprezzo","🟡 Prezzo Corretto"))),"")</f>
        <v/>
      </c>
      <c r="AJ460" t="str">
        <f t="shared" si="69"/>
        <v/>
      </c>
      <c r="AK460" t="str">
        <f t="shared" si="70"/>
        <v/>
      </c>
      <c r="AL460" t="str">
        <f t="shared" si="71"/>
        <v/>
      </c>
    </row>
    <row r="461" spans="1:38" ht="14.25" customHeight="1" x14ac:dyDescent="0.25">
      <c r="A461" s="18">
        <v>6682</v>
      </c>
      <c r="B461" s="18" t="s">
        <v>8</v>
      </c>
      <c r="C461" s="18" t="s">
        <v>72</v>
      </c>
      <c r="E461" s="23" t="str">
        <f>IF(COUNTIF('Info Strategia'!$D$2:$D$51,$C461)&gt;0,"SI","NO")</f>
        <v>NO</v>
      </c>
      <c r="F461" s="24">
        <f>IFERROR(ROUND(($G461+($H461-$G461)*'Info Strategia'!$B$6)*(1+IF($E461="SI",'Parametri Modello'!$B$7*'Info Strategia'!$B$6,0)),0),"")</f>
        <v>0</v>
      </c>
      <c r="G461" s="24">
        <f>IFERROR(ROUND(MAX(1,(IF($V461&lt;=INDEX('Parametri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H461" s="24">
        <f>IFERROR(ROUND((IF($V461&lt;=INDEX('Parametri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0</v>
      </c>
      <c r="I461" s="23" t="str">
        <f>IFERROR(INDEX('Input Statistiche 2025_26'!$F$3:$F$665,MATCH($A461,'Input Statistiche 2025_26'!$A$3:$A$665,0)),"")</f>
        <v/>
      </c>
      <c r="J461" s="23" t="str">
        <f t="shared" si="63"/>
        <v/>
      </c>
      <c r="K461" s="23" t="str">
        <f>IFERROR(INDEX('Input Statistiche 2025_26'!$I$3:$I$665,MATCH($A461,'Input Statistiche 2025_26'!$A$3:$A$665,0)),"")</f>
        <v/>
      </c>
      <c r="L461" s="23" t="str">
        <f>IFERROR(INDEX('Input Statistiche 2025_26'!$O$3:$O$665,MATCH($A461,'Input Statistiche 2025_26'!$A$3:$A$665,0)),"")</f>
        <v/>
      </c>
      <c r="M461" s="25"/>
      <c r="N461" s="24">
        <f>IFERROR(INDEX('Input Giocatori 2026_27'!$E$3:$E$493,MATCH($A461,'Input Giocatori 2026_27'!$A$3:$A$493,0)),"")</f>
        <v>1</v>
      </c>
      <c r="O461" s="24">
        <f>IFERROR(INDEX('Input Giocatori 2026_27'!$G$3:$G$493,MATCH($A461,'Input Giocatori 2026_27'!$A$3:$A$493,0)),"")</f>
        <v>1</v>
      </c>
      <c r="P461" s="23" t="str">
        <f>IFERROR(IF($O461="","",IF((1-(COUNTIFS($B$2:$B$492,$B461,$O$2:$O$492,"&gt;"&amp;$O461)+1-1)/COUNTIF($B$2:$B$492,$B461))&gt;='Parametri Modello'!$B$63,"Top",IF((1-(COUNTIFS($B$2:$B$492,$B461,$O$2:$O$492,"&gt;"&amp;$O461)+1-1)/COUNTIF($B$2:$B$492,$B461))&gt;='Parametri Modello'!$B$64,"Buono",IF((1-(COUNTIFS($B$2:$B$492,$B461,$O$2:$O$492,"&gt;"&amp;$O461)+1-1)/COUNTIF($B$2:$B$492,$B461))&gt;='Parametri Modello'!$B$65,"Nella Media","Scommessa/Riserva")))),"")</f>
        <v>Nella Media</v>
      </c>
      <c r="Q461" s="26" t="str">
        <f>IF(AND($D461="",$N461&gt;1),SUMPRODUCT(($D$2:$D461="")*($N$2:$N461&gt;1)),"")</f>
        <v/>
      </c>
      <c r="R461" s="26" t="str">
        <f>IF($D461='Info Lega'!$B$28,COUNTIFS($D$2:$D461,'Info Lega'!$B$28),"")</f>
        <v/>
      </c>
      <c r="S461" s="27" t="str">
        <f>IFERROR(INDEX('Input Statistiche 2025_26'!$G$3:$G$665,MATCH($A461,'Input Statistiche 2025_26'!$A$3:$A$665,0)),"")</f>
        <v/>
      </c>
      <c r="T461" s="27" t="str">
        <f>IFERROR(INDEX('Input Statistiche 2025_26'!$H$3:$H$665,MATCH($A461,'Input Statistiche 2025_26'!$A$3:$A$665,0)),"")</f>
        <v/>
      </c>
      <c r="U461" s="23" t="str">
        <f>IF(OR('La Mia Rosa'!$O$12="",$D461&lt;&gt;""),"",IF($F461&lt;='La Mia Rosa'!$O$12*'Parametri Modello'!$B$24,"OK",IF($F461&lt;='La Mia Rosa'!$O$12*'Parametri Modello'!$B$25,"Attenzione","Rischio Alto")))</f>
        <v>OK</v>
      </c>
      <c r="V461" s="23">
        <f t="shared" si="64"/>
        <v>26</v>
      </c>
      <c r="W461" s="18">
        <f>'Info Lega'!$B$4-SUMIFS($M$2:$M$492,$D$2:$D$492,'Info Lega'!$B$28)</f>
        <v>1000</v>
      </c>
      <c r="X461" s="18">
        <f>('Info Lega'!$B$5-COUNTIFS($D$2:$D$492,'Info Lega'!$B$28,$B$2:$B$492,"P"))+('Info Lega'!$B$6-COUNTIFS($D$2:$D$492,'Info Lega'!$B$28,$B$2:$B$492,"D"))+('Info Lega'!$B$7-COUNTIFS($D$2:$D$492,'Info Lega'!$B$28,$B$2:$B$492,"C"))+('Info Lega'!$B$8-COUNTIFS($D$2:$D$492,'Info Lega'!$B$28,$B$2:$B$492,"A"))</f>
        <v>25</v>
      </c>
      <c r="Y461" s="18">
        <f>X461*'Parametri Modello'!$B$30</f>
        <v>25</v>
      </c>
      <c r="Z461" s="18">
        <f t="shared" si="65"/>
        <v>975</v>
      </c>
      <c r="AA461" s="18">
        <f t="shared" si="66"/>
        <v>0</v>
      </c>
      <c r="AB461" s="18"/>
      <c r="AC461" s="18" t="str">
        <f>IF($AB461="","",IF($AB461&gt;$AA461,"PASS",IF($AB461&lt;=$AA461*(1-'Parametri Modello'!$B$68),"BID","ATTENZIONE")))</f>
        <v/>
      </c>
      <c r="AD461" s="28" t="str">
        <f t="shared" si="67"/>
        <v/>
      </c>
      <c r="AE461" s="5" t="str">
        <f>IFERROR(IF($AF461="Titolare",INDEX('Stato Asta'!$G$9:$G$12,MATCH($B461,'Stato Asta'!$A$9:$A$12,0)),INDEX('Stato Asta'!$P$9:$P$12,MATCH($B461,'Stato Asta'!$A$9:$A$12,0))),"")</f>
        <v>🔴 Riserve scarse</v>
      </c>
      <c r="AF461" t="str">
        <f>IFERROR(IF($V461&lt;=INDEX('Parametri Modello'!$C$57:$C$60,MATCH($B461,'Parametri Modello'!$A$57:$A$60,0)),"Titolare","Riserva"),"")</f>
        <v>Riserva</v>
      </c>
      <c r="AG461" t="str">
        <f>IFERROR(INDEX('Pressione Competitiva'!$F$3:$F$6,MATCH($B461,'Pressione Competitiva'!$B$3:$B$6,0)),"")</f>
        <v>🔴 Molto Alta</v>
      </c>
      <c r="AH461" t="str">
        <f t="shared" si="68"/>
        <v/>
      </c>
      <c r="AI461" t="str">
        <f>IFERROR(IF($AH461="","",IF($AH461&gt;=$AA461*'Parametri Modello'!$B$68,"🟢 Opportunita'",IF($AH461&lt;=$AA461*'Parametri Modello'!$B$69,"🔴 Sovrapprezzo","🟡 Prezzo Corretto"))),"")</f>
        <v/>
      </c>
      <c r="AJ461" t="str">
        <f t="shared" si="69"/>
        <v/>
      </c>
      <c r="AK461" t="str">
        <f t="shared" si="70"/>
        <v/>
      </c>
      <c r="AL461" t="str">
        <f t="shared" si="71"/>
        <v/>
      </c>
    </row>
    <row r="462" spans="1:38" ht="14.25" customHeight="1" x14ac:dyDescent="0.25">
      <c r="A462" s="18">
        <v>7475</v>
      </c>
      <c r="B462" s="18" t="s">
        <v>8</v>
      </c>
      <c r="C462" s="18" t="s">
        <v>73</v>
      </c>
      <c r="E462" s="23" t="str">
        <f>IF(COUNTIF('Info Strategia'!$D$2:$D$51,$C462)&gt;0,"SI","NO")</f>
        <v>NO</v>
      </c>
      <c r="F462" s="24">
        <f>IFERROR(ROUND(($G462+($H462-$G462)*'Info Strategia'!$B$6)*(1+IF($E462="SI",'Parametri Modello'!$B$7*'Info Strategia'!$B$6,0)),0),"")</f>
        <v>0</v>
      </c>
      <c r="G462" s="24">
        <f>IFERROR(ROUND(MAX(1,(IF($V462&lt;=INDEX('Parametri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H462" s="24">
        <f>IFERROR(ROUND((IF($V462&lt;=INDEX('Parametri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0</v>
      </c>
      <c r="I462" s="23" t="str">
        <f>IFERROR(INDEX('Input Statistiche 2025_26'!$F$3:$F$665,MATCH($A462,'Input Statistiche 2025_26'!$A$3:$A$665,0)),"")</f>
        <v/>
      </c>
      <c r="J462" s="23" t="str">
        <f t="shared" si="63"/>
        <v/>
      </c>
      <c r="K462" s="23" t="str">
        <f>IFERROR(INDEX('Input Statistiche 2025_26'!$I$3:$I$665,MATCH($A462,'Input Statistiche 2025_26'!$A$3:$A$665,0)),"")</f>
        <v/>
      </c>
      <c r="L462" s="23" t="str">
        <f>IFERROR(INDEX('Input Statistiche 2025_26'!$O$3:$O$665,MATCH($A462,'Input Statistiche 2025_26'!$A$3:$A$665,0)),"")</f>
        <v/>
      </c>
      <c r="M462" s="25"/>
      <c r="N462" s="24">
        <f>IFERROR(INDEX('Input Giocatori 2026_27'!$E$3:$E$493,MATCH($A462,'Input Giocatori 2026_27'!$A$3:$A$493,0)),"")</f>
        <v>1</v>
      </c>
      <c r="O462" s="24">
        <f>IFERROR(INDEX('Input Giocatori 2026_27'!$G$3:$G$493,MATCH($A462,'Input Giocatori 2026_27'!$A$3:$A$493,0)),"")</f>
        <v>1</v>
      </c>
      <c r="P462" s="23" t="str">
        <f>IFERROR(IF($O462="","",IF((1-(COUNTIFS($B$2:$B$492,$B462,$O$2:$O$492,"&gt;"&amp;$O462)+1-1)/COUNTIF($B$2:$B$492,$B462))&gt;='Parametri Modello'!$B$63,"Top",IF((1-(COUNTIFS($B$2:$B$492,$B462,$O$2:$O$492,"&gt;"&amp;$O462)+1-1)/COUNTIF($B$2:$B$492,$B462))&gt;='Parametri Modello'!$B$64,"Buono",IF((1-(COUNTIFS($B$2:$B$492,$B462,$O$2:$O$492,"&gt;"&amp;$O462)+1-1)/COUNTIF($B$2:$B$492,$B462))&gt;='Parametri Modello'!$B$65,"Nella Media","Scommessa/Riserva")))),"")</f>
        <v>Nella Media</v>
      </c>
      <c r="Q462" s="26" t="str">
        <f>IF(AND($D462="",$N462&gt;1),SUMPRODUCT(($D$2:$D462="")*($N$2:$N462&gt;1)),"")</f>
        <v/>
      </c>
      <c r="R462" s="26" t="str">
        <f>IF($D462='Info Lega'!$B$28,COUNTIFS($D$2:$D462,'Info Lega'!$B$28),"")</f>
        <v/>
      </c>
      <c r="S462" s="27" t="str">
        <f>IFERROR(INDEX('Input Statistiche 2025_26'!$G$3:$G$665,MATCH($A462,'Input Statistiche 2025_26'!$A$3:$A$665,0)),"")</f>
        <v/>
      </c>
      <c r="T462" s="27" t="str">
        <f>IFERROR(INDEX('Input Statistiche 2025_26'!$H$3:$H$665,MATCH($A462,'Input Statistiche 2025_26'!$A$3:$A$665,0)),"")</f>
        <v/>
      </c>
      <c r="U462" s="23" t="str">
        <f>IF(OR('La Mia Rosa'!$O$12="",$D462&lt;&gt;""),"",IF($F462&lt;='La Mia Rosa'!$O$12*'Parametri Modello'!$B$24,"OK",IF($F462&lt;='La Mia Rosa'!$O$12*'Parametri Modello'!$B$25,"Attenzione","Rischio Alto")))</f>
        <v>OK</v>
      </c>
      <c r="V462" s="23">
        <f t="shared" si="64"/>
        <v>26</v>
      </c>
      <c r="W462" s="18">
        <f>'Info Lega'!$B$4-SUMIFS($M$2:$M$492,$D$2:$D$492,'Info Lega'!$B$28)</f>
        <v>1000</v>
      </c>
      <c r="X462" s="18">
        <f>('Info Lega'!$B$5-COUNTIFS($D$2:$D$492,'Info Lega'!$B$28,$B$2:$B$492,"P"))+('Info Lega'!$B$6-COUNTIFS($D$2:$D$492,'Info Lega'!$B$28,$B$2:$B$492,"D"))+('Info Lega'!$B$7-COUNTIFS($D$2:$D$492,'Info Lega'!$B$28,$B$2:$B$492,"C"))+('Info Lega'!$B$8-COUNTIFS($D$2:$D$492,'Info Lega'!$B$28,$B$2:$B$492,"A"))</f>
        <v>25</v>
      </c>
      <c r="Y462" s="18">
        <f>X462*'Parametri Modello'!$B$30</f>
        <v>25</v>
      </c>
      <c r="Z462" s="18">
        <f t="shared" si="65"/>
        <v>975</v>
      </c>
      <c r="AA462" s="18">
        <f t="shared" si="66"/>
        <v>0</v>
      </c>
      <c r="AB462" s="18"/>
      <c r="AC462" s="18" t="str">
        <f>IF($AB462="","",IF($AB462&gt;$AA462,"PASS",IF($AB462&lt;=$AA462*(1-'Parametri Modello'!$B$68),"BID","ATTENZIONE")))</f>
        <v/>
      </c>
      <c r="AD462" s="28" t="str">
        <f t="shared" si="67"/>
        <v/>
      </c>
      <c r="AE462" s="5" t="str">
        <f>IFERROR(IF($AF462="Titolare",INDEX('Stato Asta'!$G$9:$G$12,MATCH($B462,'Stato Asta'!$A$9:$A$12,0)),INDEX('Stato Asta'!$P$9:$P$12,MATCH($B462,'Stato Asta'!$A$9:$A$12,0))),"")</f>
        <v>🔴 Riserve scarse</v>
      </c>
      <c r="AF462" t="str">
        <f>IFERROR(IF($V462&lt;=INDEX('Parametri Modello'!$C$57:$C$60,MATCH($B462,'Parametri Modello'!$A$57:$A$60,0)),"Titolare","Riserva"),"")</f>
        <v>Riserva</v>
      </c>
      <c r="AG462" t="str">
        <f>IFERROR(INDEX('Pressione Competitiva'!$F$3:$F$6,MATCH($B462,'Pressione Competitiva'!$B$3:$B$6,0)),"")</f>
        <v>🔴 Molto Alta</v>
      </c>
      <c r="AH462" t="str">
        <f t="shared" si="68"/>
        <v/>
      </c>
      <c r="AI462" t="str">
        <f>IFERROR(IF($AH462="","",IF($AH462&gt;=$AA462*'Parametri Modello'!$B$68,"🟢 Opportunita'",IF($AH462&lt;=$AA462*'Parametri Modello'!$B$69,"🔴 Sovrapprezzo","🟡 Prezzo Corretto"))),"")</f>
        <v/>
      </c>
      <c r="AJ462" t="str">
        <f t="shared" si="69"/>
        <v/>
      </c>
      <c r="AK462" t="str">
        <f t="shared" si="70"/>
        <v/>
      </c>
      <c r="AL462" t="str">
        <f t="shared" si="71"/>
        <v/>
      </c>
    </row>
    <row r="463" spans="1:38" ht="14.25" customHeight="1" x14ac:dyDescent="0.25">
      <c r="A463" s="18">
        <v>2845</v>
      </c>
      <c r="B463" s="18" t="s">
        <v>8</v>
      </c>
      <c r="C463" s="18" t="s">
        <v>74</v>
      </c>
      <c r="E463" s="23" t="str">
        <f>IF(COUNTIF('Info Strategia'!$D$2:$D$51,$C463)&gt;0,"SI","NO")</f>
        <v>NO</v>
      </c>
      <c r="F463" s="24">
        <f>IFERROR(ROUND(($G463+($H463-$G463)*'Info Strategia'!$B$6)*(1+IF($E463="SI",'Parametri Modello'!$B$7*'Info Strategia'!$B$6,0)),0),"")</f>
        <v>0</v>
      </c>
      <c r="G463" s="24">
        <f>IFERROR(ROUND(MAX(1,(IF($V463&lt;=INDEX('Parametri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H463" s="24">
        <f>IFERROR(ROUND((IF($V463&lt;=INDEX('Parametri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0</v>
      </c>
      <c r="I463" s="23">
        <f>IFERROR(INDEX('Input Statistiche 2025_26'!$F$3:$F$665,MATCH($A463,'Input Statistiche 2025_26'!$A$3:$A$665,0)),"")</f>
        <v>0</v>
      </c>
      <c r="J463" s="23">
        <f t="shared" si="63"/>
        <v>38</v>
      </c>
      <c r="K463" s="23">
        <f>IFERROR(INDEX('Input Statistiche 2025_26'!$I$3:$I$665,MATCH($A463,'Input Statistiche 2025_26'!$A$3:$A$665,0)),"")</f>
        <v>0</v>
      </c>
      <c r="L463" s="23">
        <f>IFERROR(INDEX('Input Statistiche 2025_26'!$O$3:$O$665,MATCH($A463,'Input Statistiche 2025_26'!$A$3:$A$665,0)),"")</f>
        <v>0</v>
      </c>
      <c r="M463" s="25"/>
      <c r="N463" s="24">
        <f>IFERROR(INDEX('Input Giocatori 2026_27'!$E$3:$E$493,MATCH($A463,'Input Giocatori 2026_27'!$A$3:$A$493,0)),"")</f>
        <v>1</v>
      </c>
      <c r="O463" s="24">
        <f>IFERROR(INDEX('Input Giocatori 2026_27'!$G$3:$G$493,MATCH($A463,'Input Giocatori 2026_27'!$A$3:$A$493,0)),"")</f>
        <v>1</v>
      </c>
      <c r="P463" s="23" t="str">
        <f>IFERROR(IF($O463="","",IF((1-(COUNTIFS($B$2:$B$492,$B463,$O$2:$O$492,"&gt;"&amp;$O463)+1-1)/COUNTIF($B$2:$B$492,$B463))&gt;='Parametri Modello'!$B$63,"Top",IF((1-(COUNTIFS($B$2:$B$492,$B463,$O$2:$O$492,"&gt;"&amp;$O463)+1-1)/COUNTIF($B$2:$B$492,$B463))&gt;='Parametri Modello'!$B$64,"Buono",IF((1-(COUNTIFS($B$2:$B$492,$B463,$O$2:$O$492,"&gt;"&amp;$O463)+1-1)/COUNTIF($B$2:$B$492,$B463))&gt;='Parametri Modello'!$B$65,"Nella Media","Scommessa/Riserva")))),"")</f>
        <v>Nella Media</v>
      </c>
      <c r="Q463" s="26" t="str">
        <f>IF(AND($D463="",$N463&gt;1),SUMPRODUCT(($D$2:$D463="")*($N$2:$N463&gt;1)),"")</f>
        <v/>
      </c>
      <c r="R463" s="26" t="str">
        <f>IF($D463='Info Lega'!$B$28,COUNTIFS($D$2:$D463,'Info Lega'!$B$28),"")</f>
        <v/>
      </c>
      <c r="S463" s="27">
        <f>IFERROR(INDEX('Input Statistiche 2025_26'!$G$3:$G$665,MATCH($A463,'Input Statistiche 2025_26'!$A$3:$A$665,0)),"")</f>
        <v>0</v>
      </c>
      <c r="T463" s="27">
        <f>IFERROR(INDEX('Input Statistiche 2025_26'!$H$3:$H$665,MATCH($A463,'Input Statistiche 2025_26'!$A$3:$A$665,0)),"")</f>
        <v>0</v>
      </c>
      <c r="U463" s="23" t="str">
        <f>IF(OR('La Mia Rosa'!$O$12="",$D463&lt;&gt;""),"",IF($F463&lt;='La Mia Rosa'!$O$12*'Parametri Modello'!$B$24,"OK",IF($F463&lt;='La Mia Rosa'!$O$12*'Parametri Modello'!$B$25,"Attenzione","Rischio Alto")))</f>
        <v>OK</v>
      </c>
      <c r="V463" s="23">
        <f t="shared" si="64"/>
        <v>26</v>
      </c>
      <c r="W463" s="18">
        <f>'Info Lega'!$B$4-SUMIFS($M$2:$M$492,$D$2:$D$492,'Info Lega'!$B$28)</f>
        <v>1000</v>
      </c>
      <c r="X463" s="18">
        <f>('Info Lega'!$B$5-COUNTIFS($D$2:$D$492,'Info Lega'!$B$28,$B$2:$B$492,"P"))+('Info Lega'!$B$6-COUNTIFS($D$2:$D$492,'Info Lega'!$B$28,$B$2:$B$492,"D"))+('Info Lega'!$B$7-COUNTIFS($D$2:$D$492,'Info Lega'!$B$28,$B$2:$B$492,"C"))+('Info Lega'!$B$8-COUNTIFS($D$2:$D$492,'Info Lega'!$B$28,$B$2:$B$492,"A"))</f>
        <v>25</v>
      </c>
      <c r="Y463" s="18">
        <f>X463*'Parametri Modello'!$B$30</f>
        <v>25</v>
      </c>
      <c r="Z463" s="18">
        <f t="shared" si="65"/>
        <v>975</v>
      </c>
      <c r="AA463" s="18">
        <f t="shared" si="66"/>
        <v>0</v>
      </c>
      <c r="AB463" s="18"/>
      <c r="AC463" s="18" t="str">
        <f>IF($AB463="","",IF($AB463&gt;$AA463,"PASS",IF($AB463&lt;=$AA463*(1-'Parametri Modello'!$B$68),"BID","ATTENZIONE")))</f>
        <v/>
      </c>
      <c r="AD463" s="28">
        <f t="shared" si="67"/>
        <v>0</v>
      </c>
      <c r="AE463" s="5" t="str">
        <f>IFERROR(IF($AF463="Titolare",INDEX('Stato Asta'!$G$9:$G$12,MATCH($B463,'Stato Asta'!$A$9:$A$12,0)),INDEX('Stato Asta'!$P$9:$P$12,MATCH($B463,'Stato Asta'!$A$9:$A$12,0))),"")</f>
        <v>🔴 Riserve scarse</v>
      </c>
      <c r="AF463" t="str">
        <f>IFERROR(IF($V463&lt;=INDEX('Parametri Modello'!$C$57:$C$60,MATCH($B463,'Parametri Modello'!$A$57:$A$60,0)),"Titolare","Riserva"),"")</f>
        <v>Riserva</v>
      </c>
      <c r="AG463" t="str">
        <f>IFERROR(INDEX('Pressione Competitiva'!$F$3:$F$6,MATCH($B463,'Pressione Competitiva'!$B$3:$B$6,0)),"")</f>
        <v>🔴 Molto Alta</v>
      </c>
      <c r="AH463" t="str">
        <f t="shared" si="68"/>
        <v/>
      </c>
      <c r="AI463" t="str">
        <f>IFERROR(IF($AH463="","",IF($AH463&gt;=$AA463*'Parametri Modello'!$B$68,"🟢 Opportunita'",IF($AH463&lt;=$AA463*'Parametri Modello'!$B$69,"🔴 Sovrapprezzo","🟡 Prezzo Corretto"))),"")</f>
        <v/>
      </c>
      <c r="AJ463" t="str">
        <f t="shared" si="69"/>
        <v/>
      </c>
      <c r="AK463" t="str">
        <f t="shared" si="70"/>
        <v/>
      </c>
      <c r="AL463" t="str">
        <f t="shared" si="71"/>
        <v/>
      </c>
    </row>
    <row r="464" spans="1:38" ht="14.25" customHeight="1" x14ac:dyDescent="0.25">
      <c r="A464" s="18">
        <v>6662</v>
      </c>
      <c r="B464" s="18" t="s">
        <v>8</v>
      </c>
      <c r="C464" s="18" t="s">
        <v>75</v>
      </c>
      <c r="E464" s="23" t="str">
        <f>IF(COUNTIF('Info Strategia'!$D$2:$D$51,$C464)&gt;0,"SI","NO")</f>
        <v>NO</v>
      </c>
      <c r="F464" s="24">
        <f>IFERROR(ROUND(($G464+($H464-$G464)*'Info Strategia'!$B$6)*(1+IF($E464="SI",'Parametri Modello'!$B$7*'Info Strategia'!$B$6,0)),0),"")</f>
        <v>0</v>
      </c>
      <c r="G464" s="24">
        <f>IFERROR(ROUND(MAX(1,(IF($V464&lt;=INDEX('Parametri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H464" s="24">
        <f>IFERROR(ROUND((IF($V464&lt;=INDEX('Parametri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0</v>
      </c>
      <c r="I464" s="23">
        <f>IFERROR(INDEX('Input Statistiche 2025_26'!$F$3:$F$665,MATCH($A464,'Input Statistiche 2025_26'!$A$3:$A$665,0)),"")</f>
        <v>17</v>
      </c>
      <c r="J464" s="23">
        <f t="shared" si="63"/>
        <v>21</v>
      </c>
      <c r="K464" s="23">
        <f>IFERROR(INDEX('Input Statistiche 2025_26'!$I$3:$I$665,MATCH($A464,'Input Statistiche 2025_26'!$A$3:$A$665,0)),"")</f>
        <v>0</v>
      </c>
      <c r="L464" s="23">
        <f>IFERROR(INDEX('Input Statistiche 2025_26'!$O$3:$O$665,MATCH($A464,'Input Statistiche 2025_26'!$A$3:$A$665,0)),"")</f>
        <v>0</v>
      </c>
      <c r="M464" s="25"/>
      <c r="N464" s="24">
        <f>IFERROR(INDEX('Input Giocatori 2026_27'!$E$3:$E$493,MATCH($A464,'Input Giocatori 2026_27'!$A$3:$A$493,0)),"")</f>
        <v>1</v>
      </c>
      <c r="O464" s="24">
        <f>IFERROR(INDEX('Input Giocatori 2026_27'!$G$3:$G$493,MATCH($A464,'Input Giocatori 2026_27'!$A$3:$A$493,0)),"")</f>
        <v>1</v>
      </c>
      <c r="P464" s="23" t="str">
        <f>IFERROR(IF($O464="","",IF((1-(COUNTIFS($B$2:$B$492,$B464,$O$2:$O$492,"&gt;"&amp;$O464)+1-1)/COUNTIF($B$2:$B$492,$B464))&gt;='Parametri Modello'!$B$63,"Top",IF((1-(COUNTIFS($B$2:$B$492,$B464,$O$2:$O$492,"&gt;"&amp;$O464)+1-1)/COUNTIF($B$2:$B$492,$B464))&gt;='Parametri Modello'!$B$64,"Buono",IF((1-(COUNTIFS($B$2:$B$492,$B464,$O$2:$O$492,"&gt;"&amp;$O464)+1-1)/COUNTIF($B$2:$B$492,$B464))&gt;='Parametri Modello'!$B$65,"Nella Media","Scommessa/Riserva")))),"")</f>
        <v>Nella Media</v>
      </c>
      <c r="Q464" s="26" t="str">
        <f>IF(AND($D464="",$N464&gt;1),SUMPRODUCT(($D$2:$D464="")*($N$2:$N464&gt;1)),"")</f>
        <v/>
      </c>
      <c r="R464" s="26" t="str">
        <f>IF($D464='Info Lega'!$B$28,COUNTIFS($D$2:$D464,'Info Lega'!$B$28),"")</f>
        <v/>
      </c>
      <c r="S464" s="27">
        <f>IFERROR(INDEX('Input Statistiche 2025_26'!$G$3:$G$665,MATCH($A464,'Input Statistiche 2025_26'!$A$3:$A$665,0)),"")</f>
        <v>6.18</v>
      </c>
      <c r="T464" s="27">
        <f>IFERROR(INDEX('Input Statistiche 2025_26'!$H$3:$H$665,MATCH($A464,'Input Statistiche 2025_26'!$A$3:$A$665,0)),"")</f>
        <v>5.09</v>
      </c>
      <c r="U464" s="23" t="str">
        <f>IF(OR('La Mia Rosa'!$O$12="",$D464&lt;&gt;""),"",IF($F464&lt;='La Mia Rosa'!$O$12*'Parametri Modello'!$B$24,"OK",IF($F464&lt;='La Mia Rosa'!$O$12*'Parametri Modello'!$B$25,"Attenzione","Rischio Alto")))</f>
        <v>OK</v>
      </c>
      <c r="V464" s="23">
        <f t="shared" si="64"/>
        <v>26</v>
      </c>
      <c r="W464" s="18">
        <f>'Info Lega'!$B$4-SUMIFS($M$2:$M$492,$D$2:$D$492,'Info Lega'!$B$28)</f>
        <v>1000</v>
      </c>
      <c r="X464" s="18">
        <f>('Info Lega'!$B$5-COUNTIFS($D$2:$D$492,'Info Lega'!$B$28,$B$2:$B$492,"P"))+('Info Lega'!$B$6-COUNTIFS($D$2:$D$492,'Info Lega'!$B$28,$B$2:$B$492,"D"))+('Info Lega'!$B$7-COUNTIFS($D$2:$D$492,'Info Lega'!$B$28,$B$2:$B$492,"C"))+('Info Lega'!$B$8-COUNTIFS($D$2:$D$492,'Info Lega'!$B$28,$B$2:$B$492,"A"))</f>
        <v>25</v>
      </c>
      <c r="Y464" s="18">
        <f>X464*'Parametri Modello'!$B$30</f>
        <v>25</v>
      </c>
      <c r="Z464" s="18">
        <f t="shared" si="65"/>
        <v>975</v>
      </c>
      <c r="AA464" s="18">
        <f t="shared" si="66"/>
        <v>0</v>
      </c>
      <c r="AB464" s="18"/>
      <c r="AC464" s="18" t="str">
        <f>IF($AB464="","",IF($AB464&gt;$AA464,"PASS",IF($AB464&lt;=$AA464*(1-'Parametri Modello'!$B$68),"BID","ATTENZIONE")))</f>
        <v/>
      </c>
      <c r="AD464" s="28">
        <f t="shared" si="67"/>
        <v>43</v>
      </c>
      <c r="AE464" s="5" t="str">
        <f>IFERROR(IF($AF464="Titolare",INDEX('Stato Asta'!$G$9:$G$12,MATCH($B464,'Stato Asta'!$A$9:$A$12,0)),INDEX('Stato Asta'!$P$9:$P$12,MATCH($B464,'Stato Asta'!$A$9:$A$12,0))),"")</f>
        <v>🔴 Riserve scarse</v>
      </c>
      <c r="AF464" t="str">
        <f>IFERROR(IF($V464&lt;=INDEX('Parametri Modello'!$C$57:$C$60,MATCH($B464,'Parametri Modello'!$A$57:$A$60,0)),"Titolare","Riserva"),"")</f>
        <v>Riserva</v>
      </c>
      <c r="AG464" t="str">
        <f>IFERROR(INDEX('Pressione Competitiva'!$F$3:$F$6,MATCH($B464,'Pressione Competitiva'!$B$3:$B$6,0)),"")</f>
        <v>🔴 Molto Alta</v>
      </c>
      <c r="AH464" t="str">
        <f t="shared" si="68"/>
        <v/>
      </c>
      <c r="AI464" t="str">
        <f>IFERROR(IF($AH464="","",IF($AH464&gt;=$AA464*'Parametri Modello'!$B$68,"🟢 Opportunita'",IF($AH464&lt;=$AA464*'Parametri Modello'!$B$69,"🔴 Sovrapprezzo","🟡 Prezzo Corretto"))),"")</f>
        <v/>
      </c>
      <c r="AJ464" t="str">
        <f t="shared" si="69"/>
        <v/>
      </c>
      <c r="AK464" t="str">
        <f t="shared" si="70"/>
        <v/>
      </c>
      <c r="AL464" t="str">
        <f t="shared" si="71"/>
        <v/>
      </c>
    </row>
    <row r="465" spans="1:38" ht="14.25" customHeight="1" x14ac:dyDescent="0.25">
      <c r="A465" s="18">
        <v>7048</v>
      </c>
      <c r="B465" s="18" t="s">
        <v>8</v>
      </c>
      <c r="C465" s="18" t="s">
        <v>76</v>
      </c>
      <c r="E465" s="23" t="str">
        <f>IF(COUNTIF('Info Strategia'!$D$2:$D$51,$C465)&gt;0,"SI","NO")</f>
        <v>NO</v>
      </c>
      <c r="F465" s="24">
        <f>IFERROR(ROUND(($G465+($H465-$G465)*'Info Strategia'!$B$6)*(1+IF($E465="SI",'Parametri Modello'!$B$7*'Info Strategia'!$B$6,0)),0),"")</f>
        <v>0</v>
      </c>
      <c r="G465" s="24">
        <f>IFERROR(ROUND(MAX(1,(IF($V465&lt;=INDEX('Parametri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H465" s="24">
        <f>IFERROR(ROUND((IF($V465&lt;=INDEX('Parametri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0</v>
      </c>
      <c r="I465" s="23" t="str">
        <f>IFERROR(INDEX('Input Statistiche 2025_26'!$F$3:$F$665,MATCH($A465,'Input Statistiche 2025_26'!$A$3:$A$665,0)),"")</f>
        <v/>
      </c>
      <c r="J465" s="23" t="str">
        <f t="shared" si="63"/>
        <v/>
      </c>
      <c r="K465" s="23" t="str">
        <f>IFERROR(INDEX('Input Statistiche 2025_26'!$I$3:$I$665,MATCH($A465,'Input Statistiche 2025_26'!$A$3:$A$665,0)),"")</f>
        <v/>
      </c>
      <c r="L465" s="23" t="str">
        <f>IFERROR(INDEX('Input Statistiche 2025_26'!$O$3:$O$665,MATCH($A465,'Input Statistiche 2025_26'!$A$3:$A$665,0)),"")</f>
        <v/>
      </c>
      <c r="M465" s="25"/>
      <c r="N465" s="24">
        <f>IFERROR(INDEX('Input Giocatori 2026_27'!$E$3:$E$493,MATCH($A465,'Input Giocatori 2026_27'!$A$3:$A$493,0)),"")</f>
        <v>1</v>
      </c>
      <c r="O465" s="24">
        <f>IFERROR(INDEX('Input Giocatori 2026_27'!$G$3:$G$493,MATCH($A465,'Input Giocatori 2026_27'!$A$3:$A$493,0)),"")</f>
        <v>1</v>
      </c>
      <c r="P465" s="23" t="str">
        <f>IFERROR(IF($O465="","",IF((1-(COUNTIFS($B$2:$B$492,$B465,$O$2:$O$492,"&gt;"&amp;$O465)+1-1)/COUNTIF($B$2:$B$492,$B465))&gt;='Parametri Modello'!$B$63,"Top",IF((1-(COUNTIFS($B$2:$B$492,$B465,$O$2:$O$492,"&gt;"&amp;$O465)+1-1)/COUNTIF($B$2:$B$492,$B465))&gt;='Parametri Modello'!$B$64,"Buono",IF((1-(COUNTIFS($B$2:$B$492,$B465,$O$2:$O$492,"&gt;"&amp;$O465)+1-1)/COUNTIF($B$2:$B$492,$B465))&gt;='Parametri Modello'!$B$65,"Nella Media","Scommessa/Riserva")))),"")</f>
        <v>Nella Media</v>
      </c>
      <c r="Q465" s="26" t="str">
        <f>IF(AND($D465="",$N465&gt;1),SUMPRODUCT(($D$2:$D465="")*($N$2:$N465&gt;1)),"")</f>
        <v/>
      </c>
      <c r="R465" s="26" t="str">
        <f>IF($D465='Info Lega'!$B$28,COUNTIFS($D$2:$D465,'Info Lega'!$B$28),"")</f>
        <v/>
      </c>
      <c r="S465" s="27" t="str">
        <f>IFERROR(INDEX('Input Statistiche 2025_26'!$G$3:$G$665,MATCH($A465,'Input Statistiche 2025_26'!$A$3:$A$665,0)),"")</f>
        <v/>
      </c>
      <c r="T465" s="27" t="str">
        <f>IFERROR(INDEX('Input Statistiche 2025_26'!$H$3:$H$665,MATCH($A465,'Input Statistiche 2025_26'!$A$3:$A$665,0)),"")</f>
        <v/>
      </c>
      <c r="U465" s="23" t="str">
        <f>IF(OR('La Mia Rosa'!$O$12="",$D465&lt;&gt;""),"",IF($F465&lt;='La Mia Rosa'!$O$12*'Parametri Modello'!$B$24,"OK",IF($F465&lt;='La Mia Rosa'!$O$12*'Parametri Modello'!$B$25,"Attenzione","Rischio Alto")))</f>
        <v>OK</v>
      </c>
      <c r="V465" s="23">
        <f t="shared" si="64"/>
        <v>26</v>
      </c>
      <c r="W465" s="18">
        <f>'Info Lega'!$B$4-SUMIFS($M$2:$M$492,$D$2:$D$492,'Info Lega'!$B$28)</f>
        <v>1000</v>
      </c>
      <c r="X465" s="18">
        <f>('Info Lega'!$B$5-COUNTIFS($D$2:$D$492,'Info Lega'!$B$28,$B$2:$B$492,"P"))+('Info Lega'!$B$6-COUNTIFS($D$2:$D$492,'Info Lega'!$B$28,$B$2:$B$492,"D"))+('Info Lega'!$B$7-COUNTIFS($D$2:$D$492,'Info Lega'!$B$28,$B$2:$B$492,"C"))+('Info Lega'!$B$8-COUNTIFS($D$2:$D$492,'Info Lega'!$B$28,$B$2:$B$492,"A"))</f>
        <v>25</v>
      </c>
      <c r="Y465" s="18">
        <f>X465*'Parametri Modello'!$B$30</f>
        <v>25</v>
      </c>
      <c r="Z465" s="18">
        <f t="shared" si="65"/>
        <v>975</v>
      </c>
      <c r="AA465" s="18">
        <f t="shared" si="66"/>
        <v>0</v>
      </c>
      <c r="AB465" s="18"/>
      <c r="AC465" s="18" t="str">
        <f>IF($AB465="","",IF($AB465&gt;$AA465,"PASS",IF($AB465&lt;=$AA465*(1-'Parametri Modello'!$B$68),"BID","ATTENZIONE")))</f>
        <v/>
      </c>
      <c r="AD465" s="28" t="str">
        <f t="shared" si="67"/>
        <v/>
      </c>
      <c r="AE465" s="5" t="str">
        <f>IFERROR(IF($AF465="Titolare",INDEX('Stato Asta'!$G$9:$G$12,MATCH($B465,'Stato Asta'!$A$9:$A$12,0)),INDEX('Stato Asta'!$P$9:$P$12,MATCH($B465,'Stato Asta'!$A$9:$A$12,0))),"")</f>
        <v>🔴 Riserve scarse</v>
      </c>
      <c r="AF465" t="str">
        <f>IFERROR(IF($V465&lt;=INDEX('Parametri Modello'!$C$57:$C$60,MATCH($B465,'Parametri Modello'!$A$57:$A$60,0)),"Titolare","Riserva"),"")</f>
        <v>Riserva</v>
      </c>
      <c r="AG465" t="str">
        <f>IFERROR(INDEX('Pressione Competitiva'!$F$3:$F$6,MATCH($B465,'Pressione Competitiva'!$B$3:$B$6,0)),"")</f>
        <v>🔴 Molto Alta</v>
      </c>
      <c r="AH465" t="str">
        <f t="shared" si="68"/>
        <v/>
      </c>
      <c r="AI465" t="str">
        <f>IFERROR(IF($AH465="","",IF($AH465&gt;=$AA465*'Parametri Modello'!$B$68,"🟢 Opportunita'",IF($AH465&lt;=$AA465*'Parametri Modello'!$B$69,"🔴 Sovrapprezzo","🟡 Prezzo Corretto"))),"")</f>
        <v/>
      </c>
      <c r="AJ465" t="str">
        <f t="shared" si="69"/>
        <v/>
      </c>
      <c r="AK465" t="str">
        <f t="shared" si="70"/>
        <v/>
      </c>
      <c r="AL465" t="str">
        <f t="shared" si="71"/>
        <v/>
      </c>
    </row>
    <row r="466" spans="1:38" ht="14.25" customHeight="1" x14ac:dyDescent="0.25">
      <c r="A466" s="18">
        <v>610</v>
      </c>
      <c r="B466" s="18" t="s">
        <v>8</v>
      </c>
      <c r="C466" s="18" t="s">
        <v>77</v>
      </c>
      <c r="E466" s="23" t="str">
        <f>IF(COUNTIF('Info Strategia'!$D$2:$D$51,$C466)&gt;0,"SI","NO")</f>
        <v>NO</v>
      </c>
      <c r="F466" s="24">
        <f>IFERROR(ROUND(($G466+($H466-$G466)*'Info Strategia'!$B$6)*(1+IF($E466="SI",'Parametri Modello'!$B$7*'Info Strategia'!$B$6,0)),0),"")</f>
        <v>0</v>
      </c>
      <c r="G466" s="24">
        <f>IFERROR(ROUND(MAX(1,(IF($V466&lt;=INDEX('Parametri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H466" s="24">
        <f>IFERROR(ROUND((IF($V466&lt;=INDEX('Parametri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0</v>
      </c>
      <c r="I466" s="23">
        <f>IFERROR(INDEX('Input Statistiche 2025_26'!$F$3:$F$665,MATCH($A466,'Input Statistiche 2025_26'!$A$3:$A$665,0)),"")</f>
        <v>0</v>
      </c>
      <c r="J466" s="23">
        <f t="shared" si="63"/>
        <v>38</v>
      </c>
      <c r="K466" s="23">
        <f>IFERROR(INDEX('Input Statistiche 2025_26'!$I$3:$I$665,MATCH($A466,'Input Statistiche 2025_26'!$A$3:$A$665,0)),"")</f>
        <v>0</v>
      </c>
      <c r="L466" s="23">
        <f>IFERROR(INDEX('Input Statistiche 2025_26'!$O$3:$O$665,MATCH($A466,'Input Statistiche 2025_26'!$A$3:$A$665,0)),"")</f>
        <v>0</v>
      </c>
      <c r="M466" s="25"/>
      <c r="N466" s="24">
        <f>IFERROR(INDEX('Input Giocatori 2026_27'!$E$3:$E$493,MATCH($A466,'Input Giocatori 2026_27'!$A$3:$A$493,0)),"")</f>
        <v>1</v>
      </c>
      <c r="O466" s="24">
        <f>IFERROR(INDEX('Input Giocatori 2026_27'!$G$3:$G$493,MATCH($A466,'Input Giocatori 2026_27'!$A$3:$A$493,0)),"")</f>
        <v>1</v>
      </c>
      <c r="P466" s="23" t="str">
        <f>IFERROR(IF($O466="","",IF((1-(COUNTIFS($B$2:$B$492,$B466,$O$2:$O$492,"&gt;"&amp;$O466)+1-1)/COUNTIF($B$2:$B$492,$B466))&gt;='Parametri Modello'!$B$63,"Top",IF((1-(COUNTIFS($B$2:$B$492,$B466,$O$2:$O$492,"&gt;"&amp;$O466)+1-1)/COUNTIF($B$2:$B$492,$B466))&gt;='Parametri Modello'!$B$64,"Buono",IF((1-(COUNTIFS($B$2:$B$492,$B466,$O$2:$O$492,"&gt;"&amp;$O466)+1-1)/COUNTIF($B$2:$B$492,$B466))&gt;='Parametri Modello'!$B$65,"Nella Media","Scommessa/Riserva")))),"")</f>
        <v>Nella Media</v>
      </c>
      <c r="Q466" s="26" t="str">
        <f>IF(AND($D466="",$N466&gt;1),SUMPRODUCT(($D$2:$D466="")*($N$2:$N466&gt;1)),"")</f>
        <v/>
      </c>
      <c r="R466" s="26" t="str">
        <f>IF($D466='Info Lega'!$B$28,COUNTIFS($D$2:$D466,'Info Lega'!$B$28),"")</f>
        <v/>
      </c>
      <c r="S466" s="27">
        <f>IFERROR(INDEX('Input Statistiche 2025_26'!$G$3:$G$665,MATCH($A466,'Input Statistiche 2025_26'!$A$3:$A$665,0)),"")</f>
        <v>0</v>
      </c>
      <c r="T466" s="27">
        <f>IFERROR(INDEX('Input Statistiche 2025_26'!$H$3:$H$665,MATCH($A466,'Input Statistiche 2025_26'!$A$3:$A$665,0)),"")</f>
        <v>0</v>
      </c>
      <c r="U466" s="23" t="str">
        <f>IF(OR('La Mia Rosa'!$O$12="",$D466&lt;&gt;""),"",IF($F466&lt;='La Mia Rosa'!$O$12*'Parametri Modello'!$B$24,"OK",IF($F466&lt;='La Mia Rosa'!$O$12*'Parametri Modello'!$B$25,"Attenzione","Rischio Alto")))</f>
        <v>OK</v>
      </c>
      <c r="V466" s="23">
        <f t="shared" si="64"/>
        <v>26</v>
      </c>
      <c r="W466" s="18">
        <f>'Info Lega'!$B$4-SUMIFS($M$2:$M$492,$D$2:$D$492,'Info Lega'!$B$28)</f>
        <v>1000</v>
      </c>
      <c r="X466" s="18">
        <f>('Info Lega'!$B$5-COUNTIFS($D$2:$D$492,'Info Lega'!$B$28,$B$2:$B$492,"P"))+('Info Lega'!$B$6-COUNTIFS($D$2:$D$492,'Info Lega'!$B$28,$B$2:$B$492,"D"))+('Info Lega'!$B$7-COUNTIFS($D$2:$D$492,'Info Lega'!$B$28,$B$2:$B$492,"C"))+('Info Lega'!$B$8-COUNTIFS($D$2:$D$492,'Info Lega'!$B$28,$B$2:$B$492,"A"))</f>
        <v>25</v>
      </c>
      <c r="Y466" s="18">
        <f>X466*'Parametri Modello'!$B$30</f>
        <v>25</v>
      </c>
      <c r="Z466" s="18">
        <f t="shared" si="65"/>
        <v>975</v>
      </c>
      <c r="AA466" s="18">
        <f t="shared" si="66"/>
        <v>0</v>
      </c>
      <c r="AB466" s="18"/>
      <c r="AC466" s="18" t="str">
        <f>IF($AB466="","",IF($AB466&gt;$AA466,"PASS",IF($AB466&lt;=$AA466*(1-'Parametri Modello'!$B$68),"BID","ATTENZIONE")))</f>
        <v/>
      </c>
      <c r="AD466" s="28">
        <f t="shared" si="67"/>
        <v>0</v>
      </c>
      <c r="AE466" s="5" t="str">
        <f>IFERROR(IF($AF466="Titolare",INDEX('Stato Asta'!$G$9:$G$12,MATCH($B466,'Stato Asta'!$A$9:$A$12,0)),INDEX('Stato Asta'!$P$9:$P$12,MATCH($B466,'Stato Asta'!$A$9:$A$12,0))),"")</f>
        <v>🔴 Riserve scarse</v>
      </c>
      <c r="AF466" t="str">
        <f>IFERROR(IF($V466&lt;=INDEX('Parametri Modello'!$C$57:$C$60,MATCH($B466,'Parametri Modello'!$A$57:$A$60,0)),"Titolare","Riserva"),"")</f>
        <v>Riserva</v>
      </c>
      <c r="AG466" t="str">
        <f>IFERROR(INDEX('Pressione Competitiva'!$F$3:$F$6,MATCH($B466,'Pressione Competitiva'!$B$3:$B$6,0)),"")</f>
        <v>🔴 Molto Alta</v>
      </c>
      <c r="AH466" t="str">
        <f t="shared" si="68"/>
        <v/>
      </c>
      <c r="AI466" t="str">
        <f>IFERROR(IF($AH466="","",IF($AH466&gt;=$AA466*'Parametri Modello'!$B$68,"🟢 Opportunita'",IF($AH466&lt;=$AA466*'Parametri Modello'!$B$69,"🔴 Sovrapprezzo","🟡 Prezzo Corretto"))),"")</f>
        <v/>
      </c>
      <c r="AJ466" t="str">
        <f t="shared" si="69"/>
        <v/>
      </c>
      <c r="AK466" t="str">
        <f t="shared" si="70"/>
        <v/>
      </c>
      <c r="AL466" t="str">
        <f t="shared" si="71"/>
        <v/>
      </c>
    </row>
    <row r="467" spans="1:38" ht="14.25" customHeight="1" x14ac:dyDescent="0.25">
      <c r="A467" s="18">
        <v>4518</v>
      </c>
      <c r="B467" s="18" t="s">
        <v>8</v>
      </c>
      <c r="C467" s="18" t="s">
        <v>78</v>
      </c>
      <c r="E467" s="23" t="str">
        <f>IF(COUNTIF('Info Strategia'!$D$2:$D$51,$C467)&gt;0,"SI","NO")</f>
        <v>NO</v>
      </c>
      <c r="F467" s="24">
        <f>IFERROR(ROUND(($G467+($H467-$G467)*'Info Strategia'!$B$6)*(1+IF($E467="SI",'Parametri Modello'!$B$7*'Info Strategia'!$B$6,0)),0),"")</f>
        <v>0</v>
      </c>
      <c r="G467" s="24">
        <f>IFERROR(ROUND(MAX(1,(IF($V467&lt;=INDEX('Parametri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H467" s="24">
        <f>IFERROR(ROUND((IF($V467&lt;=INDEX('Parametri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0</v>
      </c>
      <c r="I467" s="23">
        <f>IFERROR(INDEX('Input Statistiche 2025_26'!$F$3:$F$665,MATCH($A467,'Input Statistiche 2025_26'!$A$3:$A$665,0)),"")</f>
        <v>0</v>
      </c>
      <c r="J467" s="23">
        <f t="shared" si="63"/>
        <v>38</v>
      </c>
      <c r="K467" s="23">
        <f>IFERROR(INDEX('Input Statistiche 2025_26'!$I$3:$I$665,MATCH($A467,'Input Statistiche 2025_26'!$A$3:$A$665,0)),"")</f>
        <v>0</v>
      </c>
      <c r="L467" s="23">
        <f>IFERROR(INDEX('Input Statistiche 2025_26'!$O$3:$O$665,MATCH($A467,'Input Statistiche 2025_26'!$A$3:$A$665,0)),"")</f>
        <v>0</v>
      </c>
      <c r="M467" s="25"/>
      <c r="N467" s="24">
        <f>IFERROR(INDEX('Input Giocatori 2026_27'!$E$3:$E$493,MATCH($A467,'Input Giocatori 2026_27'!$A$3:$A$493,0)),"")</f>
        <v>1</v>
      </c>
      <c r="O467" s="24">
        <f>IFERROR(INDEX('Input Giocatori 2026_27'!$G$3:$G$493,MATCH($A467,'Input Giocatori 2026_27'!$A$3:$A$493,0)),"")</f>
        <v>1</v>
      </c>
      <c r="P467" s="23" t="str">
        <f>IFERROR(IF($O467="","",IF((1-(COUNTIFS($B$2:$B$492,$B467,$O$2:$O$492,"&gt;"&amp;$O467)+1-1)/COUNTIF($B$2:$B$492,$B467))&gt;='Parametri Modello'!$B$63,"Top",IF((1-(COUNTIFS($B$2:$B$492,$B467,$O$2:$O$492,"&gt;"&amp;$O467)+1-1)/COUNTIF($B$2:$B$492,$B467))&gt;='Parametri Modello'!$B$64,"Buono",IF((1-(COUNTIFS($B$2:$B$492,$B467,$O$2:$O$492,"&gt;"&amp;$O467)+1-1)/COUNTIF($B$2:$B$492,$B467))&gt;='Parametri Modello'!$B$65,"Nella Media","Scommessa/Riserva")))),"")</f>
        <v>Nella Media</v>
      </c>
      <c r="Q467" s="26" t="str">
        <f>IF(AND($D467="",$N467&gt;1),SUMPRODUCT(($D$2:$D467="")*($N$2:$N467&gt;1)),"")</f>
        <v/>
      </c>
      <c r="R467" s="26" t="str">
        <f>IF($D467='Info Lega'!$B$28,COUNTIFS($D$2:$D467,'Info Lega'!$B$28),"")</f>
        <v/>
      </c>
      <c r="S467" s="27">
        <f>IFERROR(INDEX('Input Statistiche 2025_26'!$G$3:$G$665,MATCH($A467,'Input Statistiche 2025_26'!$A$3:$A$665,0)),"")</f>
        <v>0</v>
      </c>
      <c r="T467" s="27">
        <f>IFERROR(INDEX('Input Statistiche 2025_26'!$H$3:$H$665,MATCH($A467,'Input Statistiche 2025_26'!$A$3:$A$665,0)),"")</f>
        <v>0</v>
      </c>
      <c r="U467" s="23" t="str">
        <f>IF(OR('La Mia Rosa'!$O$12="",$D467&lt;&gt;""),"",IF($F467&lt;='La Mia Rosa'!$O$12*'Parametri Modello'!$B$24,"OK",IF($F467&lt;='La Mia Rosa'!$O$12*'Parametri Modello'!$B$25,"Attenzione","Rischio Alto")))</f>
        <v>OK</v>
      </c>
      <c r="V467" s="23">
        <f t="shared" si="64"/>
        <v>26</v>
      </c>
      <c r="W467" s="18">
        <f>'Info Lega'!$B$4-SUMIFS($M$2:$M$492,$D$2:$D$492,'Info Lega'!$B$28)</f>
        <v>1000</v>
      </c>
      <c r="X467" s="18">
        <f>('Info Lega'!$B$5-COUNTIFS($D$2:$D$492,'Info Lega'!$B$28,$B$2:$B$492,"P"))+('Info Lega'!$B$6-COUNTIFS($D$2:$D$492,'Info Lega'!$B$28,$B$2:$B$492,"D"))+('Info Lega'!$B$7-COUNTIFS($D$2:$D$492,'Info Lega'!$B$28,$B$2:$B$492,"C"))+('Info Lega'!$B$8-COUNTIFS($D$2:$D$492,'Info Lega'!$B$28,$B$2:$B$492,"A"))</f>
        <v>25</v>
      </c>
      <c r="Y467" s="18">
        <f>X467*'Parametri Modello'!$B$30</f>
        <v>25</v>
      </c>
      <c r="Z467" s="18">
        <f t="shared" si="65"/>
        <v>975</v>
      </c>
      <c r="AA467" s="18">
        <f t="shared" si="66"/>
        <v>0</v>
      </c>
      <c r="AB467" s="18"/>
      <c r="AC467" s="18" t="str">
        <f>IF($AB467="","",IF($AB467&gt;$AA467,"PASS",IF($AB467&lt;=$AA467*(1-'Parametri Modello'!$B$68),"BID","ATTENZIONE")))</f>
        <v/>
      </c>
      <c r="AD467" s="28">
        <f t="shared" si="67"/>
        <v>0</v>
      </c>
      <c r="AE467" s="5" t="str">
        <f>IFERROR(IF($AF467="Titolare",INDEX('Stato Asta'!$G$9:$G$12,MATCH($B467,'Stato Asta'!$A$9:$A$12,0)),INDEX('Stato Asta'!$P$9:$P$12,MATCH($B467,'Stato Asta'!$A$9:$A$12,0))),"")</f>
        <v>🔴 Riserve scarse</v>
      </c>
      <c r="AF467" t="str">
        <f>IFERROR(IF($V467&lt;=INDEX('Parametri Modello'!$C$57:$C$60,MATCH($B467,'Parametri Modello'!$A$57:$A$60,0)),"Titolare","Riserva"),"")</f>
        <v>Riserva</v>
      </c>
      <c r="AG467" t="str">
        <f>IFERROR(INDEX('Pressione Competitiva'!$F$3:$F$6,MATCH($B467,'Pressione Competitiva'!$B$3:$B$6,0)),"")</f>
        <v>🔴 Molto Alta</v>
      </c>
      <c r="AH467" t="str">
        <f t="shared" si="68"/>
        <v/>
      </c>
      <c r="AI467" t="str">
        <f>IFERROR(IF($AH467="","",IF($AH467&gt;=$AA467*'Parametri Modello'!$B$68,"🟢 Opportunita'",IF($AH467&lt;=$AA467*'Parametri Modello'!$B$69,"🔴 Sovrapprezzo","🟡 Prezzo Corretto"))),"")</f>
        <v/>
      </c>
      <c r="AJ467" t="str">
        <f t="shared" si="69"/>
        <v/>
      </c>
      <c r="AK467" t="str">
        <f t="shared" si="70"/>
        <v/>
      </c>
      <c r="AL467" t="str">
        <f t="shared" si="71"/>
        <v/>
      </c>
    </row>
    <row r="468" spans="1:38" ht="14.25" customHeight="1" x14ac:dyDescent="0.25">
      <c r="A468" s="18">
        <v>7457</v>
      </c>
      <c r="B468" s="18" t="s">
        <v>8</v>
      </c>
      <c r="C468" s="18" t="s">
        <v>80</v>
      </c>
      <c r="E468" s="23" t="str">
        <f>IF(COUNTIF('Info Strategia'!$D$2:$D$51,$C468)&gt;0,"SI","NO")</f>
        <v>NO</v>
      </c>
      <c r="F468" s="24">
        <f>IFERROR(ROUND(($G468+($H468-$G468)*'Info Strategia'!$B$6)*(1+IF($E468="SI",'Parametri Modello'!$B$7*'Info Strategia'!$B$6,0)),0),"")</f>
        <v>0</v>
      </c>
      <c r="G468" s="24">
        <f>IFERROR(ROUND(MAX(1,(IF($V468&lt;=INDEX('Parametri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H468" s="24">
        <f>IFERROR(ROUND((IF($V468&lt;=INDEX('Parametri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0</v>
      </c>
      <c r="I468" s="23" t="str">
        <f>IFERROR(INDEX('Input Statistiche 2025_26'!$F$3:$F$665,MATCH($A468,'Input Statistiche 2025_26'!$A$3:$A$665,0)),"")</f>
        <v/>
      </c>
      <c r="J468" s="23" t="str">
        <f t="shared" si="63"/>
        <v/>
      </c>
      <c r="K468" s="23" t="str">
        <f>IFERROR(INDEX('Input Statistiche 2025_26'!$I$3:$I$665,MATCH($A468,'Input Statistiche 2025_26'!$A$3:$A$665,0)),"")</f>
        <v/>
      </c>
      <c r="L468" s="23" t="str">
        <f>IFERROR(INDEX('Input Statistiche 2025_26'!$O$3:$O$665,MATCH($A468,'Input Statistiche 2025_26'!$A$3:$A$665,0)),"")</f>
        <v/>
      </c>
      <c r="M468" s="25"/>
      <c r="N468" s="24">
        <f>IFERROR(INDEX('Input Giocatori 2026_27'!$E$3:$E$493,MATCH($A468,'Input Giocatori 2026_27'!$A$3:$A$493,0)),"")</f>
        <v>1</v>
      </c>
      <c r="O468" s="24">
        <f>IFERROR(INDEX('Input Giocatori 2026_27'!$G$3:$G$493,MATCH($A468,'Input Giocatori 2026_27'!$A$3:$A$493,0)),"")</f>
        <v>1</v>
      </c>
      <c r="P468" s="23" t="str">
        <f>IFERROR(IF($O468="","",IF((1-(COUNTIFS($B$2:$B$492,$B468,$O$2:$O$492,"&gt;"&amp;$O468)+1-1)/COUNTIF($B$2:$B$492,$B468))&gt;='Parametri Modello'!$B$63,"Top",IF((1-(COUNTIFS($B$2:$B$492,$B468,$O$2:$O$492,"&gt;"&amp;$O468)+1-1)/COUNTIF($B$2:$B$492,$B468))&gt;='Parametri Modello'!$B$64,"Buono",IF((1-(COUNTIFS($B$2:$B$492,$B468,$O$2:$O$492,"&gt;"&amp;$O468)+1-1)/COUNTIF($B$2:$B$492,$B468))&gt;='Parametri Modello'!$B$65,"Nella Media","Scommessa/Riserva")))),"")</f>
        <v>Nella Media</v>
      </c>
      <c r="Q468" s="26" t="str">
        <f>IF(AND($D468="",$N468&gt;1),SUMPRODUCT(($D$2:$D468="")*($N$2:$N468&gt;1)),"")</f>
        <v/>
      </c>
      <c r="R468" s="26" t="str">
        <f>IF($D468='Info Lega'!$B$28,COUNTIFS($D$2:$D468,'Info Lega'!$B$28),"")</f>
        <v/>
      </c>
      <c r="S468" s="27" t="str">
        <f>IFERROR(INDEX('Input Statistiche 2025_26'!$G$3:$G$665,MATCH($A468,'Input Statistiche 2025_26'!$A$3:$A$665,0)),"")</f>
        <v/>
      </c>
      <c r="T468" s="27" t="str">
        <f>IFERROR(INDEX('Input Statistiche 2025_26'!$H$3:$H$665,MATCH($A468,'Input Statistiche 2025_26'!$A$3:$A$665,0)),"")</f>
        <v/>
      </c>
      <c r="U468" s="23" t="str">
        <f>IF(OR('La Mia Rosa'!$O$12="",$D468&lt;&gt;""),"",IF($F468&lt;='La Mia Rosa'!$O$12*'Parametri Modello'!$B$24,"OK",IF($F468&lt;='La Mia Rosa'!$O$12*'Parametri Modello'!$B$25,"Attenzione","Rischio Alto")))</f>
        <v>OK</v>
      </c>
      <c r="V468" s="23">
        <f t="shared" si="64"/>
        <v>26</v>
      </c>
      <c r="W468" s="18">
        <f>'Info Lega'!$B$4-SUMIFS($M$2:$M$492,$D$2:$D$492,'Info Lega'!$B$28)</f>
        <v>1000</v>
      </c>
      <c r="X468" s="18">
        <f>('Info Lega'!$B$5-COUNTIFS($D$2:$D$492,'Info Lega'!$B$28,$B$2:$B$492,"P"))+('Info Lega'!$B$6-COUNTIFS($D$2:$D$492,'Info Lega'!$B$28,$B$2:$B$492,"D"))+('Info Lega'!$B$7-COUNTIFS($D$2:$D$492,'Info Lega'!$B$28,$B$2:$B$492,"C"))+('Info Lega'!$B$8-COUNTIFS($D$2:$D$492,'Info Lega'!$B$28,$B$2:$B$492,"A"))</f>
        <v>25</v>
      </c>
      <c r="Y468" s="18">
        <f>X468*'Parametri Modello'!$B$30</f>
        <v>25</v>
      </c>
      <c r="Z468" s="18">
        <f t="shared" si="65"/>
        <v>975</v>
      </c>
      <c r="AA468" s="18">
        <f t="shared" si="66"/>
        <v>0</v>
      </c>
      <c r="AB468" s="18"/>
      <c r="AC468" s="18" t="str">
        <f>IF($AB468="","",IF($AB468&gt;$AA468,"PASS",IF($AB468&lt;=$AA468*(1-'Parametri Modello'!$B$68),"BID","ATTENZIONE")))</f>
        <v/>
      </c>
      <c r="AD468" s="28" t="str">
        <f t="shared" si="67"/>
        <v/>
      </c>
      <c r="AE468" s="5" t="str">
        <f>IFERROR(IF($AF468="Titolare",INDEX('Stato Asta'!$G$9:$G$12,MATCH($B468,'Stato Asta'!$A$9:$A$12,0)),INDEX('Stato Asta'!$P$9:$P$12,MATCH($B468,'Stato Asta'!$A$9:$A$12,0))),"")</f>
        <v>🔴 Riserve scarse</v>
      </c>
      <c r="AF468" t="str">
        <f>IFERROR(IF($V468&lt;=INDEX('Parametri Modello'!$C$57:$C$60,MATCH($B468,'Parametri Modello'!$A$57:$A$60,0)),"Titolare","Riserva"),"")</f>
        <v>Riserva</v>
      </c>
      <c r="AG468" t="str">
        <f>IFERROR(INDEX('Pressione Competitiva'!$F$3:$F$6,MATCH($B468,'Pressione Competitiva'!$B$3:$B$6,0)),"")</f>
        <v>🔴 Molto Alta</v>
      </c>
      <c r="AH468" t="str">
        <f t="shared" si="68"/>
        <v/>
      </c>
      <c r="AI468" t="str">
        <f>IFERROR(IF($AH468="","",IF($AH468&gt;=$AA468*'Parametri Modello'!$B$68,"🟢 Opportunita'",IF($AH468&lt;=$AA468*'Parametri Modello'!$B$69,"🔴 Sovrapprezzo","🟡 Prezzo Corretto"))),"")</f>
        <v/>
      </c>
      <c r="AJ468" t="str">
        <f t="shared" si="69"/>
        <v/>
      </c>
      <c r="AK468" t="str">
        <f t="shared" si="70"/>
        <v/>
      </c>
      <c r="AL468" t="str">
        <f t="shared" si="71"/>
        <v/>
      </c>
    </row>
    <row r="469" spans="1:38" ht="14.25" customHeight="1" x14ac:dyDescent="0.25">
      <c r="A469" s="18">
        <v>5320</v>
      </c>
      <c r="B469" s="18" t="s">
        <v>8</v>
      </c>
      <c r="C469" s="18" t="s">
        <v>82</v>
      </c>
      <c r="E469" s="23" t="str">
        <f>IF(COUNTIF('Info Strategia'!$D$2:$D$51,$C469)&gt;0,"SI","NO")</f>
        <v>NO</v>
      </c>
      <c r="F469" s="24">
        <f>IFERROR(ROUND(($G469+($H469-$G469)*'Info Strategia'!$B$6)*(1+IF($E469="SI",'Parametri Modello'!$B$7*'Info Strategia'!$B$6,0)),0),"")</f>
        <v>0</v>
      </c>
      <c r="G469" s="24">
        <f>IFERROR(ROUND(MAX(1,(IF($V469&lt;=INDEX('Parametri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H469" s="24">
        <f>IFERROR(ROUND((IF($V469&lt;=INDEX('Parametri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0</v>
      </c>
      <c r="I469" s="23">
        <f>IFERROR(INDEX('Input Statistiche 2025_26'!$F$3:$F$665,MATCH($A469,'Input Statistiche 2025_26'!$A$3:$A$665,0)),"")</f>
        <v>29</v>
      </c>
      <c r="J469" s="23">
        <f t="shared" si="63"/>
        <v>9</v>
      </c>
      <c r="K469" s="23">
        <f>IFERROR(INDEX('Input Statistiche 2025_26'!$I$3:$I$665,MATCH($A469,'Input Statistiche 2025_26'!$A$3:$A$665,0)),"")</f>
        <v>0</v>
      </c>
      <c r="L469" s="23">
        <f>IFERROR(INDEX('Input Statistiche 2025_26'!$O$3:$O$665,MATCH($A469,'Input Statistiche 2025_26'!$A$3:$A$665,0)),"")</f>
        <v>0</v>
      </c>
      <c r="M469" s="25"/>
      <c r="N469" s="24">
        <f>IFERROR(INDEX('Input Giocatori 2026_27'!$E$3:$E$493,MATCH($A469,'Input Giocatori 2026_27'!$A$3:$A$493,0)),"")</f>
        <v>1</v>
      </c>
      <c r="O469" s="24">
        <f>IFERROR(INDEX('Input Giocatori 2026_27'!$G$3:$G$493,MATCH($A469,'Input Giocatori 2026_27'!$A$3:$A$493,0)),"")</f>
        <v>1</v>
      </c>
      <c r="P469" s="23" t="str">
        <f>IFERROR(IF($O469="","",IF((1-(COUNTIFS($B$2:$B$492,$B469,$O$2:$O$492,"&gt;"&amp;$O469)+1-1)/COUNTIF($B$2:$B$492,$B469))&gt;='Parametri Modello'!$B$63,"Top",IF((1-(COUNTIFS($B$2:$B$492,$B469,$O$2:$O$492,"&gt;"&amp;$O469)+1-1)/COUNTIF($B$2:$B$492,$B469))&gt;='Parametri Modello'!$B$64,"Buono",IF((1-(COUNTIFS($B$2:$B$492,$B469,$O$2:$O$492,"&gt;"&amp;$O469)+1-1)/COUNTIF($B$2:$B$492,$B469))&gt;='Parametri Modello'!$B$65,"Nella Media","Scommessa/Riserva")))),"")</f>
        <v>Nella Media</v>
      </c>
      <c r="Q469" s="26" t="str">
        <f>IF(AND($D469="",$N469&gt;1),SUMPRODUCT(($D$2:$D469="")*($N$2:$N469&gt;1)),"")</f>
        <v/>
      </c>
      <c r="R469" s="26" t="str">
        <f>IF($D469='Info Lega'!$B$28,COUNTIFS($D$2:$D469,'Info Lega'!$B$28),"")</f>
        <v/>
      </c>
      <c r="S469" s="27">
        <f>IFERROR(INDEX('Input Statistiche 2025_26'!$G$3:$G$665,MATCH($A469,'Input Statistiche 2025_26'!$A$3:$A$665,0)),"")</f>
        <v>6.09</v>
      </c>
      <c r="T469" s="27">
        <f>IFERROR(INDEX('Input Statistiche 2025_26'!$H$3:$H$665,MATCH($A469,'Input Statistiche 2025_26'!$A$3:$A$665,0)),"")</f>
        <v>4.5199999999999996</v>
      </c>
      <c r="U469" s="23" t="str">
        <f>IF(OR('La Mia Rosa'!$O$12="",$D469&lt;&gt;""),"",IF($F469&lt;='La Mia Rosa'!$O$12*'Parametri Modello'!$B$24,"OK",IF($F469&lt;='La Mia Rosa'!$O$12*'Parametri Modello'!$B$25,"Attenzione","Rischio Alto")))</f>
        <v>OK</v>
      </c>
      <c r="V469" s="23">
        <f t="shared" si="64"/>
        <v>26</v>
      </c>
      <c r="W469" s="18">
        <f>'Info Lega'!$B$4-SUMIFS($M$2:$M$492,$D$2:$D$492,'Info Lega'!$B$28)</f>
        <v>1000</v>
      </c>
      <c r="X469" s="18">
        <f>('Info Lega'!$B$5-COUNTIFS($D$2:$D$492,'Info Lega'!$B$28,$B$2:$B$492,"P"))+('Info Lega'!$B$6-COUNTIFS($D$2:$D$492,'Info Lega'!$B$28,$B$2:$B$492,"D"))+('Info Lega'!$B$7-COUNTIFS($D$2:$D$492,'Info Lega'!$B$28,$B$2:$B$492,"C"))+('Info Lega'!$B$8-COUNTIFS($D$2:$D$492,'Info Lega'!$B$28,$B$2:$B$492,"A"))</f>
        <v>25</v>
      </c>
      <c r="Y469" s="18">
        <f>X469*'Parametri Modello'!$B$30</f>
        <v>25</v>
      </c>
      <c r="Z469" s="18">
        <f t="shared" si="65"/>
        <v>975</v>
      </c>
      <c r="AA469" s="18">
        <f t="shared" si="66"/>
        <v>0</v>
      </c>
      <c r="AB469" s="18"/>
      <c r="AC469" s="18" t="str">
        <f>IF($AB469="","",IF($AB469&gt;$AA469,"PASS",IF($AB469&lt;=$AA469*(1-'Parametri Modello'!$B$68),"BID","ATTENZIONE")))</f>
        <v/>
      </c>
      <c r="AD469" s="28">
        <f t="shared" si="67"/>
        <v>62</v>
      </c>
      <c r="AE469" s="5" t="str">
        <f>IFERROR(IF($AF469="Titolare",INDEX('Stato Asta'!$G$9:$G$12,MATCH($B469,'Stato Asta'!$A$9:$A$12,0)),INDEX('Stato Asta'!$P$9:$P$12,MATCH($B469,'Stato Asta'!$A$9:$A$12,0))),"")</f>
        <v>🔴 Riserve scarse</v>
      </c>
      <c r="AF469" t="str">
        <f>IFERROR(IF($V469&lt;=INDEX('Parametri Modello'!$C$57:$C$60,MATCH($B469,'Parametri Modello'!$A$57:$A$60,0)),"Titolare","Riserva"),"")</f>
        <v>Riserva</v>
      </c>
      <c r="AG469" t="str">
        <f>IFERROR(INDEX('Pressione Competitiva'!$F$3:$F$6,MATCH($B469,'Pressione Competitiva'!$B$3:$B$6,0)),"")</f>
        <v>🔴 Molto Alta</v>
      </c>
      <c r="AH469" t="str">
        <f t="shared" si="68"/>
        <v/>
      </c>
      <c r="AI469" t="str">
        <f>IFERROR(IF($AH469="","",IF($AH469&gt;=$AA469*'Parametri Modello'!$B$68,"🟢 Opportunita'",IF($AH469&lt;=$AA469*'Parametri Modello'!$B$69,"🔴 Sovrapprezzo","🟡 Prezzo Corretto"))),"")</f>
        <v/>
      </c>
      <c r="AJ469" t="str">
        <f t="shared" si="69"/>
        <v/>
      </c>
      <c r="AK469" t="str">
        <f t="shared" si="70"/>
        <v/>
      </c>
      <c r="AL469" t="str">
        <f t="shared" si="71"/>
        <v/>
      </c>
    </row>
    <row r="470" spans="1:38" ht="14.25" customHeight="1" x14ac:dyDescent="0.25">
      <c r="A470" s="18">
        <v>7363</v>
      </c>
      <c r="B470" s="18" t="s">
        <v>8</v>
      </c>
      <c r="C470" s="18" t="s">
        <v>83</v>
      </c>
      <c r="E470" s="23" t="str">
        <f>IF(COUNTIF('Info Strategia'!$D$2:$D$51,$C470)&gt;0,"SI","NO")</f>
        <v>NO</v>
      </c>
      <c r="F470" s="24">
        <f>IFERROR(ROUND(($G470+($H470-$G470)*'Info Strategia'!$B$6)*(1+IF($E470="SI",'Parametri Modello'!$B$7*'Info Strategia'!$B$6,0)),0),"")</f>
        <v>0</v>
      </c>
      <c r="G470" s="24">
        <f>IFERROR(ROUND(MAX(1,(IF($V470&lt;=INDEX('Parametri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H470" s="24">
        <f>IFERROR(ROUND((IF($V470&lt;=INDEX('Parametri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0</v>
      </c>
      <c r="I470" s="23">
        <f>IFERROR(INDEX('Input Statistiche 2025_26'!$F$3:$F$665,MATCH($A470,'Input Statistiche 2025_26'!$A$3:$A$665,0)),"")</f>
        <v>0</v>
      </c>
      <c r="J470" s="23">
        <f t="shared" si="63"/>
        <v>38</v>
      </c>
      <c r="K470" s="23">
        <f>IFERROR(INDEX('Input Statistiche 2025_26'!$I$3:$I$665,MATCH($A470,'Input Statistiche 2025_26'!$A$3:$A$665,0)),"")</f>
        <v>0</v>
      </c>
      <c r="L470" s="23">
        <f>IFERROR(INDEX('Input Statistiche 2025_26'!$O$3:$O$665,MATCH($A470,'Input Statistiche 2025_26'!$A$3:$A$665,0)),"")</f>
        <v>0</v>
      </c>
      <c r="M470" s="25"/>
      <c r="N470" s="24">
        <f>IFERROR(INDEX('Input Giocatori 2026_27'!$E$3:$E$493,MATCH($A470,'Input Giocatori 2026_27'!$A$3:$A$493,0)),"")</f>
        <v>1</v>
      </c>
      <c r="O470" s="24">
        <f>IFERROR(INDEX('Input Giocatori 2026_27'!$G$3:$G$493,MATCH($A470,'Input Giocatori 2026_27'!$A$3:$A$493,0)),"")</f>
        <v>1</v>
      </c>
      <c r="P470" s="23" t="str">
        <f>IFERROR(IF($O470="","",IF((1-(COUNTIFS($B$2:$B$492,$B470,$O$2:$O$492,"&gt;"&amp;$O470)+1-1)/COUNTIF($B$2:$B$492,$B470))&gt;='Parametri Modello'!$B$63,"Top",IF((1-(COUNTIFS($B$2:$B$492,$B470,$O$2:$O$492,"&gt;"&amp;$O470)+1-1)/COUNTIF($B$2:$B$492,$B470))&gt;='Parametri Modello'!$B$64,"Buono",IF((1-(COUNTIFS($B$2:$B$492,$B470,$O$2:$O$492,"&gt;"&amp;$O470)+1-1)/COUNTIF($B$2:$B$492,$B470))&gt;='Parametri Modello'!$B$65,"Nella Media","Scommessa/Riserva")))),"")</f>
        <v>Nella Media</v>
      </c>
      <c r="Q470" s="26" t="str">
        <f>IF(AND($D470="",$N470&gt;1),SUMPRODUCT(($D$2:$D470="")*($N$2:$N470&gt;1)),"")</f>
        <v/>
      </c>
      <c r="R470" s="26" t="str">
        <f>IF($D470='Info Lega'!$B$28,COUNTIFS($D$2:$D470,'Info Lega'!$B$28),"")</f>
        <v/>
      </c>
      <c r="S470" s="27">
        <f>IFERROR(INDEX('Input Statistiche 2025_26'!$G$3:$G$665,MATCH($A470,'Input Statistiche 2025_26'!$A$3:$A$665,0)),"")</f>
        <v>0</v>
      </c>
      <c r="T470" s="27">
        <f>IFERROR(INDEX('Input Statistiche 2025_26'!$H$3:$H$665,MATCH($A470,'Input Statistiche 2025_26'!$A$3:$A$665,0)),"")</f>
        <v>0</v>
      </c>
      <c r="U470" s="23" t="str">
        <f>IF(OR('La Mia Rosa'!$O$12="",$D470&lt;&gt;""),"",IF($F470&lt;='La Mia Rosa'!$O$12*'Parametri Modello'!$B$24,"OK",IF($F470&lt;='La Mia Rosa'!$O$12*'Parametri Modello'!$B$25,"Attenzione","Rischio Alto")))</f>
        <v>OK</v>
      </c>
      <c r="V470" s="23">
        <f t="shared" si="64"/>
        <v>26</v>
      </c>
      <c r="W470" s="18">
        <f>'Info Lega'!$B$4-SUMIFS($M$2:$M$492,$D$2:$D$492,'Info Lega'!$B$28)</f>
        <v>1000</v>
      </c>
      <c r="X470" s="18">
        <f>('Info Lega'!$B$5-COUNTIFS($D$2:$D$492,'Info Lega'!$B$28,$B$2:$B$492,"P"))+('Info Lega'!$B$6-COUNTIFS($D$2:$D$492,'Info Lega'!$B$28,$B$2:$B$492,"D"))+('Info Lega'!$B$7-COUNTIFS($D$2:$D$492,'Info Lega'!$B$28,$B$2:$B$492,"C"))+('Info Lega'!$B$8-COUNTIFS($D$2:$D$492,'Info Lega'!$B$28,$B$2:$B$492,"A"))</f>
        <v>25</v>
      </c>
      <c r="Y470" s="18">
        <f>X470*'Parametri Modello'!$B$30</f>
        <v>25</v>
      </c>
      <c r="Z470" s="18">
        <f t="shared" si="65"/>
        <v>975</v>
      </c>
      <c r="AA470" s="18">
        <f t="shared" si="66"/>
        <v>0</v>
      </c>
      <c r="AB470" s="18"/>
      <c r="AC470" s="18" t="str">
        <f>IF($AB470="","",IF($AB470&gt;$AA470,"PASS",IF($AB470&lt;=$AA470*(1-'Parametri Modello'!$B$68),"BID","ATTENZIONE")))</f>
        <v/>
      </c>
      <c r="AD470" s="28">
        <f t="shared" si="67"/>
        <v>0</v>
      </c>
      <c r="AE470" s="5" t="str">
        <f>IFERROR(IF($AF470="Titolare",INDEX('Stato Asta'!$G$9:$G$12,MATCH($B470,'Stato Asta'!$A$9:$A$12,0)),INDEX('Stato Asta'!$P$9:$P$12,MATCH($B470,'Stato Asta'!$A$9:$A$12,0))),"")</f>
        <v>🔴 Riserve scarse</v>
      </c>
      <c r="AF470" t="str">
        <f>IFERROR(IF($V470&lt;=INDEX('Parametri Modello'!$C$57:$C$60,MATCH($B470,'Parametri Modello'!$A$57:$A$60,0)),"Titolare","Riserva"),"")</f>
        <v>Riserva</v>
      </c>
      <c r="AG470" t="str">
        <f>IFERROR(INDEX('Pressione Competitiva'!$F$3:$F$6,MATCH($B470,'Pressione Competitiva'!$B$3:$B$6,0)),"")</f>
        <v>🔴 Molto Alta</v>
      </c>
      <c r="AH470" t="str">
        <f t="shared" si="68"/>
        <v/>
      </c>
      <c r="AI470" t="str">
        <f>IFERROR(IF($AH470="","",IF($AH470&gt;=$AA470*'Parametri Modello'!$B$68,"🟢 Opportunita'",IF($AH470&lt;=$AA470*'Parametri Modello'!$B$69,"🔴 Sovrapprezzo","🟡 Prezzo Corretto"))),"")</f>
        <v/>
      </c>
      <c r="AJ470" t="str">
        <f t="shared" si="69"/>
        <v/>
      </c>
      <c r="AK470" t="str">
        <f t="shared" si="70"/>
        <v/>
      </c>
      <c r="AL470" t="str">
        <f t="shared" si="71"/>
        <v/>
      </c>
    </row>
    <row r="471" spans="1:38" ht="14.25" customHeight="1" x14ac:dyDescent="0.25">
      <c r="A471" s="18">
        <v>543</v>
      </c>
      <c r="B471" s="18" t="s">
        <v>8</v>
      </c>
      <c r="C471" s="18" t="s">
        <v>84</v>
      </c>
      <c r="E471" s="23" t="str">
        <f>IF(COUNTIF('Info Strategia'!$D$2:$D$51,$C471)&gt;0,"SI","NO")</f>
        <v>NO</v>
      </c>
      <c r="F471" s="24">
        <f>IFERROR(ROUND(($G471+($H471-$G471)*'Info Strategia'!$B$6)*(1+IF($E471="SI",'Parametri Modello'!$B$7*'Info Strategia'!$B$6,0)),0),"")</f>
        <v>0</v>
      </c>
      <c r="G471" s="24">
        <f>IFERROR(ROUND(MAX(1,(IF($V471&lt;=INDEX('Parametri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H471" s="24">
        <f>IFERROR(ROUND((IF($V471&lt;=INDEX('Parametri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0</v>
      </c>
      <c r="I471" s="23">
        <f>IFERROR(INDEX('Input Statistiche 2025_26'!$F$3:$F$665,MATCH($A471,'Input Statistiche 2025_26'!$A$3:$A$665,0)),"")</f>
        <v>2</v>
      </c>
      <c r="J471" s="23">
        <f t="shared" si="63"/>
        <v>36</v>
      </c>
      <c r="K471" s="23">
        <f>IFERROR(INDEX('Input Statistiche 2025_26'!$I$3:$I$665,MATCH($A471,'Input Statistiche 2025_26'!$A$3:$A$665,0)),"")</f>
        <v>0</v>
      </c>
      <c r="L471" s="23">
        <f>IFERROR(INDEX('Input Statistiche 2025_26'!$O$3:$O$665,MATCH($A471,'Input Statistiche 2025_26'!$A$3:$A$665,0)),"")</f>
        <v>0</v>
      </c>
      <c r="M471" s="25"/>
      <c r="N471" s="24">
        <f>IFERROR(INDEX('Input Giocatori 2026_27'!$E$3:$E$493,MATCH($A471,'Input Giocatori 2026_27'!$A$3:$A$493,0)),"")</f>
        <v>1</v>
      </c>
      <c r="O471" s="24">
        <f>IFERROR(INDEX('Input Giocatori 2026_27'!$G$3:$G$493,MATCH($A471,'Input Giocatori 2026_27'!$A$3:$A$493,0)),"")</f>
        <v>1</v>
      </c>
      <c r="P471" s="23" t="str">
        <f>IFERROR(IF($O471="","",IF((1-(COUNTIFS($B$2:$B$492,$B471,$O$2:$O$492,"&gt;"&amp;$O471)+1-1)/COUNTIF($B$2:$B$492,$B471))&gt;='Parametri Modello'!$B$63,"Top",IF((1-(COUNTIFS($B$2:$B$492,$B471,$O$2:$O$492,"&gt;"&amp;$O471)+1-1)/COUNTIF($B$2:$B$492,$B471))&gt;='Parametri Modello'!$B$64,"Buono",IF((1-(COUNTIFS($B$2:$B$492,$B471,$O$2:$O$492,"&gt;"&amp;$O471)+1-1)/COUNTIF($B$2:$B$492,$B471))&gt;='Parametri Modello'!$B$65,"Nella Media","Scommessa/Riserva")))),"")</f>
        <v>Nella Media</v>
      </c>
      <c r="Q471" s="26" t="str">
        <f>IF(AND($D471="",$N471&gt;1),SUMPRODUCT(($D$2:$D471="")*($N$2:$N471&gt;1)),"")</f>
        <v/>
      </c>
      <c r="R471" s="26" t="str">
        <f>IF($D471='Info Lega'!$B$28,COUNTIFS($D$2:$D471,'Info Lega'!$B$28),"")</f>
        <v/>
      </c>
      <c r="S471" s="27">
        <f>IFERROR(INDEX('Input Statistiche 2025_26'!$G$3:$G$665,MATCH($A471,'Input Statistiche 2025_26'!$A$3:$A$665,0)),"")</f>
        <v>6.25</v>
      </c>
      <c r="T471" s="27">
        <f>IFERROR(INDEX('Input Statistiche 2025_26'!$H$3:$H$665,MATCH($A471,'Input Statistiche 2025_26'!$A$3:$A$665,0)),"")</f>
        <v>5.25</v>
      </c>
      <c r="U471" s="23" t="str">
        <f>IF(OR('La Mia Rosa'!$O$12="",$D471&lt;&gt;""),"",IF($F471&lt;='La Mia Rosa'!$O$12*'Parametri Modello'!$B$24,"OK",IF($F471&lt;='La Mia Rosa'!$O$12*'Parametri Modello'!$B$25,"Attenzione","Rischio Alto")))</f>
        <v>OK</v>
      </c>
      <c r="V471" s="23">
        <f t="shared" si="64"/>
        <v>26</v>
      </c>
      <c r="W471" s="18">
        <f>'Info Lega'!$B$4-SUMIFS($M$2:$M$492,$D$2:$D$492,'Info Lega'!$B$28)</f>
        <v>1000</v>
      </c>
      <c r="X471" s="18">
        <f>('Info Lega'!$B$5-COUNTIFS($D$2:$D$492,'Info Lega'!$B$28,$B$2:$B$492,"P"))+('Info Lega'!$B$6-COUNTIFS($D$2:$D$492,'Info Lega'!$B$28,$B$2:$B$492,"D"))+('Info Lega'!$B$7-COUNTIFS($D$2:$D$492,'Info Lega'!$B$28,$B$2:$B$492,"C"))+('Info Lega'!$B$8-COUNTIFS($D$2:$D$492,'Info Lega'!$B$28,$B$2:$B$492,"A"))</f>
        <v>25</v>
      </c>
      <c r="Y471" s="18">
        <f>X471*'Parametri Modello'!$B$30</f>
        <v>25</v>
      </c>
      <c r="Z471" s="18">
        <f t="shared" si="65"/>
        <v>975</v>
      </c>
      <c r="AA471" s="18">
        <f t="shared" si="66"/>
        <v>0</v>
      </c>
      <c r="AB471" s="18"/>
      <c r="AC471" s="18" t="str">
        <f>IF($AB471="","",IF($AB471&gt;$AA471,"PASS",IF($AB471&lt;=$AA471*(1-'Parametri Modello'!$B$68),"BID","ATTENZIONE")))</f>
        <v/>
      </c>
      <c r="AD471" s="28">
        <f t="shared" si="67"/>
        <v>6</v>
      </c>
      <c r="AE471" s="5" t="str">
        <f>IFERROR(IF($AF471="Titolare",INDEX('Stato Asta'!$G$9:$G$12,MATCH($B471,'Stato Asta'!$A$9:$A$12,0)),INDEX('Stato Asta'!$P$9:$P$12,MATCH($B471,'Stato Asta'!$A$9:$A$12,0))),"")</f>
        <v>🔴 Riserve scarse</v>
      </c>
      <c r="AF471" t="str">
        <f>IFERROR(IF($V471&lt;=INDEX('Parametri Modello'!$C$57:$C$60,MATCH($B471,'Parametri Modello'!$A$57:$A$60,0)),"Titolare","Riserva"),"")</f>
        <v>Riserva</v>
      </c>
      <c r="AG471" t="str">
        <f>IFERROR(INDEX('Pressione Competitiva'!$F$3:$F$6,MATCH($B471,'Pressione Competitiva'!$B$3:$B$6,0)),"")</f>
        <v>🔴 Molto Alta</v>
      </c>
      <c r="AH471" t="str">
        <f t="shared" si="68"/>
        <v/>
      </c>
      <c r="AI471" t="str">
        <f>IFERROR(IF($AH471="","",IF($AH471&gt;=$AA471*'Parametri Modello'!$B$68,"🟢 Opportunita'",IF($AH471&lt;=$AA471*'Parametri Modello'!$B$69,"🔴 Sovrapprezzo","🟡 Prezzo Corretto"))),"")</f>
        <v/>
      </c>
      <c r="AJ471" t="str">
        <f t="shared" si="69"/>
        <v/>
      </c>
      <c r="AK471" t="str">
        <f t="shared" si="70"/>
        <v/>
      </c>
      <c r="AL471" t="str">
        <f t="shared" si="71"/>
        <v/>
      </c>
    </row>
    <row r="472" spans="1:38" ht="14.25" customHeight="1" x14ac:dyDescent="0.25">
      <c r="A472" s="18">
        <v>5707</v>
      </c>
      <c r="B472" s="18" t="s">
        <v>8</v>
      </c>
      <c r="C472" s="18" t="s">
        <v>85</v>
      </c>
      <c r="E472" s="23" t="str">
        <f>IF(COUNTIF('Info Strategia'!$D$2:$D$51,$C472)&gt;0,"SI","NO")</f>
        <v>NO</v>
      </c>
      <c r="F472" s="24">
        <f>IFERROR(ROUND(($G472+($H472-$G472)*'Info Strategia'!$B$6)*(1+IF($E472="SI",'Parametri Modello'!$B$7*'Info Strategia'!$B$6,0)),0),"")</f>
        <v>0</v>
      </c>
      <c r="G472" s="24">
        <f>IFERROR(ROUND(MAX(1,(IF($V472&lt;=INDEX('Parametri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H472" s="24">
        <f>IFERROR(ROUND((IF($V472&lt;=INDEX('Parametri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0</v>
      </c>
      <c r="I472" s="23" t="str">
        <f>IFERROR(INDEX('Input Statistiche 2025_26'!$F$3:$F$665,MATCH($A472,'Input Statistiche 2025_26'!$A$3:$A$665,0)),"")</f>
        <v/>
      </c>
      <c r="J472" s="23" t="str">
        <f t="shared" si="63"/>
        <v/>
      </c>
      <c r="K472" s="23" t="str">
        <f>IFERROR(INDEX('Input Statistiche 2025_26'!$I$3:$I$665,MATCH($A472,'Input Statistiche 2025_26'!$A$3:$A$665,0)),"")</f>
        <v/>
      </c>
      <c r="L472" s="23" t="str">
        <f>IFERROR(INDEX('Input Statistiche 2025_26'!$O$3:$O$665,MATCH($A472,'Input Statistiche 2025_26'!$A$3:$A$665,0)),"")</f>
        <v/>
      </c>
      <c r="M472" s="25"/>
      <c r="N472" s="24">
        <f>IFERROR(INDEX('Input Giocatori 2026_27'!$E$3:$E$493,MATCH($A472,'Input Giocatori 2026_27'!$A$3:$A$493,0)),"")</f>
        <v>1</v>
      </c>
      <c r="O472" s="24">
        <f>IFERROR(INDEX('Input Giocatori 2026_27'!$G$3:$G$493,MATCH($A472,'Input Giocatori 2026_27'!$A$3:$A$493,0)),"")</f>
        <v>1</v>
      </c>
      <c r="P472" s="23" t="str">
        <f>IFERROR(IF($O472="","",IF((1-(COUNTIFS($B$2:$B$492,$B472,$O$2:$O$492,"&gt;"&amp;$O472)+1-1)/COUNTIF($B$2:$B$492,$B472))&gt;='Parametri Modello'!$B$63,"Top",IF((1-(COUNTIFS($B$2:$B$492,$B472,$O$2:$O$492,"&gt;"&amp;$O472)+1-1)/COUNTIF($B$2:$B$492,$B472))&gt;='Parametri Modello'!$B$64,"Buono",IF((1-(COUNTIFS($B$2:$B$492,$B472,$O$2:$O$492,"&gt;"&amp;$O472)+1-1)/COUNTIF($B$2:$B$492,$B472))&gt;='Parametri Modello'!$B$65,"Nella Media","Scommessa/Riserva")))),"")</f>
        <v>Nella Media</v>
      </c>
      <c r="Q472" s="26" t="str">
        <f>IF(AND($D472="",$N472&gt;1),SUMPRODUCT(($D$2:$D472="")*($N$2:$N472&gt;1)),"")</f>
        <v/>
      </c>
      <c r="R472" s="26" t="str">
        <f>IF($D472='Info Lega'!$B$28,COUNTIFS($D$2:$D472,'Info Lega'!$B$28),"")</f>
        <v/>
      </c>
      <c r="S472" s="27" t="str">
        <f>IFERROR(INDEX('Input Statistiche 2025_26'!$G$3:$G$665,MATCH($A472,'Input Statistiche 2025_26'!$A$3:$A$665,0)),"")</f>
        <v/>
      </c>
      <c r="T472" s="27" t="str">
        <f>IFERROR(INDEX('Input Statistiche 2025_26'!$H$3:$H$665,MATCH($A472,'Input Statistiche 2025_26'!$A$3:$A$665,0)),"")</f>
        <v/>
      </c>
      <c r="U472" s="23" t="str">
        <f>IF(OR('La Mia Rosa'!$O$12="",$D472&lt;&gt;""),"",IF($F472&lt;='La Mia Rosa'!$O$12*'Parametri Modello'!$B$24,"OK",IF($F472&lt;='La Mia Rosa'!$O$12*'Parametri Modello'!$B$25,"Attenzione","Rischio Alto")))</f>
        <v>OK</v>
      </c>
      <c r="V472" s="23">
        <f t="shared" si="64"/>
        <v>26</v>
      </c>
      <c r="W472" s="18">
        <f>'Info Lega'!$B$4-SUMIFS($M$2:$M$492,$D$2:$D$492,'Info Lega'!$B$28)</f>
        <v>1000</v>
      </c>
      <c r="X472" s="18">
        <f>('Info Lega'!$B$5-COUNTIFS($D$2:$D$492,'Info Lega'!$B$28,$B$2:$B$492,"P"))+('Info Lega'!$B$6-COUNTIFS($D$2:$D$492,'Info Lega'!$B$28,$B$2:$B$492,"D"))+('Info Lega'!$B$7-COUNTIFS($D$2:$D$492,'Info Lega'!$B$28,$B$2:$B$492,"C"))+('Info Lega'!$B$8-COUNTIFS($D$2:$D$492,'Info Lega'!$B$28,$B$2:$B$492,"A"))</f>
        <v>25</v>
      </c>
      <c r="Y472" s="18">
        <f>X472*'Parametri Modello'!$B$30</f>
        <v>25</v>
      </c>
      <c r="Z472" s="18">
        <f t="shared" si="65"/>
        <v>975</v>
      </c>
      <c r="AA472" s="18">
        <f t="shared" si="66"/>
        <v>0</v>
      </c>
      <c r="AB472" s="18"/>
      <c r="AC472" s="18" t="str">
        <f>IF($AB472="","",IF($AB472&gt;$AA472,"PASS",IF($AB472&lt;=$AA472*(1-'Parametri Modello'!$B$68),"BID","ATTENZIONE")))</f>
        <v/>
      </c>
      <c r="AD472" s="28" t="str">
        <f t="shared" si="67"/>
        <v/>
      </c>
      <c r="AE472" s="5" t="str">
        <f>IFERROR(IF($AF472="Titolare",INDEX('Stato Asta'!$G$9:$G$12,MATCH($B472,'Stato Asta'!$A$9:$A$12,0)),INDEX('Stato Asta'!$P$9:$P$12,MATCH($B472,'Stato Asta'!$A$9:$A$12,0))),"")</f>
        <v>🔴 Riserve scarse</v>
      </c>
      <c r="AF472" t="str">
        <f>IFERROR(IF($V472&lt;=INDEX('Parametri Modello'!$C$57:$C$60,MATCH($B472,'Parametri Modello'!$A$57:$A$60,0)),"Titolare","Riserva"),"")</f>
        <v>Riserva</v>
      </c>
      <c r="AG472" t="str">
        <f>IFERROR(INDEX('Pressione Competitiva'!$F$3:$F$6,MATCH($B472,'Pressione Competitiva'!$B$3:$B$6,0)),"")</f>
        <v>🔴 Molto Alta</v>
      </c>
      <c r="AH472" t="str">
        <f t="shared" si="68"/>
        <v/>
      </c>
      <c r="AI472" t="str">
        <f>IFERROR(IF($AH472="","",IF($AH472&gt;=$AA472*'Parametri Modello'!$B$68,"🟢 Opportunita'",IF($AH472&lt;=$AA472*'Parametri Modello'!$B$69,"🔴 Sovrapprezzo","🟡 Prezzo Corretto"))),"")</f>
        <v/>
      </c>
      <c r="AJ472" t="str">
        <f t="shared" si="69"/>
        <v/>
      </c>
      <c r="AK472" t="str">
        <f t="shared" si="70"/>
        <v/>
      </c>
      <c r="AL472" t="str">
        <f t="shared" si="71"/>
        <v/>
      </c>
    </row>
    <row r="473" spans="1:38" ht="14.25" customHeight="1" x14ac:dyDescent="0.25">
      <c r="A473" s="18">
        <v>6671</v>
      </c>
      <c r="B473" s="18" t="s">
        <v>8</v>
      </c>
      <c r="C473" s="18" t="s">
        <v>86</v>
      </c>
      <c r="E473" s="23" t="str">
        <f>IF(COUNTIF('Info Strategia'!$D$2:$D$51,$C473)&gt;0,"SI","NO")</f>
        <v>NO</v>
      </c>
      <c r="F473" s="24">
        <f>IFERROR(ROUND(($G473+($H473-$G473)*'Info Strategia'!$B$6)*(1+IF($E473="SI",'Parametri Modello'!$B$7*'Info Strategia'!$B$6,0)),0),"")</f>
        <v>0</v>
      </c>
      <c r="G473" s="24">
        <f>IFERROR(ROUND(MAX(1,(IF($V473&lt;=INDEX('Parametri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H473" s="24">
        <f>IFERROR(ROUND((IF($V473&lt;=INDEX('Parametri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0</v>
      </c>
      <c r="I473" s="23" t="str">
        <f>IFERROR(INDEX('Input Statistiche 2025_26'!$F$3:$F$665,MATCH($A473,'Input Statistiche 2025_26'!$A$3:$A$665,0)),"")</f>
        <v/>
      </c>
      <c r="J473" s="23" t="str">
        <f t="shared" si="63"/>
        <v/>
      </c>
      <c r="K473" s="23" t="str">
        <f>IFERROR(INDEX('Input Statistiche 2025_26'!$I$3:$I$665,MATCH($A473,'Input Statistiche 2025_26'!$A$3:$A$665,0)),"")</f>
        <v/>
      </c>
      <c r="L473" s="23" t="str">
        <f>IFERROR(INDEX('Input Statistiche 2025_26'!$O$3:$O$665,MATCH($A473,'Input Statistiche 2025_26'!$A$3:$A$665,0)),"")</f>
        <v/>
      </c>
      <c r="M473" s="25"/>
      <c r="N473" s="24">
        <f>IFERROR(INDEX('Input Giocatori 2026_27'!$E$3:$E$493,MATCH($A473,'Input Giocatori 2026_27'!$A$3:$A$493,0)),"")</f>
        <v>1</v>
      </c>
      <c r="O473" s="24">
        <f>IFERROR(INDEX('Input Giocatori 2026_27'!$G$3:$G$493,MATCH($A473,'Input Giocatori 2026_27'!$A$3:$A$493,0)),"")</f>
        <v>1</v>
      </c>
      <c r="P473" s="23" t="str">
        <f>IFERROR(IF($O473="","",IF((1-(COUNTIFS($B$2:$B$492,$B473,$O$2:$O$492,"&gt;"&amp;$O473)+1-1)/COUNTIF($B$2:$B$492,$B473))&gt;='Parametri Modello'!$B$63,"Top",IF((1-(COUNTIFS($B$2:$B$492,$B473,$O$2:$O$492,"&gt;"&amp;$O473)+1-1)/COUNTIF($B$2:$B$492,$B473))&gt;='Parametri Modello'!$B$64,"Buono",IF((1-(COUNTIFS($B$2:$B$492,$B473,$O$2:$O$492,"&gt;"&amp;$O473)+1-1)/COUNTIF($B$2:$B$492,$B473))&gt;='Parametri Modello'!$B$65,"Nella Media","Scommessa/Riserva")))),"")</f>
        <v>Nella Media</v>
      </c>
      <c r="Q473" s="26" t="str">
        <f>IF(AND($D473="",$N473&gt;1),SUMPRODUCT(($D$2:$D473="")*($N$2:$N473&gt;1)),"")</f>
        <v/>
      </c>
      <c r="R473" s="26" t="str">
        <f>IF($D473='Info Lega'!$B$28,COUNTIFS($D$2:$D473,'Info Lega'!$B$28),"")</f>
        <v/>
      </c>
      <c r="S473" s="27" t="str">
        <f>IFERROR(INDEX('Input Statistiche 2025_26'!$G$3:$G$665,MATCH($A473,'Input Statistiche 2025_26'!$A$3:$A$665,0)),"")</f>
        <v/>
      </c>
      <c r="T473" s="27" t="str">
        <f>IFERROR(INDEX('Input Statistiche 2025_26'!$H$3:$H$665,MATCH($A473,'Input Statistiche 2025_26'!$A$3:$A$665,0)),"")</f>
        <v/>
      </c>
      <c r="U473" s="23" t="str">
        <f>IF(OR('La Mia Rosa'!$O$12="",$D473&lt;&gt;""),"",IF($F473&lt;='La Mia Rosa'!$O$12*'Parametri Modello'!$B$24,"OK",IF($F473&lt;='La Mia Rosa'!$O$12*'Parametri Modello'!$B$25,"Attenzione","Rischio Alto")))</f>
        <v>OK</v>
      </c>
      <c r="V473" s="23">
        <f t="shared" si="64"/>
        <v>26</v>
      </c>
      <c r="W473" s="18">
        <f>'Info Lega'!$B$4-SUMIFS($M$2:$M$492,$D$2:$D$492,'Info Lega'!$B$28)</f>
        <v>1000</v>
      </c>
      <c r="X473" s="18">
        <f>('Info Lega'!$B$5-COUNTIFS($D$2:$D$492,'Info Lega'!$B$28,$B$2:$B$492,"P"))+('Info Lega'!$B$6-COUNTIFS($D$2:$D$492,'Info Lega'!$B$28,$B$2:$B$492,"D"))+('Info Lega'!$B$7-COUNTIFS($D$2:$D$492,'Info Lega'!$B$28,$B$2:$B$492,"C"))+('Info Lega'!$B$8-COUNTIFS($D$2:$D$492,'Info Lega'!$B$28,$B$2:$B$492,"A"))</f>
        <v>25</v>
      </c>
      <c r="Y473" s="18">
        <f>X473*'Parametri Modello'!$B$30</f>
        <v>25</v>
      </c>
      <c r="Z473" s="18">
        <f t="shared" si="65"/>
        <v>975</v>
      </c>
      <c r="AA473" s="18">
        <f t="shared" si="66"/>
        <v>0</v>
      </c>
      <c r="AB473" s="18"/>
      <c r="AC473" s="18" t="str">
        <f>IF($AB473="","",IF($AB473&gt;$AA473,"PASS",IF($AB473&lt;=$AA473*(1-'Parametri Modello'!$B$68),"BID","ATTENZIONE")))</f>
        <v/>
      </c>
      <c r="AD473" s="28" t="str">
        <f t="shared" si="67"/>
        <v/>
      </c>
      <c r="AE473" s="5" t="str">
        <f>IFERROR(IF($AF473="Titolare",INDEX('Stato Asta'!$G$9:$G$12,MATCH($B473,'Stato Asta'!$A$9:$A$12,0)),INDEX('Stato Asta'!$P$9:$P$12,MATCH($B473,'Stato Asta'!$A$9:$A$12,0))),"")</f>
        <v>🔴 Riserve scarse</v>
      </c>
      <c r="AF473" t="str">
        <f>IFERROR(IF($V473&lt;=INDEX('Parametri Modello'!$C$57:$C$60,MATCH($B473,'Parametri Modello'!$A$57:$A$60,0)),"Titolare","Riserva"),"")</f>
        <v>Riserva</v>
      </c>
      <c r="AG473" t="str">
        <f>IFERROR(INDEX('Pressione Competitiva'!$F$3:$F$6,MATCH($B473,'Pressione Competitiva'!$B$3:$B$6,0)),"")</f>
        <v>🔴 Molto Alta</v>
      </c>
      <c r="AH473" t="str">
        <f t="shared" si="68"/>
        <v/>
      </c>
      <c r="AI473" t="str">
        <f>IFERROR(IF($AH473="","",IF($AH473&gt;=$AA473*'Parametri Modello'!$B$68,"🟢 Opportunita'",IF($AH473&lt;=$AA473*'Parametri Modello'!$B$69,"🔴 Sovrapprezzo","🟡 Prezzo Corretto"))),"")</f>
        <v/>
      </c>
      <c r="AJ473" t="str">
        <f t="shared" si="69"/>
        <v/>
      </c>
      <c r="AK473" t="str">
        <f t="shared" si="70"/>
        <v/>
      </c>
      <c r="AL473" t="str">
        <f t="shared" si="71"/>
        <v/>
      </c>
    </row>
    <row r="474" spans="1:38" ht="14.25" customHeight="1" x14ac:dyDescent="0.25">
      <c r="A474" s="18">
        <v>7531</v>
      </c>
      <c r="B474" s="18" t="s">
        <v>8</v>
      </c>
      <c r="C474" s="18" t="s">
        <v>87</v>
      </c>
      <c r="E474" s="23" t="str">
        <f>IF(COUNTIF('Info Strategia'!$D$2:$D$51,$C474)&gt;0,"SI","NO")</f>
        <v>NO</v>
      </c>
      <c r="F474" s="24">
        <f>IFERROR(ROUND(($G474+($H474-$G474)*'Info Strategia'!$B$6)*(1+IF($E474="SI",'Parametri Modello'!$B$7*'Info Strategia'!$B$6,0)),0),"")</f>
        <v>0</v>
      </c>
      <c r="G474" s="24">
        <f>IFERROR(ROUND(MAX(1,(IF($V474&lt;=INDEX('Parametri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H474" s="24">
        <f>IFERROR(ROUND((IF($V474&lt;=INDEX('Parametri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0</v>
      </c>
      <c r="I474" s="23" t="str">
        <f>IFERROR(INDEX('Input Statistiche 2025_26'!$F$3:$F$665,MATCH($A474,'Input Statistiche 2025_26'!$A$3:$A$665,0)),"")</f>
        <v/>
      </c>
      <c r="J474" s="23" t="str">
        <f t="shared" si="63"/>
        <v/>
      </c>
      <c r="K474" s="23" t="str">
        <f>IFERROR(INDEX('Input Statistiche 2025_26'!$I$3:$I$665,MATCH($A474,'Input Statistiche 2025_26'!$A$3:$A$665,0)),"")</f>
        <v/>
      </c>
      <c r="L474" s="23" t="str">
        <f>IFERROR(INDEX('Input Statistiche 2025_26'!$O$3:$O$665,MATCH($A474,'Input Statistiche 2025_26'!$A$3:$A$665,0)),"")</f>
        <v/>
      </c>
      <c r="M474" s="25"/>
      <c r="N474" s="24">
        <f>IFERROR(INDEX('Input Giocatori 2026_27'!$E$3:$E$493,MATCH($A474,'Input Giocatori 2026_27'!$A$3:$A$493,0)),"")</f>
        <v>1</v>
      </c>
      <c r="O474" s="24">
        <f>IFERROR(INDEX('Input Giocatori 2026_27'!$G$3:$G$493,MATCH($A474,'Input Giocatori 2026_27'!$A$3:$A$493,0)),"")</f>
        <v>1</v>
      </c>
      <c r="P474" s="23" t="str">
        <f>IFERROR(IF($O474="","",IF((1-(COUNTIFS($B$2:$B$492,$B474,$O$2:$O$492,"&gt;"&amp;$O474)+1-1)/COUNTIF($B$2:$B$492,$B474))&gt;='Parametri Modello'!$B$63,"Top",IF((1-(COUNTIFS($B$2:$B$492,$B474,$O$2:$O$492,"&gt;"&amp;$O474)+1-1)/COUNTIF($B$2:$B$492,$B474))&gt;='Parametri Modello'!$B$64,"Buono",IF((1-(COUNTIFS($B$2:$B$492,$B474,$O$2:$O$492,"&gt;"&amp;$O474)+1-1)/COUNTIF($B$2:$B$492,$B474))&gt;='Parametri Modello'!$B$65,"Nella Media","Scommessa/Riserva")))),"")</f>
        <v>Nella Media</v>
      </c>
      <c r="Q474" s="26" t="str">
        <f>IF(AND($D474="",$N474&gt;1),SUMPRODUCT(($D$2:$D474="")*($N$2:$N474&gt;1)),"")</f>
        <v/>
      </c>
      <c r="R474" s="26" t="str">
        <f>IF($D474='Info Lega'!$B$28,COUNTIFS($D$2:$D474,'Info Lega'!$B$28),"")</f>
        <v/>
      </c>
      <c r="S474" s="27" t="str">
        <f>IFERROR(INDEX('Input Statistiche 2025_26'!$G$3:$G$665,MATCH($A474,'Input Statistiche 2025_26'!$A$3:$A$665,0)),"")</f>
        <v/>
      </c>
      <c r="T474" s="27" t="str">
        <f>IFERROR(INDEX('Input Statistiche 2025_26'!$H$3:$H$665,MATCH($A474,'Input Statistiche 2025_26'!$A$3:$A$665,0)),"")</f>
        <v/>
      </c>
      <c r="U474" s="23" t="str">
        <f>IF(OR('La Mia Rosa'!$O$12="",$D474&lt;&gt;""),"",IF($F474&lt;='La Mia Rosa'!$O$12*'Parametri Modello'!$B$24,"OK",IF($F474&lt;='La Mia Rosa'!$O$12*'Parametri Modello'!$B$25,"Attenzione","Rischio Alto")))</f>
        <v>OK</v>
      </c>
      <c r="V474" s="23">
        <f t="shared" si="64"/>
        <v>26</v>
      </c>
      <c r="W474" s="18">
        <f>'Info Lega'!$B$4-SUMIFS($M$2:$M$492,$D$2:$D$492,'Info Lega'!$B$28)</f>
        <v>1000</v>
      </c>
      <c r="X474" s="18">
        <f>('Info Lega'!$B$5-COUNTIFS($D$2:$D$492,'Info Lega'!$B$28,$B$2:$B$492,"P"))+('Info Lega'!$B$6-COUNTIFS($D$2:$D$492,'Info Lega'!$B$28,$B$2:$B$492,"D"))+('Info Lega'!$B$7-COUNTIFS($D$2:$D$492,'Info Lega'!$B$28,$B$2:$B$492,"C"))+('Info Lega'!$B$8-COUNTIFS($D$2:$D$492,'Info Lega'!$B$28,$B$2:$B$492,"A"))</f>
        <v>25</v>
      </c>
      <c r="Y474" s="18">
        <f>X474*'Parametri Modello'!$B$30</f>
        <v>25</v>
      </c>
      <c r="Z474" s="18">
        <f t="shared" si="65"/>
        <v>975</v>
      </c>
      <c r="AA474" s="18">
        <f t="shared" si="66"/>
        <v>0</v>
      </c>
      <c r="AB474" s="18"/>
      <c r="AC474" s="18" t="str">
        <f>IF($AB474="","",IF($AB474&gt;$AA474,"PASS",IF($AB474&lt;=$AA474*(1-'Parametri Modello'!$B$68),"BID","ATTENZIONE")))</f>
        <v/>
      </c>
      <c r="AD474" s="28" t="str">
        <f t="shared" si="67"/>
        <v/>
      </c>
      <c r="AE474" s="5" t="str">
        <f>IFERROR(IF($AF474="Titolare",INDEX('Stato Asta'!$G$9:$G$12,MATCH($B474,'Stato Asta'!$A$9:$A$12,0)),INDEX('Stato Asta'!$P$9:$P$12,MATCH($B474,'Stato Asta'!$A$9:$A$12,0))),"")</f>
        <v>🔴 Riserve scarse</v>
      </c>
      <c r="AF474" t="str">
        <f>IFERROR(IF($V474&lt;=INDEX('Parametri Modello'!$C$57:$C$60,MATCH($B474,'Parametri Modello'!$A$57:$A$60,0)),"Titolare","Riserva"),"")</f>
        <v>Riserva</v>
      </c>
      <c r="AG474" t="str">
        <f>IFERROR(INDEX('Pressione Competitiva'!$F$3:$F$6,MATCH($B474,'Pressione Competitiva'!$B$3:$B$6,0)),"")</f>
        <v>🔴 Molto Alta</v>
      </c>
      <c r="AH474" t="str">
        <f t="shared" si="68"/>
        <v/>
      </c>
      <c r="AI474" t="str">
        <f>IFERROR(IF($AH474="","",IF($AH474&gt;=$AA474*'Parametri Modello'!$B$68,"🟢 Opportunita'",IF($AH474&lt;=$AA474*'Parametri Modello'!$B$69,"🔴 Sovrapprezzo","🟡 Prezzo Corretto"))),"")</f>
        <v/>
      </c>
      <c r="AJ474" t="str">
        <f t="shared" si="69"/>
        <v/>
      </c>
      <c r="AK474" t="str">
        <f t="shared" si="70"/>
        <v/>
      </c>
      <c r="AL474" t="str">
        <f t="shared" si="71"/>
        <v/>
      </c>
    </row>
    <row r="475" spans="1:38" ht="14.25" customHeight="1" x14ac:dyDescent="0.25">
      <c r="A475" s="18">
        <v>6672</v>
      </c>
      <c r="B475" s="18" t="s">
        <v>88</v>
      </c>
      <c r="C475" s="18" t="s">
        <v>136</v>
      </c>
      <c r="E475" s="23" t="str">
        <f>IF(COUNTIF('Info Strategia'!$D$2:$D$51,$C475)&gt;0,"SI","NO")</f>
        <v>NO</v>
      </c>
      <c r="F475" s="24">
        <f>IFERROR(ROUND(($G475+($H475-$G475)*'Info Strategia'!$B$6)*(1+IF($E475="SI",'Parametri Modello'!$B$7*'Info Strategia'!$B$6,0)),0),"")</f>
        <v>0</v>
      </c>
      <c r="G475" s="24">
        <f>IFERROR(ROUND(MAX(1,(IF($V475&lt;=INDEX('Parametri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H475" s="24">
        <f>IFERROR(ROUND((IF($V475&lt;=INDEX('Parametri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0</v>
      </c>
      <c r="I475" s="23">
        <f>IFERROR(INDEX('Input Statistiche 2025_26'!$F$3:$F$665,MATCH($A475,'Input Statistiche 2025_26'!$A$3:$A$665,0)),"")</f>
        <v>35</v>
      </c>
      <c r="J475" s="23">
        <f t="shared" si="63"/>
        <v>3</v>
      </c>
      <c r="K475" s="23">
        <f>IFERROR(INDEX('Input Statistiche 2025_26'!$I$3:$I$665,MATCH($A475,'Input Statistiche 2025_26'!$A$3:$A$665,0)),"")</f>
        <v>0</v>
      </c>
      <c r="L475" s="23">
        <f>IFERROR(INDEX('Input Statistiche 2025_26'!$O$3:$O$665,MATCH($A475,'Input Statistiche 2025_26'!$A$3:$A$665,0)),"")</f>
        <v>0</v>
      </c>
      <c r="M475" s="25"/>
      <c r="N475" s="24">
        <f>IFERROR(INDEX('Input Giocatori 2026_27'!$E$3:$E$493,MATCH($A475,'Input Giocatori 2026_27'!$A$3:$A$493,0)),"")</f>
        <v>7</v>
      </c>
      <c r="O475" s="24">
        <f>IFERROR(INDEX('Input Giocatori 2026_27'!$G$3:$G$493,MATCH($A475,'Input Giocatori 2026_27'!$A$3:$A$493,0)),"")</f>
        <v>1</v>
      </c>
      <c r="P475" s="23" t="str">
        <f>IFERROR(IF($O475="","",IF((1-(COUNTIFS($B$2:$B$492,$B475,$O$2:$O$492,"&gt;"&amp;$O475)+1-1)/COUNTIF($B$2:$B$492,$B475))&gt;='Parametri Modello'!$B$63,"Top",IF((1-(COUNTIFS($B$2:$B$492,$B475,$O$2:$O$492,"&gt;"&amp;$O475)+1-1)/COUNTIF($B$2:$B$492,$B475))&gt;='Parametri Modello'!$B$64,"Buono",IF((1-(COUNTIFS($B$2:$B$492,$B475,$O$2:$O$492,"&gt;"&amp;$O475)+1-1)/COUNTIF($B$2:$B$492,$B475))&gt;='Parametri Modello'!$B$65,"Nella Media","Scommessa/Riserva")))),"")</f>
        <v>Scommessa/Riserva</v>
      </c>
      <c r="Q475" s="26">
        <f>IF(AND($D475="",$N475&gt;1),SUMPRODUCT(($D$2:$D475="")*($N$2:$N475&gt;1)),"")</f>
        <v>404</v>
      </c>
      <c r="R475" s="26" t="str">
        <f>IF($D475='Info Lega'!$B$28,COUNTIFS($D$2:$D475,'Info Lega'!$B$28),"")</f>
        <v/>
      </c>
      <c r="S475" s="27">
        <f>IFERROR(INDEX('Input Statistiche 2025_26'!$G$3:$G$665,MATCH($A475,'Input Statistiche 2025_26'!$A$3:$A$665,0)),"")</f>
        <v>5.94</v>
      </c>
      <c r="T475" s="27">
        <f>IFERROR(INDEX('Input Statistiche 2025_26'!$H$3:$H$665,MATCH($A475,'Input Statistiche 2025_26'!$A$3:$A$665,0)),"")</f>
        <v>5.9</v>
      </c>
      <c r="U475" s="23" t="str">
        <f>IF(OR('La Mia Rosa'!$O$12="",$D475&lt;&gt;""),"",IF($F475&lt;='La Mia Rosa'!$O$12*'Parametri Modello'!$B$24,"OK",IF($F475&lt;='La Mia Rosa'!$O$12*'Parametri Modello'!$B$25,"Attenzione","Rischio Alto")))</f>
        <v>OK</v>
      </c>
      <c r="V475" s="23">
        <f t="shared" si="64"/>
        <v>168</v>
      </c>
      <c r="W475" s="18">
        <f>'Info Lega'!$B$4-SUMIFS($M$2:$M$492,$D$2:$D$492,'Info Lega'!$B$28)</f>
        <v>1000</v>
      </c>
      <c r="X475" s="18">
        <f>('Info Lega'!$B$5-COUNTIFS($D$2:$D$492,'Info Lega'!$B$28,$B$2:$B$492,"P"))+('Info Lega'!$B$6-COUNTIFS($D$2:$D$492,'Info Lega'!$B$28,$B$2:$B$492,"D"))+('Info Lega'!$B$7-COUNTIFS($D$2:$D$492,'Info Lega'!$B$28,$B$2:$B$492,"C"))+('Info Lega'!$B$8-COUNTIFS($D$2:$D$492,'Info Lega'!$B$28,$B$2:$B$492,"A"))</f>
        <v>25</v>
      </c>
      <c r="Y475" s="18">
        <f>X475*'Parametri Modello'!$B$30</f>
        <v>25</v>
      </c>
      <c r="Z475" s="18">
        <f t="shared" si="65"/>
        <v>975</v>
      </c>
      <c r="AA475" s="18">
        <f t="shared" si="66"/>
        <v>0</v>
      </c>
      <c r="AB475" s="18"/>
      <c r="AC475" s="18" t="str">
        <f>IF($AB475="","",IF($AB475&gt;$AA475,"PASS",IF($AB475&lt;=$AA475*(1-'Parametri Modello'!$B$68),"BID","ATTENZIONE")))</f>
        <v/>
      </c>
      <c r="AD475" s="28">
        <f t="shared" si="67"/>
        <v>69</v>
      </c>
      <c r="AE475" s="5" t="str">
        <f>IFERROR(IF($AF475="Titolare",INDEX('Stato Asta'!$G$9:$G$12,MATCH($B475,'Stato Asta'!$A$9:$A$12,0)),INDEX('Stato Asta'!$P$9:$P$12,MATCH($B475,'Stato Asta'!$A$9:$A$12,0))),"")</f>
        <v>🟢 Riserve abbondanti</v>
      </c>
      <c r="AF475" t="str">
        <f>IFERROR(IF($V475&lt;=INDEX('Parametri Modello'!$C$57:$C$60,MATCH($B475,'Parametri Modello'!$A$57:$A$60,0)),"Titolare","Riserva"),"")</f>
        <v>Riserva</v>
      </c>
      <c r="AG475" t="str">
        <f>IFERROR(INDEX('Pressione Competitiva'!$F$3:$F$6,MATCH($B475,'Pressione Competitiva'!$B$3:$B$6,0)),"")</f>
        <v>🔴 Molto Alta</v>
      </c>
      <c r="AH475" t="str">
        <f t="shared" si="68"/>
        <v/>
      </c>
      <c r="AI475" t="str">
        <f>IFERROR(IF($AH475="","",IF($AH475&gt;=$AA475*'Parametri Modello'!$B$68,"🟢 Opportunita'",IF($AH475&lt;=$AA475*'Parametri Modello'!$B$69,"🔴 Sovrapprezzo","🟡 Prezzo Corretto"))),"")</f>
        <v/>
      </c>
      <c r="AJ475" t="str">
        <f t="shared" si="69"/>
        <v/>
      </c>
      <c r="AK475">
        <f t="shared" si="70"/>
        <v>37</v>
      </c>
      <c r="AL475" t="str">
        <f t="shared" si="71"/>
        <v>D|Scommessa/Riserva|37</v>
      </c>
    </row>
    <row r="476" spans="1:38" ht="14.25" customHeight="1" x14ac:dyDescent="0.25">
      <c r="A476" s="18">
        <v>7346</v>
      </c>
      <c r="B476" s="18" t="s">
        <v>88</v>
      </c>
      <c r="C476" s="18" t="s">
        <v>238</v>
      </c>
      <c r="E476" s="23" t="str">
        <f>IF(COUNTIF('Info Strategia'!$D$2:$D$51,$C476)&gt;0,"SI","NO")</f>
        <v>NO</v>
      </c>
      <c r="F476" s="24">
        <f>IFERROR(ROUND(($G476+($H476-$G476)*'Info Strategia'!$B$6)*(1+IF($E476="SI",'Parametri Modello'!$B$7*'Info Strategia'!$B$6,0)),0),"")</f>
        <v>0</v>
      </c>
      <c r="G476" s="24">
        <f>IFERROR(ROUND(MAX(1,(IF($V476&lt;=INDEX('Parametri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H476" s="24">
        <f>IFERROR(ROUND((IF($V476&lt;=INDEX('Parametri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0</v>
      </c>
      <c r="I476" s="23">
        <f>IFERROR(INDEX('Input Statistiche 2025_26'!$F$3:$F$665,MATCH($A476,'Input Statistiche 2025_26'!$A$3:$A$665,0)),"")</f>
        <v>0</v>
      </c>
      <c r="J476" s="23">
        <f t="shared" si="63"/>
        <v>38</v>
      </c>
      <c r="K476" s="23">
        <f>IFERROR(INDEX('Input Statistiche 2025_26'!$I$3:$I$665,MATCH($A476,'Input Statistiche 2025_26'!$A$3:$A$665,0)),"")</f>
        <v>0</v>
      </c>
      <c r="L476" s="23">
        <f>IFERROR(INDEX('Input Statistiche 2025_26'!$O$3:$O$665,MATCH($A476,'Input Statistiche 2025_26'!$A$3:$A$665,0)),"")</f>
        <v>0</v>
      </c>
      <c r="M476" s="25"/>
      <c r="N476" s="24">
        <f>IFERROR(INDEX('Input Giocatori 2026_27'!$E$3:$E$493,MATCH($A476,'Input Giocatori 2026_27'!$A$3:$A$493,0)),"")</f>
        <v>1</v>
      </c>
      <c r="O476" s="24">
        <f>IFERROR(INDEX('Input Giocatori 2026_27'!$G$3:$G$493,MATCH($A476,'Input Giocatori 2026_27'!$A$3:$A$493,0)),"")</f>
        <v>1</v>
      </c>
      <c r="P476" s="23" t="str">
        <f>IFERROR(IF($O476="","",IF((1-(COUNTIFS($B$2:$B$492,$B476,$O$2:$O$492,"&gt;"&amp;$O476)+1-1)/COUNTIF($B$2:$B$492,$B476))&gt;='Parametri Modello'!$B$63,"Top",IF((1-(COUNTIFS($B$2:$B$492,$B476,$O$2:$O$492,"&gt;"&amp;$O476)+1-1)/COUNTIF($B$2:$B$492,$B476))&gt;='Parametri Modello'!$B$64,"Buono",IF((1-(COUNTIFS($B$2:$B$492,$B476,$O$2:$O$492,"&gt;"&amp;$O476)+1-1)/COUNTIF($B$2:$B$492,$B476))&gt;='Parametri Modello'!$B$65,"Nella Media","Scommessa/Riserva")))),"")</f>
        <v>Scommessa/Riserva</v>
      </c>
      <c r="Q476" s="26" t="str">
        <f>IF(AND($D476="",$N476&gt;1),SUMPRODUCT(($D$2:$D476="")*($N$2:$N476&gt;1)),"")</f>
        <v/>
      </c>
      <c r="R476" s="26" t="str">
        <f>IF($D476='Info Lega'!$B$28,COUNTIFS($D$2:$D476,'Info Lega'!$B$28),"")</f>
        <v/>
      </c>
      <c r="S476" s="27">
        <f>IFERROR(INDEX('Input Statistiche 2025_26'!$G$3:$G$665,MATCH($A476,'Input Statistiche 2025_26'!$A$3:$A$665,0)),"")</f>
        <v>0</v>
      </c>
      <c r="T476" s="27">
        <f>IFERROR(INDEX('Input Statistiche 2025_26'!$H$3:$H$665,MATCH($A476,'Input Statistiche 2025_26'!$A$3:$A$665,0)),"")</f>
        <v>0</v>
      </c>
      <c r="U476" s="23" t="str">
        <f>IF(OR('La Mia Rosa'!$O$12="",$D476&lt;&gt;""),"",IF($F476&lt;='La Mia Rosa'!$O$12*'Parametri Modello'!$B$24,"OK",IF($F476&lt;='La Mia Rosa'!$O$12*'Parametri Modello'!$B$25,"Attenzione","Rischio Alto")))</f>
        <v>OK</v>
      </c>
      <c r="V476" s="23">
        <f t="shared" si="64"/>
        <v>168</v>
      </c>
      <c r="W476" s="18">
        <f>'Info Lega'!$B$4-SUMIFS($M$2:$M$492,$D$2:$D$492,'Info Lega'!$B$28)</f>
        <v>1000</v>
      </c>
      <c r="X476" s="18">
        <f>('Info Lega'!$B$5-COUNTIFS($D$2:$D$492,'Info Lega'!$B$28,$B$2:$B$492,"P"))+('Info Lega'!$B$6-COUNTIFS($D$2:$D$492,'Info Lega'!$B$28,$B$2:$B$492,"D"))+('Info Lega'!$B$7-COUNTIFS($D$2:$D$492,'Info Lega'!$B$28,$B$2:$B$492,"C"))+('Info Lega'!$B$8-COUNTIFS($D$2:$D$492,'Info Lega'!$B$28,$B$2:$B$492,"A"))</f>
        <v>25</v>
      </c>
      <c r="Y476" s="18">
        <f>X476*'Parametri Modello'!$B$30</f>
        <v>25</v>
      </c>
      <c r="Z476" s="18">
        <f t="shared" si="65"/>
        <v>975</v>
      </c>
      <c r="AA476" s="18">
        <f t="shared" si="66"/>
        <v>0</v>
      </c>
      <c r="AB476" s="18"/>
      <c r="AC476" s="18" t="str">
        <f>IF($AB476="","",IF($AB476&gt;$AA476,"PASS",IF($AB476&lt;=$AA476*(1-'Parametri Modello'!$B$68),"BID","ATTENZIONE")))</f>
        <v/>
      </c>
      <c r="AD476" s="28">
        <f t="shared" si="67"/>
        <v>0</v>
      </c>
      <c r="AE476" s="5" t="str">
        <f>IFERROR(IF($AF476="Titolare",INDEX('Stato Asta'!$G$9:$G$12,MATCH($B476,'Stato Asta'!$A$9:$A$12,0)),INDEX('Stato Asta'!$P$9:$P$12,MATCH($B476,'Stato Asta'!$A$9:$A$12,0))),"")</f>
        <v>🟢 Riserve abbondanti</v>
      </c>
      <c r="AF476" t="str">
        <f>IFERROR(IF($V476&lt;=INDEX('Parametri Modello'!$C$57:$C$60,MATCH($B476,'Parametri Modello'!$A$57:$A$60,0)),"Titolare","Riserva"),"")</f>
        <v>Riserva</v>
      </c>
      <c r="AG476" t="str">
        <f>IFERROR(INDEX('Pressione Competitiva'!$F$3:$F$6,MATCH($B476,'Pressione Competitiva'!$B$3:$B$6,0)),"")</f>
        <v>🔴 Molto Alta</v>
      </c>
      <c r="AH476" t="str">
        <f t="shared" si="68"/>
        <v/>
      </c>
      <c r="AI476" t="str">
        <f>IFERROR(IF($AH476="","",IF($AH476&gt;=$AA476*'Parametri Modello'!$B$68,"🟢 Opportunita'",IF($AH476&lt;=$AA476*'Parametri Modello'!$B$69,"🔴 Sovrapprezzo","🟡 Prezzo Corretto"))),"")</f>
        <v/>
      </c>
      <c r="AJ476" t="str">
        <f t="shared" si="69"/>
        <v/>
      </c>
      <c r="AK476" t="str">
        <f t="shared" si="70"/>
        <v/>
      </c>
      <c r="AL476" t="str">
        <f t="shared" si="71"/>
        <v/>
      </c>
    </row>
    <row r="477" spans="1:38" ht="14.25" customHeight="1" x14ac:dyDescent="0.25">
      <c r="A477" s="18">
        <v>418</v>
      </c>
      <c r="B477" s="18" t="s">
        <v>88</v>
      </c>
      <c r="C477" s="18" t="s">
        <v>239</v>
      </c>
      <c r="E477" s="23" t="str">
        <f>IF(COUNTIF('Info Strategia'!$D$2:$D$51,$C477)&gt;0,"SI","NO")</f>
        <v>NO</v>
      </c>
      <c r="F477" s="24">
        <f>IFERROR(ROUND(($G477+($H477-$G477)*'Info Strategia'!$B$6)*(1+IF($E477="SI",'Parametri Modello'!$B$7*'Info Strategia'!$B$6,0)),0),"")</f>
        <v>0</v>
      </c>
      <c r="G477" s="24">
        <f>IFERROR(ROUND(MAX(1,(IF($V477&lt;=INDEX('Parametri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H477" s="24">
        <f>IFERROR(ROUND((IF($V477&lt;=INDEX('Parametri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0</v>
      </c>
      <c r="I477" s="23">
        <f>IFERROR(INDEX('Input Statistiche 2025_26'!$F$3:$F$665,MATCH($A477,'Input Statistiche 2025_26'!$A$3:$A$665,0)),"")</f>
        <v>0</v>
      </c>
      <c r="J477" s="23">
        <f t="shared" si="63"/>
        <v>38</v>
      </c>
      <c r="K477" s="23">
        <f>IFERROR(INDEX('Input Statistiche 2025_26'!$I$3:$I$665,MATCH($A477,'Input Statistiche 2025_26'!$A$3:$A$665,0)),"")</f>
        <v>0</v>
      </c>
      <c r="L477" s="23">
        <f>IFERROR(INDEX('Input Statistiche 2025_26'!$O$3:$O$665,MATCH($A477,'Input Statistiche 2025_26'!$A$3:$A$665,0)),"")</f>
        <v>0</v>
      </c>
      <c r="M477" s="25"/>
      <c r="N477" s="24">
        <f>IFERROR(INDEX('Input Giocatori 2026_27'!$E$3:$E$493,MATCH($A477,'Input Giocatori 2026_27'!$A$3:$A$493,0)),"")</f>
        <v>1</v>
      </c>
      <c r="O477" s="24">
        <f>IFERROR(INDEX('Input Giocatori 2026_27'!$G$3:$G$493,MATCH($A477,'Input Giocatori 2026_27'!$A$3:$A$493,0)),"")</f>
        <v>1</v>
      </c>
      <c r="P477" s="23" t="str">
        <f>IFERROR(IF($O477="","",IF((1-(COUNTIFS($B$2:$B$492,$B477,$O$2:$O$492,"&gt;"&amp;$O477)+1-1)/COUNTIF($B$2:$B$492,$B477))&gt;='Parametri Modello'!$B$63,"Top",IF((1-(COUNTIFS($B$2:$B$492,$B477,$O$2:$O$492,"&gt;"&amp;$O477)+1-1)/COUNTIF($B$2:$B$492,$B477))&gt;='Parametri Modello'!$B$64,"Buono",IF((1-(COUNTIFS($B$2:$B$492,$B477,$O$2:$O$492,"&gt;"&amp;$O477)+1-1)/COUNTIF($B$2:$B$492,$B477))&gt;='Parametri Modello'!$B$65,"Nella Media","Scommessa/Riserva")))),"")</f>
        <v>Scommessa/Riserva</v>
      </c>
      <c r="Q477" s="26" t="str">
        <f>IF(AND($D477="",$N477&gt;1),SUMPRODUCT(($D$2:$D477="")*($N$2:$N477&gt;1)),"")</f>
        <v/>
      </c>
      <c r="R477" s="26" t="str">
        <f>IF($D477='Info Lega'!$B$28,COUNTIFS($D$2:$D477,'Info Lega'!$B$28),"")</f>
        <v/>
      </c>
      <c r="S477" s="27">
        <f>IFERROR(INDEX('Input Statistiche 2025_26'!$G$3:$G$665,MATCH($A477,'Input Statistiche 2025_26'!$A$3:$A$665,0)),"")</f>
        <v>0</v>
      </c>
      <c r="T477" s="27">
        <f>IFERROR(INDEX('Input Statistiche 2025_26'!$H$3:$H$665,MATCH($A477,'Input Statistiche 2025_26'!$A$3:$A$665,0)),"")</f>
        <v>0</v>
      </c>
      <c r="U477" s="23" t="str">
        <f>IF(OR('La Mia Rosa'!$O$12="",$D477&lt;&gt;""),"",IF($F477&lt;='La Mia Rosa'!$O$12*'Parametri Modello'!$B$24,"OK",IF($F477&lt;='La Mia Rosa'!$O$12*'Parametri Modello'!$B$25,"Attenzione","Rischio Alto")))</f>
        <v>OK</v>
      </c>
      <c r="V477" s="23">
        <f t="shared" si="64"/>
        <v>168</v>
      </c>
      <c r="W477" s="18">
        <f>'Info Lega'!$B$4-SUMIFS($M$2:$M$492,$D$2:$D$492,'Info Lega'!$B$28)</f>
        <v>1000</v>
      </c>
      <c r="X477" s="18">
        <f>('Info Lega'!$B$5-COUNTIFS($D$2:$D$492,'Info Lega'!$B$28,$B$2:$B$492,"P"))+('Info Lega'!$B$6-COUNTIFS($D$2:$D$492,'Info Lega'!$B$28,$B$2:$B$492,"D"))+('Info Lega'!$B$7-COUNTIFS($D$2:$D$492,'Info Lega'!$B$28,$B$2:$B$492,"C"))+('Info Lega'!$B$8-COUNTIFS($D$2:$D$492,'Info Lega'!$B$28,$B$2:$B$492,"A"))</f>
        <v>25</v>
      </c>
      <c r="Y477" s="18">
        <f>X477*'Parametri Modello'!$B$30</f>
        <v>25</v>
      </c>
      <c r="Z477" s="18">
        <f t="shared" si="65"/>
        <v>975</v>
      </c>
      <c r="AA477" s="18">
        <f t="shared" si="66"/>
        <v>0</v>
      </c>
      <c r="AB477" s="18"/>
      <c r="AC477" s="18" t="str">
        <f>IF($AB477="","",IF($AB477&gt;$AA477,"PASS",IF($AB477&lt;=$AA477*(1-'Parametri Modello'!$B$68),"BID","ATTENZIONE")))</f>
        <v/>
      </c>
      <c r="AD477" s="28">
        <f t="shared" si="67"/>
        <v>0</v>
      </c>
      <c r="AE477" s="5" t="str">
        <f>IFERROR(IF($AF477="Titolare",INDEX('Stato Asta'!$G$9:$G$12,MATCH($B477,'Stato Asta'!$A$9:$A$12,0)),INDEX('Stato Asta'!$P$9:$P$12,MATCH($B477,'Stato Asta'!$A$9:$A$12,0))),"")</f>
        <v>🟢 Riserve abbondanti</v>
      </c>
      <c r="AF477" t="str">
        <f>IFERROR(IF($V477&lt;=INDEX('Parametri Modello'!$C$57:$C$60,MATCH($B477,'Parametri Modello'!$A$57:$A$60,0)),"Titolare","Riserva"),"")</f>
        <v>Riserva</v>
      </c>
      <c r="AG477" t="str">
        <f>IFERROR(INDEX('Pressione Competitiva'!$F$3:$F$6,MATCH($B477,'Pressione Competitiva'!$B$3:$B$6,0)),"")</f>
        <v>🔴 Molto Alta</v>
      </c>
      <c r="AH477" t="str">
        <f t="shared" si="68"/>
        <v/>
      </c>
      <c r="AI477" t="str">
        <f>IFERROR(IF($AH477="","",IF($AH477&gt;=$AA477*'Parametri Modello'!$B$68,"🟢 Opportunita'",IF($AH477&lt;=$AA477*'Parametri Modello'!$B$69,"🔴 Sovrapprezzo","🟡 Prezzo Corretto"))),"")</f>
        <v/>
      </c>
      <c r="AJ477" t="str">
        <f t="shared" si="69"/>
        <v/>
      </c>
      <c r="AK477" t="str">
        <f t="shared" si="70"/>
        <v/>
      </c>
      <c r="AL477" t="str">
        <f t="shared" si="71"/>
        <v/>
      </c>
    </row>
    <row r="478" spans="1:38" ht="14.25" customHeight="1" x14ac:dyDescent="0.25">
      <c r="A478" s="18">
        <v>5424</v>
      </c>
      <c r="B478" s="18" t="s">
        <v>88</v>
      </c>
      <c r="C478" s="18" t="s">
        <v>241</v>
      </c>
      <c r="E478" s="23" t="str">
        <f>IF(COUNTIF('Info Strategia'!$D$2:$D$51,$C478)&gt;0,"SI","NO")</f>
        <v>NO</v>
      </c>
      <c r="F478" s="24">
        <f>IFERROR(ROUND(($G478+($H478-$G478)*'Info Strategia'!$B$6)*(1+IF($E478="SI",'Parametri Modello'!$B$7*'Info Strategia'!$B$6,0)),0),"")</f>
        <v>0</v>
      </c>
      <c r="G478" s="24">
        <f>IFERROR(ROUND(MAX(1,(IF($V478&lt;=INDEX('Parametri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H478" s="24">
        <f>IFERROR(ROUND((IF($V478&lt;=INDEX('Parametri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0</v>
      </c>
      <c r="I478" s="23" t="str">
        <f>IFERROR(INDEX('Input Statistiche 2025_26'!$F$3:$F$665,MATCH($A478,'Input Statistiche 2025_26'!$A$3:$A$665,0)),"")</f>
        <v/>
      </c>
      <c r="J478" s="23" t="str">
        <f t="shared" si="63"/>
        <v/>
      </c>
      <c r="K478" s="23" t="str">
        <f>IFERROR(INDEX('Input Statistiche 2025_26'!$I$3:$I$665,MATCH($A478,'Input Statistiche 2025_26'!$A$3:$A$665,0)),"")</f>
        <v/>
      </c>
      <c r="L478" s="23" t="str">
        <f>IFERROR(INDEX('Input Statistiche 2025_26'!$O$3:$O$665,MATCH($A478,'Input Statistiche 2025_26'!$A$3:$A$665,0)),"")</f>
        <v/>
      </c>
      <c r="M478" s="25"/>
      <c r="N478" s="24">
        <f>IFERROR(INDEX('Input Giocatori 2026_27'!$E$3:$E$493,MATCH($A478,'Input Giocatori 2026_27'!$A$3:$A$493,0)),"")</f>
        <v>1</v>
      </c>
      <c r="O478" s="24">
        <f>IFERROR(INDEX('Input Giocatori 2026_27'!$G$3:$G$493,MATCH($A478,'Input Giocatori 2026_27'!$A$3:$A$493,0)),"")</f>
        <v>1</v>
      </c>
      <c r="P478" s="23" t="str">
        <f>IFERROR(IF($O478="","",IF((1-(COUNTIFS($B$2:$B$492,$B478,$O$2:$O$492,"&gt;"&amp;$O478)+1-1)/COUNTIF($B$2:$B$492,$B478))&gt;='Parametri Modello'!$B$63,"Top",IF((1-(COUNTIFS($B$2:$B$492,$B478,$O$2:$O$492,"&gt;"&amp;$O478)+1-1)/COUNTIF($B$2:$B$492,$B478))&gt;='Parametri Modello'!$B$64,"Buono",IF((1-(COUNTIFS($B$2:$B$492,$B478,$O$2:$O$492,"&gt;"&amp;$O478)+1-1)/COUNTIF($B$2:$B$492,$B478))&gt;='Parametri Modello'!$B$65,"Nella Media","Scommessa/Riserva")))),"")</f>
        <v>Scommessa/Riserva</v>
      </c>
      <c r="Q478" s="26" t="str">
        <f>IF(AND($D478="",$N478&gt;1),SUMPRODUCT(($D$2:$D478="")*($N$2:$N478&gt;1)),"")</f>
        <v/>
      </c>
      <c r="R478" s="26" t="str">
        <f>IF($D478='Info Lega'!$B$28,COUNTIFS($D$2:$D478,'Info Lega'!$B$28),"")</f>
        <v/>
      </c>
      <c r="S478" s="27" t="str">
        <f>IFERROR(INDEX('Input Statistiche 2025_26'!$G$3:$G$665,MATCH($A478,'Input Statistiche 2025_26'!$A$3:$A$665,0)),"")</f>
        <v/>
      </c>
      <c r="T478" s="27" t="str">
        <f>IFERROR(INDEX('Input Statistiche 2025_26'!$H$3:$H$665,MATCH($A478,'Input Statistiche 2025_26'!$A$3:$A$665,0)),"")</f>
        <v/>
      </c>
      <c r="U478" s="23" t="str">
        <f>IF(OR('La Mia Rosa'!$O$12="",$D478&lt;&gt;""),"",IF($F478&lt;='La Mia Rosa'!$O$12*'Parametri Modello'!$B$24,"OK",IF($F478&lt;='La Mia Rosa'!$O$12*'Parametri Modello'!$B$25,"Attenzione","Rischio Alto")))</f>
        <v>OK</v>
      </c>
      <c r="V478" s="23">
        <f t="shared" si="64"/>
        <v>168</v>
      </c>
      <c r="W478" s="18">
        <f>'Info Lega'!$B$4-SUMIFS($M$2:$M$492,$D$2:$D$492,'Info Lega'!$B$28)</f>
        <v>1000</v>
      </c>
      <c r="X478" s="18">
        <f>('Info Lega'!$B$5-COUNTIFS($D$2:$D$492,'Info Lega'!$B$28,$B$2:$B$492,"P"))+('Info Lega'!$B$6-COUNTIFS($D$2:$D$492,'Info Lega'!$B$28,$B$2:$B$492,"D"))+('Info Lega'!$B$7-COUNTIFS($D$2:$D$492,'Info Lega'!$B$28,$B$2:$B$492,"C"))+('Info Lega'!$B$8-COUNTIFS($D$2:$D$492,'Info Lega'!$B$28,$B$2:$B$492,"A"))</f>
        <v>25</v>
      </c>
      <c r="Y478" s="18">
        <f>X478*'Parametri Modello'!$B$30</f>
        <v>25</v>
      </c>
      <c r="Z478" s="18">
        <f t="shared" si="65"/>
        <v>975</v>
      </c>
      <c r="AA478" s="18">
        <f t="shared" si="66"/>
        <v>0</v>
      </c>
      <c r="AB478" s="18"/>
      <c r="AC478" s="18" t="str">
        <f>IF($AB478="","",IF($AB478&gt;$AA478,"PASS",IF($AB478&lt;=$AA478*(1-'Parametri Modello'!$B$68),"BID","ATTENZIONE")))</f>
        <v/>
      </c>
      <c r="AD478" s="28" t="str">
        <f t="shared" si="67"/>
        <v/>
      </c>
      <c r="AE478" s="5" t="str">
        <f>IFERROR(IF($AF478="Titolare",INDEX('Stato Asta'!$G$9:$G$12,MATCH($B478,'Stato Asta'!$A$9:$A$12,0)),INDEX('Stato Asta'!$P$9:$P$12,MATCH($B478,'Stato Asta'!$A$9:$A$12,0))),"")</f>
        <v>🟢 Riserve abbondanti</v>
      </c>
      <c r="AF478" t="str">
        <f>IFERROR(IF($V478&lt;=INDEX('Parametri Modello'!$C$57:$C$60,MATCH($B478,'Parametri Modello'!$A$57:$A$60,0)),"Titolare","Riserva"),"")</f>
        <v>Riserva</v>
      </c>
      <c r="AG478" t="str">
        <f>IFERROR(INDEX('Pressione Competitiva'!$F$3:$F$6,MATCH($B478,'Pressione Competitiva'!$B$3:$B$6,0)),"")</f>
        <v>🔴 Molto Alta</v>
      </c>
      <c r="AH478" t="str">
        <f t="shared" si="68"/>
        <v/>
      </c>
      <c r="AI478" t="str">
        <f>IFERROR(IF($AH478="","",IF($AH478&gt;=$AA478*'Parametri Modello'!$B$68,"🟢 Opportunita'",IF($AH478&lt;=$AA478*'Parametri Modello'!$B$69,"🔴 Sovrapprezzo","🟡 Prezzo Corretto"))),"")</f>
        <v/>
      </c>
      <c r="AJ478" t="str">
        <f t="shared" si="69"/>
        <v/>
      </c>
      <c r="AK478" t="str">
        <f t="shared" si="70"/>
        <v/>
      </c>
      <c r="AL478" t="str">
        <f t="shared" si="71"/>
        <v/>
      </c>
    </row>
    <row r="479" spans="1:38" ht="14.25" customHeight="1" x14ac:dyDescent="0.25">
      <c r="A479" s="18">
        <v>7468</v>
      </c>
      <c r="B479" s="18" t="s">
        <v>88</v>
      </c>
      <c r="C479" s="18" t="s">
        <v>242</v>
      </c>
      <c r="E479" s="23" t="str">
        <f>IF(COUNTIF('Info Strategia'!$D$2:$D$51,$C479)&gt;0,"SI","NO")</f>
        <v>NO</v>
      </c>
      <c r="F479" s="24">
        <f>IFERROR(ROUND(($G479+($H479-$G479)*'Info Strategia'!$B$6)*(1+IF($E479="SI",'Parametri Modello'!$B$7*'Info Strategia'!$B$6,0)),0),"")</f>
        <v>0</v>
      </c>
      <c r="G479" s="24">
        <f>IFERROR(ROUND(MAX(1,(IF($V479&lt;=INDEX('Parametri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H479" s="24">
        <f>IFERROR(ROUND((IF($V479&lt;=INDEX('Parametri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0</v>
      </c>
      <c r="I479" s="23" t="str">
        <f>IFERROR(INDEX('Input Statistiche 2025_26'!$F$3:$F$665,MATCH($A479,'Input Statistiche 2025_26'!$A$3:$A$665,0)),"")</f>
        <v/>
      </c>
      <c r="J479" s="23" t="str">
        <f t="shared" si="63"/>
        <v/>
      </c>
      <c r="K479" s="23" t="str">
        <f>IFERROR(INDEX('Input Statistiche 2025_26'!$I$3:$I$665,MATCH($A479,'Input Statistiche 2025_26'!$A$3:$A$665,0)),"")</f>
        <v/>
      </c>
      <c r="L479" s="23" t="str">
        <f>IFERROR(INDEX('Input Statistiche 2025_26'!$O$3:$O$665,MATCH($A479,'Input Statistiche 2025_26'!$A$3:$A$665,0)),"")</f>
        <v/>
      </c>
      <c r="M479" s="25"/>
      <c r="N479" s="24">
        <f>IFERROR(INDEX('Input Giocatori 2026_27'!$E$3:$E$493,MATCH($A479,'Input Giocatori 2026_27'!$A$3:$A$493,0)),"")</f>
        <v>1</v>
      </c>
      <c r="O479" s="24">
        <f>IFERROR(INDEX('Input Giocatori 2026_27'!$G$3:$G$493,MATCH($A479,'Input Giocatori 2026_27'!$A$3:$A$493,0)),"")</f>
        <v>1</v>
      </c>
      <c r="P479" s="23" t="str">
        <f>IFERROR(IF($O479="","",IF((1-(COUNTIFS($B$2:$B$492,$B479,$O$2:$O$492,"&gt;"&amp;$O479)+1-1)/COUNTIF($B$2:$B$492,$B479))&gt;='Parametri Modello'!$B$63,"Top",IF((1-(COUNTIFS($B$2:$B$492,$B479,$O$2:$O$492,"&gt;"&amp;$O479)+1-1)/COUNTIF($B$2:$B$492,$B479))&gt;='Parametri Modello'!$B$64,"Buono",IF((1-(COUNTIFS($B$2:$B$492,$B479,$O$2:$O$492,"&gt;"&amp;$O479)+1-1)/COUNTIF($B$2:$B$492,$B479))&gt;='Parametri Modello'!$B$65,"Nella Media","Scommessa/Riserva")))),"")</f>
        <v>Scommessa/Riserva</v>
      </c>
      <c r="Q479" s="26" t="str">
        <f>IF(AND($D479="",$N479&gt;1),SUMPRODUCT(($D$2:$D479="")*($N$2:$N479&gt;1)),"")</f>
        <v/>
      </c>
      <c r="R479" s="26" t="str">
        <f>IF($D479='Info Lega'!$B$28,COUNTIFS($D$2:$D479,'Info Lega'!$B$28),"")</f>
        <v/>
      </c>
      <c r="S479" s="27" t="str">
        <f>IFERROR(INDEX('Input Statistiche 2025_26'!$G$3:$G$665,MATCH($A479,'Input Statistiche 2025_26'!$A$3:$A$665,0)),"")</f>
        <v/>
      </c>
      <c r="T479" s="27" t="str">
        <f>IFERROR(INDEX('Input Statistiche 2025_26'!$H$3:$H$665,MATCH($A479,'Input Statistiche 2025_26'!$A$3:$A$665,0)),"")</f>
        <v/>
      </c>
      <c r="U479" s="23" t="str">
        <f>IF(OR('La Mia Rosa'!$O$12="",$D479&lt;&gt;""),"",IF($F479&lt;='La Mia Rosa'!$O$12*'Parametri Modello'!$B$24,"OK",IF($F479&lt;='La Mia Rosa'!$O$12*'Parametri Modello'!$B$25,"Attenzione","Rischio Alto")))</f>
        <v>OK</v>
      </c>
      <c r="V479" s="23">
        <f t="shared" si="64"/>
        <v>168</v>
      </c>
      <c r="W479" s="18">
        <f>'Info Lega'!$B$4-SUMIFS($M$2:$M$492,$D$2:$D$492,'Info Lega'!$B$28)</f>
        <v>1000</v>
      </c>
      <c r="X479" s="18">
        <f>('Info Lega'!$B$5-COUNTIFS($D$2:$D$492,'Info Lega'!$B$28,$B$2:$B$492,"P"))+('Info Lega'!$B$6-COUNTIFS($D$2:$D$492,'Info Lega'!$B$28,$B$2:$B$492,"D"))+('Info Lega'!$B$7-COUNTIFS($D$2:$D$492,'Info Lega'!$B$28,$B$2:$B$492,"C"))+('Info Lega'!$B$8-COUNTIFS($D$2:$D$492,'Info Lega'!$B$28,$B$2:$B$492,"A"))</f>
        <v>25</v>
      </c>
      <c r="Y479" s="18">
        <f>X479*'Parametri Modello'!$B$30</f>
        <v>25</v>
      </c>
      <c r="Z479" s="18">
        <f t="shared" si="65"/>
        <v>975</v>
      </c>
      <c r="AA479" s="18">
        <f t="shared" si="66"/>
        <v>0</v>
      </c>
      <c r="AB479" s="18"/>
      <c r="AC479" s="18" t="str">
        <f>IF($AB479="","",IF($AB479&gt;$AA479,"PASS",IF($AB479&lt;=$AA479*(1-'Parametri Modello'!$B$68),"BID","ATTENZIONE")))</f>
        <v/>
      </c>
      <c r="AD479" s="28" t="str">
        <f t="shared" si="67"/>
        <v/>
      </c>
      <c r="AE479" s="5" t="str">
        <f>IFERROR(IF($AF479="Titolare",INDEX('Stato Asta'!$G$9:$G$12,MATCH($B479,'Stato Asta'!$A$9:$A$12,0)),INDEX('Stato Asta'!$P$9:$P$12,MATCH($B479,'Stato Asta'!$A$9:$A$12,0))),"")</f>
        <v>🟢 Riserve abbondanti</v>
      </c>
      <c r="AF479" t="str">
        <f>IFERROR(IF($V479&lt;=INDEX('Parametri Modello'!$C$57:$C$60,MATCH($B479,'Parametri Modello'!$A$57:$A$60,0)),"Titolare","Riserva"),"")</f>
        <v>Riserva</v>
      </c>
      <c r="AG479" t="str">
        <f>IFERROR(INDEX('Pressione Competitiva'!$F$3:$F$6,MATCH($B479,'Pressione Competitiva'!$B$3:$B$6,0)),"")</f>
        <v>🔴 Molto Alta</v>
      </c>
      <c r="AH479" t="str">
        <f t="shared" si="68"/>
        <v/>
      </c>
      <c r="AI479" t="str">
        <f>IFERROR(IF($AH479="","",IF($AH479&gt;=$AA479*'Parametri Modello'!$B$68,"🟢 Opportunita'",IF($AH479&lt;=$AA479*'Parametri Modello'!$B$69,"🔴 Sovrapprezzo","🟡 Prezzo Corretto"))),"")</f>
        <v/>
      </c>
      <c r="AJ479" t="str">
        <f t="shared" si="69"/>
        <v/>
      </c>
      <c r="AK479" t="str">
        <f t="shared" si="70"/>
        <v/>
      </c>
      <c r="AL479" t="str">
        <f t="shared" si="71"/>
        <v/>
      </c>
    </row>
    <row r="480" spans="1:38" ht="14.25" customHeight="1" x14ac:dyDescent="0.25">
      <c r="A480" s="18">
        <v>7164</v>
      </c>
      <c r="B480" s="18" t="s">
        <v>88</v>
      </c>
      <c r="C480" s="18" t="s">
        <v>250</v>
      </c>
      <c r="E480" s="23" t="str">
        <f>IF(COUNTIF('Info Strategia'!$D$2:$D$51,$C480)&gt;0,"SI","NO")</f>
        <v>NO</v>
      </c>
      <c r="F480" s="24">
        <f>IFERROR(ROUND(($G480+($H480-$G480)*'Info Strategia'!$B$6)*(1+IF($E480="SI",'Parametri Modello'!$B$7*'Info Strategia'!$B$6,0)),0),"")</f>
        <v>0</v>
      </c>
      <c r="G480" s="24">
        <f>IFERROR(ROUND(MAX(1,(IF($V480&lt;=INDEX('Parametri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H480" s="24">
        <f>IFERROR(ROUND((IF($V480&lt;=INDEX('Parametri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0</v>
      </c>
      <c r="I480" s="23">
        <f>IFERROR(INDEX('Input Statistiche 2025_26'!$F$3:$F$665,MATCH($A480,'Input Statistiche 2025_26'!$A$3:$A$665,0)),"")</f>
        <v>1</v>
      </c>
      <c r="J480" s="23">
        <f t="shared" si="63"/>
        <v>37</v>
      </c>
      <c r="K480" s="23">
        <f>IFERROR(INDEX('Input Statistiche 2025_26'!$I$3:$I$665,MATCH($A480,'Input Statistiche 2025_26'!$A$3:$A$665,0)),"")</f>
        <v>0</v>
      </c>
      <c r="L480" s="23">
        <f>IFERROR(INDEX('Input Statistiche 2025_26'!$O$3:$O$665,MATCH($A480,'Input Statistiche 2025_26'!$A$3:$A$665,0)),"")</f>
        <v>0</v>
      </c>
      <c r="M480" s="25"/>
      <c r="N480" s="24">
        <f>IFERROR(INDEX('Input Giocatori 2026_27'!$E$3:$E$493,MATCH($A480,'Input Giocatori 2026_27'!$A$3:$A$493,0)),"")</f>
        <v>1</v>
      </c>
      <c r="O480" s="24">
        <f>IFERROR(INDEX('Input Giocatori 2026_27'!$G$3:$G$493,MATCH($A480,'Input Giocatori 2026_27'!$A$3:$A$493,0)),"")</f>
        <v>1</v>
      </c>
      <c r="P480" s="23" t="str">
        <f>IFERROR(IF($O480="","",IF((1-(COUNTIFS($B$2:$B$492,$B480,$O$2:$O$492,"&gt;"&amp;$O480)+1-1)/COUNTIF($B$2:$B$492,$B480))&gt;='Parametri Modello'!$B$63,"Top",IF((1-(COUNTIFS($B$2:$B$492,$B480,$O$2:$O$492,"&gt;"&amp;$O480)+1-1)/COUNTIF($B$2:$B$492,$B480))&gt;='Parametri Modello'!$B$64,"Buono",IF((1-(COUNTIFS($B$2:$B$492,$B480,$O$2:$O$492,"&gt;"&amp;$O480)+1-1)/COUNTIF($B$2:$B$492,$B480))&gt;='Parametri Modello'!$B$65,"Nella Media","Scommessa/Riserva")))),"")</f>
        <v>Scommessa/Riserva</v>
      </c>
      <c r="Q480" s="26" t="str">
        <f>IF(AND($D480="",$N480&gt;1),SUMPRODUCT(($D$2:$D480="")*($N$2:$N480&gt;1)),"")</f>
        <v/>
      </c>
      <c r="R480" s="26" t="str">
        <f>IF($D480='Info Lega'!$B$28,COUNTIFS($D$2:$D480,'Info Lega'!$B$28),"")</f>
        <v/>
      </c>
      <c r="S480" s="27">
        <f>IFERROR(INDEX('Input Statistiche 2025_26'!$G$3:$G$665,MATCH($A480,'Input Statistiche 2025_26'!$A$3:$A$665,0)),"")</f>
        <v>5</v>
      </c>
      <c r="T480" s="27">
        <f>IFERROR(INDEX('Input Statistiche 2025_26'!$H$3:$H$665,MATCH($A480,'Input Statistiche 2025_26'!$A$3:$A$665,0)),"")</f>
        <v>5</v>
      </c>
      <c r="U480" s="23" t="str">
        <f>IF(OR('La Mia Rosa'!$O$12="",$D480&lt;&gt;""),"",IF($F480&lt;='La Mia Rosa'!$O$12*'Parametri Modello'!$B$24,"OK",IF($F480&lt;='La Mia Rosa'!$O$12*'Parametri Modello'!$B$25,"Attenzione","Rischio Alto")))</f>
        <v>OK</v>
      </c>
      <c r="V480" s="23">
        <f t="shared" si="64"/>
        <v>168</v>
      </c>
      <c r="W480" s="18">
        <f>'Info Lega'!$B$4-SUMIFS($M$2:$M$492,$D$2:$D$492,'Info Lega'!$B$28)</f>
        <v>1000</v>
      </c>
      <c r="X480" s="18">
        <f>('Info Lega'!$B$5-COUNTIFS($D$2:$D$492,'Info Lega'!$B$28,$B$2:$B$492,"P"))+('Info Lega'!$B$6-COUNTIFS($D$2:$D$492,'Info Lega'!$B$28,$B$2:$B$492,"D"))+('Info Lega'!$B$7-COUNTIFS($D$2:$D$492,'Info Lega'!$B$28,$B$2:$B$492,"C"))+('Info Lega'!$B$8-COUNTIFS($D$2:$D$492,'Info Lega'!$B$28,$B$2:$B$492,"A"))</f>
        <v>25</v>
      </c>
      <c r="Y480" s="18">
        <f>X480*'Parametri Modello'!$B$30</f>
        <v>25</v>
      </c>
      <c r="Z480" s="18">
        <f t="shared" si="65"/>
        <v>975</v>
      </c>
      <c r="AA480" s="18">
        <f t="shared" si="66"/>
        <v>0</v>
      </c>
      <c r="AB480" s="18"/>
      <c r="AC480" s="18" t="str">
        <f>IF($AB480="","",IF($AB480&gt;$AA480,"PASS",IF($AB480&lt;=$AA480*(1-'Parametri Modello'!$B$68),"BID","ATTENZIONE")))</f>
        <v/>
      </c>
      <c r="AD480" s="28">
        <f t="shared" si="67"/>
        <v>3</v>
      </c>
      <c r="AE480" s="5" t="str">
        <f>IFERROR(IF($AF480="Titolare",INDEX('Stato Asta'!$G$9:$G$12,MATCH($B480,'Stato Asta'!$A$9:$A$12,0)),INDEX('Stato Asta'!$P$9:$P$12,MATCH($B480,'Stato Asta'!$A$9:$A$12,0))),"")</f>
        <v>🟢 Riserve abbondanti</v>
      </c>
      <c r="AF480" t="str">
        <f>IFERROR(IF($V480&lt;=INDEX('Parametri Modello'!$C$57:$C$60,MATCH($B480,'Parametri Modello'!$A$57:$A$60,0)),"Titolare","Riserva"),"")</f>
        <v>Riserva</v>
      </c>
      <c r="AG480" t="str">
        <f>IFERROR(INDEX('Pressione Competitiva'!$F$3:$F$6,MATCH($B480,'Pressione Competitiva'!$B$3:$B$6,0)),"")</f>
        <v>🔴 Molto Alta</v>
      </c>
      <c r="AH480" t="str">
        <f t="shared" si="68"/>
        <v/>
      </c>
      <c r="AI480" t="str">
        <f>IFERROR(IF($AH480="","",IF($AH480&gt;=$AA480*'Parametri Modello'!$B$68,"🟢 Opportunita'",IF($AH480&lt;=$AA480*'Parametri Modello'!$B$69,"🔴 Sovrapprezzo","🟡 Prezzo Corretto"))),"")</f>
        <v/>
      </c>
      <c r="AJ480" t="str">
        <f t="shared" si="69"/>
        <v/>
      </c>
      <c r="AK480" t="str">
        <f t="shared" si="70"/>
        <v/>
      </c>
      <c r="AL480" t="str">
        <f t="shared" si="71"/>
        <v/>
      </c>
    </row>
    <row r="481" spans="1:38" ht="14.25" customHeight="1" x14ac:dyDescent="0.25">
      <c r="A481" s="18">
        <v>7156</v>
      </c>
      <c r="B481" s="18" t="s">
        <v>88</v>
      </c>
      <c r="C481" s="18" t="s">
        <v>260</v>
      </c>
      <c r="E481" s="23" t="str">
        <f>IF(COUNTIF('Info Strategia'!$D$2:$D$51,$C481)&gt;0,"SI","NO")</f>
        <v>NO</v>
      </c>
      <c r="F481" s="24">
        <f>IFERROR(ROUND(($G481+($H481-$G481)*'Info Strategia'!$B$6)*(1+IF($E481="SI",'Parametri Modello'!$B$7*'Info Strategia'!$B$6,0)),0),"")</f>
        <v>0</v>
      </c>
      <c r="G481" s="24">
        <f>IFERROR(ROUND(MAX(1,(IF($V481&lt;=INDEX('Parametri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H481" s="24">
        <f>IFERROR(ROUND((IF($V481&lt;=INDEX('Parametri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0</v>
      </c>
      <c r="I481" s="23">
        <f>IFERROR(INDEX('Input Statistiche 2025_26'!$F$3:$F$665,MATCH($A481,'Input Statistiche 2025_26'!$A$3:$A$665,0)),"")</f>
        <v>0</v>
      </c>
      <c r="J481" s="23">
        <f t="shared" si="63"/>
        <v>38</v>
      </c>
      <c r="K481" s="23">
        <f>IFERROR(INDEX('Input Statistiche 2025_26'!$I$3:$I$665,MATCH($A481,'Input Statistiche 2025_26'!$A$3:$A$665,0)),"")</f>
        <v>0</v>
      </c>
      <c r="L481" s="23">
        <f>IFERROR(INDEX('Input Statistiche 2025_26'!$O$3:$O$665,MATCH($A481,'Input Statistiche 2025_26'!$A$3:$A$665,0)),"")</f>
        <v>0</v>
      </c>
      <c r="M481" s="25"/>
      <c r="N481" s="24">
        <f>IFERROR(INDEX('Input Giocatori 2026_27'!$E$3:$E$493,MATCH($A481,'Input Giocatori 2026_27'!$A$3:$A$493,0)),"")</f>
        <v>1</v>
      </c>
      <c r="O481" s="24">
        <f>IFERROR(INDEX('Input Giocatori 2026_27'!$G$3:$G$493,MATCH($A481,'Input Giocatori 2026_27'!$A$3:$A$493,0)),"")</f>
        <v>1</v>
      </c>
      <c r="P481" s="23" t="str">
        <f>IFERROR(IF($O481="","",IF((1-(COUNTIFS($B$2:$B$492,$B481,$O$2:$O$492,"&gt;"&amp;$O481)+1-1)/COUNTIF($B$2:$B$492,$B481))&gt;='Parametri Modello'!$B$63,"Top",IF((1-(COUNTIFS($B$2:$B$492,$B481,$O$2:$O$492,"&gt;"&amp;$O481)+1-1)/COUNTIF($B$2:$B$492,$B481))&gt;='Parametri Modello'!$B$64,"Buono",IF((1-(COUNTIFS($B$2:$B$492,$B481,$O$2:$O$492,"&gt;"&amp;$O481)+1-1)/COUNTIF($B$2:$B$492,$B481))&gt;='Parametri Modello'!$B$65,"Nella Media","Scommessa/Riserva")))),"")</f>
        <v>Scommessa/Riserva</v>
      </c>
      <c r="Q481" s="26" t="str">
        <f>IF(AND($D481="",$N481&gt;1),SUMPRODUCT(($D$2:$D481="")*($N$2:$N481&gt;1)),"")</f>
        <v/>
      </c>
      <c r="R481" s="26" t="str">
        <f>IF($D481='Info Lega'!$B$28,COUNTIFS($D$2:$D481,'Info Lega'!$B$28),"")</f>
        <v/>
      </c>
      <c r="S481" s="27">
        <f>IFERROR(INDEX('Input Statistiche 2025_26'!$G$3:$G$665,MATCH($A481,'Input Statistiche 2025_26'!$A$3:$A$665,0)),"")</f>
        <v>0</v>
      </c>
      <c r="T481" s="27">
        <f>IFERROR(INDEX('Input Statistiche 2025_26'!$H$3:$H$665,MATCH($A481,'Input Statistiche 2025_26'!$A$3:$A$665,0)),"")</f>
        <v>0</v>
      </c>
      <c r="U481" s="23" t="str">
        <f>IF(OR('La Mia Rosa'!$O$12="",$D481&lt;&gt;""),"",IF($F481&lt;='La Mia Rosa'!$O$12*'Parametri Modello'!$B$24,"OK",IF($F481&lt;='La Mia Rosa'!$O$12*'Parametri Modello'!$B$25,"Attenzione","Rischio Alto")))</f>
        <v>OK</v>
      </c>
      <c r="V481" s="23">
        <f t="shared" si="64"/>
        <v>168</v>
      </c>
      <c r="W481" s="18">
        <f>'Info Lega'!$B$4-SUMIFS($M$2:$M$492,$D$2:$D$492,'Info Lega'!$B$28)</f>
        <v>1000</v>
      </c>
      <c r="X481" s="18">
        <f>('Info Lega'!$B$5-COUNTIFS($D$2:$D$492,'Info Lega'!$B$28,$B$2:$B$492,"P"))+('Info Lega'!$B$6-COUNTIFS($D$2:$D$492,'Info Lega'!$B$28,$B$2:$B$492,"D"))+('Info Lega'!$B$7-COUNTIFS($D$2:$D$492,'Info Lega'!$B$28,$B$2:$B$492,"C"))+('Info Lega'!$B$8-COUNTIFS($D$2:$D$492,'Info Lega'!$B$28,$B$2:$B$492,"A"))</f>
        <v>25</v>
      </c>
      <c r="Y481" s="18">
        <f>X481*'Parametri Modello'!$B$30</f>
        <v>25</v>
      </c>
      <c r="Z481" s="18">
        <f t="shared" si="65"/>
        <v>975</v>
      </c>
      <c r="AA481" s="18">
        <f t="shared" si="66"/>
        <v>0</v>
      </c>
      <c r="AB481" s="18"/>
      <c r="AC481" s="18" t="str">
        <f>IF($AB481="","",IF($AB481&gt;$AA481,"PASS",IF($AB481&lt;=$AA481*(1-'Parametri Modello'!$B$68),"BID","ATTENZIONE")))</f>
        <v/>
      </c>
      <c r="AD481" s="28">
        <f t="shared" si="67"/>
        <v>0</v>
      </c>
      <c r="AE481" s="5" t="str">
        <f>IFERROR(IF($AF481="Titolare",INDEX('Stato Asta'!$G$9:$G$12,MATCH($B481,'Stato Asta'!$A$9:$A$12,0)),INDEX('Stato Asta'!$P$9:$P$12,MATCH($B481,'Stato Asta'!$A$9:$A$12,0))),"")</f>
        <v>🟢 Riserve abbondanti</v>
      </c>
      <c r="AF481" t="str">
        <f>IFERROR(IF($V481&lt;=INDEX('Parametri Modello'!$C$57:$C$60,MATCH($B481,'Parametri Modello'!$A$57:$A$60,0)),"Titolare","Riserva"),"")</f>
        <v>Riserva</v>
      </c>
      <c r="AG481" t="str">
        <f>IFERROR(INDEX('Pressione Competitiva'!$F$3:$F$6,MATCH($B481,'Pressione Competitiva'!$B$3:$B$6,0)),"")</f>
        <v>🔴 Molto Alta</v>
      </c>
      <c r="AH481" t="str">
        <f t="shared" si="68"/>
        <v/>
      </c>
      <c r="AI481" t="str">
        <f>IFERROR(IF($AH481="","",IF($AH481&gt;=$AA481*'Parametri Modello'!$B$68,"🟢 Opportunita'",IF($AH481&lt;=$AA481*'Parametri Modello'!$B$69,"🔴 Sovrapprezzo","🟡 Prezzo Corretto"))),"")</f>
        <v/>
      </c>
      <c r="AJ481" t="str">
        <f t="shared" si="69"/>
        <v/>
      </c>
      <c r="AK481" t="str">
        <f t="shared" si="70"/>
        <v/>
      </c>
      <c r="AL481" t="str">
        <f t="shared" si="71"/>
        <v/>
      </c>
    </row>
    <row r="482" spans="1:38" ht="14.25" customHeight="1" x14ac:dyDescent="0.25">
      <c r="A482" s="18">
        <v>7454</v>
      </c>
      <c r="B482" s="18" t="s">
        <v>88</v>
      </c>
      <c r="C482" s="18" t="s">
        <v>263</v>
      </c>
      <c r="E482" s="23" t="str">
        <f>IF(COUNTIF('Info Strategia'!$D$2:$D$51,$C482)&gt;0,"SI","NO")</f>
        <v>NO</v>
      </c>
      <c r="F482" s="24">
        <f>IFERROR(ROUND(($G482+($H482-$G482)*'Info Strategia'!$B$6)*(1+IF($E482="SI",'Parametri Modello'!$B$7*'Info Strategia'!$B$6,0)),0),"")</f>
        <v>0</v>
      </c>
      <c r="G482" s="24">
        <f>IFERROR(ROUND(MAX(1,(IF($V482&lt;=INDEX('Parametri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H482" s="24">
        <f>IFERROR(ROUND((IF($V482&lt;=INDEX('Parametri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0</v>
      </c>
      <c r="I482" s="23" t="str">
        <f>IFERROR(INDEX('Input Statistiche 2025_26'!$F$3:$F$665,MATCH($A482,'Input Statistiche 2025_26'!$A$3:$A$665,0)),"")</f>
        <v/>
      </c>
      <c r="J482" s="23" t="str">
        <f t="shared" si="63"/>
        <v/>
      </c>
      <c r="K482" s="23" t="str">
        <f>IFERROR(INDEX('Input Statistiche 2025_26'!$I$3:$I$665,MATCH($A482,'Input Statistiche 2025_26'!$A$3:$A$665,0)),"")</f>
        <v/>
      </c>
      <c r="L482" s="23" t="str">
        <f>IFERROR(INDEX('Input Statistiche 2025_26'!$O$3:$O$665,MATCH($A482,'Input Statistiche 2025_26'!$A$3:$A$665,0)),"")</f>
        <v/>
      </c>
      <c r="M482" s="25"/>
      <c r="N482" s="24">
        <f>IFERROR(INDEX('Input Giocatori 2026_27'!$E$3:$E$493,MATCH($A482,'Input Giocatori 2026_27'!$A$3:$A$493,0)),"")</f>
        <v>1</v>
      </c>
      <c r="O482" s="24">
        <f>IFERROR(INDEX('Input Giocatori 2026_27'!$G$3:$G$493,MATCH($A482,'Input Giocatori 2026_27'!$A$3:$A$493,0)),"")</f>
        <v>1</v>
      </c>
      <c r="P482" s="23" t="str">
        <f>IFERROR(IF($O482="","",IF((1-(COUNTIFS($B$2:$B$492,$B482,$O$2:$O$492,"&gt;"&amp;$O482)+1-1)/COUNTIF($B$2:$B$492,$B482))&gt;='Parametri Modello'!$B$63,"Top",IF((1-(COUNTIFS($B$2:$B$492,$B482,$O$2:$O$492,"&gt;"&amp;$O482)+1-1)/COUNTIF($B$2:$B$492,$B482))&gt;='Parametri Modello'!$B$64,"Buono",IF((1-(COUNTIFS($B$2:$B$492,$B482,$O$2:$O$492,"&gt;"&amp;$O482)+1-1)/COUNTIF($B$2:$B$492,$B482))&gt;='Parametri Modello'!$B$65,"Nella Media","Scommessa/Riserva")))),"")</f>
        <v>Scommessa/Riserva</v>
      </c>
      <c r="Q482" s="26" t="str">
        <f>IF(AND($D482="",$N482&gt;1),SUMPRODUCT(($D$2:$D482="")*($N$2:$N482&gt;1)),"")</f>
        <v/>
      </c>
      <c r="R482" s="26" t="str">
        <f>IF($D482='Info Lega'!$B$28,COUNTIFS($D$2:$D482,'Info Lega'!$B$28),"")</f>
        <v/>
      </c>
      <c r="S482" s="27" t="str">
        <f>IFERROR(INDEX('Input Statistiche 2025_26'!$G$3:$G$665,MATCH($A482,'Input Statistiche 2025_26'!$A$3:$A$665,0)),"")</f>
        <v/>
      </c>
      <c r="T482" s="27" t="str">
        <f>IFERROR(INDEX('Input Statistiche 2025_26'!$H$3:$H$665,MATCH($A482,'Input Statistiche 2025_26'!$A$3:$A$665,0)),"")</f>
        <v/>
      </c>
      <c r="U482" s="23" t="str">
        <f>IF(OR('La Mia Rosa'!$O$12="",$D482&lt;&gt;""),"",IF($F482&lt;='La Mia Rosa'!$O$12*'Parametri Modello'!$B$24,"OK",IF($F482&lt;='La Mia Rosa'!$O$12*'Parametri Modello'!$B$25,"Attenzione","Rischio Alto")))</f>
        <v>OK</v>
      </c>
      <c r="V482" s="23">
        <f t="shared" si="64"/>
        <v>168</v>
      </c>
      <c r="W482" s="18">
        <f>'Info Lega'!$B$4-SUMIFS($M$2:$M$492,$D$2:$D$492,'Info Lega'!$B$28)</f>
        <v>1000</v>
      </c>
      <c r="X482" s="18">
        <f>('Info Lega'!$B$5-COUNTIFS($D$2:$D$492,'Info Lega'!$B$28,$B$2:$B$492,"P"))+('Info Lega'!$B$6-COUNTIFS($D$2:$D$492,'Info Lega'!$B$28,$B$2:$B$492,"D"))+('Info Lega'!$B$7-COUNTIFS($D$2:$D$492,'Info Lega'!$B$28,$B$2:$B$492,"C"))+('Info Lega'!$B$8-COUNTIFS($D$2:$D$492,'Info Lega'!$B$28,$B$2:$B$492,"A"))</f>
        <v>25</v>
      </c>
      <c r="Y482" s="18">
        <f>X482*'Parametri Modello'!$B$30</f>
        <v>25</v>
      </c>
      <c r="Z482" s="18">
        <f t="shared" si="65"/>
        <v>975</v>
      </c>
      <c r="AA482" s="18">
        <f t="shared" si="66"/>
        <v>0</v>
      </c>
      <c r="AB482" s="18"/>
      <c r="AC482" s="18" t="str">
        <f>IF($AB482="","",IF($AB482&gt;$AA482,"PASS",IF($AB482&lt;=$AA482*(1-'Parametri Modello'!$B$68),"BID","ATTENZIONE")))</f>
        <v/>
      </c>
      <c r="AD482" s="28" t="str">
        <f t="shared" si="67"/>
        <v/>
      </c>
      <c r="AE482" s="5" t="str">
        <f>IFERROR(IF($AF482="Titolare",INDEX('Stato Asta'!$G$9:$G$12,MATCH($B482,'Stato Asta'!$A$9:$A$12,0)),INDEX('Stato Asta'!$P$9:$P$12,MATCH($B482,'Stato Asta'!$A$9:$A$12,0))),"")</f>
        <v>🟢 Riserve abbondanti</v>
      </c>
      <c r="AF482" t="str">
        <f>IFERROR(IF($V482&lt;=INDEX('Parametri Modello'!$C$57:$C$60,MATCH($B482,'Parametri Modello'!$A$57:$A$60,0)),"Titolare","Riserva"),"")</f>
        <v>Riserva</v>
      </c>
      <c r="AG482" t="str">
        <f>IFERROR(INDEX('Pressione Competitiva'!$F$3:$F$6,MATCH($B482,'Pressione Competitiva'!$B$3:$B$6,0)),"")</f>
        <v>🔴 Molto Alta</v>
      </c>
      <c r="AH482" t="str">
        <f t="shared" si="68"/>
        <v/>
      </c>
      <c r="AI482" t="str">
        <f>IFERROR(IF($AH482="","",IF($AH482&gt;=$AA482*'Parametri Modello'!$B$68,"🟢 Opportunita'",IF($AH482&lt;=$AA482*'Parametri Modello'!$B$69,"🔴 Sovrapprezzo","🟡 Prezzo Corretto"))),"")</f>
        <v/>
      </c>
      <c r="AJ482" t="str">
        <f t="shared" si="69"/>
        <v/>
      </c>
      <c r="AK482" t="str">
        <f t="shared" si="70"/>
        <v/>
      </c>
      <c r="AL482" t="str">
        <f t="shared" si="71"/>
        <v/>
      </c>
    </row>
    <row r="483" spans="1:38" ht="14.25" customHeight="1" x14ac:dyDescent="0.25">
      <c r="A483" s="18">
        <v>7165</v>
      </c>
      <c r="B483" s="18" t="s">
        <v>264</v>
      </c>
      <c r="C483" s="18" t="s">
        <v>420</v>
      </c>
      <c r="E483" s="23" t="str">
        <f>IF(COUNTIF('Info Strategia'!$D$2:$D$51,$C483)&gt;0,"SI","NO")</f>
        <v>NO</v>
      </c>
      <c r="F483" s="24">
        <f>IFERROR(ROUND(($G483+($H483-$G483)*'Info Strategia'!$B$6)*(1+IF($E483="SI",'Parametri Modello'!$B$7*'Info Strategia'!$B$6,0)),0),"")</f>
        <v>0</v>
      </c>
      <c r="G483" s="24">
        <f>IFERROR(ROUND(MAX(1,(IF($V483&lt;=INDEX('Parametri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1</v>
      </c>
      <c r="H483" s="24">
        <f>IFERROR(ROUND((IF($V483&lt;=INDEX('Parametri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0</v>
      </c>
      <c r="I483" s="23">
        <f>IFERROR(INDEX('Input Statistiche 2025_26'!$F$3:$F$665,MATCH($A483,'Input Statistiche 2025_26'!$A$3:$A$665,0)),"")</f>
        <v>4</v>
      </c>
      <c r="J483" s="23">
        <f t="shared" si="63"/>
        <v>34</v>
      </c>
      <c r="K483" s="23">
        <f>IFERROR(INDEX('Input Statistiche 2025_26'!$I$3:$I$665,MATCH($A483,'Input Statistiche 2025_26'!$A$3:$A$665,0)),"")</f>
        <v>0</v>
      </c>
      <c r="L483" s="23">
        <f>IFERROR(INDEX('Input Statistiche 2025_26'!$O$3:$O$665,MATCH($A483,'Input Statistiche 2025_26'!$A$3:$A$665,0)),"")</f>
        <v>0</v>
      </c>
      <c r="M483" s="25"/>
      <c r="N483" s="24">
        <f>IFERROR(INDEX('Input Giocatori 2026_27'!$E$3:$E$493,MATCH($A483,'Input Giocatori 2026_27'!$A$3:$A$493,0)),"")</f>
        <v>1</v>
      </c>
      <c r="O483" s="24">
        <f>IFERROR(INDEX('Input Giocatori 2026_27'!$G$3:$G$493,MATCH($A483,'Input Giocatori 2026_27'!$A$3:$A$493,0)),"")</f>
        <v>1</v>
      </c>
      <c r="P483" s="23" t="str">
        <f>IFERROR(IF($O483="","",IF((1-(COUNTIFS($B$2:$B$492,$B483,$O$2:$O$492,"&gt;"&amp;$O483)+1-1)/COUNTIF($B$2:$B$492,$B483))&gt;='Parametri Modello'!$B$63,"Top",IF((1-(COUNTIFS($B$2:$B$492,$B483,$O$2:$O$492,"&gt;"&amp;$O483)+1-1)/COUNTIF($B$2:$B$492,$B483))&gt;='Parametri Modello'!$B$64,"Buono",IF((1-(COUNTIFS($B$2:$B$492,$B483,$O$2:$O$492,"&gt;"&amp;$O483)+1-1)/COUNTIF($B$2:$B$492,$B483))&gt;='Parametri Modello'!$B$65,"Nella Media","Scommessa/Riserva")))),"")</f>
        <v>Scommessa/Riserva</v>
      </c>
      <c r="Q483" s="26" t="str">
        <f>IF(AND($D483="",$N483&gt;1),SUMPRODUCT(($D$2:$D483="")*($N$2:$N483&gt;1)),"")</f>
        <v/>
      </c>
      <c r="R483" s="26" t="str">
        <f>IF($D483='Info Lega'!$B$28,COUNTIFS($D$2:$D483,'Info Lega'!$B$28),"")</f>
        <v/>
      </c>
      <c r="S483" s="27">
        <f>IFERROR(INDEX('Input Statistiche 2025_26'!$G$3:$G$665,MATCH($A483,'Input Statistiche 2025_26'!$A$3:$A$665,0)),"")</f>
        <v>5.75</v>
      </c>
      <c r="T483" s="27">
        <f>IFERROR(INDEX('Input Statistiche 2025_26'!$H$3:$H$665,MATCH($A483,'Input Statistiche 2025_26'!$A$3:$A$665,0)),"")</f>
        <v>5.75</v>
      </c>
      <c r="U483" s="23" t="str">
        <f>IF(OR('La Mia Rosa'!$O$12="",$D483&lt;&gt;""),"",IF($F483&lt;='La Mia Rosa'!$O$12*'Parametri Modello'!$B$24,"OK",IF($F483&lt;='La Mia Rosa'!$O$12*'Parametri Modello'!$B$25,"Attenzione","Rischio Alto")))</f>
        <v>OK</v>
      </c>
      <c r="V483" s="23">
        <f t="shared" si="64"/>
        <v>168</v>
      </c>
      <c r="W483" s="18">
        <f>'Info Lega'!$B$4-SUMIFS($M$2:$M$492,$D$2:$D$492,'Info Lega'!$B$28)</f>
        <v>1000</v>
      </c>
      <c r="X483" s="18">
        <f>('Info Lega'!$B$5-COUNTIFS($D$2:$D$492,'Info Lega'!$B$28,$B$2:$B$492,"P"))+('Info Lega'!$B$6-COUNTIFS($D$2:$D$492,'Info Lega'!$B$28,$B$2:$B$492,"D"))+('Info Lega'!$B$7-COUNTIFS($D$2:$D$492,'Info Lega'!$B$28,$B$2:$B$492,"C"))+('Info Lega'!$B$8-COUNTIFS($D$2:$D$492,'Info Lega'!$B$28,$B$2:$B$492,"A"))</f>
        <v>25</v>
      </c>
      <c r="Y483" s="18">
        <f>X483*'Parametri Modello'!$B$30</f>
        <v>25</v>
      </c>
      <c r="Z483" s="18">
        <f t="shared" si="65"/>
        <v>975</v>
      </c>
      <c r="AA483" s="18">
        <f t="shared" si="66"/>
        <v>0</v>
      </c>
      <c r="AB483" s="18"/>
      <c r="AC483" s="18" t="str">
        <f>IF($AB483="","",IF($AB483&gt;$AA483,"PASS",IF($AB483&lt;=$AA483*(1-'Parametri Modello'!$B$68),"BID","ATTENZIONE")))</f>
        <v/>
      </c>
      <c r="AD483" s="28">
        <f t="shared" si="67"/>
        <v>12</v>
      </c>
      <c r="AE483" s="5" t="str">
        <f>IFERROR(IF($AF483="Titolare",INDEX('Stato Asta'!$G$9:$G$12,MATCH($B483,'Stato Asta'!$A$9:$A$12,0)),INDEX('Stato Asta'!$P$9:$P$12,MATCH($B483,'Stato Asta'!$A$9:$A$12,0))),"")</f>
        <v>🟢 Riserve abbondanti</v>
      </c>
      <c r="AF483" t="str">
        <f>IFERROR(IF($V483&lt;=INDEX('Parametri Modello'!$C$57:$C$60,MATCH($B483,'Parametri Modello'!$A$57:$A$60,0)),"Titolare","Riserva"),"")</f>
        <v>Riserva</v>
      </c>
      <c r="AG483" t="str">
        <f>IFERROR(INDEX('Pressione Competitiva'!$F$3:$F$6,MATCH($B483,'Pressione Competitiva'!$B$3:$B$6,0)),"")</f>
        <v>🔴 Molto Alta</v>
      </c>
      <c r="AH483" t="str">
        <f t="shared" si="68"/>
        <v/>
      </c>
      <c r="AI483" t="str">
        <f>IFERROR(IF($AH483="","",IF($AH483&gt;=$AA483*'Parametri Modello'!$B$68,"🟢 Opportunita'",IF($AH483&lt;=$AA483*'Parametri Modello'!$B$69,"🔴 Sovrapprezzo","🟡 Prezzo Corretto"))),"")</f>
        <v/>
      </c>
      <c r="AJ483" t="str">
        <f t="shared" si="69"/>
        <v/>
      </c>
      <c r="AK483" t="str">
        <f t="shared" si="70"/>
        <v/>
      </c>
      <c r="AL483" t="str">
        <f t="shared" si="71"/>
        <v/>
      </c>
    </row>
    <row r="484" spans="1:38" ht="14.25" customHeight="1" x14ac:dyDescent="0.25">
      <c r="A484" s="18">
        <v>7357</v>
      </c>
      <c r="B484" s="18" t="s">
        <v>264</v>
      </c>
      <c r="C484" s="18" t="s">
        <v>421</v>
      </c>
      <c r="E484" s="23" t="str">
        <f>IF(COUNTIF('Info Strategia'!$D$2:$D$51,$C484)&gt;0,"SI","NO")</f>
        <v>NO</v>
      </c>
      <c r="F484" s="24">
        <f>IFERROR(ROUND(($G484+($H484-$G484)*'Info Strategia'!$B$6)*(1+IF($E484="SI",'Parametri Modello'!$B$7*'Info Strategia'!$B$6,0)),0),"")</f>
        <v>0</v>
      </c>
      <c r="G484" s="24">
        <f>IFERROR(ROUND(MAX(1,(IF($V484&lt;=INDEX('Parametri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1</v>
      </c>
      <c r="H484" s="24">
        <f>IFERROR(ROUND((IF($V484&lt;=INDEX('Parametri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0</v>
      </c>
      <c r="I484" s="23">
        <f>IFERROR(INDEX('Input Statistiche 2025_26'!$F$3:$F$665,MATCH($A484,'Input Statistiche 2025_26'!$A$3:$A$665,0)),"")</f>
        <v>0</v>
      </c>
      <c r="J484" s="23">
        <f t="shared" si="63"/>
        <v>38</v>
      </c>
      <c r="K484" s="23">
        <f>IFERROR(INDEX('Input Statistiche 2025_26'!$I$3:$I$665,MATCH($A484,'Input Statistiche 2025_26'!$A$3:$A$665,0)),"")</f>
        <v>0</v>
      </c>
      <c r="L484" s="23">
        <f>IFERROR(INDEX('Input Statistiche 2025_26'!$O$3:$O$665,MATCH($A484,'Input Statistiche 2025_26'!$A$3:$A$665,0)),"")</f>
        <v>0</v>
      </c>
      <c r="M484" s="25"/>
      <c r="N484" s="24">
        <f>IFERROR(INDEX('Input Giocatori 2026_27'!$E$3:$E$493,MATCH($A484,'Input Giocatori 2026_27'!$A$3:$A$493,0)),"")</f>
        <v>1</v>
      </c>
      <c r="O484" s="24">
        <f>IFERROR(INDEX('Input Giocatori 2026_27'!$G$3:$G$493,MATCH($A484,'Input Giocatori 2026_27'!$A$3:$A$493,0)),"")</f>
        <v>1</v>
      </c>
      <c r="P484" s="23" t="str">
        <f>IFERROR(IF($O484="","",IF((1-(COUNTIFS($B$2:$B$492,$B484,$O$2:$O$492,"&gt;"&amp;$O484)+1-1)/COUNTIF($B$2:$B$492,$B484))&gt;='Parametri Modello'!$B$63,"Top",IF((1-(COUNTIFS($B$2:$B$492,$B484,$O$2:$O$492,"&gt;"&amp;$O484)+1-1)/COUNTIF($B$2:$B$492,$B484))&gt;='Parametri Modello'!$B$64,"Buono",IF((1-(COUNTIFS($B$2:$B$492,$B484,$O$2:$O$492,"&gt;"&amp;$O484)+1-1)/COUNTIF($B$2:$B$492,$B484))&gt;='Parametri Modello'!$B$65,"Nella Media","Scommessa/Riserva")))),"")</f>
        <v>Scommessa/Riserva</v>
      </c>
      <c r="Q484" s="26" t="str">
        <f>IF(AND($D484="",$N484&gt;1),SUMPRODUCT(($D$2:$D484="")*($N$2:$N484&gt;1)),"")</f>
        <v/>
      </c>
      <c r="R484" s="26" t="str">
        <f>IF($D484='Info Lega'!$B$28,COUNTIFS($D$2:$D484,'Info Lega'!$B$28),"")</f>
        <v/>
      </c>
      <c r="S484" s="27">
        <f>IFERROR(INDEX('Input Statistiche 2025_26'!$G$3:$G$665,MATCH($A484,'Input Statistiche 2025_26'!$A$3:$A$665,0)),"")</f>
        <v>0</v>
      </c>
      <c r="T484" s="27">
        <f>IFERROR(INDEX('Input Statistiche 2025_26'!$H$3:$H$665,MATCH($A484,'Input Statistiche 2025_26'!$A$3:$A$665,0)),"")</f>
        <v>0</v>
      </c>
      <c r="U484" s="23" t="str">
        <f>IF(OR('La Mia Rosa'!$O$12="",$D484&lt;&gt;""),"",IF($F484&lt;='La Mia Rosa'!$O$12*'Parametri Modello'!$B$24,"OK",IF($F484&lt;='La Mia Rosa'!$O$12*'Parametri Modello'!$B$25,"Attenzione","Rischio Alto")))</f>
        <v>OK</v>
      </c>
      <c r="V484" s="23">
        <f t="shared" si="64"/>
        <v>168</v>
      </c>
      <c r="W484" s="18">
        <f>'Info Lega'!$B$4-SUMIFS($M$2:$M$492,$D$2:$D$492,'Info Lega'!$B$28)</f>
        <v>1000</v>
      </c>
      <c r="X484" s="18">
        <f>('Info Lega'!$B$5-COUNTIFS($D$2:$D$492,'Info Lega'!$B$28,$B$2:$B$492,"P"))+('Info Lega'!$B$6-COUNTIFS($D$2:$D$492,'Info Lega'!$B$28,$B$2:$B$492,"D"))+('Info Lega'!$B$7-COUNTIFS($D$2:$D$492,'Info Lega'!$B$28,$B$2:$B$492,"C"))+('Info Lega'!$B$8-COUNTIFS($D$2:$D$492,'Info Lega'!$B$28,$B$2:$B$492,"A"))</f>
        <v>25</v>
      </c>
      <c r="Y484" s="18">
        <f>X484*'Parametri Modello'!$B$30</f>
        <v>25</v>
      </c>
      <c r="Z484" s="18">
        <f t="shared" si="65"/>
        <v>975</v>
      </c>
      <c r="AA484" s="18">
        <f t="shared" si="66"/>
        <v>0</v>
      </c>
      <c r="AB484" s="18"/>
      <c r="AC484" s="18" t="str">
        <f>IF($AB484="","",IF($AB484&gt;$AA484,"PASS",IF($AB484&lt;=$AA484*(1-'Parametri Modello'!$B$68),"BID","ATTENZIONE")))</f>
        <v/>
      </c>
      <c r="AD484" s="28">
        <f t="shared" si="67"/>
        <v>0</v>
      </c>
      <c r="AE484" s="5" t="str">
        <f>IFERROR(IF($AF484="Titolare",INDEX('Stato Asta'!$G$9:$G$12,MATCH($B484,'Stato Asta'!$A$9:$A$12,0)),INDEX('Stato Asta'!$P$9:$P$12,MATCH($B484,'Stato Asta'!$A$9:$A$12,0))),"")</f>
        <v>🟢 Riserve abbondanti</v>
      </c>
      <c r="AF484" t="str">
        <f>IFERROR(IF($V484&lt;=INDEX('Parametri Modello'!$C$57:$C$60,MATCH($B484,'Parametri Modello'!$A$57:$A$60,0)),"Titolare","Riserva"),"")</f>
        <v>Riserva</v>
      </c>
      <c r="AG484" t="str">
        <f>IFERROR(INDEX('Pressione Competitiva'!$F$3:$F$6,MATCH($B484,'Pressione Competitiva'!$B$3:$B$6,0)),"")</f>
        <v>🔴 Molto Alta</v>
      </c>
      <c r="AH484" t="str">
        <f t="shared" si="68"/>
        <v/>
      </c>
      <c r="AI484" t="str">
        <f>IFERROR(IF($AH484="","",IF($AH484&gt;=$AA484*'Parametri Modello'!$B$68,"🟢 Opportunita'",IF($AH484&lt;=$AA484*'Parametri Modello'!$B$69,"🔴 Sovrapprezzo","🟡 Prezzo Corretto"))),"")</f>
        <v/>
      </c>
      <c r="AJ484" t="str">
        <f t="shared" si="69"/>
        <v/>
      </c>
      <c r="AK484" t="str">
        <f t="shared" si="70"/>
        <v/>
      </c>
      <c r="AL484" t="str">
        <f t="shared" si="71"/>
        <v/>
      </c>
    </row>
    <row r="485" spans="1:38" ht="14.25" customHeight="1" x14ac:dyDescent="0.25">
      <c r="A485" s="18">
        <v>7319</v>
      </c>
      <c r="B485" s="18" t="s">
        <v>264</v>
      </c>
      <c r="C485" s="18" t="s">
        <v>428</v>
      </c>
      <c r="E485" s="23" t="str">
        <f>IF(COUNTIF('Info Strategia'!$D$2:$D$51,$C485)&gt;0,"SI","NO")</f>
        <v>NO</v>
      </c>
      <c r="F485" s="24">
        <f>IFERROR(ROUND(($G485+($H485-$G485)*'Info Strategia'!$B$6)*(1+IF($E485="SI",'Parametri Modello'!$B$7*'Info Strategia'!$B$6,0)),0),"")</f>
        <v>0</v>
      </c>
      <c r="G485" s="24">
        <f>IFERROR(ROUND(MAX(1,(IF($V485&lt;=INDEX('Parametri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1</v>
      </c>
      <c r="H485" s="24">
        <f>IFERROR(ROUND((IF($V485&lt;=INDEX('Parametri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0</v>
      </c>
      <c r="I485" s="23">
        <f>IFERROR(INDEX('Input Statistiche 2025_26'!$F$3:$F$665,MATCH($A485,'Input Statistiche 2025_26'!$A$3:$A$665,0)),"")</f>
        <v>2</v>
      </c>
      <c r="J485" s="23">
        <f t="shared" si="63"/>
        <v>36</v>
      </c>
      <c r="K485" s="23">
        <f>IFERROR(INDEX('Input Statistiche 2025_26'!$I$3:$I$665,MATCH($A485,'Input Statistiche 2025_26'!$A$3:$A$665,0)),"")</f>
        <v>0</v>
      </c>
      <c r="L485" s="23">
        <f>IFERROR(INDEX('Input Statistiche 2025_26'!$O$3:$O$665,MATCH($A485,'Input Statistiche 2025_26'!$A$3:$A$665,0)),"")</f>
        <v>0</v>
      </c>
      <c r="M485" s="25"/>
      <c r="N485" s="24">
        <f>IFERROR(INDEX('Input Giocatori 2026_27'!$E$3:$E$493,MATCH($A485,'Input Giocatori 2026_27'!$A$3:$A$493,0)),"")</f>
        <v>1</v>
      </c>
      <c r="O485" s="24">
        <f>IFERROR(INDEX('Input Giocatori 2026_27'!$G$3:$G$493,MATCH($A485,'Input Giocatori 2026_27'!$A$3:$A$493,0)),"")</f>
        <v>1</v>
      </c>
      <c r="P485" s="23" t="str">
        <f>IFERROR(IF($O485="","",IF((1-(COUNTIFS($B$2:$B$492,$B485,$O$2:$O$492,"&gt;"&amp;$O485)+1-1)/COUNTIF($B$2:$B$492,$B485))&gt;='Parametri Modello'!$B$63,"Top",IF((1-(COUNTIFS($B$2:$B$492,$B485,$O$2:$O$492,"&gt;"&amp;$O485)+1-1)/COUNTIF($B$2:$B$492,$B485))&gt;='Parametri Modello'!$B$64,"Buono",IF((1-(COUNTIFS($B$2:$B$492,$B485,$O$2:$O$492,"&gt;"&amp;$O485)+1-1)/COUNTIF($B$2:$B$492,$B485))&gt;='Parametri Modello'!$B$65,"Nella Media","Scommessa/Riserva")))),"")</f>
        <v>Scommessa/Riserva</v>
      </c>
      <c r="Q485" s="26" t="str">
        <f>IF(AND($D485="",$N485&gt;1),SUMPRODUCT(($D$2:$D485="")*($N$2:$N485&gt;1)),"")</f>
        <v/>
      </c>
      <c r="R485" s="26" t="str">
        <f>IF($D485='Info Lega'!$B$28,COUNTIFS($D$2:$D485,'Info Lega'!$B$28),"")</f>
        <v/>
      </c>
      <c r="S485" s="27">
        <f>IFERROR(INDEX('Input Statistiche 2025_26'!$G$3:$G$665,MATCH($A485,'Input Statistiche 2025_26'!$A$3:$A$665,0)),"")</f>
        <v>5.5</v>
      </c>
      <c r="T485" s="27">
        <f>IFERROR(INDEX('Input Statistiche 2025_26'!$H$3:$H$665,MATCH($A485,'Input Statistiche 2025_26'!$A$3:$A$665,0)),"")</f>
        <v>5.5</v>
      </c>
      <c r="U485" s="23" t="str">
        <f>IF(OR('La Mia Rosa'!$O$12="",$D485&lt;&gt;""),"",IF($F485&lt;='La Mia Rosa'!$O$12*'Parametri Modello'!$B$24,"OK",IF($F485&lt;='La Mia Rosa'!$O$12*'Parametri Modello'!$B$25,"Attenzione","Rischio Alto")))</f>
        <v>OK</v>
      </c>
      <c r="V485" s="23">
        <f t="shared" si="64"/>
        <v>168</v>
      </c>
      <c r="W485" s="18">
        <f>'Info Lega'!$B$4-SUMIFS($M$2:$M$492,$D$2:$D$492,'Info Lega'!$B$28)</f>
        <v>1000</v>
      </c>
      <c r="X485" s="18">
        <f>('Info Lega'!$B$5-COUNTIFS($D$2:$D$492,'Info Lega'!$B$28,$B$2:$B$492,"P"))+('Info Lega'!$B$6-COUNTIFS($D$2:$D$492,'Info Lega'!$B$28,$B$2:$B$492,"D"))+('Info Lega'!$B$7-COUNTIFS($D$2:$D$492,'Info Lega'!$B$28,$B$2:$B$492,"C"))+('Info Lega'!$B$8-COUNTIFS($D$2:$D$492,'Info Lega'!$B$28,$B$2:$B$492,"A"))</f>
        <v>25</v>
      </c>
      <c r="Y485" s="18">
        <f>X485*'Parametri Modello'!$B$30</f>
        <v>25</v>
      </c>
      <c r="Z485" s="18">
        <f t="shared" si="65"/>
        <v>975</v>
      </c>
      <c r="AA485" s="18">
        <f t="shared" si="66"/>
        <v>0</v>
      </c>
      <c r="AB485" s="18"/>
      <c r="AC485" s="18" t="str">
        <f>IF($AB485="","",IF($AB485&gt;$AA485,"PASS",IF($AB485&lt;=$AA485*(1-'Parametri Modello'!$B$68),"BID","ATTENZIONE")))</f>
        <v/>
      </c>
      <c r="AD485" s="28">
        <f t="shared" si="67"/>
        <v>6</v>
      </c>
      <c r="AE485" s="5" t="str">
        <f>IFERROR(IF($AF485="Titolare",INDEX('Stato Asta'!$G$9:$G$12,MATCH($B485,'Stato Asta'!$A$9:$A$12,0)),INDEX('Stato Asta'!$P$9:$P$12,MATCH($B485,'Stato Asta'!$A$9:$A$12,0))),"")</f>
        <v>🟢 Riserve abbondanti</v>
      </c>
      <c r="AF485" t="str">
        <f>IFERROR(IF($V485&lt;=INDEX('Parametri Modello'!$C$57:$C$60,MATCH($B485,'Parametri Modello'!$A$57:$A$60,0)),"Titolare","Riserva"),"")</f>
        <v>Riserva</v>
      </c>
      <c r="AG485" t="str">
        <f>IFERROR(INDEX('Pressione Competitiva'!$F$3:$F$6,MATCH($B485,'Pressione Competitiva'!$B$3:$B$6,0)),"")</f>
        <v>🔴 Molto Alta</v>
      </c>
      <c r="AH485" t="str">
        <f t="shared" si="68"/>
        <v/>
      </c>
      <c r="AI485" t="str">
        <f>IFERROR(IF($AH485="","",IF($AH485&gt;=$AA485*'Parametri Modello'!$B$68,"🟢 Opportunita'",IF($AH485&lt;=$AA485*'Parametri Modello'!$B$69,"🔴 Sovrapprezzo","🟡 Prezzo Corretto"))),"")</f>
        <v/>
      </c>
      <c r="AJ485" t="str">
        <f t="shared" si="69"/>
        <v/>
      </c>
      <c r="AK485" t="str">
        <f t="shared" si="70"/>
        <v/>
      </c>
      <c r="AL485" t="str">
        <f t="shared" si="71"/>
        <v/>
      </c>
    </row>
    <row r="486" spans="1:38" ht="14.25" customHeight="1" x14ac:dyDescent="0.25">
      <c r="A486" s="18">
        <v>7157</v>
      </c>
      <c r="B486" s="18" t="s">
        <v>264</v>
      </c>
      <c r="C486" s="18" t="s">
        <v>430</v>
      </c>
      <c r="E486" s="23" t="str">
        <f>IF(COUNTIF('Info Strategia'!$D$2:$D$51,$C486)&gt;0,"SI","NO")</f>
        <v>NO</v>
      </c>
      <c r="F486" s="24">
        <f>IFERROR(ROUND(($G486+($H486-$G486)*'Info Strategia'!$B$6)*(1+IF($E486="SI",'Parametri Modello'!$B$7*'Info Strategia'!$B$6,0)),0),"")</f>
        <v>0</v>
      </c>
      <c r="G486" s="24">
        <f>IFERROR(ROUND(MAX(1,(IF($V486&lt;=INDEX('Parametri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1</v>
      </c>
      <c r="H486" s="24">
        <f>IFERROR(ROUND((IF($V486&lt;=INDEX('Parametri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0</v>
      </c>
      <c r="I486" s="23">
        <f>IFERROR(INDEX('Input Statistiche 2025_26'!$F$3:$F$665,MATCH($A486,'Input Statistiche 2025_26'!$A$3:$A$665,0)),"")</f>
        <v>5</v>
      </c>
      <c r="J486" s="23">
        <f t="shared" si="63"/>
        <v>33</v>
      </c>
      <c r="K486" s="23">
        <f>IFERROR(INDEX('Input Statistiche 2025_26'!$I$3:$I$665,MATCH($A486,'Input Statistiche 2025_26'!$A$3:$A$665,0)),"")</f>
        <v>1</v>
      </c>
      <c r="L486" s="23">
        <f>IFERROR(INDEX('Input Statistiche 2025_26'!$O$3:$O$665,MATCH($A486,'Input Statistiche 2025_26'!$A$3:$A$665,0)),"")</f>
        <v>0</v>
      </c>
      <c r="M486" s="25"/>
      <c r="N486" s="24">
        <f>IFERROR(INDEX('Input Giocatori 2026_27'!$E$3:$E$493,MATCH($A486,'Input Giocatori 2026_27'!$A$3:$A$493,0)),"")</f>
        <v>1</v>
      </c>
      <c r="O486" s="24">
        <f>IFERROR(INDEX('Input Giocatori 2026_27'!$G$3:$G$493,MATCH($A486,'Input Giocatori 2026_27'!$A$3:$A$493,0)),"")</f>
        <v>1</v>
      </c>
      <c r="P486" s="23" t="str">
        <f>IFERROR(IF($O486="","",IF((1-(COUNTIFS($B$2:$B$492,$B486,$O$2:$O$492,"&gt;"&amp;$O486)+1-1)/COUNTIF($B$2:$B$492,$B486))&gt;='Parametri Modello'!$B$63,"Top",IF((1-(COUNTIFS($B$2:$B$492,$B486,$O$2:$O$492,"&gt;"&amp;$O486)+1-1)/COUNTIF($B$2:$B$492,$B486))&gt;='Parametri Modello'!$B$64,"Buono",IF((1-(COUNTIFS($B$2:$B$492,$B486,$O$2:$O$492,"&gt;"&amp;$O486)+1-1)/COUNTIF($B$2:$B$492,$B486))&gt;='Parametri Modello'!$B$65,"Nella Media","Scommessa/Riserva")))),"")</f>
        <v>Scommessa/Riserva</v>
      </c>
      <c r="Q486" s="26" t="str">
        <f>IF(AND($D486="",$N486&gt;1),SUMPRODUCT(($D$2:$D486="")*($N$2:$N486&gt;1)),"")</f>
        <v/>
      </c>
      <c r="R486" s="26" t="str">
        <f>IF($D486='Info Lega'!$B$28,COUNTIFS($D$2:$D486,'Info Lega'!$B$28),"")</f>
        <v/>
      </c>
      <c r="S486" s="27">
        <f>IFERROR(INDEX('Input Statistiche 2025_26'!$G$3:$G$665,MATCH($A486,'Input Statistiche 2025_26'!$A$3:$A$665,0)),"")</f>
        <v>6</v>
      </c>
      <c r="T486" s="27">
        <f>IFERROR(INDEX('Input Statistiche 2025_26'!$H$3:$H$665,MATCH($A486,'Input Statistiche 2025_26'!$A$3:$A$665,0)),"")</f>
        <v>6.5</v>
      </c>
      <c r="U486" s="23" t="str">
        <f>IF(OR('La Mia Rosa'!$O$12="",$D486&lt;&gt;""),"",IF($F486&lt;='La Mia Rosa'!$O$12*'Parametri Modello'!$B$24,"OK",IF($F486&lt;='La Mia Rosa'!$O$12*'Parametri Modello'!$B$25,"Attenzione","Rischio Alto")))</f>
        <v>OK</v>
      </c>
      <c r="V486" s="23">
        <f t="shared" si="64"/>
        <v>168</v>
      </c>
      <c r="W486" s="18">
        <f>'Info Lega'!$B$4-SUMIFS($M$2:$M$492,$D$2:$D$492,'Info Lega'!$B$28)</f>
        <v>1000</v>
      </c>
      <c r="X486" s="18">
        <f>('Info Lega'!$B$5-COUNTIFS($D$2:$D$492,'Info Lega'!$B$28,$B$2:$B$492,"P"))+('Info Lega'!$B$6-COUNTIFS($D$2:$D$492,'Info Lega'!$B$28,$B$2:$B$492,"D"))+('Info Lega'!$B$7-COUNTIFS($D$2:$D$492,'Info Lega'!$B$28,$B$2:$B$492,"C"))+('Info Lega'!$B$8-COUNTIFS($D$2:$D$492,'Info Lega'!$B$28,$B$2:$B$492,"A"))</f>
        <v>25</v>
      </c>
      <c r="Y486" s="18">
        <f>X486*'Parametri Modello'!$B$30</f>
        <v>25</v>
      </c>
      <c r="Z486" s="18">
        <f t="shared" si="65"/>
        <v>975</v>
      </c>
      <c r="AA486" s="18">
        <f t="shared" si="66"/>
        <v>0</v>
      </c>
      <c r="AB486" s="18"/>
      <c r="AC486" s="18" t="str">
        <f>IF($AB486="","",IF($AB486&gt;$AA486,"PASS",IF($AB486&lt;=$AA486*(1-'Parametri Modello'!$B$68),"BID","ATTENZIONE")))</f>
        <v/>
      </c>
      <c r="AD486" s="28">
        <f t="shared" si="67"/>
        <v>15</v>
      </c>
      <c r="AE486" s="5" t="str">
        <f>IFERROR(IF($AF486="Titolare",INDEX('Stato Asta'!$G$9:$G$12,MATCH($B486,'Stato Asta'!$A$9:$A$12,0)),INDEX('Stato Asta'!$P$9:$P$12,MATCH($B486,'Stato Asta'!$A$9:$A$12,0))),"")</f>
        <v>🟢 Riserve abbondanti</v>
      </c>
      <c r="AF486" t="str">
        <f>IFERROR(IF($V486&lt;=INDEX('Parametri Modello'!$C$57:$C$60,MATCH($B486,'Parametri Modello'!$A$57:$A$60,0)),"Titolare","Riserva"),"")</f>
        <v>Riserva</v>
      </c>
      <c r="AG486" t="str">
        <f>IFERROR(INDEX('Pressione Competitiva'!$F$3:$F$6,MATCH($B486,'Pressione Competitiva'!$B$3:$B$6,0)),"")</f>
        <v>🔴 Molto Alta</v>
      </c>
      <c r="AH486" t="str">
        <f t="shared" si="68"/>
        <v/>
      </c>
      <c r="AI486" t="str">
        <f>IFERROR(IF($AH486="","",IF($AH486&gt;=$AA486*'Parametri Modello'!$B$68,"🟢 Opportunita'",IF($AH486&lt;=$AA486*'Parametri Modello'!$B$69,"🔴 Sovrapprezzo","🟡 Prezzo Corretto"))),"")</f>
        <v/>
      </c>
      <c r="AJ486" t="str">
        <f t="shared" si="69"/>
        <v/>
      </c>
      <c r="AK486" t="str">
        <f t="shared" si="70"/>
        <v/>
      </c>
      <c r="AL486" t="str">
        <f t="shared" si="71"/>
        <v/>
      </c>
    </row>
    <row r="487" spans="1:38" ht="14.25" customHeight="1" x14ac:dyDescent="0.25">
      <c r="A487" s="18">
        <v>7481</v>
      </c>
      <c r="B487" s="18" t="s">
        <v>264</v>
      </c>
      <c r="C487" s="18" t="s">
        <v>436</v>
      </c>
      <c r="E487" s="23" t="str">
        <f>IF(COUNTIF('Info Strategia'!$D$2:$D$51,$C487)&gt;0,"SI","NO")</f>
        <v>NO</v>
      </c>
      <c r="F487" s="24">
        <f>IFERROR(ROUND(($G487+($H487-$G487)*'Info Strategia'!$B$6)*(1+IF($E487="SI",'Parametri Modello'!$B$7*'Info Strategia'!$B$6,0)),0),"")</f>
        <v>0</v>
      </c>
      <c r="G487" s="24">
        <f>IFERROR(ROUND(MAX(1,(IF($V487&lt;=INDEX('Parametri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1</v>
      </c>
      <c r="H487" s="24">
        <f>IFERROR(ROUND((IF($V487&lt;=INDEX('Parametri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0</v>
      </c>
      <c r="I487" s="23" t="str">
        <f>IFERROR(INDEX('Input Statistiche 2025_26'!$F$3:$F$665,MATCH($A487,'Input Statistiche 2025_26'!$A$3:$A$665,0)),"")</f>
        <v/>
      </c>
      <c r="J487" s="23" t="str">
        <f t="shared" si="63"/>
        <v/>
      </c>
      <c r="K487" s="23" t="str">
        <f>IFERROR(INDEX('Input Statistiche 2025_26'!$I$3:$I$665,MATCH($A487,'Input Statistiche 2025_26'!$A$3:$A$665,0)),"")</f>
        <v/>
      </c>
      <c r="L487" s="23" t="str">
        <f>IFERROR(INDEX('Input Statistiche 2025_26'!$O$3:$O$665,MATCH($A487,'Input Statistiche 2025_26'!$A$3:$A$665,0)),"")</f>
        <v/>
      </c>
      <c r="M487" s="25"/>
      <c r="N487" s="24">
        <f>IFERROR(INDEX('Input Giocatori 2026_27'!$E$3:$E$493,MATCH($A487,'Input Giocatori 2026_27'!$A$3:$A$493,0)),"")</f>
        <v>1</v>
      </c>
      <c r="O487" s="24">
        <f>IFERROR(INDEX('Input Giocatori 2026_27'!$G$3:$G$493,MATCH($A487,'Input Giocatori 2026_27'!$A$3:$A$493,0)),"")</f>
        <v>1</v>
      </c>
      <c r="P487" s="23" t="str">
        <f>IFERROR(IF($O487="","",IF((1-(COUNTIFS($B$2:$B$492,$B487,$O$2:$O$492,"&gt;"&amp;$O487)+1-1)/COUNTIF($B$2:$B$492,$B487))&gt;='Parametri Modello'!$B$63,"Top",IF((1-(COUNTIFS($B$2:$B$492,$B487,$O$2:$O$492,"&gt;"&amp;$O487)+1-1)/COUNTIF($B$2:$B$492,$B487))&gt;='Parametri Modello'!$B$64,"Buono",IF((1-(COUNTIFS($B$2:$B$492,$B487,$O$2:$O$492,"&gt;"&amp;$O487)+1-1)/COUNTIF($B$2:$B$492,$B487))&gt;='Parametri Modello'!$B$65,"Nella Media","Scommessa/Riserva")))),"")</f>
        <v>Scommessa/Riserva</v>
      </c>
      <c r="Q487" s="26" t="str">
        <f>IF(AND($D487="",$N487&gt;1),SUMPRODUCT(($D$2:$D487="")*($N$2:$N487&gt;1)),"")</f>
        <v/>
      </c>
      <c r="R487" s="26" t="str">
        <f>IF($D487='Info Lega'!$B$28,COUNTIFS($D$2:$D487,'Info Lega'!$B$28),"")</f>
        <v/>
      </c>
      <c r="S487" s="27" t="str">
        <f>IFERROR(INDEX('Input Statistiche 2025_26'!$G$3:$G$665,MATCH($A487,'Input Statistiche 2025_26'!$A$3:$A$665,0)),"")</f>
        <v/>
      </c>
      <c r="T487" s="27" t="str">
        <f>IFERROR(INDEX('Input Statistiche 2025_26'!$H$3:$H$665,MATCH($A487,'Input Statistiche 2025_26'!$A$3:$A$665,0)),"")</f>
        <v/>
      </c>
      <c r="U487" s="23" t="str">
        <f>IF(OR('La Mia Rosa'!$O$12="",$D487&lt;&gt;""),"",IF($F487&lt;='La Mia Rosa'!$O$12*'Parametri Modello'!$B$24,"OK",IF($F487&lt;='La Mia Rosa'!$O$12*'Parametri Modello'!$B$25,"Attenzione","Rischio Alto")))</f>
        <v>OK</v>
      </c>
      <c r="V487" s="23">
        <f t="shared" si="64"/>
        <v>168</v>
      </c>
      <c r="W487" s="18">
        <f>'Info Lega'!$B$4-SUMIFS($M$2:$M$492,$D$2:$D$492,'Info Lega'!$B$28)</f>
        <v>1000</v>
      </c>
      <c r="X487" s="18">
        <f>('Info Lega'!$B$5-COUNTIFS($D$2:$D$492,'Info Lega'!$B$28,$B$2:$B$492,"P"))+('Info Lega'!$B$6-COUNTIFS($D$2:$D$492,'Info Lega'!$B$28,$B$2:$B$492,"D"))+('Info Lega'!$B$7-COUNTIFS($D$2:$D$492,'Info Lega'!$B$28,$B$2:$B$492,"C"))+('Info Lega'!$B$8-COUNTIFS($D$2:$D$492,'Info Lega'!$B$28,$B$2:$B$492,"A"))</f>
        <v>25</v>
      </c>
      <c r="Y487" s="18">
        <f>X487*'Parametri Modello'!$B$30</f>
        <v>25</v>
      </c>
      <c r="Z487" s="18">
        <f t="shared" si="65"/>
        <v>975</v>
      </c>
      <c r="AA487" s="18">
        <f t="shared" si="66"/>
        <v>0</v>
      </c>
      <c r="AB487" s="18"/>
      <c r="AC487" s="18" t="str">
        <f>IF($AB487="","",IF($AB487&gt;$AA487,"PASS",IF($AB487&lt;=$AA487*(1-'Parametri Modello'!$B$68),"BID","ATTENZIONE")))</f>
        <v/>
      </c>
      <c r="AD487" s="28" t="str">
        <f t="shared" si="67"/>
        <v/>
      </c>
      <c r="AE487" s="5" t="str">
        <f>IFERROR(IF($AF487="Titolare",INDEX('Stato Asta'!$G$9:$G$12,MATCH($B487,'Stato Asta'!$A$9:$A$12,0)),INDEX('Stato Asta'!$P$9:$P$12,MATCH($B487,'Stato Asta'!$A$9:$A$12,0))),"")</f>
        <v>🟢 Riserve abbondanti</v>
      </c>
      <c r="AF487" t="str">
        <f>IFERROR(IF($V487&lt;=INDEX('Parametri Modello'!$C$57:$C$60,MATCH($B487,'Parametri Modello'!$A$57:$A$60,0)),"Titolare","Riserva"),"")</f>
        <v>Riserva</v>
      </c>
      <c r="AG487" t="str">
        <f>IFERROR(INDEX('Pressione Competitiva'!$F$3:$F$6,MATCH($B487,'Pressione Competitiva'!$B$3:$B$6,0)),"")</f>
        <v>🔴 Molto Alta</v>
      </c>
      <c r="AH487" t="str">
        <f t="shared" si="68"/>
        <v/>
      </c>
      <c r="AI487" t="str">
        <f>IFERROR(IF($AH487="","",IF($AH487&gt;=$AA487*'Parametri Modello'!$B$68,"🟢 Opportunita'",IF($AH487&lt;=$AA487*'Parametri Modello'!$B$69,"🔴 Sovrapprezzo","🟡 Prezzo Corretto"))),"")</f>
        <v/>
      </c>
      <c r="AJ487" t="str">
        <f t="shared" si="69"/>
        <v/>
      </c>
      <c r="AK487" t="str">
        <f t="shared" si="70"/>
        <v/>
      </c>
      <c r="AL487" t="str">
        <f t="shared" si="71"/>
        <v/>
      </c>
    </row>
    <row r="488" spans="1:38" ht="14.25" customHeight="1" x14ac:dyDescent="0.25">
      <c r="A488" s="18">
        <v>7338</v>
      </c>
      <c r="B488" s="18" t="s">
        <v>437</v>
      </c>
      <c r="C488" s="18" t="s">
        <v>515</v>
      </c>
      <c r="E488" s="23" t="str">
        <f>IF(COUNTIF('Info Strategia'!$D$2:$D$51,$C488)&gt;0,"SI","NO")</f>
        <v>NO</v>
      </c>
      <c r="F488" s="24">
        <f>IFERROR(ROUND(($G488+($H488-$G488)*'Info Strategia'!$B$6)*(1+IF($E488="SI",'Parametri Modello'!$B$7*'Info Strategia'!$B$6,0)),0),"")</f>
        <v>0</v>
      </c>
      <c r="G488" s="24">
        <f>IFERROR(ROUND(MAX(1,(IF($V488&lt;=INDEX('Parametri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H488" s="24">
        <f>IFERROR(ROUND((IF($V488&lt;=INDEX('Parametri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0</v>
      </c>
      <c r="I488" s="23">
        <f>IFERROR(INDEX('Input Statistiche 2025_26'!$F$3:$F$665,MATCH($A488,'Input Statistiche 2025_26'!$A$3:$A$665,0)),"")</f>
        <v>2</v>
      </c>
      <c r="J488" s="23">
        <f t="shared" si="63"/>
        <v>36</v>
      </c>
      <c r="K488" s="23">
        <f>IFERROR(INDEX('Input Statistiche 2025_26'!$I$3:$I$665,MATCH($A488,'Input Statistiche 2025_26'!$A$3:$A$665,0)),"")</f>
        <v>0</v>
      </c>
      <c r="L488" s="23">
        <f>IFERROR(INDEX('Input Statistiche 2025_26'!$O$3:$O$665,MATCH($A488,'Input Statistiche 2025_26'!$A$3:$A$665,0)),"")</f>
        <v>0</v>
      </c>
      <c r="M488" s="25"/>
      <c r="N488" s="24">
        <f>IFERROR(INDEX('Input Giocatori 2026_27'!$E$3:$E$493,MATCH($A488,'Input Giocatori 2026_27'!$A$3:$A$493,0)),"")</f>
        <v>1</v>
      </c>
      <c r="O488" s="24">
        <f>IFERROR(INDEX('Input Giocatori 2026_27'!$G$3:$G$493,MATCH($A488,'Input Giocatori 2026_27'!$A$3:$A$493,0)),"")</f>
        <v>1</v>
      </c>
      <c r="P488" s="23" t="str">
        <f>IFERROR(IF($O488="","",IF((1-(COUNTIFS($B$2:$B$492,$B488,$O$2:$O$492,"&gt;"&amp;$O488)+1-1)/COUNTIF($B$2:$B$492,$B488))&gt;='Parametri Modello'!$B$63,"Top",IF((1-(COUNTIFS($B$2:$B$492,$B488,$O$2:$O$492,"&gt;"&amp;$O488)+1-1)/COUNTIF($B$2:$B$492,$B488))&gt;='Parametri Modello'!$B$64,"Buono",IF((1-(COUNTIFS($B$2:$B$492,$B488,$O$2:$O$492,"&gt;"&amp;$O488)+1-1)/COUNTIF($B$2:$B$492,$B488))&gt;='Parametri Modello'!$B$65,"Nella Media","Scommessa/Riserva")))),"")</f>
        <v>Scommessa/Riserva</v>
      </c>
      <c r="Q488" s="26" t="str">
        <f>IF(AND($D488="",$N488&gt;1),SUMPRODUCT(($D$2:$D488="")*($N$2:$N488&gt;1)),"")</f>
        <v/>
      </c>
      <c r="R488" s="26" t="str">
        <f>IF($D488='Info Lega'!$B$28,COUNTIFS($D$2:$D488,'Info Lega'!$B$28),"")</f>
        <v/>
      </c>
      <c r="S488" s="27">
        <f>IFERROR(INDEX('Input Statistiche 2025_26'!$G$3:$G$665,MATCH($A488,'Input Statistiche 2025_26'!$A$3:$A$665,0)),"")</f>
        <v>6</v>
      </c>
      <c r="T488" s="27">
        <f>IFERROR(INDEX('Input Statistiche 2025_26'!$H$3:$H$665,MATCH($A488,'Input Statistiche 2025_26'!$A$3:$A$665,0)),"")</f>
        <v>6</v>
      </c>
      <c r="U488" s="23" t="str">
        <f>IF(OR('La Mia Rosa'!$O$12="",$D488&lt;&gt;""),"",IF($F488&lt;='La Mia Rosa'!$O$12*'Parametri Modello'!$B$24,"OK",IF($F488&lt;='La Mia Rosa'!$O$12*'Parametri Modello'!$B$25,"Attenzione","Rischio Alto")))</f>
        <v>OK</v>
      </c>
      <c r="V488" s="23">
        <f t="shared" si="64"/>
        <v>81</v>
      </c>
      <c r="W488" s="18">
        <f>'Info Lega'!$B$4-SUMIFS($M$2:$M$492,$D$2:$D$492,'Info Lega'!$B$28)</f>
        <v>1000</v>
      </c>
      <c r="X488" s="18">
        <f>('Info Lega'!$B$5-COUNTIFS($D$2:$D$492,'Info Lega'!$B$28,$B$2:$B$492,"P"))+('Info Lega'!$B$6-COUNTIFS($D$2:$D$492,'Info Lega'!$B$28,$B$2:$B$492,"D"))+('Info Lega'!$B$7-COUNTIFS($D$2:$D$492,'Info Lega'!$B$28,$B$2:$B$492,"C"))+('Info Lega'!$B$8-COUNTIFS($D$2:$D$492,'Info Lega'!$B$28,$B$2:$B$492,"A"))</f>
        <v>25</v>
      </c>
      <c r="Y488" s="18">
        <f>X488*'Parametri Modello'!$B$30</f>
        <v>25</v>
      </c>
      <c r="Z488" s="18">
        <f t="shared" si="65"/>
        <v>975</v>
      </c>
      <c r="AA488" s="18">
        <f t="shared" si="66"/>
        <v>0</v>
      </c>
      <c r="AB488" s="18"/>
      <c r="AC488" s="18" t="str">
        <f>IF($AB488="","",IF($AB488&gt;$AA488,"PASS",IF($AB488&lt;=$AA488*(1-'Parametri Modello'!$B$68),"BID","ATTENZIONE")))</f>
        <v/>
      </c>
      <c r="AD488" s="28">
        <f t="shared" si="67"/>
        <v>6</v>
      </c>
      <c r="AE488" s="5" t="str">
        <f>IFERROR(IF($AF488="Titolare",INDEX('Stato Asta'!$G$9:$G$12,MATCH($B488,'Stato Asta'!$A$9:$A$12,0)),INDEX('Stato Asta'!$P$9:$P$12,MATCH($B488,'Stato Asta'!$A$9:$A$12,0))),"")</f>
        <v>🟢 Riserve abbondanti</v>
      </c>
      <c r="AF488" t="str">
        <f>IFERROR(IF($V488&lt;=INDEX('Parametri Modello'!$C$57:$C$60,MATCH($B488,'Parametri Modello'!$A$57:$A$60,0)),"Titolare","Riserva"),"")</f>
        <v>Riserva</v>
      </c>
      <c r="AG488" t="str">
        <f>IFERROR(INDEX('Pressione Competitiva'!$F$3:$F$6,MATCH($B488,'Pressione Competitiva'!$B$3:$B$6,0)),"")</f>
        <v>🔴 Molto Alta</v>
      </c>
      <c r="AH488" t="str">
        <f t="shared" si="68"/>
        <v/>
      </c>
      <c r="AI488" t="str">
        <f>IFERROR(IF($AH488="","",IF($AH488&gt;=$AA488*'Parametri Modello'!$B$68,"🟢 Opportunita'",IF($AH488&lt;=$AA488*'Parametri Modello'!$B$69,"🔴 Sovrapprezzo","🟡 Prezzo Corretto"))),"")</f>
        <v/>
      </c>
      <c r="AJ488" t="str">
        <f t="shared" si="69"/>
        <v/>
      </c>
      <c r="AK488" t="str">
        <f t="shared" si="70"/>
        <v/>
      </c>
      <c r="AL488" t="str">
        <f t="shared" si="71"/>
        <v/>
      </c>
    </row>
    <row r="489" spans="1:38" ht="14.25" customHeight="1" x14ac:dyDescent="0.25">
      <c r="A489" s="18">
        <v>7027</v>
      </c>
      <c r="B489" s="18" t="s">
        <v>437</v>
      </c>
      <c r="C489" s="18" t="s">
        <v>517</v>
      </c>
      <c r="E489" s="23" t="str">
        <f>IF(COUNTIF('Info Strategia'!$D$2:$D$51,$C489)&gt;0,"SI","NO")</f>
        <v>NO</v>
      </c>
      <c r="F489" s="24">
        <f>IFERROR(ROUND(($G489+($H489-$G489)*'Info Strategia'!$B$6)*(1+IF($E489="SI",'Parametri Modello'!$B$7*'Info Strategia'!$B$6,0)),0),"")</f>
        <v>0</v>
      </c>
      <c r="G489" s="24">
        <f>IFERROR(ROUND(MAX(1,(IF($V489&lt;=INDEX('Parametri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H489" s="24">
        <f>IFERROR(ROUND((IF($V489&lt;=INDEX('Parametri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0</v>
      </c>
      <c r="I489" s="23">
        <f>IFERROR(INDEX('Input Statistiche 2025_26'!$F$3:$F$665,MATCH($A489,'Input Statistiche 2025_26'!$A$3:$A$665,0)),"")</f>
        <v>0</v>
      </c>
      <c r="J489" s="23">
        <f t="shared" si="63"/>
        <v>38</v>
      </c>
      <c r="K489" s="23">
        <f>IFERROR(INDEX('Input Statistiche 2025_26'!$I$3:$I$665,MATCH($A489,'Input Statistiche 2025_26'!$A$3:$A$665,0)),"")</f>
        <v>0</v>
      </c>
      <c r="L489" s="23">
        <f>IFERROR(INDEX('Input Statistiche 2025_26'!$O$3:$O$665,MATCH($A489,'Input Statistiche 2025_26'!$A$3:$A$665,0)),"")</f>
        <v>0</v>
      </c>
      <c r="M489" s="25"/>
      <c r="N489" s="24">
        <f>IFERROR(INDEX('Input Giocatori 2026_27'!$E$3:$E$493,MATCH($A489,'Input Giocatori 2026_27'!$A$3:$A$493,0)),"")</f>
        <v>1</v>
      </c>
      <c r="O489" s="24">
        <f>IFERROR(INDEX('Input Giocatori 2026_27'!$G$3:$G$493,MATCH($A489,'Input Giocatori 2026_27'!$A$3:$A$493,0)),"")</f>
        <v>1</v>
      </c>
      <c r="P489" s="23" t="str">
        <f>IFERROR(IF($O489="","",IF((1-(COUNTIFS($B$2:$B$492,$B489,$O$2:$O$492,"&gt;"&amp;$O489)+1-1)/COUNTIF($B$2:$B$492,$B489))&gt;='Parametri Modello'!$B$63,"Top",IF((1-(COUNTIFS($B$2:$B$492,$B489,$O$2:$O$492,"&gt;"&amp;$O489)+1-1)/COUNTIF($B$2:$B$492,$B489))&gt;='Parametri Modello'!$B$64,"Buono",IF((1-(COUNTIFS($B$2:$B$492,$B489,$O$2:$O$492,"&gt;"&amp;$O489)+1-1)/COUNTIF($B$2:$B$492,$B489))&gt;='Parametri Modello'!$B$65,"Nella Media","Scommessa/Riserva")))),"")</f>
        <v>Scommessa/Riserva</v>
      </c>
      <c r="Q489" s="26" t="str">
        <f>IF(AND($D489="",$N489&gt;1),SUMPRODUCT(($D$2:$D489="")*($N$2:$N489&gt;1)),"")</f>
        <v/>
      </c>
      <c r="R489" s="26" t="str">
        <f>IF($D489='Info Lega'!$B$28,COUNTIFS($D$2:$D489,'Info Lega'!$B$28),"")</f>
        <v/>
      </c>
      <c r="S489" s="27">
        <f>IFERROR(INDEX('Input Statistiche 2025_26'!$G$3:$G$665,MATCH($A489,'Input Statistiche 2025_26'!$A$3:$A$665,0)),"")</f>
        <v>0</v>
      </c>
      <c r="T489" s="27">
        <f>IFERROR(INDEX('Input Statistiche 2025_26'!$H$3:$H$665,MATCH($A489,'Input Statistiche 2025_26'!$A$3:$A$665,0)),"")</f>
        <v>0</v>
      </c>
      <c r="U489" s="23" t="str">
        <f>IF(OR('La Mia Rosa'!$O$12="",$D489&lt;&gt;""),"",IF($F489&lt;='La Mia Rosa'!$O$12*'Parametri Modello'!$B$24,"OK",IF($F489&lt;='La Mia Rosa'!$O$12*'Parametri Modello'!$B$25,"Attenzione","Rischio Alto")))</f>
        <v>OK</v>
      </c>
      <c r="V489" s="23">
        <f t="shared" si="64"/>
        <v>81</v>
      </c>
      <c r="W489" s="18">
        <f>'Info Lega'!$B$4-SUMIFS($M$2:$M$492,$D$2:$D$492,'Info Lega'!$B$28)</f>
        <v>1000</v>
      </c>
      <c r="X489" s="18">
        <f>('Info Lega'!$B$5-COUNTIFS($D$2:$D$492,'Info Lega'!$B$28,$B$2:$B$492,"P"))+('Info Lega'!$B$6-COUNTIFS($D$2:$D$492,'Info Lega'!$B$28,$B$2:$B$492,"D"))+('Info Lega'!$B$7-COUNTIFS($D$2:$D$492,'Info Lega'!$B$28,$B$2:$B$492,"C"))+('Info Lega'!$B$8-COUNTIFS($D$2:$D$492,'Info Lega'!$B$28,$B$2:$B$492,"A"))</f>
        <v>25</v>
      </c>
      <c r="Y489" s="18">
        <f>X489*'Parametri Modello'!$B$30</f>
        <v>25</v>
      </c>
      <c r="Z489" s="18">
        <f t="shared" si="65"/>
        <v>975</v>
      </c>
      <c r="AA489" s="18">
        <f t="shared" si="66"/>
        <v>0</v>
      </c>
      <c r="AB489" s="18"/>
      <c r="AC489" s="18" t="str">
        <f>IF($AB489="","",IF($AB489&gt;$AA489,"PASS",IF($AB489&lt;=$AA489*(1-'Parametri Modello'!$B$68),"BID","ATTENZIONE")))</f>
        <v/>
      </c>
      <c r="AD489" s="28">
        <f t="shared" si="67"/>
        <v>0</v>
      </c>
      <c r="AE489" s="5" t="str">
        <f>IFERROR(IF($AF489="Titolare",INDEX('Stato Asta'!$G$9:$G$12,MATCH($B489,'Stato Asta'!$A$9:$A$12,0)),INDEX('Stato Asta'!$P$9:$P$12,MATCH($B489,'Stato Asta'!$A$9:$A$12,0))),"")</f>
        <v>🟢 Riserve abbondanti</v>
      </c>
      <c r="AF489" t="str">
        <f>IFERROR(IF($V489&lt;=INDEX('Parametri Modello'!$C$57:$C$60,MATCH($B489,'Parametri Modello'!$A$57:$A$60,0)),"Titolare","Riserva"),"")</f>
        <v>Riserva</v>
      </c>
      <c r="AG489" t="str">
        <f>IFERROR(INDEX('Pressione Competitiva'!$F$3:$F$6,MATCH($B489,'Pressione Competitiva'!$B$3:$B$6,0)),"")</f>
        <v>🔴 Molto Alta</v>
      </c>
      <c r="AH489" t="str">
        <f t="shared" si="68"/>
        <v/>
      </c>
      <c r="AI489" t="str">
        <f>IFERROR(IF($AH489="","",IF($AH489&gt;=$AA489*'Parametri Modello'!$B$68,"🟢 Opportunita'",IF($AH489&lt;=$AA489*'Parametri Modello'!$B$69,"🔴 Sovrapprezzo","🟡 Prezzo Corretto"))),"")</f>
        <v/>
      </c>
      <c r="AJ489" t="str">
        <f t="shared" si="69"/>
        <v/>
      </c>
      <c r="AK489" t="str">
        <f t="shared" si="70"/>
        <v/>
      </c>
      <c r="AL489" t="str">
        <f t="shared" si="71"/>
        <v/>
      </c>
    </row>
    <row r="490" spans="1:38" ht="14.25" customHeight="1" x14ac:dyDescent="0.25">
      <c r="A490" s="18">
        <v>7158</v>
      </c>
      <c r="B490" s="18" t="s">
        <v>437</v>
      </c>
      <c r="C490" s="18" t="s">
        <v>519</v>
      </c>
      <c r="E490" s="23" t="str">
        <f>IF(COUNTIF('Info Strategia'!$D$2:$D$51,$C490)&gt;0,"SI","NO")</f>
        <v>NO</v>
      </c>
      <c r="F490" s="24">
        <f>IFERROR(ROUND(($G490+($H490-$G490)*'Info Strategia'!$B$6)*(1+IF($E490="SI",'Parametri Modello'!$B$7*'Info Strategia'!$B$6,0)),0),"")</f>
        <v>0</v>
      </c>
      <c r="G490" s="24">
        <f>IFERROR(ROUND(MAX(1,(IF($V490&lt;=INDEX('Parametri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H490" s="24">
        <f>IFERROR(ROUND((IF($V490&lt;=INDEX('Parametri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0</v>
      </c>
      <c r="I490" s="23">
        <f>IFERROR(INDEX('Input Statistiche 2025_26'!$F$3:$F$665,MATCH($A490,'Input Statistiche 2025_26'!$A$3:$A$665,0)),"")</f>
        <v>6</v>
      </c>
      <c r="J490" s="23">
        <f t="shared" si="63"/>
        <v>32</v>
      </c>
      <c r="K490" s="23">
        <f>IFERROR(INDEX('Input Statistiche 2025_26'!$I$3:$I$665,MATCH($A490,'Input Statistiche 2025_26'!$A$3:$A$665,0)),"")</f>
        <v>0</v>
      </c>
      <c r="L490" s="23">
        <f>IFERROR(INDEX('Input Statistiche 2025_26'!$O$3:$O$665,MATCH($A490,'Input Statistiche 2025_26'!$A$3:$A$665,0)),"")</f>
        <v>0</v>
      </c>
      <c r="M490" s="25"/>
      <c r="N490" s="24">
        <f>IFERROR(INDEX('Input Giocatori 2026_27'!$E$3:$E$493,MATCH($A490,'Input Giocatori 2026_27'!$A$3:$A$493,0)),"")</f>
        <v>1</v>
      </c>
      <c r="O490" s="24">
        <f>IFERROR(INDEX('Input Giocatori 2026_27'!$G$3:$G$493,MATCH($A490,'Input Giocatori 2026_27'!$A$3:$A$493,0)),"")</f>
        <v>1</v>
      </c>
      <c r="P490" s="23" t="str">
        <f>IFERROR(IF($O490="","",IF((1-(COUNTIFS($B$2:$B$492,$B490,$O$2:$O$492,"&gt;"&amp;$O490)+1-1)/COUNTIF($B$2:$B$492,$B490))&gt;='Parametri Modello'!$B$63,"Top",IF((1-(COUNTIFS($B$2:$B$492,$B490,$O$2:$O$492,"&gt;"&amp;$O490)+1-1)/COUNTIF($B$2:$B$492,$B490))&gt;='Parametri Modello'!$B$64,"Buono",IF((1-(COUNTIFS($B$2:$B$492,$B490,$O$2:$O$492,"&gt;"&amp;$O490)+1-1)/COUNTIF($B$2:$B$492,$B490))&gt;='Parametri Modello'!$B$65,"Nella Media","Scommessa/Riserva")))),"")</f>
        <v>Scommessa/Riserva</v>
      </c>
      <c r="Q490" s="26" t="str">
        <f>IF(AND($D490="",$N490&gt;1),SUMPRODUCT(($D$2:$D490="")*($N$2:$N490&gt;1)),"")</f>
        <v/>
      </c>
      <c r="R490" s="26" t="str">
        <f>IF($D490='Info Lega'!$B$28,COUNTIFS($D$2:$D490,'Info Lega'!$B$28),"")</f>
        <v/>
      </c>
      <c r="S490" s="27">
        <f>IFERROR(INDEX('Input Statistiche 2025_26'!$G$3:$G$665,MATCH($A490,'Input Statistiche 2025_26'!$A$3:$A$665,0)),"")</f>
        <v>5.58</v>
      </c>
      <c r="T490" s="27">
        <f>IFERROR(INDEX('Input Statistiche 2025_26'!$H$3:$H$665,MATCH($A490,'Input Statistiche 2025_26'!$A$3:$A$665,0)),"")</f>
        <v>5.5</v>
      </c>
      <c r="U490" s="23" t="str">
        <f>IF(OR('La Mia Rosa'!$O$12="",$D490&lt;&gt;""),"",IF($F490&lt;='La Mia Rosa'!$O$12*'Parametri Modello'!$B$24,"OK",IF($F490&lt;='La Mia Rosa'!$O$12*'Parametri Modello'!$B$25,"Attenzione","Rischio Alto")))</f>
        <v>OK</v>
      </c>
      <c r="V490" s="23">
        <f t="shared" si="64"/>
        <v>81</v>
      </c>
      <c r="W490" s="18">
        <f>'Info Lega'!$B$4-SUMIFS($M$2:$M$492,$D$2:$D$492,'Info Lega'!$B$28)</f>
        <v>1000</v>
      </c>
      <c r="X490" s="18">
        <f>('Info Lega'!$B$5-COUNTIFS($D$2:$D$492,'Info Lega'!$B$28,$B$2:$B$492,"P"))+('Info Lega'!$B$6-COUNTIFS($D$2:$D$492,'Info Lega'!$B$28,$B$2:$B$492,"D"))+('Info Lega'!$B$7-COUNTIFS($D$2:$D$492,'Info Lega'!$B$28,$B$2:$B$492,"C"))+('Info Lega'!$B$8-COUNTIFS($D$2:$D$492,'Info Lega'!$B$28,$B$2:$B$492,"A"))</f>
        <v>25</v>
      </c>
      <c r="Y490" s="18">
        <f>X490*'Parametri Modello'!$B$30</f>
        <v>25</v>
      </c>
      <c r="Z490" s="18">
        <f t="shared" si="65"/>
        <v>975</v>
      </c>
      <c r="AA490" s="18">
        <f t="shared" si="66"/>
        <v>0</v>
      </c>
      <c r="AB490" s="18"/>
      <c r="AC490" s="18" t="str">
        <f>IF($AB490="","",IF($AB490&gt;$AA490,"PASS",IF($AB490&lt;=$AA490*(1-'Parametri Modello'!$B$68),"BID","ATTENZIONE")))</f>
        <v/>
      </c>
      <c r="AD490" s="28">
        <f t="shared" si="67"/>
        <v>18</v>
      </c>
      <c r="AE490" s="5" t="str">
        <f>IFERROR(IF($AF490="Titolare",INDEX('Stato Asta'!$G$9:$G$12,MATCH($B490,'Stato Asta'!$A$9:$A$12,0)),INDEX('Stato Asta'!$P$9:$P$12,MATCH($B490,'Stato Asta'!$A$9:$A$12,0))),"")</f>
        <v>🟢 Riserve abbondanti</v>
      </c>
      <c r="AF490" t="str">
        <f>IFERROR(IF($V490&lt;=INDEX('Parametri Modello'!$C$57:$C$60,MATCH($B490,'Parametri Modello'!$A$57:$A$60,0)),"Titolare","Riserva"),"")</f>
        <v>Riserva</v>
      </c>
      <c r="AG490" t="str">
        <f>IFERROR(INDEX('Pressione Competitiva'!$F$3:$F$6,MATCH($B490,'Pressione Competitiva'!$B$3:$B$6,0)),"")</f>
        <v>🔴 Molto Alta</v>
      </c>
      <c r="AH490" t="str">
        <f t="shared" si="68"/>
        <v/>
      </c>
      <c r="AI490" t="str">
        <f>IFERROR(IF($AH490="","",IF($AH490&gt;=$AA490*'Parametri Modello'!$B$68,"🟢 Opportunita'",IF($AH490&lt;=$AA490*'Parametri Modello'!$B$69,"🔴 Sovrapprezzo","🟡 Prezzo Corretto"))),"")</f>
        <v/>
      </c>
      <c r="AJ490" t="str">
        <f t="shared" si="69"/>
        <v/>
      </c>
      <c r="AK490" t="str">
        <f t="shared" si="70"/>
        <v/>
      </c>
      <c r="AL490" t="str">
        <f t="shared" si="71"/>
        <v/>
      </c>
    </row>
    <row r="491" spans="1:38" ht="14.25" customHeight="1" x14ac:dyDescent="0.25">
      <c r="A491" s="18">
        <v>7408</v>
      </c>
      <c r="B491" s="18" t="s">
        <v>437</v>
      </c>
      <c r="C491" s="18" t="s">
        <v>521</v>
      </c>
      <c r="E491" s="23" t="str">
        <f>IF(COUNTIF('Info Strategia'!$D$2:$D$51,$C491)&gt;0,"SI","NO")</f>
        <v>NO</v>
      </c>
      <c r="F491" s="24">
        <f>IFERROR(ROUND(($G491+($H491-$G491)*'Info Strategia'!$B$6)*(1+IF($E491="SI",'Parametri Modello'!$B$7*'Info Strategia'!$B$6,0)),0),"")</f>
        <v>0</v>
      </c>
      <c r="G491" s="24">
        <f>IFERROR(ROUND(MAX(1,(IF($V491&lt;=INDEX('Parametri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H491" s="24">
        <f>IFERROR(ROUND((IF($V491&lt;=INDEX('Parametri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0</v>
      </c>
      <c r="I491" s="23" t="str">
        <f>IFERROR(INDEX('Input Statistiche 2025_26'!$F$3:$F$665,MATCH($A491,'Input Statistiche 2025_26'!$A$3:$A$665,0)),"")</f>
        <v/>
      </c>
      <c r="J491" s="23" t="str">
        <f t="shared" si="63"/>
        <v/>
      </c>
      <c r="K491" s="23" t="str">
        <f>IFERROR(INDEX('Input Statistiche 2025_26'!$I$3:$I$665,MATCH($A491,'Input Statistiche 2025_26'!$A$3:$A$665,0)),"")</f>
        <v/>
      </c>
      <c r="L491" s="23" t="str">
        <f>IFERROR(INDEX('Input Statistiche 2025_26'!$O$3:$O$665,MATCH($A491,'Input Statistiche 2025_26'!$A$3:$A$665,0)),"")</f>
        <v/>
      </c>
      <c r="M491" s="25"/>
      <c r="N491" s="24">
        <f>IFERROR(INDEX('Input Giocatori 2026_27'!$E$3:$E$493,MATCH($A491,'Input Giocatori 2026_27'!$A$3:$A$493,0)),"")</f>
        <v>1</v>
      </c>
      <c r="O491" s="24">
        <f>IFERROR(INDEX('Input Giocatori 2026_27'!$G$3:$G$493,MATCH($A491,'Input Giocatori 2026_27'!$A$3:$A$493,0)),"")</f>
        <v>1</v>
      </c>
      <c r="P491" s="23" t="str">
        <f>IFERROR(IF($O491="","",IF((1-(COUNTIFS($B$2:$B$492,$B491,$O$2:$O$492,"&gt;"&amp;$O491)+1-1)/COUNTIF($B$2:$B$492,$B491))&gt;='Parametri Modello'!$B$63,"Top",IF((1-(COUNTIFS($B$2:$B$492,$B491,$O$2:$O$492,"&gt;"&amp;$O491)+1-1)/COUNTIF($B$2:$B$492,$B491))&gt;='Parametri Modello'!$B$64,"Buono",IF((1-(COUNTIFS($B$2:$B$492,$B491,$O$2:$O$492,"&gt;"&amp;$O491)+1-1)/COUNTIF($B$2:$B$492,$B491))&gt;='Parametri Modello'!$B$65,"Nella Media","Scommessa/Riserva")))),"")</f>
        <v>Scommessa/Riserva</v>
      </c>
      <c r="Q491" s="26" t="str">
        <f>IF(AND($D491="",$N491&gt;1),SUMPRODUCT(($D$2:$D491="")*($N$2:$N491&gt;1)),"")</f>
        <v/>
      </c>
      <c r="R491" s="26" t="str">
        <f>IF($D491='Info Lega'!$B$28,COUNTIFS($D$2:$D491,'Info Lega'!$B$28),"")</f>
        <v/>
      </c>
      <c r="S491" s="27" t="str">
        <f>IFERROR(INDEX('Input Statistiche 2025_26'!$G$3:$G$665,MATCH($A491,'Input Statistiche 2025_26'!$A$3:$A$665,0)),"")</f>
        <v/>
      </c>
      <c r="T491" s="27" t="str">
        <f>IFERROR(INDEX('Input Statistiche 2025_26'!$H$3:$H$665,MATCH($A491,'Input Statistiche 2025_26'!$A$3:$A$665,0)),"")</f>
        <v/>
      </c>
      <c r="U491" s="23" t="str">
        <f>IF(OR('La Mia Rosa'!$O$12="",$D491&lt;&gt;""),"",IF($F491&lt;='La Mia Rosa'!$O$12*'Parametri Modello'!$B$24,"OK",IF($F491&lt;='La Mia Rosa'!$O$12*'Parametri Modello'!$B$25,"Attenzione","Rischio Alto")))</f>
        <v>OK</v>
      </c>
      <c r="V491" s="23">
        <f t="shared" si="64"/>
        <v>81</v>
      </c>
      <c r="W491" s="18">
        <f>'Info Lega'!$B$4-SUMIFS($M$2:$M$492,$D$2:$D$492,'Info Lega'!$B$28)</f>
        <v>1000</v>
      </c>
      <c r="X491" s="18">
        <f>('Info Lega'!$B$5-COUNTIFS($D$2:$D$492,'Info Lega'!$B$28,$B$2:$B$492,"P"))+('Info Lega'!$B$6-COUNTIFS($D$2:$D$492,'Info Lega'!$B$28,$B$2:$B$492,"D"))+('Info Lega'!$B$7-COUNTIFS($D$2:$D$492,'Info Lega'!$B$28,$B$2:$B$492,"C"))+('Info Lega'!$B$8-COUNTIFS($D$2:$D$492,'Info Lega'!$B$28,$B$2:$B$492,"A"))</f>
        <v>25</v>
      </c>
      <c r="Y491" s="18">
        <f>X491*'Parametri Modello'!$B$30</f>
        <v>25</v>
      </c>
      <c r="Z491" s="18">
        <f t="shared" si="65"/>
        <v>975</v>
      </c>
      <c r="AA491" s="18">
        <f t="shared" si="66"/>
        <v>0</v>
      </c>
      <c r="AB491" s="18"/>
      <c r="AC491" s="18" t="str">
        <f>IF($AB491="","",IF($AB491&gt;$AA491,"PASS",IF($AB491&lt;=$AA491*(1-'Parametri Modello'!$B$68),"BID","ATTENZIONE")))</f>
        <v/>
      </c>
      <c r="AD491" s="28" t="str">
        <f t="shared" si="67"/>
        <v/>
      </c>
      <c r="AE491" s="5" t="str">
        <f>IFERROR(IF($AF491="Titolare",INDEX('Stato Asta'!$G$9:$G$12,MATCH($B491,'Stato Asta'!$A$9:$A$12,0)),INDEX('Stato Asta'!$P$9:$P$12,MATCH($B491,'Stato Asta'!$A$9:$A$12,0))),"")</f>
        <v>🟢 Riserve abbondanti</v>
      </c>
      <c r="AF491" t="str">
        <f>IFERROR(IF($V491&lt;=INDEX('Parametri Modello'!$C$57:$C$60,MATCH($B491,'Parametri Modello'!$A$57:$A$60,0)),"Titolare","Riserva"),"")</f>
        <v>Riserva</v>
      </c>
      <c r="AG491" t="str">
        <f>IFERROR(INDEX('Pressione Competitiva'!$F$3:$F$6,MATCH($B491,'Pressione Competitiva'!$B$3:$B$6,0)),"")</f>
        <v>🔴 Molto Alta</v>
      </c>
      <c r="AH491" t="str">
        <f t="shared" si="68"/>
        <v/>
      </c>
      <c r="AI491" t="str">
        <f>IFERROR(IF($AH491="","",IF($AH491&gt;=$AA491*'Parametri Modello'!$B$68,"🟢 Opportunita'",IF($AH491&lt;=$AA491*'Parametri Modello'!$B$69,"🔴 Sovrapprezzo","🟡 Prezzo Corretto"))),"")</f>
        <v/>
      </c>
      <c r="AJ491" t="str">
        <f t="shared" si="69"/>
        <v/>
      </c>
      <c r="AK491" t="str">
        <f t="shared" si="70"/>
        <v/>
      </c>
      <c r="AL491" t="str">
        <f t="shared" si="71"/>
        <v/>
      </c>
    </row>
    <row r="492" spans="1:38" ht="14.25" customHeight="1" x14ac:dyDescent="0.25">
      <c r="A492" s="18">
        <v>7482</v>
      </c>
      <c r="B492" s="18" t="s">
        <v>437</v>
      </c>
      <c r="C492" s="18" t="s">
        <v>522</v>
      </c>
      <c r="E492" s="23" t="str">
        <f>IF(COUNTIF('Info Strategia'!$D$2:$D$51,$C492)&gt;0,"SI","NO")</f>
        <v>NO</v>
      </c>
      <c r="F492" s="24">
        <f>IFERROR(ROUND(($G492+($H492-$G492)*'Info Strategia'!$B$6)*(1+IF($E492="SI",'Parametri Modello'!$B$7*'Info Strategia'!$B$6,0)),0),"")</f>
        <v>0</v>
      </c>
      <c r="G492" s="24">
        <f>IFERROR(ROUND(MAX(1,(IF($V492&lt;=INDEX('Parametri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H492" s="24">
        <f>IFERROR(ROUND((IF($V492&lt;=INDEX('Parametri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0</v>
      </c>
      <c r="I492" s="23" t="str">
        <f>IFERROR(INDEX('Input Statistiche 2025_26'!$F$3:$F$665,MATCH($A492,'Input Statistiche 2025_26'!$A$3:$A$665,0)),"")</f>
        <v/>
      </c>
      <c r="J492" s="23" t="str">
        <f t="shared" si="63"/>
        <v/>
      </c>
      <c r="K492" s="23" t="str">
        <f>IFERROR(INDEX('Input Statistiche 2025_26'!$I$3:$I$665,MATCH($A492,'Input Statistiche 2025_26'!$A$3:$A$665,0)),"")</f>
        <v/>
      </c>
      <c r="L492" s="23" t="str">
        <f>IFERROR(INDEX('Input Statistiche 2025_26'!$O$3:$O$665,MATCH($A492,'Input Statistiche 2025_26'!$A$3:$A$665,0)),"")</f>
        <v/>
      </c>
      <c r="M492" s="25"/>
      <c r="N492" s="24">
        <f>IFERROR(INDEX('Input Giocatori 2026_27'!$E$3:$E$493,MATCH($A492,'Input Giocatori 2026_27'!$A$3:$A$493,0)),"")</f>
        <v>1</v>
      </c>
      <c r="O492" s="24">
        <f>IFERROR(INDEX('Input Giocatori 2026_27'!$G$3:$G$493,MATCH($A492,'Input Giocatori 2026_27'!$A$3:$A$493,0)),"")</f>
        <v>1</v>
      </c>
      <c r="P492" s="23" t="str">
        <f>IFERROR(IF($O492="","",IF((1-(COUNTIFS($B$2:$B$492,$B492,$O$2:$O$492,"&gt;"&amp;$O492)+1-1)/COUNTIF($B$2:$B$492,$B492))&gt;='Parametri Modello'!$B$63,"Top",IF((1-(COUNTIFS($B$2:$B$492,$B492,$O$2:$O$492,"&gt;"&amp;$O492)+1-1)/COUNTIF($B$2:$B$492,$B492))&gt;='Parametri Modello'!$B$64,"Buono",IF((1-(COUNTIFS($B$2:$B$492,$B492,$O$2:$O$492,"&gt;"&amp;$O492)+1-1)/COUNTIF($B$2:$B$492,$B492))&gt;='Parametri Modello'!$B$65,"Nella Media","Scommessa/Riserva")))),"")</f>
        <v>Scommessa/Riserva</v>
      </c>
      <c r="Q492" s="26" t="str">
        <f>IF(AND($D492="",$N492&gt;1),SUMPRODUCT(($D$2:$D492="")*($N$2:$N492&gt;1)),"")</f>
        <v/>
      </c>
      <c r="R492" s="26" t="str">
        <f>IF($D492='Info Lega'!$B$28,COUNTIFS($D$2:$D492,'Info Lega'!$B$28),"")</f>
        <v/>
      </c>
      <c r="S492" s="27" t="str">
        <f>IFERROR(INDEX('Input Statistiche 2025_26'!$G$3:$G$665,MATCH($A492,'Input Statistiche 2025_26'!$A$3:$A$665,0)),"")</f>
        <v/>
      </c>
      <c r="T492" s="27" t="str">
        <f>IFERROR(INDEX('Input Statistiche 2025_26'!$H$3:$H$665,MATCH($A492,'Input Statistiche 2025_26'!$A$3:$A$665,0)),"")</f>
        <v/>
      </c>
      <c r="U492" s="23" t="str">
        <f>IF(OR('La Mia Rosa'!$O$12="",$D492&lt;&gt;""),"",IF($F492&lt;='La Mia Rosa'!$O$12*'Parametri Modello'!$B$24,"OK",IF($F492&lt;='La Mia Rosa'!$O$12*'Parametri Modello'!$B$25,"Attenzione","Rischio Alto")))</f>
        <v>OK</v>
      </c>
      <c r="V492" s="23">
        <f t="shared" si="64"/>
        <v>81</v>
      </c>
      <c r="W492" s="18">
        <f>'Info Lega'!$B$4-SUMIFS($M$2:$M$492,$D$2:$D$492,'Info Lega'!$B$28)</f>
        <v>1000</v>
      </c>
      <c r="X492" s="18">
        <f>('Info Lega'!$B$5-COUNTIFS($D$2:$D$492,'Info Lega'!$B$28,$B$2:$B$492,"P"))+('Info Lega'!$B$6-COUNTIFS($D$2:$D$492,'Info Lega'!$B$28,$B$2:$B$492,"D"))+('Info Lega'!$B$7-COUNTIFS($D$2:$D$492,'Info Lega'!$B$28,$B$2:$B$492,"C"))+('Info Lega'!$B$8-COUNTIFS($D$2:$D$492,'Info Lega'!$B$28,$B$2:$B$492,"A"))</f>
        <v>25</v>
      </c>
      <c r="Y492" s="18">
        <f>X492*'Parametri Modello'!$B$30</f>
        <v>25</v>
      </c>
      <c r="Z492" s="18">
        <f t="shared" si="65"/>
        <v>975</v>
      </c>
      <c r="AA492" s="18">
        <f t="shared" si="66"/>
        <v>0</v>
      </c>
      <c r="AB492" s="18"/>
      <c r="AC492" s="18" t="str">
        <f>IF($AB492="","",IF($AB492&gt;$AA492,"PASS",IF($AB492&lt;=$AA492*(1-'Parametri Modello'!$B$68),"BID","ATTENZIONE")))</f>
        <v/>
      </c>
      <c r="AD492" s="28" t="str">
        <f t="shared" si="67"/>
        <v/>
      </c>
      <c r="AE492" s="5" t="str">
        <f>IFERROR(IF($AF492="Titolare",INDEX('Stato Asta'!$G$9:$G$12,MATCH($B492,'Stato Asta'!$A$9:$A$12,0)),INDEX('Stato Asta'!$P$9:$P$12,MATCH($B492,'Stato Asta'!$A$9:$A$12,0))),"")</f>
        <v>🟢 Riserve abbondanti</v>
      </c>
      <c r="AF492" t="str">
        <f>IFERROR(IF($V492&lt;=INDEX('Parametri Modello'!$C$57:$C$60,MATCH($B492,'Parametri Modello'!$A$57:$A$60,0)),"Titolare","Riserva"),"")</f>
        <v>Riserva</v>
      </c>
      <c r="AG492" t="str">
        <f>IFERROR(INDEX('Pressione Competitiva'!$F$3:$F$6,MATCH($B492,'Pressione Competitiva'!$B$3:$B$6,0)),"")</f>
        <v>🔴 Molto Alta</v>
      </c>
      <c r="AH492" t="str">
        <f t="shared" si="68"/>
        <v/>
      </c>
      <c r="AI492" t="str">
        <f>IFERROR(IF($AH492="","",IF($AH492&gt;=$AA492*'Parametri Modello'!$B$68,"🟢 Opportunita'",IF($AH492&lt;=$AA492*'Parametri Modello'!$B$69,"🔴 Sovrapprezzo","🟡 Prezzo Corretto"))),"")</f>
        <v/>
      </c>
      <c r="AJ492" t="str">
        <f t="shared" si="69"/>
        <v/>
      </c>
      <c r="AK492" t="str">
        <f t="shared" si="70"/>
        <v/>
      </c>
      <c r="AL492" t="str">
        <f t="shared" si="71"/>
        <v/>
      </c>
    </row>
  </sheetData>
  <autoFilter ref="A1:R492" xr:uid="{00000000-0009-0000-0000-000003000000}">
    <sortState xmlns:xlrd2="http://schemas.microsoft.com/office/spreadsheetml/2017/richdata2" ref="A2:R492">
      <sortCondition descending="1" ref="A2:A492"/>
    </sortState>
  </autoFilter>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5"/>
  <sheetViews>
    <sheetView showGridLines="0" zoomScaleNormal="100" workbookViewId="0"/>
  </sheetViews>
  <sheetFormatPr defaultColWidth="8.7109375" defaultRowHeight="15" x14ac:dyDescent="0.25"/>
  <cols>
    <col min="1" max="1" width="6" customWidth="1"/>
    <col min="2" max="2" width="11" customWidth="1"/>
    <col min="3" max="3" width="12" customWidth="1"/>
    <col min="4" max="4" width="14" customWidth="1"/>
    <col min="5" max="5" width="20" customWidth="1"/>
    <col min="6" max="6" width="14" customWidth="1"/>
    <col min="7" max="7" width="20" customWidth="1"/>
    <col min="8" max="8" width="16" customWidth="1"/>
  </cols>
  <sheetData>
    <row r="1" spans="1:16" ht="24" customHeight="1" x14ac:dyDescent="0.25">
      <c r="A1" s="71" t="s">
        <v>660</v>
      </c>
      <c r="B1" s="66"/>
      <c r="C1" s="66"/>
      <c r="D1" s="66"/>
      <c r="E1" s="66"/>
      <c r="F1" s="66"/>
      <c r="G1" s="66"/>
      <c r="H1" s="66"/>
    </row>
    <row r="3" spans="1:16" ht="15" customHeight="1" x14ac:dyDescent="0.25">
      <c r="A3" s="5" t="s">
        <v>661</v>
      </c>
      <c r="C3" s="6" t="str">
        <f>COUNTIFS('Output Utente'!$D$2:$D$492,"&lt;&gt;")&amp;" / "&amp;COUNTA('Output Utente'!$A$2:$A$492)</f>
        <v>0 / 491</v>
      </c>
    </row>
    <row r="4" spans="1:16" ht="15" customHeight="1" x14ac:dyDescent="0.25">
      <c r="A4" s="5" t="s">
        <v>578</v>
      </c>
      <c r="C4" s="7">
        <f>COUNTIFS('Output Utente'!$D$2:$D$492,"&lt;&gt;")/COUNTA('Output Utente'!$A$2:$A$492)</f>
        <v>0</v>
      </c>
    </row>
    <row r="5" spans="1:16" ht="15" customHeight="1" x14ac:dyDescent="0.25">
      <c r="A5" s="5" t="s">
        <v>580</v>
      </c>
      <c r="C5" s="8">
        <f t="array" ref="C5">AVERAGE(IF('Info Lega'!$D$9:$D$24="Si",'Info Lega'!$B$4-SUMIF('Output Utente'!$D$2:$D$492,'Info Lega'!$B$9:$B$24,'Output Utente'!$M$2:$M$492)))</f>
        <v>1000</v>
      </c>
    </row>
    <row r="6" spans="1:16" ht="15" customHeight="1" x14ac:dyDescent="0.25">
      <c r="A6" s="5" t="s">
        <v>662</v>
      </c>
      <c r="C6" s="9" t="str">
        <f>IFERROR(AVERAGEIF('Output Utente'!$D$2:$D$492,"&lt;&gt;",'Output Utente'!$M$2:$M$492),"")</f>
        <v/>
      </c>
    </row>
    <row r="8" spans="1:16" ht="30" customHeight="1" x14ac:dyDescent="0.25">
      <c r="A8" s="10" t="s">
        <v>581</v>
      </c>
      <c r="B8" s="10" t="s">
        <v>663</v>
      </c>
      <c r="C8" s="10" t="s">
        <v>664</v>
      </c>
      <c r="D8" s="10" t="s">
        <v>665</v>
      </c>
      <c r="E8" s="10" t="s">
        <v>666</v>
      </c>
      <c r="F8" s="10" t="s">
        <v>667</v>
      </c>
      <c r="G8" s="10" t="s">
        <v>668</v>
      </c>
      <c r="H8" s="10" t="s">
        <v>669</v>
      </c>
      <c r="I8" s="45" t="s">
        <v>670</v>
      </c>
      <c r="J8" s="45" t="s">
        <v>671</v>
      </c>
      <c r="K8" s="45" t="s">
        <v>672</v>
      </c>
      <c r="L8" s="45" t="s">
        <v>673</v>
      </c>
      <c r="M8" t="s">
        <v>674</v>
      </c>
      <c r="N8" t="s">
        <v>675</v>
      </c>
      <c r="O8" t="s">
        <v>676</v>
      </c>
      <c r="P8" t="s">
        <v>677</v>
      </c>
    </row>
    <row r="9" spans="1:16" ht="15" customHeight="1" x14ac:dyDescent="0.25">
      <c r="A9" s="5" t="s">
        <v>8</v>
      </c>
      <c r="B9" s="5">
        <f>COUNTIFS('Output Utente'!$B$2:$B$492,"P",'Output Utente'!$P$2:$P$492,"Top",'Output Utente'!$D$2:$D$492,"",'Output Utente'!$N$2:$N$492,"&gt;1")</f>
        <v>7</v>
      </c>
      <c r="C9" s="5">
        <f>COUNTIFS('Output Utente'!$B$2:$B$492,"P",'Output Utente'!$P$2:$P$492,"Buono",'Output Utente'!$D$2:$D$492,"",'Output Utente'!$N$2:$N$492,"&gt;1")</f>
        <v>11</v>
      </c>
      <c r="D9" s="5">
        <f>$B9+$C9</f>
        <v>18</v>
      </c>
      <c r="E9" s="5">
        <f>'Parametri Modello'!$D$32</f>
        <v>24</v>
      </c>
      <c r="F9" s="11">
        <f>IFERROR($D9/$M9,"")</f>
        <v>2.25</v>
      </c>
      <c r="G9" s="6" t="str">
        <f>IF($M9=0,IF($E9=0,"— (ruolo esaurito)","🟠 Titolari esauriti (solo riserve)"),IF($F9&gt;='Parametri Modello'!$B$46,"🟢 Puoi aspettare",IF($F9&gt;='Parametri Modello'!$B$47,"🟡 Attesa rischiosa","🔴 Non aspettare")))</f>
        <v>🟢 Puoi aspettare</v>
      </c>
      <c r="H9" s="12" t="str">
        <f>IFERROR(AVERAGEIFS('Output Utente'!$M$2:$M$492,'Output Utente'!$B$2:$B$492,"P",'Output Utente'!$D$2:$D$492,"&lt;&gt;"),"")</f>
        <v/>
      </c>
      <c r="I9">
        <f>COUNTIFS('Output Utente'!$B$2:$B$492,"P",'Output Utente'!$P$2:$P$492,"Nella Media",'Output Utente'!$D$2:$D$492,"",'Output Utente'!$N$2:$N$492,"&gt;1")</f>
        <v>6</v>
      </c>
      <c r="J9">
        <f>COUNTIFS('Output Utente'!$B$2:$B$492,"P",'Output Utente'!$P$2:$P$492,"Scommessa/Riserva",'Output Utente'!$D$2:$D$492,"",'Output Utente'!$N$2:$N$492,"&gt;1")</f>
        <v>0</v>
      </c>
      <c r="K9">
        <f>B9+C9+I9+J9</f>
        <v>24</v>
      </c>
      <c r="L9" s="46">
        <f>IFERROR($D9/$K9,"")</f>
        <v>0.75</v>
      </c>
      <c r="M9">
        <f>IFERROR(INDEX('Parametri Modello'!$G$57:$G$60,MATCH($A9,'Parametri Modello'!$A$57:$A$60,0)),"")</f>
        <v>8</v>
      </c>
      <c r="N9">
        <f>IFERROR(INDEX('Parametri Modello'!$H$57:$H$60,MATCH($A9,'Parametri Modello'!$A$57:$A$60,0)),"")</f>
        <v>16</v>
      </c>
      <c r="O9">
        <f>IFERROR(($I9+$J9)/$N9,"")</f>
        <v>0.375</v>
      </c>
      <c r="P9" t="str">
        <f>IF($N9=0,"— (riserve esaurite)",IF($O9&gt;='Parametri Modello'!$B$46,"🟢 Riserve abbondanti",IF($O9&gt;='Parametri Modello'!$B$47,"🟡 Riserve nella norma","🔴 Riserve scarse")))</f>
        <v>🔴 Riserve scarse</v>
      </c>
    </row>
    <row r="10" spans="1:16" ht="15" customHeight="1" x14ac:dyDescent="0.25">
      <c r="A10" s="5" t="s">
        <v>88</v>
      </c>
      <c r="B10" s="5">
        <f>COUNTIFS('Output Utente'!$B$2:$B$492,"D",'Output Utente'!$P$2:$P$492,"Top",'Output Utente'!$D$2:$D$492,"",'Output Utente'!$N$2:$N$492,"&gt;1")</f>
        <v>18</v>
      </c>
      <c r="C10" s="5">
        <f>COUNTIFS('Output Utente'!$B$2:$B$492,"D",'Output Utente'!$P$2:$P$492,"Buono",'Output Utente'!$D$2:$D$492,"",'Output Utente'!$N$2:$N$492,"&gt;1")</f>
        <v>37</v>
      </c>
      <c r="D10" s="5">
        <f>$B10+$C10</f>
        <v>55</v>
      </c>
      <c r="E10" s="5">
        <f>'Parametri Modello'!$D$33</f>
        <v>64</v>
      </c>
      <c r="F10" s="11">
        <f>IFERROR($D10/$M10,"")</f>
        <v>2.2916666666666665</v>
      </c>
      <c r="G10" s="6" t="str">
        <f>IF($M10=0,IF($E10=0,"— (ruolo esaurito)","🟠 Titolari esauriti (solo riserve)"),IF($F10&gt;='Parametri Modello'!$B$46,"🟢 Puoi aspettare",IF($F10&gt;='Parametri Modello'!$B$47,"🟡 Attesa rischiosa","🔴 Non aspettare")))</f>
        <v>🟢 Puoi aspettare</v>
      </c>
      <c r="H10" s="12" t="str">
        <f>IFERROR(AVERAGEIFS('Output Utente'!$M$2:$M$492,'Output Utente'!$B$2:$B$492,"D",'Output Utente'!$D$2:$D$492,"&lt;&gt;"),"")</f>
        <v/>
      </c>
      <c r="I10">
        <f>COUNTIFS('Output Utente'!$B$2:$B$492,"D",'Output Utente'!$P$2:$P$492,"Nella Media",'Output Utente'!$D$2:$D$492,"",'Output Utente'!$N$2:$N$492,"&gt;1")</f>
        <v>56</v>
      </c>
      <c r="J10">
        <f>COUNTIFS('Output Utente'!$B$2:$B$492,"D",'Output Utente'!$P$2:$P$492,"Scommessa/Riserva",'Output Utente'!$D$2:$D$492,"",'Output Utente'!$N$2:$N$492,"&gt;1")</f>
        <v>37</v>
      </c>
      <c r="K10">
        <f>B10+C10+I10+J10</f>
        <v>148</v>
      </c>
      <c r="L10" s="46">
        <f>IFERROR($D10/$K10,"")</f>
        <v>0.3716216216216216</v>
      </c>
      <c r="M10">
        <f>IFERROR(INDEX('Parametri Modello'!$G$57:$G$60,MATCH($A10,'Parametri Modello'!$A$57:$A$60,0)),"")</f>
        <v>24</v>
      </c>
      <c r="N10">
        <f>IFERROR(INDEX('Parametri Modello'!$H$57:$H$60,MATCH($A10,'Parametri Modello'!$A$57:$A$60,0)),"")</f>
        <v>40</v>
      </c>
      <c r="O10">
        <f>IFERROR(($I10+$J10)/$N10,"")</f>
        <v>2.3250000000000002</v>
      </c>
      <c r="P10" t="str">
        <f>IF($N10=0,"— (riserve esaurite)",IF($O10&gt;='Parametri Modello'!$B$46,"🟢 Riserve abbondanti",IF($O10&gt;='Parametri Modello'!$B$47,"🟡 Riserve nella norma","🔴 Riserve scarse")))</f>
        <v>🟢 Riserve abbondanti</v>
      </c>
    </row>
    <row r="11" spans="1:16" ht="15" customHeight="1" x14ac:dyDescent="0.25">
      <c r="A11" s="5" t="s">
        <v>264</v>
      </c>
      <c r="B11" s="5">
        <f>COUNTIFS('Output Utente'!$B$2:$B$492,"C",'Output Utente'!$P$2:$P$492,"Top",'Output Utente'!$D$2:$D$492,"",'Output Utente'!$N$2:$N$492,"&gt;1")</f>
        <v>18</v>
      </c>
      <c r="C11" s="5">
        <f>COUNTIFS('Output Utente'!$B$2:$B$492,"C",'Output Utente'!$P$2:$P$492,"Buono",'Output Utente'!$D$2:$D$492,"",'Output Utente'!$N$2:$N$492,"&gt;1")</f>
        <v>37</v>
      </c>
      <c r="D11" s="5">
        <f>$B11+$C11</f>
        <v>55</v>
      </c>
      <c r="E11" s="5">
        <f>'Parametri Modello'!$D$34</f>
        <v>64</v>
      </c>
      <c r="F11" s="11">
        <f>IFERROR($D11/$M11,"")</f>
        <v>1.71875</v>
      </c>
      <c r="G11" s="6" t="str">
        <f>IF($M11=0,IF($E11=0,"— (ruolo esaurito)","🟠 Titolari esauriti (solo riserve)"),IF($F11&gt;='Parametri Modello'!$B$46,"🟢 Puoi aspettare",IF($F11&gt;='Parametri Modello'!$B$47,"🟡 Attesa rischiosa","🔴 Non aspettare")))</f>
        <v>🟡 Attesa rischiosa</v>
      </c>
      <c r="H11" s="12" t="str">
        <f>IFERROR(AVERAGEIFS('Output Utente'!$M$2:$M$492,'Output Utente'!$B$2:$B$492,"C",'Output Utente'!$D$2:$D$492,"&lt;&gt;"),"")</f>
        <v/>
      </c>
      <c r="I11">
        <f>COUNTIFS('Output Utente'!$B$2:$B$492,"C",'Output Utente'!$P$2:$P$492,"Nella Media",'Output Utente'!$D$2:$D$492,"",'Output Utente'!$N$2:$N$492,"&gt;1")</f>
        <v>49</v>
      </c>
      <c r="J11">
        <f>COUNTIFS('Output Utente'!$B$2:$B$492,"C",'Output Utente'!$P$2:$P$492,"Scommessa/Riserva",'Output Utente'!$D$2:$D$492,"",'Output Utente'!$N$2:$N$492,"&gt;1")</f>
        <v>51</v>
      </c>
      <c r="K11">
        <f>B11+C11+I11+J11</f>
        <v>155</v>
      </c>
      <c r="L11" s="46">
        <f>IFERROR($D11/$K11,"")</f>
        <v>0.35483870967741937</v>
      </c>
      <c r="M11">
        <f>IFERROR(INDEX('Parametri Modello'!$G$57:$G$60,MATCH($A11,'Parametri Modello'!$A$57:$A$60,0)),"")</f>
        <v>32</v>
      </c>
      <c r="N11">
        <f>IFERROR(INDEX('Parametri Modello'!$H$57:$H$60,MATCH($A11,'Parametri Modello'!$A$57:$A$60,0)),"")</f>
        <v>32</v>
      </c>
      <c r="O11">
        <f>IFERROR(($I11+$J11)/$N11,"")</f>
        <v>3.125</v>
      </c>
      <c r="P11" t="str">
        <f>IF($N11=0,"— (riserve esaurite)",IF($O11&gt;='Parametri Modello'!$B$46,"🟢 Riserve abbondanti",IF($O11&gt;='Parametri Modello'!$B$47,"🟡 Riserve nella norma","🔴 Riserve scarse")))</f>
        <v>🟢 Riserve abbondanti</v>
      </c>
    </row>
    <row r="12" spans="1:16" ht="15" customHeight="1" x14ac:dyDescent="0.25">
      <c r="A12" s="5" t="s">
        <v>437</v>
      </c>
      <c r="B12" s="5">
        <f>COUNTIFS('Output Utente'!$B$2:$B$492,"A",'Output Utente'!$P$2:$P$492,"Top",'Output Utente'!$D$2:$D$492,"",'Output Utente'!$N$2:$N$492,"&gt;1")</f>
        <v>9</v>
      </c>
      <c r="C12" s="5">
        <f>COUNTIFS('Output Utente'!$B$2:$B$492,"A",'Output Utente'!$P$2:$P$492,"Buono",'Output Utente'!$D$2:$D$492,"",'Output Utente'!$N$2:$N$492,"&gt;1")</f>
        <v>17</v>
      </c>
      <c r="D12" s="5">
        <f>$B12+$C12</f>
        <v>26</v>
      </c>
      <c r="E12" s="5">
        <f>'Parametri Modello'!$D$35</f>
        <v>48</v>
      </c>
      <c r="F12" s="11">
        <f>IFERROR($D12/$M12,"")</f>
        <v>1.0833333333333333</v>
      </c>
      <c r="G12" s="6" t="str">
        <f>IF($M12=0,IF($E12=0,"— (ruolo esaurito)","🟠 Titolari esauriti (solo riserve)"),IF($F12&gt;='Parametri Modello'!$B$46,"🟢 Puoi aspettare",IF($F12&gt;='Parametri Modello'!$B$47,"🟡 Attesa rischiosa","🔴 Non aspettare")))</f>
        <v>🟡 Attesa rischiosa</v>
      </c>
      <c r="H12" s="12" t="str">
        <f>IFERROR(AVERAGEIFS('Output Utente'!$M$2:$M$492,'Output Utente'!$B$2:$B$492,"A",'Output Utente'!$D$2:$D$492,"&lt;&gt;"),"")</f>
        <v/>
      </c>
      <c r="I12">
        <f>COUNTIFS('Output Utente'!$B$2:$B$492,"A",'Output Utente'!$P$2:$P$492,"Nella Media",'Output Utente'!$D$2:$D$492,"",'Output Utente'!$N$2:$N$492,"&gt;1")</f>
        <v>28</v>
      </c>
      <c r="J12">
        <f>COUNTIFS('Output Utente'!$B$2:$B$492,"A",'Output Utente'!$P$2:$P$492,"Scommessa/Riserva",'Output Utente'!$D$2:$D$492,"",'Output Utente'!$N$2:$N$492,"&gt;1")</f>
        <v>23</v>
      </c>
      <c r="K12">
        <f>B12+C12+I12+J12</f>
        <v>77</v>
      </c>
      <c r="L12" s="46">
        <f>IFERROR($D12/$K12,"")</f>
        <v>0.33766233766233766</v>
      </c>
      <c r="M12">
        <f>IFERROR(INDEX('Parametri Modello'!$G$57:$G$60,MATCH($A12,'Parametri Modello'!$A$57:$A$60,0)),"")</f>
        <v>24</v>
      </c>
      <c r="N12">
        <f>IFERROR(INDEX('Parametri Modello'!$H$57:$H$60,MATCH($A12,'Parametri Modello'!$A$57:$A$60,0)),"")</f>
        <v>24</v>
      </c>
      <c r="O12">
        <f>IFERROR(($I12+$J12)/$N12,"")</f>
        <v>2.125</v>
      </c>
      <c r="P12" t="str">
        <f>IF($N12=0,"— (riserve esaurite)",IF($O12&gt;='Parametri Modello'!$B$46,"🟢 Riserve abbondanti",IF($O12&gt;='Parametri Modello'!$B$47,"🟡 Riserve nella norma","🔴 Riserve scarse")))</f>
        <v>🟢 Riserve abbondanti</v>
      </c>
    </row>
    <row r="15" spans="1:16" ht="21.75" customHeight="1" x14ac:dyDescent="0.25">
      <c r="A15" s="72" t="s">
        <v>678</v>
      </c>
      <c r="B15" s="66"/>
      <c r="C15" s="66"/>
      <c r="D15" s="66"/>
      <c r="E15" s="66"/>
      <c r="F15" s="66"/>
      <c r="G15" s="66"/>
      <c r="H15" s="66"/>
    </row>
  </sheetData>
  <mergeCells count="2">
    <mergeCell ref="A1:H1"/>
    <mergeCell ref="A15:H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8"/>
  <sheetViews>
    <sheetView zoomScaleNormal="100" workbookViewId="0">
      <selection activeCell="B9" sqref="B9"/>
    </sheetView>
  </sheetViews>
  <sheetFormatPr defaultColWidth="8.5703125" defaultRowHeight="15" x14ac:dyDescent="0.25"/>
  <cols>
    <col min="1" max="1" width="23.5703125" customWidth="1"/>
    <col min="2" max="2" width="16" style="14" customWidth="1"/>
  </cols>
  <sheetData>
    <row r="2" spans="1:4" ht="14.25" customHeight="1" x14ac:dyDescent="0.25">
      <c r="A2" t="s">
        <v>679</v>
      </c>
      <c r="B2" s="14" t="s">
        <v>680</v>
      </c>
      <c r="C2" t="s">
        <v>681</v>
      </c>
    </row>
    <row r="3" spans="1:4" ht="14.25" customHeight="1" x14ac:dyDescent="0.25">
      <c r="A3" t="s">
        <v>682</v>
      </c>
      <c r="B3" s="14">
        <v>8</v>
      </c>
    </row>
    <row r="4" spans="1:4" ht="14.25" customHeight="1" x14ac:dyDescent="0.25">
      <c r="A4" t="s">
        <v>683</v>
      </c>
      <c r="B4" s="14">
        <v>1000</v>
      </c>
    </row>
    <row r="5" spans="1:4" ht="14.25" customHeight="1" x14ac:dyDescent="0.25">
      <c r="A5" t="s">
        <v>684</v>
      </c>
      <c r="B5" s="14">
        <v>3</v>
      </c>
    </row>
    <row r="6" spans="1:4" ht="14.25" customHeight="1" x14ac:dyDescent="0.25">
      <c r="A6" t="s">
        <v>685</v>
      </c>
      <c r="B6" s="14">
        <v>8</v>
      </c>
    </row>
    <row r="7" spans="1:4" ht="14.25" customHeight="1" x14ac:dyDescent="0.25">
      <c r="A7" t="s">
        <v>686</v>
      </c>
      <c r="B7" s="14">
        <v>8</v>
      </c>
    </row>
    <row r="8" spans="1:4" ht="14.25" customHeight="1" x14ac:dyDescent="0.25">
      <c r="A8" t="s">
        <v>687</v>
      </c>
      <c r="B8" s="14">
        <v>6</v>
      </c>
      <c r="D8" s="6" t="s">
        <v>688</v>
      </c>
    </row>
    <row r="9" spans="1:4" ht="14.25" customHeight="1" x14ac:dyDescent="0.25">
      <c r="A9" t="s">
        <v>689</v>
      </c>
      <c r="B9" s="14" t="s">
        <v>690</v>
      </c>
      <c r="D9" s="5" t="str">
        <f t="shared" ref="D9:D24" si="0">IF(ROW()-8&lt;=$B$3,"Si","No")</f>
        <v>Si</v>
      </c>
    </row>
    <row r="10" spans="1:4" ht="14.25" customHeight="1" x14ac:dyDescent="0.25">
      <c r="A10" t="s">
        <v>691</v>
      </c>
      <c r="B10" s="14" t="s">
        <v>692</v>
      </c>
      <c r="D10" s="5" t="str">
        <f t="shared" si="0"/>
        <v>Si</v>
      </c>
    </row>
    <row r="11" spans="1:4" ht="14.25" customHeight="1" x14ac:dyDescent="0.25">
      <c r="A11" t="s">
        <v>693</v>
      </c>
      <c r="B11" s="14" t="s">
        <v>694</v>
      </c>
      <c r="D11" s="5" t="str">
        <f t="shared" si="0"/>
        <v>Si</v>
      </c>
    </row>
    <row r="12" spans="1:4" ht="14.25" customHeight="1" x14ac:dyDescent="0.25">
      <c r="A12" t="s">
        <v>695</v>
      </c>
      <c r="B12" s="14" t="s">
        <v>696</v>
      </c>
      <c r="D12" s="5" t="str">
        <f t="shared" si="0"/>
        <v>Si</v>
      </c>
    </row>
    <row r="13" spans="1:4" ht="14.25" customHeight="1" x14ac:dyDescent="0.25">
      <c r="A13" t="s">
        <v>697</v>
      </c>
      <c r="B13" s="14" t="s">
        <v>698</v>
      </c>
      <c r="D13" s="5" t="str">
        <f t="shared" si="0"/>
        <v>Si</v>
      </c>
    </row>
    <row r="14" spans="1:4" ht="14.25" customHeight="1" x14ac:dyDescent="0.25">
      <c r="A14" t="s">
        <v>699</v>
      </c>
      <c r="B14" s="14" t="s">
        <v>700</v>
      </c>
      <c r="D14" s="5" t="str">
        <f t="shared" si="0"/>
        <v>Si</v>
      </c>
    </row>
    <row r="15" spans="1:4" ht="14.25" customHeight="1" x14ac:dyDescent="0.25">
      <c r="A15" t="s">
        <v>701</v>
      </c>
      <c r="B15" s="14" t="s">
        <v>702</v>
      </c>
      <c r="D15" s="5" t="str">
        <f t="shared" si="0"/>
        <v>Si</v>
      </c>
    </row>
    <row r="16" spans="1:4" ht="14.25" customHeight="1" x14ac:dyDescent="0.25">
      <c r="A16" t="s">
        <v>703</v>
      </c>
      <c r="B16" s="14" t="s">
        <v>704</v>
      </c>
      <c r="D16" s="5" t="str">
        <f t="shared" si="0"/>
        <v>Si</v>
      </c>
    </row>
    <row r="17" spans="1:4" ht="14.25" customHeight="1" x14ac:dyDescent="0.25">
      <c r="A17" t="s">
        <v>705</v>
      </c>
      <c r="B17" s="14" t="s">
        <v>706</v>
      </c>
      <c r="D17" s="5" t="str">
        <f t="shared" si="0"/>
        <v>No</v>
      </c>
    </row>
    <row r="18" spans="1:4" ht="14.25" customHeight="1" x14ac:dyDescent="0.25">
      <c r="A18" t="s">
        <v>707</v>
      </c>
      <c r="B18" s="14" t="s">
        <v>708</v>
      </c>
      <c r="D18" s="5" t="str">
        <f t="shared" si="0"/>
        <v>No</v>
      </c>
    </row>
    <row r="19" spans="1:4" ht="14.25" customHeight="1" x14ac:dyDescent="0.25">
      <c r="A19" t="s">
        <v>709</v>
      </c>
      <c r="B19" s="14" t="s">
        <v>710</v>
      </c>
      <c r="D19" s="5" t="str">
        <f t="shared" si="0"/>
        <v>No</v>
      </c>
    </row>
    <row r="20" spans="1:4" ht="14.25" customHeight="1" x14ac:dyDescent="0.25">
      <c r="A20" t="s">
        <v>711</v>
      </c>
      <c r="B20" s="14" t="s">
        <v>712</v>
      </c>
      <c r="D20" s="5" t="str">
        <f t="shared" si="0"/>
        <v>No</v>
      </c>
    </row>
    <row r="21" spans="1:4" ht="14.25" customHeight="1" x14ac:dyDescent="0.25">
      <c r="A21" t="s">
        <v>713</v>
      </c>
      <c r="B21" s="14" t="s">
        <v>714</v>
      </c>
      <c r="D21" s="5" t="str">
        <f t="shared" si="0"/>
        <v>No</v>
      </c>
    </row>
    <row r="22" spans="1:4" ht="14.25" customHeight="1" x14ac:dyDescent="0.25">
      <c r="A22" t="s">
        <v>715</v>
      </c>
      <c r="B22" s="14" t="s">
        <v>716</v>
      </c>
      <c r="D22" s="5" t="str">
        <f t="shared" si="0"/>
        <v>No</v>
      </c>
    </row>
    <row r="23" spans="1:4" ht="14.25" customHeight="1" x14ac:dyDescent="0.25">
      <c r="A23" t="s">
        <v>717</v>
      </c>
      <c r="B23" s="14" t="s">
        <v>718</v>
      </c>
      <c r="D23" s="5" t="str">
        <f t="shared" si="0"/>
        <v>No</v>
      </c>
    </row>
    <row r="24" spans="1:4" ht="14.25" customHeight="1" x14ac:dyDescent="0.25">
      <c r="A24" t="s">
        <v>719</v>
      </c>
      <c r="B24" s="14" t="s">
        <v>720</v>
      </c>
      <c r="D24" s="5" t="str">
        <f t="shared" si="0"/>
        <v>No</v>
      </c>
    </row>
    <row r="25" spans="1:4" ht="14.25" customHeight="1" x14ac:dyDescent="0.25">
      <c r="A25" t="s">
        <v>721</v>
      </c>
      <c r="B25" s="14" t="s">
        <v>722</v>
      </c>
    </row>
    <row r="26" spans="1:4" ht="14.25" customHeight="1" x14ac:dyDescent="0.25">
      <c r="A26" t="s">
        <v>723</v>
      </c>
      <c r="B26" s="14" t="s">
        <v>724</v>
      </c>
    </row>
    <row r="27" spans="1:4" ht="14.25" customHeight="1" x14ac:dyDescent="0.25">
      <c r="A27" t="s">
        <v>725</v>
      </c>
      <c r="B27" s="14" t="s">
        <v>726</v>
      </c>
    </row>
    <row r="28" spans="1:4" ht="14.25" customHeight="1" x14ac:dyDescent="0.25">
      <c r="A28" t="s">
        <v>727</v>
      </c>
      <c r="B28" s="15" t="s">
        <v>690</v>
      </c>
      <c r="C28" t="s">
        <v>728</v>
      </c>
    </row>
  </sheetData>
  <dataValidations count="1">
    <dataValidation type="list" allowBlank="1" sqref="B28" xr:uid="{00000000-0002-0000-0500-000000000000}">
      <formula1>$B$9:$B$24</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1"/>
  <sheetViews>
    <sheetView zoomScaleNormal="100" workbookViewId="0">
      <selection activeCell="D2" sqref="D2"/>
    </sheetView>
  </sheetViews>
  <sheetFormatPr defaultColWidth="8.5703125" defaultRowHeight="15" x14ac:dyDescent="0.25"/>
  <cols>
    <col min="1" max="1" width="15.5703125" customWidth="1"/>
    <col min="2" max="2" width="8.7109375" style="16" customWidth="1"/>
    <col min="4" max="4" width="28" customWidth="1"/>
  </cols>
  <sheetData>
    <row r="1" spans="1:4" ht="27.75" customHeight="1" x14ac:dyDescent="0.25">
      <c r="A1" t="s">
        <v>729</v>
      </c>
      <c r="B1" s="16" t="s">
        <v>730</v>
      </c>
      <c r="D1" s="17" t="s">
        <v>731</v>
      </c>
    </row>
    <row r="2" spans="1:4" ht="14.25" customHeight="1" x14ac:dyDescent="0.25">
      <c r="A2" t="s">
        <v>88</v>
      </c>
      <c r="B2" s="16" t="str">
        <f>MID(B1,1,1)</f>
        <v>3</v>
      </c>
      <c r="D2" s="15"/>
    </row>
    <row r="3" spans="1:4" ht="14.25" customHeight="1" x14ac:dyDescent="0.25">
      <c r="A3" t="s">
        <v>264</v>
      </c>
      <c r="B3" s="16" t="str">
        <f>MID(B1,3,1)</f>
        <v>4</v>
      </c>
      <c r="D3" s="15"/>
    </row>
    <row r="4" spans="1:4" ht="14.25" customHeight="1" x14ac:dyDescent="0.25">
      <c r="A4" t="s">
        <v>437</v>
      </c>
      <c r="B4" s="16" t="str">
        <f>MID(B1,5,1)</f>
        <v>3</v>
      </c>
      <c r="D4" s="15"/>
    </row>
    <row r="5" spans="1:4" ht="14.25" customHeight="1" x14ac:dyDescent="0.25">
      <c r="A5" t="s">
        <v>732</v>
      </c>
      <c r="D5" s="15"/>
    </row>
    <row r="6" spans="1:4" ht="14.25" customHeight="1" x14ac:dyDescent="0.25">
      <c r="A6" t="s">
        <v>733</v>
      </c>
      <c r="B6" s="16">
        <v>0.7</v>
      </c>
      <c r="D6" s="15"/>
    </row>
    <row r="7" spans="1:4" ht="14.25" customHeight="1" x14ac:dyDescent="0.25">
      <c r="D7" s="15"/>
    </row>
    <row r="8" spans="1:4" ht="14.25" customHeight="1" x14ac:dyDescent="0.25">
      <c r="D8" s="15"/>
    </row>
    <row r="9" spans="1:4" ht="14.25" customHeight="1" x14ac:dyDescent="0.25">
      <c r="D9" s="15"/>
    </row>
    <row r="10" spans="1:4" ht="14.25" customHeight="1" x14ac:dyDescent="0.25">
      <c r="D10" s="15"/>
    </row>
    <row r="11" spans="1:4" ht="14.25" customHeight="1" x14ac:dyDescent="0.25">
      <c r="D11" s="15"/>
    </row>
    <row r="12" spans="1:4" ht="14.25" customHeight="1" x14ac:dyDescent="0.25">
      <c r="D12" s="15"/>
    </row>
    <row r="13" spans="1:4" ht="14.25" customHeight="1" x14ac:dyDescent="0.25">
      <c r="D13" s="15"/>
    </row>
    <row r="14" spans="1:4" ht="14.25" customHeight="1" x14ac:dyDescent="0.25">
      <c r="D14" s="15"/>
    </row>
    <row r="15" spans="1:4" ht="14.25" customHeight="1" x14ac:dyDescent="0.25">
      <c r="D15" s="15"/>
    </row>
    <row r="16" spans="1:4" ht="14.25" customHeight="1" x14ac:dyDescent="0.25">
      <c r="D16" s="15"/>
    </row>
    <row r="17" spans="4:4" ht="14.25" customHeight="1" x14ac:dyDescent="0.25">
      <c r="D17" s="15"/>
    </row>
    <row r="18" spans="4:4" ht="14.25" customHeight="1" x14ac:dyDescent="0.25">
      <c r="D18" s="15"/>
    </row>
    <row r="19" spans="4:4" ht="14.25" customHeight="1" x14ac:dyDescent="0.25">
      <c r="D19" s="15"/>
    </row>
    <row r="20" spans="4:4" ht="14.25" customHeight="1" x14ac:dyDescent="0.25">
      <c r="D20" s="15"/>
    </row>
    <row r="21" spans="4:4" ht="14.25" customHeight="1" x14ac:dyDescent="0.25">
      <c r="D21" s="15"/>
    </row>
    <row r="22" spans="4:4" ht="14.25" customHeight="1" x14ac:dyDescent="0.25">
      <c r="D22" s="15"/>
    </row>
    <row r="23" spans="4:4" ht="14.25" customHeight="1" x14ac:dyDescent="0.25">
      <c r="D23" s="15"/>
    </row>
    <row r="24" spans="4:4" ht="14.25" customHeight="1" x14ac:dyDescent="0.25">
      <c r="D24" s="15"/>
    </row>
    <row r="25" spans="4:4" ht="14.25" customHeight="1" x14ac:dyDescent="0.25">
      <c r="D25" s="15"/>
    </row>
    <row r="26" spans="4:4" ht="14.25" customHeight="1" x14ac:dyDescent="0.25">
      <c r="D26" s="15"/>
    </row>
    <row r="27" spans="4:4" ht="14.25" customHeight="1" x14ac:dyDescent="0.25">
      <c r="D27" s="15"/>
    </row>
    <row r="28" spans="4:4" ht="14.25" customHeight="1" x14ac:dyDescent="0.25">
      <c r="D28" s="15"/>
    </row>
    <row r="29" spans="4:4" ht="14.25" customHeight="1" x14ac:dyDescent="0.25">
      <c r="D29" s="15"/>
    </row>
    <row r="30" spans="4:4" ht="14.25" customHeight="1" x14ac:dyDescent="0.25">
      <c r="D30" s="15"/>
    </row>
    <row r="31" spans="4:4" ht="14.25" customHeight="1" x14ac:dyDescent="0.25">
      <c r="D31" s="15"/>
    </row>
    <row r="32" spans="4:4" ht="14.25" customHeight="1" x14ac:dyDescent="0.25">
      <c r="D32" s="15"/>
    </row>
    <row r="33" spans="4:4" ht="14.25" customHeight="1" x14ac:dyDescent="0.25">
      <c r="D33" s="15"/>
    </row>
    <row r="34" spans="4:4" ht="14.25" customHeight="1" x14ac:dyDescent="0.25">
      <c r="D34" s="15"/>
    </row>
    <row r="35" spans="4:4" ht="14.25" customHeight="1" x14ac:dyDescent="0.25">
      <c r="D35" s="15"/>
    </row>
    <row r="36" spans="4:4" ht="14.25" customHeight="1" x14ac:dyDescent="0.25">
      <c r="D36" s="15"/>
    </row>
    <row r="37" spans="4:4" ht="14.25" customHeight="1" x14ac:dyDescent="0.25">
      <c r="D37" s="15"/>
    </row>
    <row r="38" spans="4:4" ht="14.25" customHeight="1" x14ac:dyDescent="0.25">
      <c r="D38" s="15"/>
    </row>
    <row r="39" spans="4:4" ht="14.25" customHeight="1" x14ac:dyDescent="0.25">
      <c r="D39" s="15"/>
    </row>
    <row r="40" spans="4:4" ht="14.25" customHeight="1" x14ac:dyDescent="0.25">
      <c r="D40" s="15"/>
    </row>
    <row r="41" spans="4:4" ht="14.25" customHeight="1" x14ac:dyDescent="0.25">
      <c r="D41" s="15"/>
    </row>
    <row r="42" spans="4:4" ht="14.25" customHeight="1" x14ac:dyDescent="0.25">
      <c r="D42" s="15"/>
    </row>
    <row r="43" spans="4:4" ht="14.25" customHeight="1" x14ac:dyDescent="0.25">
      <c r="D43" s="15"/>
    </row>
    <row r="44" spans="4:4" ht="14.25" customHeight="1" x14ac:dyDescent="0.25">
      <c r="D44" s="15"/>
    </row>
    <row r="45" spans="4:4" ht="14.25" customHeight="1" x14ac:dyDescent="0.25">
      <c r="D45" s="15"/>
    </row>
    <row r="46" spans="4:4" ht="14.25" customHeight="1" x14ac:dyDescent="0.25">
      <c r="D46" s="15"/>
    </row>
    <row r="47" spans="4:4" ht="14.25" customHeight="1" x14ac:dyDescent="0.25">
      <c r="D47" s="15"/>
    </row>
    <row r="48" spans="4:4" ht="14.25" customHeight="1" x14ac:dyDescent="0.25">
      <c r="D48" s="15"/>
    </row>
    <row r="49" spans="4:4" ht="14.25" customHeight="1" x14ac:dyDescent="0.25">
      <c r="D49" s="15"/>
    </row>
    <row r="50" spans="4:4" ht="14.25" customHeight="1" x14ac:dyDescent="0.25">
      <c r="D50" s="15"/>
    </row>
    <row r="51" spans="4:4" ht="14.25" customHeight="1" x14ac:dyDescent="0.25">
      <c r="D51" s="15"/>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1"/>
  <sheetViews>
    <sheetView showGridLines="0" zoomScaleNormal="100" workbookViewId="0"/>
  </sheetViews>
  <sheetFormatPr defaultColWidth="8.5703125" defaultRowHeight="15" x14ac:dyDescent="0.25"/>
  <cols>
    <col min="1" max="1" width="42" customWidth="1"/>
    <col min="2" max="2" width="12" customWidth="1"/>
    <col min="3" max="3" width="45" customWidth="1"/>
  </cols>
  <sheetData>
    <row r="1" spans="1:3" ht="15.75" customHeight="1" x14ac:dyDescent="0.25">
      <c r="A1" s="31" t="s">
        <v>734</v>
      </c>
    </row>
    <row r="3" spans="1:3" ht="32.25" customHeight="1" x14ac:dyDescent="0.25">
      <c r="A3" s="23" t="s">
        <v>735</v>
      </c>
      <c r="B3" s="32">
        <v>500</v>
      </c>
      <c r="C3" s="33" t="s">
        <v>736</v>
      </c>
    </row>
    <row r="5" spans="1:3" ht="32.25" customHeight="1" x14ac:dyDescent="0.25">
      <c r="A5" s="23" t="s">
        <v>737</v>
      </c>
      <c r="B5" s="34">
        <v>0.15</v>
      </c>
      <c r="C5" s="33" t="s">
        <v>738</v>
      </c>
    </row>
    <row r="7" spans="1:3" ht="21.75" customHeight="1" x14ac:dyDescent="0.25">
      <c r="A7" s="23" t="s">
        <v>739</v>
      </c>
      <c r="B7" s="34">
        <v>0.15</v>
      </c>
      <c r="C7" s="33" t="s">
        <v>740</v>
      </c>
    </row>
    <row r="9" spans="1:3" ht="42.75" customHeight="1" x14ac:dyDescent="0.25">
      <c r="A9" s="23" t="s">
        <v>741</v>
      </c>
      <c r="B9" s="34">
        <v>0.2</v>
      </c>
      <c r="C9" s="33" t="s">
        <v>742</v>
      </c>
    </row>
    <row r="10" spans="1:3" ht="15" customHeight="1" x14ac:dyDescent="0.25">
      <c r="A10" s="35" t="s">
        <v>743</v>
      </c>
    </row>
    <row r="11" spans="1:3" ht="15" customHeight="1" x14ac:dyDescent="0.25">
      <c r="A11" s="22" t="s">
        <v>581</v>
      </c>
      <c r="B11" s="22" t="s">
        <v>744</v>
      </c>
    </row>
    <row r="12" spans="1:3" ht="15" customHeight="1" x14ac:dyDescent="0.25">
      <c r="A12" s="23" t="s">
        <v>8</v>
      </c>
      <c r="B12" s="34">
        <v>0.15</v>
      </c>
    </row>
    <row r="13" spans="1:3" ht="15" customHeight="1" x14ac:dyDescent="0.25">
      <c r="A13" s="23" t="s">
        <v>88</v>
      </c>
      <c r="B13" s="34">
        <v>0.2</v>
      </c>
    </row>
    <row r="14" spans="1:3" ht="15" customHeight="1" x14ac:dyDescent="0.25">
      <c r="A14" s="23" t="s">
        <v>264</v>
      </c>
      <c r="B14" s="34">
        <v>0.25</v>
      </c>
    </row>
    <row r="15" spans="1:3" ht="15" customHeight="1" x14ac:dyDescent="0.25">
      <c r="A15" s="23" t="s">
        <v>437</v>
      </c>
      <c r="B15" s="34">
        <v>0.3</v>
      </c>
    </row>
    <row r="16" spans="1:3" ht="15" customHeight="1" x14ac:dyDescent="0.25">
      <c r="C16" s="36" t="s">
        <v>745</v>
      </c>
    </row>
    <row r="17" spans="1:6" ht="15" customHeight="1" x14ac:dyDescent="0.25">
      <c r="A17" s="35" t="s">
        <v>746</v>
      </c>
      <c r="C17" s="18" t="s">
        <v>747</v>
      </c>
    </row>
    <row r="18" spans="1:6" ht="15" customHeight="1" x14ac:dyDescent="0.25">
      <c r="A18" s="22" t="s">
        <v>581</v>
      </c>
      <c r="B18" s="22" t="s">
        <v>748</v>
      </c>
    </row>
    <row r="19" spans="1:6" ht="15" customHeight="1" x14ac:dyDescent="0.25">
      <c r="A19" s="23" t="s">
        <v>8</v>
      </c>
      <c r="B19" s="27">
        <f>IFERROR(AVERAGEIFS('Output Utente'!$T$2:$T$492,'Output Utente'!$B$2:$B$492,"P",'Output Utente'!$T$2:$T$492,"&lt;&gt;",'Output Utente'!$I$2:$I$492,"&gt;="&amp;$B$23),"")</f>
        <v>5.1494444444444438</v>
      </c>
    </row>
    <row r="20" spans="1:6" ht="15" customHeight="1" x14ac:dyDescent="0.25">
      <c r="A20" s="23" t="s">
        <v>88</v>
      </c>
      <c r="B20" s="27">
        <f>IFERROR(AVERAGEIFS('Output Utente'!$T$2:$T$492,'Output Utente'!$B$2:$B$492,"D",'Output Utente'!$T$2:$T$492,"&lt;&gt;",'Output Utente'!$I$2:$I$492,"&gt;="&amp;$B$23),"")</f>
        <v>6.0221100917431221</v>
      </c>
    </row>
    <row r="21" spans="1:6" ht="15" customHeight="1" x14ac:dyDescent="0.25">
      <c r="A21" s="23" t="s">
        <v>264</v>
      </c>
      <c r="B21" s="27">
        <f>IFERROR(AVERAGEIFS('Output Utente'!$T$2:$T$492,'Output Utente'!$B$2:$B$492,"C",'Output Utente'!$T$2:$T$492,"&lt;&gt;",'Output Utente'!$I$2:$I$492,"&gt;="&amp;$B$23),"")</f>
        <v>6.28050420168067</v>
      </c>
    </row>
    <row r="22" spans="1:6" ht="15" customHeight="1" x14ac:dyDescent="0.25">
      <c r="A22" s="23" t="s">
        <v>437</v>
      </c>
      <c r="B22" s="27">
        <f>IFERROR(AVERAGEIFS('Output Utente'!$T$2:$T$492,'Output Utente'!$B$2:$B$492,"A",'Output Utente'!$T$2:$T$492,"&lt;&gt;",'Output Utente'!$I$2:$I$492,"&gt;="&amp;$B$23),"")</f>
        <v>6.6667857142857105</v>
      </c>
    </row>
    <row r="23" spans="1:6" ht="14.25" customHeight="1" x14ac:dyDescent="0.25">
      <c r="A23" s="23" t="s">
        <v>749</v>
      </c>
      <c r="B23" s="32">
        <v>10</v>
      </c>
      <c r="C23" s="32" t="s">
        <v>750</v>
      </c>
    </row>
    <row r="24" spans="1:6" ht="42.75" customHeight="1" x14ac:dyDescent="0.25">
      <c r="A24" s="23" t="s">
        <v>751</v>
      </c>
      <c r="B24" s="37">
        <v>1.5</v>
      </c>
      <c r="C24" s="33" t="s">
        <v>752</v>
      </c>
    </row>
    <row r="25" spans="1:6" ht="15" customHeight="1" x14ac:dyDescent="0.25">
      <c r="A25" s="23" t="s">
        <v>753</v>
      </c>
      <c r="B25" s="37">
        <v>3</v>
      </c>
    </row>
    <row r="27" spans="1:6" ht="74.25" customHeight="1" x14ac:dyDescent="0.25">
      <c r="A27" s="23" t="s">
        <v>754</v>
      </c>
      <c r="B27" s="32" t="s">
        <v>722</v>
      </c>
      <c r="C27" s="33" t="s">
        <v>755</v>
      </c>
    </row>
    <row r="28" spans="1:6" ht="15" customHeight="1" x14ac:dyDescent="0.25">
      <c r="A28" s="23" t="s">
        <v>756</v>
      </c>
      <c r="B28" s="34">
        <v>0.3</v>
      </c>
    </row>
    <row r="29" spans="1:6" ht="14.25" customHeight="1" x14ac:dyDescent="0.25">
      <c r="A29" s="23" t="s">
        <v>757</v>
      </c>
      <c r="B29" s="32" t="s">
        <v>722</v>
      </c>
      <c r="C29" s="32" t="s">
        <v>758</v>
      </c>
    </row>
    <row r="30" spans="1:6" ht="15" customHeight="1" x14ac:dyDescent="0.25">
      <c r="A30" s="35" t="s">
        <v>759</v>
      </c>
      <c r="B30" s="18">
        <v>1</v>
      </c>
      <c r="C30" s="18" t="s">
        <v>760</v>
      </c>
    </row>
    <row r="31" spans="1:6" ht="15" customHeight="1" x14ac:dyDescent="0.25">
      <c r="A31" s="35" t="s">
        <v>761</v>
      </c>
      <c r="B31" s="35" t="s">
        <v>762</v>
      </c>
      <c r="C31" s="35" t="s">
        <v>763</v>
      </c>
      <c r="D31" s="35" t="s">
        <v>764</v>
      </c>
      <c r="E31" s="35" t="s">
        <v>765</v>
      </c>
      <c r="F31" s="35" t="s">
        <v>766</v>
      </c>
    </row>
    <row r="32" spans="1:6" ht="15" customHeight="1" x14ac:dyDescent="0.25">
      <c r="A32" s="23" t="s">
        <v>8</v>
      </c>
      <c r="B32" s="23">
        <f>'Info Lega'!$B$3*'Info Lega'!$B$5</f>
        <v>24</v>
      </c>
      <c r="C32" s="23">
        <f>COUNTIFS('Output Utente'!$B$2:$B$492,"P",'Output Utente'!$D$2:$D$492,"&lt;&gt;")</f>
        <v>0</v>
      </c>
      <c r="D32" s="23">
        <f>$B32-$C32</f>
        <v>24</v>
      </c>
      <c r="E32" s="23">
        <f>IF($B$29="Si",COUNTIFS('Output Utente'!$B$2:$B$492,"P",'Output Utente'!$D$2:$D$492,"",'Output Utente'!$N$2:$N$492,"&gt;1"),COUNTIFS('Output Utente'!$B$2:$B$492,"P",'Output Utente'!$D$2:$D$492,""))</f>
        <v>24</v>
      </c>
      <c r="F32" s="27">
        <f>IFERROR($E32/$D32,"")</f>
        <v>1</v>
      </c>
    </row>
    <row r="33" spans="1:6" ht="15" customHeight="1" x14ac:dyDescent="0.25">
      <c r="A33" s="23" t="s">
        <v>88</v>
      </c>
      <c r="B33" s="23">
        <f>'Info Lega'!$B$3*'Info Lega'!$B$6</f>
        <v>64</v>
      </c>
      <c r="C33" s="23">
        <f>COUNTIFS('Output Utente'!$B$2:$B$492,"D",'Output Utente'!$D$2:$D$492,"&lt;&gt;")</f>
        <v>0</v>
      </c>
      <c r="D33" s="23">
        <f>$B33-$C33</f>
        <v>64</v>
      </c>
      <c r="E33" s="23">
        <f>IF($B$29="Si",COUNTIFS('Output Utente'!$B$2:$B$492,"D",'Output Utente'!$D$2:$D$492,"",'Output Utente'!$N$2:$N$492,"&gt;1"),COUNTIFS('Output Utente'!$B$2:$B$492,"D",'Output Utente'!$D$2:$D$492,""))</f>
        <v>148</v>
      </c>
      <c r="F33" s="27">
        <f>IFERROR($E33/$D33,"")</f>
        <v>2.3125</v>
      </c>
    </row>
    <row r="34" spans="1:6" ht="15" customHeight="1" x14ac:dyDescent="0.25">
      <c r="A34" s="23" t="s">
        <v>264</v>
      </c>
      <c r="B34" s="23">
        <f>'Info Lega'!$B$3*'Info Lega'!$B$7</f>
        <v>64</v>
      </c>
      <c r="C34" s="23">
        <f>COUNTIFS('Output Utente'!$B$2:$B$492,"C",'Output Utente'!$D$2:$D$492,"&lt;&gt;")</f>
        <v>0</v>
      </c>
      <c r="D34" s="23">
        <f>$B34-$C34</f>
        <v>64</v>
      </c>
      <c r="E34" s="23">
        <f>IF($B$29="Si",COUNTIFS('Output Utente'!$B$2:$B$492,"C",'Output Utente'!$D$2:$D$492,"",'Output Utente'!$N$2:$N$492,"&gt;1"),COUNTIFS('Output Utente'!$B$2:$B$492,"C",'Output Utente'!$D$2:$D$492,""))</f>
        <v>155</v>
      </c>
      <c r="F34" s="27">
        <f>IFERROR($E34/$D34,"")</f>
        <v>2.421875</v>
      </c>
    </row>
    <row r="35" spans="1:6" ht="15" customHeight="1" x14ac:dyDescent="0.25">
      <c r="A35" s="23" t="s">
        <v>437</v>
      </c>
      <c r="B35" s="23">
        <f>'Info Lega'!$B$3*'Info Lega'!$B$8</f>
        <v>48</v>
      </c>
      <c r="C35" s="23">
        <f>COUNTIFS('Output Utente'!$B$2:$B$492,"A",'Output Utente'!$D$2:$D$492,"&lt;&gt;")</f>
        <v>0</v>
      </c>
      <c r="D35" s="23">
        <f>$B35-$C35</f>
        <v>48</v>
      </c>
      <c r="E35" s="23">
        <f>IF($B$29="Si",COUNTIFS('Output Utente'!$B$2:$B$492,"A",'Output Utente'!$D$2:$D$492,"",'Output Utente'!$N$2:$N$492,"&gt;1"),COUNTIFS('Output Utente'!$B$2:$B$492,"A",'Output Utente'!$D$2:$D$492,""))</f>
        <v>77</v>
      </c>
      <c r="F35" s="27">
        <f>IFERROR($E35/$D35,"")</f>
        <v>1.6041666666666667</v>
      </c>
    </row>
    <row r="37" spans="1:6" ht="53.25" customHeight="1" x14ac:dyDescent="0.25">
      <c r="A37" s="35" t="s">
        <v>767</v>
      </c>
      <c r="C37" s="33" t="s">
        <v>768</v>
      </c>
    </row>
    <row r="38" spans="1:6" ht="15" customHeight="1" x14ac:dyDescent="0.25">
      <c r="A38" s="22" t="s">
        <v>581</v>
      </c>
      <c r="B38" s="22" t="s">
        <v>769</v>
      </c>
      <c r="C38" s="22" t="s">
        <v>770</v>
      </c>
    </row>
    <row r="39" spans="1:6" ht="15" customHeight="1" x14ac:dyDescent="0.25">
      <c r="A39" s="23" t="s">
        <v>8</v>
      </c>
      <c r="B39" s="23">
        <f>$B$32</f>
        <v>24</v>
      </c>
      <c r="C39" s="23">
        <f>SUMIFS('Output Utente'!$O$2:$O$492,'Output Utente'!$B$2:$B$492,"P",'Output Utente'!$V$2:$V$492,"&lt;="&amp;$B39)</f>
        <v>689</v>
      </c>
    </row>
    <row r="40" spans="1:6" ht="15" customHeight="1" x14ac:dyDescent="0.25">
      <c r="A40" s="23" t="s">
        <v>88</v>
      </c>
      <c r="B40" s="23">
        <f>$B$33</f>
        <v>64</v>
      </c>
      <c r="C40" s="23">
        <f>SUMIFS('Output Utente'!$O$2:$O$492,'Output Utente'!$B$2:$B$492,"D",'Output Utente'!$V$2:$V$492,"&lt;="&amp;$B40)</f>
        <v>1998</v>
      </c>
    </row>
    <row r="41" spans="1:6" ht="15" customHeight="1" x14ac:dyDescent="0.25">
      <c r="A41" s="23" t="s">
        <v>264</v>
      </c>
      <c r="B41" s="23">
        <f>$B$34</f>
        <v>64</v>
      </c>
      <c r="C41" s="23">
        <f>SUMIFS('Output Utente'!$O$2:$O$492,'Output Utente'!$B$2:$B$492,"C",'Output Utente'!$V$2:$V$492,"&lt;="&amp;$B41)</f>
        <v>3678</v>
      </c>
    </row>
    <row r="42" spans="1:6" ht="15" customHeight="1" x14ac:dyDescent="0.25">
      <c r="A42" s="23" t="s">
        <v>437</v>
      </c>
      <c r="B42" s="23">
        <f>$B$35</f>
        <v>48</v>
      </c>
      <c r="C42" s="23">
        <f>SUMIFS('Output Utente'!$O$2:$O$492,'Output Utente'!$B$2:$B$492,"A",'Output Utente'!$V$2:$V$492,"&lt;="&amp;$B42)</f>
        <v>4604</v>
      </c>
    </row>
    <row r="43" spans="1:6" ht="35.25" customHeight="1" x14ac:dyDescent="0.25">
      <c r="A43" s="35" t="s">
        <v>771</v>
      </c>
      <c r="B43" s="35">
        <f>SUM($C$39:$C$42)</f>
        <v>10969</v>
      </c>
      <c r="C43" s="38" t="s">
        <v>772</v>
      </c>
    </row>
    <row r="44" spans="1:6" ht="15" customHeight="1" x14ac:dyDescent="0.25">
      <c r="A44" s="23" t="s">
        <v>773</v>
      </c>
      <c r="B44" s="35">
        <f>'Info Lega'!$B$3*'Info Lega'!$B$4</f>
        <v>8000</v>
      </c>
    </row>
    <row r="46" spans="1:6" ht="32.25" customHeight="1" x14ac:dyDescent="0.25">
      <c r="A46" s="5" t="s">
        <v>774</v>
      </c>
      <c r="B46" s="39">
        <v>2</v>
      </c>
      <c r="C46" s="13" t="s">
        <v>775</v>
      </c>
    </row>
    <row r="47" spans="1:6" ht="14.25" customHeight="1" x14ac:dyDescent="0.25">
      <c r="A47" s="5" t="s">
        <v>776</v>
      </c>
      <c r="B47" s="39">
        <v>1</v>
      </c>
    </row>
    <row r="48" spans="1:6" ht="42.75" customHeight="1" x14ac:dyDescent="0.25">
      <c r="A48" s="6" t="s">
        <v>777</v>
      </c>
      <c r="C48" s="13" t="s">
        <v>778</v>
      </c>
    </row>
    <row r="49" spans="1:9" ht="14.25" customHeight="1" x14ac:dyDescent="0.25">
      <c r="A49" s="10" t="s">
        <v>581</v>
      </c>
      <c r="B49" s="10" t="s">
        <v>779</v>
      </c>
    </row>
    <row r="50" spans="1:9" ht="14.25" customHeight="1" x14ac:dyDescent="0.25">
      <c r="A50" s="5" t="s">
        <v>8</v>
      </c>
      <c r="B50" s="40">
        <v>9.2999999999999999E-2</v>
      </c>
    </row>
    <row r="51" spans="1:9" ht="14.25" customHeight="1" x14ac:dyDescent="0.25">
      <c r="A51" s="5" t="s">
        <v>88</v>
      </c>
      <c r="B51" s="40">
        <v>0.11600000000000001</v>
      </c>
    </row>
    <row r="52" spans="1:9" ht="14.25" customHeight="1" x14ac:dyDescent="0.25">
      <c r="A52" s="5" t="s">
        <v>264</v>
      </c>
      <c r="B52" s="40">
        <v>0.27800000000000002</v>
      </c>
    </row>
    <row r="53" spans="1:9" ht="14.25" customHeight="1" x14ac:dyDescent="0.25">
      <c r="A53" s="5" t="s">
        <v>437</v>
      </c>
      <c r="B53" s="40">
        <v>0.51500000000000001</v>
      </c>
    </row>
    <row r="55" spans="1:9" ht="42.75" customHeight="1" x14ac:dyDescent="0.25">
      <c r="A55" s="6" t="s">
        <v>780</v>
      </c>
      <c r="C55" s="13" t="s">
        <v>781</v>
      </c>
    </row>
    <row r="56" spans="1:9" ht="30" customHeight="1" x14ac:dyDescent="0.25">
      <c r="A56" s="10" t="s">
        <v>581</v>
      </c>
      <c r="B56" s="10" t="s">
        <v>782</v>
      </c>
      <c r="C56" s="10" t="s">
        <v>783</v>
      </c>
      <c r="D56" s="10" t="s">
        <v>784</v>
      </c>
      <c r="E56" s="10" t="s">
        <v>785</v>
      </c>
      <c r="F56" s="10" t="s">
        <v>786</v>
      </c>
      <c r="G56" t="s">
        <v>674</v>
      </c>
      <c r="H56" t="s">
        <v>675</v>
      </c>
      <c r="I56" t="s">
        <v>787</v>
      </c>
    </row>
    <row r="57" spans="1:9" ht="14.25" customHeight="1" x14ac:dyDescent="0.25">
      <c r="A57" s="5" t="s">
        <v>8</v>
      </c>
      <c r="B57" s="5">
        <f>1</f>
        <v>1</v>
      </c>
      <c r="C57" s="5">
        <f>'Info Lega'!$B$3*$B57</f>
        <v>8</v>
      </c>
      <c r="D57" s="40">
        <v>0.88</v>
      </c>
      <c r="E57" s="5">
        <f>SUMIFS('Output Utente'!$O$2:$O$492,'Output Utente'!$B$2:$B$492,"P",'Output Utente'!$V$2:$V$492,"&lt;="&amp;$C57)</f>
        <v>416</v>
      </c>
      <c r="F57" s="5">
        <f>$C$39-$E57</f>
        <v>273</v>
      </c>
      <c r="G57">
        <f>$C57-COUNTIFS('Output Utente'!$B$2:$B$492,$A57,'Output Utente'!$D$2:$D$492,"&lt;&gt;",'Output Utente'!$AF$2:$AF$492,"Titolare")</f>
        <v>8</v>
      </c>
      <c r="H57">
        <f>($B32-$C57)-COUNTIFS('Output Utente'!$B$2:$B$492,$A57,'Output Utente'!$D$2:$D$492,"&lt;&gt;",'Output Utente'!$AF$2:$AF$492,"Riserva")</f>
        <v>16</v>
      </c>
      <c r="I57">
        <f>IFERROR(('Info Lega'!$B$3*'Info Lega'!$B$4*$B50*$D57)/$C57,"")</f>
        <v>81.84</v>
      </c>
    </row>
    <row r="58" spans="1:9" ht="14.25" customHeight="1" x14ac:dyDescent="0.25">
      <c r="A58" s="5" t="s">
        <v>88</v>
      </c>
      <c r="B58" s="5" t="str">
        <f>'Info Strategia'!$B$2</f>
        <v>3</v>
      </c>
      <c r="C58" s="5">
        <f>'Info Lega'!$B$3*$B58</f>
        <v>24</v>
      </c>
      <c r="D58" s="40">
        <v>0.85</v>
      </c>
      <c r="E58" s="5">
        <f>SUMIFS('Output Utente'!$O$2:$O$492,'Output Utente'!$B$2:$B$492,"D",'Output Utente'!$V$2:$V$492,"&lt;="&amp;$C58)</f>
        <v>1196</v>
      </c>
      <c r="F58" s="5">
        <f>$C$40-$E58</f>
        <v>802</v>
      </c>
      <c r="G58">
        <f>$C58-COUNTIFS('Output Utente'!$B$2:$B$492,$A58,'Output Utente'!$D$2:$D$492,"&lt;&gt;",'Output Utente'!$AF$2:$AF$492,"Titolare")</f>
        <v>24</v>
      </c>
      <c r="H58">
        <f>($B33-$C58)-COUNTIFS('Output Utente'!$B$2:$B$492,$A58,'Output Utente'!$D$2:$D$492,"&lt;&gt;",'Output Utente'!$AF$2:$AF$492,"Riserva")</f>
        <v>40</v>
      </c>
      <c r="I58">
        <f>IFERROR(('Info Lega'!$B$3*'Info Lega'!$B$4*$B51*$D58)/$C58,"")</f>
        <v>32.866666666666667</v>
      </c>
    </row>
    <row r="59" spans="1:9" ht="14.25" customHeight="1" x14ac:dyDescent="0.25">
      <c r="A59" s="5" t="s">
        <v>264</v>
      </c>
      <c r="B59" s="5" t="str">
        <f>'Info Strategia'!$B$3</f>
        <v>4</v>
      </c>
      <c r="C59" s="5">
        <f>'Info Lega'!$B$3*$B59</f>
        <v>32</v>
      </c>
      <c r="D59" s="40">
        <v>0.95</v>
      </c>
      <c r="E59" s="5">
        <f>SUMIFS('Output Utente'!$O$2:$O$492,'Output Utente'!$B$2:$B$492,"C",'Output Utente'!$V$2:$V$492,"&lt;="&amp;$C59)</f>
        <v>2897</v>
      </c>
      <c r="F59" s="5">
        <f>$C$41-$E59</f>
        <v>781</v>
      </c>
      <c r="G59">
        <f>$C59-COUNTIFS('Output Utente'!$B$2:$B$492,$A59,'Output Utente'!$D$2:$D$492,"&lt;&gt;",'Output Utente'!$AF$2:$AF$492,"Titolare")</f>
        <v>32</v>
      </c>
      <c r="H59">
        <f>($B34-$C59)-COUNTIFS('Output Utente'!$B$2:$B$492,$A59,'Output Utente'!$D$2:$D$492,"&lt;&gt;",'Output Utente'!$AF$2:$AF$492,"Riserva")</f>
        <v>32</v>
      </c>
      <c r="I59">
        <f>IFERROR(('Info Lega'!$B$3*'Info Lega'!$B$4*$B52*$D59)/$C59,"")</f>
        <v>66.024999999999991</v>
      </c>
    </row>
    <row r="60" spans="1:9" ht="14.25" customHeight="1" x14ac:dyDescent="0.25">
      <c r="A60" s="5" t="s">
        <v>437</v>
      </c>
      <c r="B60" s="5" t="str">
        <f>'Info Strategia'!$B$4</f>
        <v>3</v>
      </c>
      <c r="C60" s="5">
        <f>'Info Lega'!$B$3*$B60</f>
        <v>24</v>
      </c>
      <c r="D60" s="40">
        <v>0.93</v>
      </c>
      <c r="E60" s="5">
        <f>SUMIFS('Output Utente'!$O$2:$O$492,'Output Utente'!$B$2:$B$492,"A",'Output Utente'!$V$2:$V$492,"&lt;="&amp;$C60)</f>
        <v>3713</v>
      </c>
      <c r="F60" s="5">
        <f>$C$42-$E60</f>
        <v>891</v>
      </c>
      <c r="G60">
        <f>$C60-COUNTIFS('Output Utente'!$B$2:$B$492,$A60,'Output Utente'!$D$2:$D$492,"&lt;&gt;",'Output Utente'!$AF$2:$AF$492,"Titolare")</f>
        <v>24</v>
      </c>
      <c r="H60">
        <f>($B35-$C60)-COUNTIFS('Output Utente'!$B$2:$B$492,$A60,'Output Utente'!$D$2:$D$492,"&lt;&gt;",'Output Utente'!$AF$2:$AF$492,"Riserva")</f>
        <v>24</v>
      </c>
      <c r="I60">
        <f>IFERROR(('Info Lega'!$B$3*'Info Lega'!$B$4*$B53*$D60)/$C60,"")</f>
        <v>159.65</v>
      </c>
    </row>
    <row r="62" spans="1:9" x14ac:dyDescent="0.25">
      <c r="A62" t="s">
        <v>788</v>
      </c>
      <c r="C62" t="s">
        <v>789</v>
      </c>
    </row>
    <row r="63" spans="1:9" x14ac:dyDescent="0.25">
      <c r="A63" t="s">
        <v>790</v>
      </c>
      <c r="B63">
        <v>0.9</v>
      </c>
      <c r="C63" t="s">
        <v>791</v>
      </c>
    </row>
    <row r="64" spans="1:9" x14ac:dyDescent="0.25">
      <c r="A64" t="s">
        <v>792</v>
      </c>
      <c r="B64">
        <v>0.7</v>
      </c>
      <c r="C64" t="s">
        <v>793</v>
      </c>
    </row>
    <row r="65" spans="1:3" x14ac:dyDescent="0.25">
      <c r="A65" t="s">
        <v>794</v>
      </c>
      <c r="B65">
        <v>0.4</v>
      </c>
      <c r="C65" t="s">
        <v>795</v>
      </c>
    </row>
    <row r="67" spans="1:3" x14ac:dyDescent="0.25">
      <c r="A67" t="s">
        <v>796</v>
      </c>
      <c r="C67" t="s">
        <v>797</v>
      </c>
    </row>
    <row r="68" spans="1:3" x14ac:dyDescent="0.25">
      <c r="A68" t="s">
        <v>798</v>
      </c>
      <c r="B68">
        <v>0.15</v>
      </c>
      <c r="C68" t="s">
        <v>799</v>
      </c>
    </row>
    <row r="69" spans="1:3" x14ac:dyDescent="0.25">
      <c r="A69" t="s">
        <v>800</v>
      </c>
      <c r="B69">
        <v>0</v>
      </c>
      <c r="C69" t="s">
        <v>801</v>
      </c>
    </row>
    <row r="71" spans="1:3" x14ac:dyDescent="0.25">
      <c r="A71" t="s">
        <v>802</v>
      </c>
      <c r="C71" t="s">
        <v>803</v>
      </c>
    </row>
    <row r="72" spans="1:3" x14ac:dyDescent="0.25">
      <c r="A72" t="s">
        <v>581</v>
      </c>
      <c r="B72" t="s">
        <v>804</v>
      </c>
    </row>
    <row r="73" spans="1:3" x14ac:dyDescent="0.25">
      <c r="A73" t="s">
        <v>8</v>
      </c>
      <c r="B73">
        <v>1</v>
      </c>
      <c r="C73" t="s">
        <v>805</v>
      </c>
    </row>
    <row r="74" spans="1:3" x14ac:dyDescent="0.25">
      <c r="A74" t="s">
        <v>88</v>
      </c>
      <c r="B74" t="str">
        <f>'Info Strategia'!$B$2</f>
        <v>3</v>
      </c>
      <c r="C74" t="s">
        <v>806</v>
      </c>
    </row>
    <row r="75" spans="1:3" x14ac:dyDescent="0.25">
      <c r="A75" t="s">
        <v>264</v>
      </c>
      <c r="B75" t="str">
        <f>'Info Strategia'!$B$3</f>
        <v>4</v>
      </c>
    </row>
    <row r="76" spans="1:3" x14ac:dyDescent="0.25">
      <c r="A76" t="s">
        <v>437</v>
      </c>
      <c r="B76" t="str">
        <f>'Info Strategia'!$B$4</f>
        <v>3</v>
      </c>
    </row>
    <row r="78" spans="1:3" x14ac:dyDescent="0.25">
      <c r="A78" t="s">
        <v>807</v>
      </c>
      <c r="B78">
        <v>2</v>
      </c>
      <c r="C78" t="s">
        <v>808</v>
      </c>
    </row>
    <row r="79" spans="1:3" x14ac:dyDescent="0.25">
      <c r="A79" t="s">
        <v>809</v>
      </c>
      <c r="B79">
        <v>150</v>
      </c>
      <c r="C79" t="s">
        <v>810</v>
      </c>
    </row>
    <row r="80" spans="1:3" x14ac:dyDescent="0.25">
      <c r="A80" t="s">
        <v>811</v>
      </c>
      <c r="B80">
        <v>0.4</v>
      </c>
      <c r="C80" t="s">
        <v>812</v>
      </c>
    </row>
    <row r="81" spans="1:3" x14ac:dyDescent="0.25">
      <c r="A81" t="s">
        <v>813</v>
      </c>
      <c r="B81" t="s">
        <v>553</v>
      </c>
      <c r="C81" t="s">
        <v>814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
  <sheetViews>
    <sheetView showGridLines="0" workbookViewId="0">
      <selection sqref="A1:G1"/>
    </sheetView>
  </sheetViews>
  <sheetFormatPr defaultRowHeight="15" x14ac:dyDescent="0.25"/>
  <cols>
    <col min="1" max="1" width="4" customWidth="1"/>
    <col min="2" max="2" width="8" customWidth="1"/>
    <col min="3" max="6" width="20" customWidth="1"/>
    <col min="7" max="7" width="55" customWidth="1"/>
  </cols>
  <sheetData>
    <row r="1" spans="1:10" ht="16.5" customHeight="1" x14ac:dyDescent="0.25">
      <c r="A1" s="69" t="s">
        <v>815</v>
      </c>
      <c r="B1" s="66"/>
      <c r="C1" s="66"/>
      <c r="D1" s="66"/>
      <c r="E1" s="66"/>
      <c r="F1" s="66"/>
      <c r="G1" s="66"/>
    </row>
    <row r="2" spans="1:10" ht="25.5" customHeight="1" x14ac:dyDescent="0.25">
      <c r="B2" s="45" t="s">
        <v>581</v>
      </c>
      <c r="C2" s="45" t="s">
        <v>816</v>
      </c>
      <c r="D2" s="45" t="s">
        <v>817</v>
      </c>
      <c r="E2" s="45" t="s">
        <v>818</v>
      </c>
      <c r="F2" s="45" t="s">
        <v>590</v>
      </c>
      <c r="G2" s="45" t="s">
        <v>625</v>
      </c>
      <c r="H2" t="s">
        <v>819</v>
      </c>
      <c r="I2" t="s">
        <v>820</v>
      </c>
      <c r="J2" t="s">
        <v>821</v>
      </c>
    </row>
    <row r="3" spans="1:10" x14ac:dyDescent="0.25">
      <c r="B3" t="s">
        <v>8</v>
      </c>
      <c r="C3">
        <f>SUMPRODUCT((TeamDetail!$D$2:$D$17="Si")*(TeamDetail!$C$2:$C$17&lt;&gt;'Info Lega'!$B$28)*(TeamDetail!$F$2:$F$17&gt;0))</f>
        <v>7</v>
      </c>
      <c r="D3">
        <f>ROUND(SUMPRODUCT((TeamDetail!$D$2:$D$17="Si")*(TeamDetail!$C$2:$C$17&lt;&gt;'Info Lega'!$B$28)*(TeamDetail!$F$2:$F$17&gt;0)*TeamDetail!$E$2:$E$17),0)</f>
        <v>7000</v>
      </c>
      <c r="E3">
        <f>IFERROR(ROUND($D3/$C3,0),"")</f>
        <v>1000</v>
      </c>
      <c r="F3" t="str">
        <f>IF($C3=0,"🟢 Bassa",IF(AND($C3&gt;='Parametri Modello'!$B$78,$D3/MAX(1,$C3)&gt;='Parametri Modello'!$B$79),"🔴 Molto Alta",IF($C3&gt;='Parametri Modello'!$B$78,"🟠 Alta","🟡 Media")))</f>
        <v>🔴 Molto Alta</v>
      </c>
      <c r="G3" t="str">
        <f>IF($C3=0,"Nessuna avversaria (attiva) sembra ancora a caccia di un titolare "&amp;$B3&amp;".",$C3&amp;" squadr"&amp;IF($C3=1,"a","e")&amp;" cerca"&amp;IF($C3=1,"","no")&amp;" ancora un titolare "&amp;$B3&amp;", con "&amp;$D3&amp;" crediti disponibili in totale (media "&amp;$E3&amp;"/squadra).")</f>
        <v>7 squadre cercano ancora un titolare P, con 7000 crediti disponibili in totale (media 1000/squadra).</v>
      </c>
      <c r="H3">
        <f>SUMPRODUCT((TeamDetail!$D$2:$D$17="Si")*(TeamDetail!$C$2:$C$17&lt;&gt;'Info Lega'!$B$28)*(TeamDetail!$F$2:$F$17&gt;0)*(TeamDetail!$E$2:$E$17&gt;='Parametri Modello'!$B$80*$I3))</f>
        <v>7</v>
      </c>
      <c r="I3">
        <f>'Parametri Modello'!$I$57</f>
        <v>81.84</v>
      </c>
      <c r="J3" t="str">
        <f>IF($H3=0,"🟢 Bassa",IF(AND($H3&gt;='Parametri Modello'!$B$78,$D3/MAX(1,$C3)&gt;='Parametri Modello'!$B$79),"🔴 Molto Alta",IF($H3&gt;='Parametri Modello'!$B$78,"🟠 Alta","🟡 Media")))</f>
        <v>🔴 Molto Alta</v>
      </c>
    </row>
    <row r="4" spans="1:10" x14ac:dyDescent="0.25">
      <c r="B4" t="s">
        <v>88</v>
      </c>
      <c r="C4">
        <f>SUMPRODUCT((TeamDetail!$D$2:$D$17="Si")*(TeamDetail!$C$2:$C$17&lt;&gt;'Info Lega'!$B$28)*(TeamDetail!$G$2:$G$17&gt;0))</f>
        <v>7</v>
      </c>
      <c r="D4">
        <f>ROUND(SUMPRODUCT((TeamDetail!$D$2:$D$17="Si")*(TeamDetail!$C$2:$C$17&lt;&gt;'Info Lega'!$B$28)*(TeamDetail!$G$2:$G$17&gt;0)*TeamDetail!$E$2:$E$17),0)</f>
        <v>7000</v>
      </c>
      <c r="E4">
        <f>IFERROR(ROUND($D4/$C4,0),"")</f>
        <v>1000</v>
      </c>
      <c r="F4" t="str">
        <f>IF($C4=0,"🟢 Bassa",IF(AND($C4&gt;='Parametri Modello'!$B$78,$D4/MAX(1,$C4)&gt;='Parametri Modello'!$B$79),"🔴 Molto Alta",IF($C4&gt;='Parametri Modello'!$B$78,"🟠 Alta","🟡 Media")))</f>
        <v>🔴 Molto Alta</v>
      </c>
      <c r="G4" t="str">
        <f>IF($C4=0,"Nessuna avversaria (attiva) sembra ancora a caccia di un titolare "&amp;$B4&amp;".",$C4&amp;" squadr"&amp;IF($C4=1,"a","e")&amp;" cerca"&amp;IF($C4=1,"","no")&amp;" ancora un titolare "&amp;$B4&amp;", con "&amp;$D4&amp;" crediti disponibili in totale (media "&amp;$E4&amp;"/squadra).")</f>
        <v>7 squadre cercano ancora un titolare D, con 7000 crediti disponibili in totale (media 1000/squadra).</v>
      </c>
      <c r="H4">
        <f>SUMPRODUCT((TeamDetail!$D$2:$D$17="Si")*(TeamDetail!$C$2:$C$17&lt;&gt;'Info Lega'!$B$28)*(TeamDetail!$G$2:$G$17&gt;0)*(TeamDetail!$E$2:$E$17&gt;='Parametri Modello'!$B$80*$I4))</f>
        <v>7</v>
      </c>
      <c r="I4">
        <f>'Parametri Modello'!$I$58</f>
        <v>32.866666666666667</v>
      </c>
      <c r="J4" t="str">
        <f>IF($H4=0,"🟢 Bassa",IF(AND($H4&gt;='Parametri Modello'!$B$78,$D4/MAX(1,$C4)&gt;='Parametri Modello'!$B$79),"🔴 Molto Alta",IF($H4&gt;='Parametri Modello'!$B$78,"🟠 Alta","🟡 Media")))</f>
        <v>🔴 Molto Alta</v>
      </c>
    </row>
    <row r="5" spans="1:10" x14ac:dyDescent="0.25">
      <c r="B5" t="s">
        <v>264</v>
      </c>
      <c r="C5">
        <f>SUMPRODUCT((TeamDetail!$D$2:$D$17="Si")*(TeamDetail!$C$2:$C$17&lt;&gt;'Info Lega'!$B$28)*(TeamDetail!$H$2:$H$17&gt;0))</f>
        <v>7</v>
      </c>
      <c r="D5">
        <f>ROUND(SUMPRODUCT((TeamDetail!$D$2:$D$17="Si")*(TeamDetail!$C$2:$C$17&lt;&gt;'Info Lega'!$B$28)*(TeamDetail!$H$2:$H$17&gt;0)*TeamDetail!$E$2:$E$17),0)</f>
        <v>7000</v>
      </c>
      <c r="E5">
        <f>IFERROR(ROUND($D5/$C5,0),"")</f>
        <v>1000</v>
      </c>
      <c r="F5" t="str">
        <f>IF($C5=0,"🟢 Bassa",IF(AND($C5&gt;='Parametri Modello'!$B$78,$D5/MAX(1,$C5)&gt;='Parametri Modello'!$B$79),"🔴 Molto Alta",IF($C5&gt;='Parametri Modello'!$B$78,"🟠 Alta","🟡 Media")))</f>
        <v>🔴 Molto Alta</v>
      </c>
      <c r="G5" t="str">
        <f>IF($C5=0,"Nessuna avversaria (attiva) sembra ancora a caccia di un titolare "&amp;$B5&amp;".",$C5&amp;" squadr"&amp;IF($C5=1,"a","e")&amp;" cerca"&amp;IF($C5=1,"","no")&amp;" ancora un titolare "&amp;$B5&amp;", con "&amp;$D5&amp;" crediti disponibili in totale (media "&amp;$E5&amp;"/squadra).")</f>
        <v>7 squadre cercano ancora un titolare C, con 7000 crediti disponibili in totale (media 1000/squadra).</v>
      </c>
      <c r="H5">
        <f>SUMPRODUCT((TeamDetail!$D$2:$D$17="Si")*(TeamDetail!$C$2:$C$17&lt;&gt;'Info Lega'!$B$28)*(TeamDetail!$H$2:$H$17&gt;0)*(TeamDetail!$E$2:$E$17&gt;='Parametri Modello'!$B$80*$I5))</f>
        <v>7</v>
      </c>
      <c r="I5">
        <f>'Parametri Modello'!$I$59</f>
        <v>66.024999999999991</v>
      </c>
      <c r="J5" t="str">
        <f>IF($H5=0,"🟢 Bassa",IF(AND($H5&gt;='Parametri Modello'!$B$78,$D5/MAX(1,$C5)&gt;='Parametri Modello'!$B$79),"🔴 Molto Alta",IF($H5&gt;='Parametri Modello'!$B$78,"🟠 Alta","🟡 Media")))</f>
        <v>🔴 Molto Alta</v>
      </c>
    </row>
    <row r="6" spans="1:10" x14ac:dyDescent="0.25">
      <c r="B6" t="s">
        <v>437</v>
      </c>
      <c r="C6">
        <f>SUMPRODUCT((TeamDetail!$D$2:$D$17="Si")*(TeamDetail!$C$2:$C$17&lt;&gt;'Info Lega'!$B$28)*(TeamDetail!$I$2:$I$17&gt;0))</f>
        <v>7</v>
      </c>
      <c r="D6">
        <f>ROUND(SUMPRODUCT((TeamDetail!$D$2:$D$17="Si")*(TeamDetail!$C$2:$C$17&lt;&gt;'Info Lega'!$B$28)*(TeamDetail!$I$2:$I$17&gt;0)*TeamDetail!$E$2:$E$17),0)</f>
        <v>7000</v>
      </c>
      <c r="E6">
        <f>IFERROR(ROUND($D6/$C6,0),"")</f>
        <v>1000</v>
      </c>
      <c r="F6" t="str">
        <f>IF($C6=0,"🟢 Bassa",IF(AND($C6&gt;='Parametri Modello'!$B$78,$D6/MAX(1,$C6)&gt;='Parametri Modello'!$B$79),"🔴 Molto Alta",IF($C6&gt;='Parametri Modello'!$B$78,"🟠 Alta","🟡 Media")))</f>
        <v>🔴 Molto Alta</v>
      </c>
      <c r="G6" t="str">
        <f>IF($C6=0,"Nessuna avversaria (attiva) sembra ancora a caccia di un titolare "&amp;$B6&amp;".",$C6&amp;" squadr"&amp;IF($C6=1,"a","e")&amp;" cerca"&amp;IF($C6=1,"","no")&amp;" ancora un titolare "&amp;$B6&amp;", con "&amp;$D6&amp;" crediti disponibili in totale (media "&amp;$E6&amp;"/squadra).")</f>
        <v>7 squadre cercano ancora un titolare A, con 7000 crediti disponibili in totale (media 1000/squadra).</v>
      </c>
      <c r="H6">
        <f>SUMPRODUCT((TeamDetail!$D$2:$D$17="Si")*(TeamDetail!$C$2:$C$17&lt;&gt;'Info Lega'!$B$28)*(TeamDetail!$I$2:$I$17&gt;0)*(TeamDetail!$E$2:$E$17&gt;='Parametri Modello'!$B$80*$I6))</f>
        <v>7</v>
      </c>
      <c r="I6">
        <f>'Parametri Modello'!$I$60</f>
        <v>159.65</v>
      </c>
      <c r="J6" t="str">
        <f>IF($H6=0,"🟢 Bassa",IF(AND($H6&gt;='Parametri Modello'!$B$78,$D6/MAX(1,$C6)&gt;='Parametri Modello'!$B$79),"🔴 Molto Alta",IF($H6&gt;='Parametri Modello'!$B$78,"🟠 Alta","🟡 Media")))</f>
        <v>🔴 Molto Alta</v>
      </c>
    </row>
    <row r="8" spans="1:10" x14ac:dyDescent="0.25">
      <c r="A8" t="s">
        <v>822</v>
      </c>
    </row>
  </sheetData>
  <mergeCells count="1">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7"/>
  <sheetViews>
    <sheetView showGridLines="0" workbookViewId="0"/>
  </sheetViews>
  <sheetFormatPr defaultRowHeight="15" x14ac:dyDescent="0.25"/>
  <cols>
    <col min="1" max="1" width="10" customWidth="1"/>
    <col min="2" max="2" width="15.28515625" customWidth="1"/>
    <col min="3" max="3" width="10.85546875" customWidth="1"/>
    <col min="4" max="4" width="10" customWidth="1"/>
    <col min="5" max="5" width="12.5703125" customWidth="1"/>
    <col min="6" max="9" width="18.85546875" customWidth="1"/>
  </cols>
  <sheetData>
    <row r="1" spans="1:9" ht="25.5" customHeight="1" x14ac:dyDescent="0.25">
      <c r="A1" s="45" t="s">
        <v>823</v>
      </c>
      <c r="B1" s="45" t="s">
        <v>824</v>
      </c>
      <c r="C1" s="45" t="s">
        <v>825</v>
      </c>
      <c r="D1" s="45" t="s">
        <v>688</v>
      </c>
      <c r="E1" s="45" t="s">
        <v>595</v>
      </c>
      <c r="F1" s="45" t="s">
        <v>826</v>
      </c>
      <c r="G1" s="45" t="s">
        <v>827</v>
      </c>
      <c r="H1" s="45" t="s">
        <v>828</v>
      </c>
      <c r="I1" s="45" t="s">
        <v>829</v>
      </c>
    </row>
    <row r="2" spans="1:9" x14ac:dyDescent="0.25">
      <c r="A2">
        <v>1</v>
      </c>
      <c r="B2">
        <f>('Info Lega'!$B$5-COUNTIFS('Output Utente'!$D$2:$D$492,$C2,'Output Utente'!$B$2:$B$492,"P"))+('Info Lega'!$B$6-COUNTIFS('Output Utente'!$D$2:$D$492,$C2,'Output Utente'!$B$2:$B$492,"D"))+('Info Lega'!$B$7-COUNTIFS('Output Utente'!$D$2:$D$492,$C2,'Output Utente'!$B$2:$B$492,"C"))+('Info Lega'!$B$8-COUNTIFS('Output Utente'!$D$2:$D$492,$C2,'Output Utente'!$B$2:$B$492,"A"))</f>
        <v>25</v>
      </c>
      <c r="C2" t="str">
        <f>'Info Lega'!$B$9</f>
        <v>xxx1</v>
      </c>
      <c r="D2" t="str">
        <f>'Info Lega'!$D$9</f>
        <v>Si</v>
      </c>
      <c r="E2">
        <f>'Info Lega'!$B$4-SUMIFS('Output Utente'!$M$2:$M$492,'Output Utente'!$D$2:$D$492,$C2)</f>
        <v>1000</v>
      </c>
      <c r="F2">
        <f>MAX(0,'Parametri Modello'!$B$73-COUNTIFS('Output Utente'!$D$2:$D$492,$C2,'Output Utente'!$B$2:$B$492,"P",'Output Utente'!$AF$2:$AF$492,"Titolare"))</f>
        <v>1</v>
      </c>
      <c r="G2">
        <f>MAX(0,'Parametri Modello'!$B$74-COUNTIFS('Output Utente'!$D$2:$D$492,$C2,'Output Utente'!$B$2:$B$492,"D",'Output Utente'!$AF$2:$AF$492,"Titolare"))</f>
        <v>3</v>
      </c>
      <c r="H2">
        <f>MAX(0,'Parametri Modello'!$B$75-COUNTIFS('Output Utente'!$D$2:$D$492,$C2,'Output Utente'!$B$2:$B$492,"C",'Output Utente'!$AF$2:$AF$492,"Titolare"))</f>
        <v>4</v>
      </c>
      <c r="I2">
        <f>MAX(0,'Parametri Modello'!$B$76-COUNTIFS('Output Utente'!$D$2:$D$492,$C2,'Output Utente'!$B$2:$B$492,"A",'Output Utente'!$AF$2:$AF$492,"Titolare"))</f>
        <v>3</v>
      </c>
    </row>
    <row r="3" spans="1:9" x14ac:dyDescent="0.25">
      <c r="A3">
        <v>2</v>
      </c>
      <c r="B3">
        <f>('Info Lega'!$B$5-COUNTIFS('Output Utente'!$D$2:$D$492,$C3,'Output Utente'!$B$2:$B$492,"P"))+('Info Lega'!$B$6-COUNTIFS('Output Utente'!$D$2:$D$492,$C3,'Output Utente'!$B$2:$B$492,"D"))+('Info Lega'!$B$7-COUNTIFS('Output Utente'!$D$2:$D$492,$C3,'Output Utente'!$B$2:$B$492,"C"))+('Info Lega'!$B$8-COUNTIFS('Output Utente'!$D$2:$D$492,$C3,'Output Utente'!$B$2:$B$492,"A"))</f>
        <v>25</v>
      </c>
      <c r="C3" t="str">
        <f>'Info Lega'!$B$10</f>
        <v>xxx2</v>
      </c>
      <c r="D3" t="str">
        <f>'Info Lega'!$D$10</f>
        <v>Si</v>
      </c>
      <c r="E3">
        <f>'Info Lega'!$B$4-SUMIFS('Output Utente'!$M$2:$M$492,'Output Utente'!$D$2:$D$492,$C3)</f>
        <v>1000</v>
      </c>
      <c r="F3">
        <f>MAX(0,'Parametri Modello'!$B$73-COUNTIFS('Output Utente'!$D$2:$D$492,$C3,'Output Utente'!$B$2:$B$492,"P",'Output Utente'!$AF$2:$AF$492,"Titolare"))</f>
        <v>1</v>
      </c>
      <c r="G3">
        <f>MAX(0,'Parametri Modello'!$B$74-COUNTIFS('Output Utente'!$D$2:$D$492,$C3,'Output Utente'!$B$2:$B$492,"D",'Output Utente'!$AF$2:$AF$492,"Titolare"))</f>
        <v>3</v>
      </c>
      <c r="H3">
        <f>MAX(0,'Parametri Modello'!$B$75-COUNTIFS('Output Utente'!$D$2:$D$492,$C3,'Output Utente'!$B$2:$B$492,"C",'Output Utente'!$AF$2:$AF$492,"Titolare"))</f>
        <v>4</v>
      </c>
      <c r="I3">
        <f>MAX(0,'Parametri Modello'!$B$76-COUNTIFS('Output Utente'!$D$2:$D$492,$C3,'Output Utente'!$B$2:$B$492,"A",'Output Utente'!$AF$2:$AF$492,"Titolare"))</f>
        <v>3</v>
      </c>
    </row>
    <row r="4" spans="1:9" x14ac:dyDescent="0.25">
      <c r="A4">
        <v>3</v>
      </c>
      <c r="B4">
        <f>('Info Lega'!$B$5-COUNTIFS('Output Utente'!$D$2:$D$492,$C4,'Output Utente'!$B$2:$B$492,"P"))+('Info Lega'!$B$6-COUNTIFS('Output Utente'!$D$2:$D$492,$C4,'Output Utente'!$B$2:$B$492,"D"))+('Info Lega'!$B$7-COUNTIFS('Output Utente'!$D$2:$D$492,$C4,'Output Utente'!$B$2:$B$492,"C"))+('Info Lega'!$B$8-COUNTIFS('Output Utente'!$D$2:$D$492,$C4,'Output Utente'!$B$2:$B$492,"A"))</f>
        <v>25</v>
      </c>
      <c r="C4" t="str">
        <f>'Info Lega'!$B$11</f>
        <v>xxx3</v>
      </c>
      <c r="D4" t="str">
        <f>'Info Lega'!$D$11</f>
        <v>Si</v>
      </c>
      <c r="E4">
        <f>'Info Lega'!$B$4-SUMIFS('Output Utente'!$M$2:$M$492,'Output Utente'!$D$2:$D$492,$C4)</f>
        <v>1000</v>
      </c>
      <c r="F4">
        <f>MAX(0,'Parametri Modello'!$B$73-COUNTIFS('Output Utente'!$D$2:$D$492,$C4,'Output Utente'!$B$2:$B$492,"P",'Output Utente'!$AF$2:$AF$492,"Titolare"))</f>
        <v>1</v>
      </c>
      <c r="G4">
        <f>MAX(0,'Parametri Modello'!$B$74-COUNTIFS('Output Utente'!$D$2:$D$492,$C4,'Output Utente'!$B$2:$B$492,"D",'Output Utente'!$AF$2:$AF$492,"Titolare"))</f>
        <v>3</v>
      </c>
      <c r="H4">
        <f>MAX(0,'Parametri Modello'!$B$75-COUNTIFS('Output Utente'!$D$2:$D$492,$C4,'Output Utente'!$B$2:$B$492,"C",'Output Utente'!$AF$2:$AF$492,"Titolare"))</f>
        <v>4</v>
      </c>
      <c r="I4">
        <f>MAX(0,'Parametri Modello'!$B$76-COUNTIFS('Output Utente'!$D$2:$D$492,$C4,'Output Utente'!$B$2:$B$492,"A",'Output Utente'!$AF$2:$AF$492,"Titolare"))</f>
        <v>3</v>
      </c>
    </row>
    <row r="5" spans="1:9" x14ac:dyDescent="0.25">
      <c r="A5">
        <v>4</v>
      </c>
      <c r="B5">
        <f>('Info Lega'!$B$5-COUNTIFS('Output Utente'!$D$2:$D$492,$C5,'Output Utente'!$B$2:$B$492,"P"))+('Info Lega'!$B$6-COUNTIFS('Output Utente'!$D$2:$D$492,$C5,'Output Utente'!$B$2:$B$492,"D"))+('Info Lega'!$B$7-COUNTIFS('Output Utente'!$D$2:$D$492,$C5,'Output Utente'!$B$2:$B$492,"C"))+('Info Lega'!$B$8-COUNTIFS('Output Utente'!$D$2:$D$492,$C5,'Output Utente'!$B$2:$B$492,"A"))</f>
        <v>25</v>
      </c>
      <c r="C5" t="str">
        <f>'Info Lega'!$B$12</f>
        <v>xxx4</v>
      </c>
      <c r="D5" t="str">
        <f>'Info Lega'!$D$12</f>
        <v>Si</v>
      </c>
      <c r="E5">
        <f>'Info Lega'!$B$4-SUMIFS('Output Utente'!$M$2:$M$492,'Output Utente'!$D$2:$D$492,$C5)</f>
        <v>1000</v>
      </c>
      <c r="F5">
        <f>MAX(0,'Parametri Modello'!$B$73-COUNTIFS('Output Utente'!$D$2:$D$492,$C5,'Output Utente'!$B$2:$B$492,"P",'Output Utente'!$AF$2:$AF$492,"Titolare"))</f>
        <v>1</v>
      </c>
      <c r="G5">
        <f>MAX(0,'Parametri Modello'!$B$74-COUNTIFS('Output Utente'!$D$2:$D$492,$C5,'Output Utente'!$B$2:$B$492,"D",'Output Utente'!$AF$2:$AF$492,"Titolare"))</f>
        <v>3</v>
      </c>
      <c r="H5">
        <f>MAX(0,'Parametri Modello'!$B$75-COUNTIFS('Output Utente'!$D$2:$D$492,$C5,'Output Utente'!$B$2:$B$492,"C",'Output Utente'!$AF$2:$AF$492,"Titolare"))</f>
        <v>4</v>
      </c>
      <c r="I5">
        <f>MAX(0,'Parametri Modello'!$B$76-COUNTIFS('Output Utente'!$D$2:$D$492,$C5,'Output Utente'!$B$2:$B$492,"A",'Output Utente'!$AF$2:$AF$492,"Titolare"))</f>
        <v>3</v>
      </c>
    </row>
    <row r="6" spans="1:9" x14ac:dyDescent="0.25">
      <c r="A6">
        <v>5</v>
      </c>
      <c r="B6">
        <f>('Info Lega'!$B$5-COUNTIFS('Output Utente'!$D$2:$D$492,$C6,'Output Utente'!$B$2:$B$492,"P"))+('Info Lega'!$B$6-COUNTIFS('Output Utente'!$D$2:$D$492,$C6,'Output Utente'!$B$2:$B$492,"D"))+('Info Lega'!$B$7-COUNTIFS('Output Utente'!$D$2:$D$492,$C6,'Output Utente'!$B$2:$B$492,"C"))+('Info Lega'!$B$8-COUNTIFS('Output Utente'!$D$2:$D$492,$C6,'Output Utente'!$B$2:$B$492,"A"))</f>
        <v>25</v>
      </c>
      <c r="C6" t="str">
        <f>'Info Lega'!$B$13</f>
        <v>xxx5</v>
      </c>
      <c r="D6" t="str">
        <f>'Info Lega'!$D$13</f>
        <v>Si</v>
      </c>
      <c r="E6">
        <f>'Info Lega'!$B$4-SUMIFS('Output Utente'!$M$2:$M$492,'Output Utente'!$D$2:$D$492,$C6)</f>
        <v>1000</v>
      </c>
      <c r="F6">
        <f>MAX(0,'Parametri Modello'!$B$73-COUNTIFS('Output Utente'!$D$2:$D$492,$C6,'Output Utente'!$B$2:$B$492,"P",'Output Utente'!$AF$2:$AF$492,"Titolare"))</f>
        <v>1</v>
      </c>
      <c r="G6">
        <f>MAX(0,'Parametri Modello'!$B$74-COUNTIFS('Output Utente'!$D$2:$D$492,$C6,'Output Utente'!$B$2:$B$492,"D",'Output Utente'!$AF$2:$AF$492,"Titolare"))</f>
        <v>3</v>
      </c>
      <c r="H6">
        <f>MAX(0,'Parametri Modello'!$B$75-COUNTIFS('Output Utente'!$D$2:$D$492,$C6,'Output Utente'!$B$2:$B$492,"C",'Output Utente'!$AF$2:$AF$492,"Titolare"))</f>
        <v>4</v>
      </c>
      <c r="I6">
        <f>MAX(0,'Parametri Modello'!$B$76-COUNTIFS('Output Utente'!$D$2:$D$492,$C6,'Output Utente'!$B$2:$B$492,"A",'Output Utente'!$AF$2:$AF$492,"Titolare"))</f>
        <v>3</v>
      </c>
    </row>
    <row r="7" spans="1:9" x14ac:dyDescent="0.25">
      <c r="A7">
        <v>6</v>
      </c>
      <c r="B7">
        <f>('Info Lega'!$B$5-COUNTIFS('Output Utente'!$D$2:$D$492,$C7,'Output Utente'!$B$2:$B$492,"P"))+('Info Lega'!$B$6-COUNTIFS('Output Utente'!$D$2:$D$492,$C7,'Output Utente'!$B$2:$B$492,"D"))+('Info Lega'!$B$7-COUNTIFS('Output Utente'!$D$2:$D$492,$C7,'Output Utente'!$B$2:$B$492,"C"))+('Info Lega'!$B$8-COUNTIFS('Output Utente'!$D$2:$D$492,$C7,'Output Utente'!$B$2:$B$492,"A"))</f>
        <v>25</v>
      </c>
      <c r="C7" t="str">
        <f>'Info Lega'!$B$14</f>
        <v>xxx6</v>
      </c>
      <c r="D7" t="str">
        <f>'Info Lega'!$D$14</f>
        <v>Si</v>
      </c>
      <c r="E7">
        <f>'Info Lega'!$B$4-SUMIFS('Output Utente'!$M$2:$M$492,'Output Utente'!$D$2:$D$492,$C7)</f>
        <v>1000</v>
      </c>
      <c r="F7">
        <f>MAX(0,'Parametri Modello'!$B$73-COUNTIFS('Output Utente'!$D$2:$D$492,$C7,'Output Utente'!$B$2:$B$492,"P",'Output Utente'!$AF$2:$AF$492,"Titolare"))</f>
        <v>1</v>
      </c>
      <c r="G7">
        <f>MAX(0,'Parametri Modello'!$B$74-COUNTIFS('Output Utente'!$D$2:$D$492,$C7,'Output Utente'!$B$2:$B$492,"D",'Output Utente'!$AF$2:$AF$492,"Titolare"))</f>
        <v>3</v>
      </c>
      <c r="H7">
        <f>MAX(0,'Parametri Modello'!$B$75-COUNTIFS('Output Utente'!$D$2:$D$492,$C7,'Output Utente'!$B$2:$B$492,"C",'Output Utente'!$AF$2:$AF$492,"Titolare"))</f>
        <v>4</v>
      </c>
      <c r="I7">
        <f>MAX(0,'Parametri Modello'!$B$76-COUNTIFS('Output Utente'!$D$2:$D$492,$C7,'Output Utente'!$B$2:$B$492,"A",'Output Utente'!$AF$2:$AF$492,"Titolare"))</f>
        <v>3</v>
      </c>
    </row>
    <row r="8" spans="1:9" x14ac:dyDescent="0.25">
      <c r="A8">
        <v>7</v>
      </c>
      <c r="B8">
        <f>('Info Lega'!$B$5-COUNTIFS('Output Utente'!$D$2:$D$492,$C8,'Output Utente'!$B$2:$B$492,"P"))+('Info Lega'!$B$6-COUNTIFS('Output Utente'!$D$2:$D$492,$C8,'Output Utente'!$B$2:$B$492,"D"))+('Info Lega'!$B$7-COUNTIFS('Output Utente'!$D$2:$D$492,$C8,'Output Utente'!$B$2:$B$492,"C"))+('Info Lega'!$B$8-COUNTIFS('Output Utente'!$D$2:$D$492,$C8,'Output Utente'!$B$2:$B$492,"A"))</f>
        <v>25</v>
      </c>
      <c r="C8" t="str">
        <f>'Info Lega'!$B$15</f>
        <v>xxx7</v>
      </c>
      <c r="D8" t="str">
        <f>'Info Lega'!$D$15</f>
        <v>Si</v>
      </c>
      <c r="E8">
        <f>'Info Lega'!$B$4-SUMIFS('Output Utente'!$M$2:$M$492,'Output Utente'!$D$2:$D$492,$C8)</f>
        <v>1000</v>
      </c>
      <c r="F8">
        <f>MAX(0,'Parametri Modello'!$B$73-COUNTIFS('Output Utente'!$D$2:$D$492,$C8,'Output Utente'!$B$2:$B$492,"P",'Output Utente'!$AF$2:$AF$492,"Titolare"))</f>
        <v>1</v>
      </c>
      <c r="G8">
        <f>MAX(0,'Parametri Modello'!$B$74-COUNTIFS('Output Utente'!$D$2:$D$492,$C8,'Output Utente'!$B$2:$B$492,"D",'Output Utente'!$AF$2:$AF$492,"Titolare"))</f>
        <v>3</v>
      </c>
      <c r="H8">
        <f>MAX(0,'Parametri Modello'!$B$75-COUNTIFS('Output Utente'!$D$2:$D$492,$C8,'Output Utente'!$B$2:$B$492,"C",'Output Utente'!$AF$2:$AF$492,"Titolare"))</f>
        <v>4</v>
      </c>
      <c r="I8">
        <f>MAX(0,'Parametri Modello'!$B$76-COUNTIFS('Output Utente'!$D$2:$D$492,$C8,'Output Utente'!$B$2:$B$492,"A",'Output Utente'!$AF$2:$AF$492,"Titolare"))</f>
        <v>3</v>
      </c>
    </row>
    <row r="9" spans="1:9" x14ac:dyDescent="0.25">
      <c r="A9">
        <v>8</v>
      </c>
      <c r="B9">
        <f>('Info Lega'!$B$5-COUNTIFS('Output Utente'!$D$2:$D$492,$C9,'Output Utente'!$B$2:$B$492,"P"))+('Info Lega'!$B$6-COUNTIFS('Output Utente'!$D$2:$D$492,$C9,'Output Utente'!$B$2:$B$492,"D"))+('Info Lega'!$B$7-COUNTIFS('Output Utente'!$D$2:$D$492,$C9,'Output Utente'!$B$2:$B$492,"C"))+('Info Lega'!$B$8-COUNTIFS('Output Utente'!$D$2:$D$492,$C9,'Output Utente'!$B$2:$B$492,"A"))</f>
        <v>25</v>
      </c>
      <c r="C9" t="str">
        <f>'Info Lega'!$B$16</f>
        <v>xxx8</v>
      </c>
      <c r="D9" t="str">
        <f>'Info Lega'!$D$16</f>
        <v>Si</v>
      </c>
      <c r="E9">
        <f>'Info Lega'!$B$4-SUMIFS('Output Utente'!$M$2:$M$492,'Output Utente'!$D$2:$D$492,$C9)</f>
        <v>1000</v>
      </c>
      <c r="F9">
        <f>MAX(0,'Parametri Modello'!$B$73-COUNTIFS('Output Utente'!$D$2:$D$492,$C9,'Output Utente'!$B$2:$B$492,"P",'Output Utente'!$AF$2:$AF$492,"Titolare"))</f>
        <v>1</v>
      </c>
      <c r="G9">
        <f>MAX(0,'Parametri Modello'!$B$74-COUNTIFS('Output Utente'!$D$2:$D$492,$C9,'Output Utente'!$B$2:$B$492,"D",'Output Utente'!$AF$2:$AF$492,"Titolare"))</f>
        <v>3</v>
      </c>
      <c r="H9">
        <f>MAX(0,'Parametri Modello'!$B$75-COUNTIFS('Output Utente'!$D$2:$D$492,$C9,'Output Utente'!$B$2:$B$492,"C",'Output Utente'!$AF$2:$AF$492,"Titolare"))</f>
        <v>4</v>
      </c>
      <c r="I9">
        <f>MAX(0,'Parametri Modello'!$B$76-COUNTIFS('Output Utente'!$D$2:$D$492,$C9,'Output Utente'!$B$2:$B$492,"A",'Output Utente'!$AF$2:$AF$492,"Titolare"))</f>
        <v>3</v>
      </c>
    </row>
    <row r="10" spans="1:9" x14ac:dyDescent="0.25">
      <c r="A10">
        <v>9</v>
      </c>
      <c r="B10">
        <f>('Info Lega'!$B$5-COUNTIFS('Output Utente'!$D$2:$D$492,$C10,'Output Utente'!$B$2:$B$492,"P"))+('Info Lega'!$B$6-COUNTIFS('Output Utente'!$D$2:$D$492,$C10,'Output Utente'!$B$2:$B$492,"D"))+('Info Lega'!$B$7-COUNTIFS('Output Utente'!$D$2:$D$492,$C10,'Output Utente'!$B$2:$B$492,"C"))+('Info Lega'!$B$8-COUNTIFS('Output Utente'!$D$2:$D$492,$C10,'Output Utente'!$B$2:$B$492,"A"))</f>
        <v>25</v>
      </c>
      <c r="C10" t="str">
        <f>'Info Lega'!$B$17</f>
        <v>xxx9</v>
      </c>
      <c r="D10" t="str">
        <f>'Info Lega'!$D$17</f>
        <v>No</v>
      </c>
      <c r="E10">
        <f>'Info Lega'!$B$4-SUMIFS('Output Utente'!$M$2:$M$492,'Output Utente'!$D$2:$D$492,$C10)</f>
        <v>1000</v>
      </c>
      <c r="F10">
        <f>MAX(0,'Parametri Modello'!$B$73-COUNTIFS('Output Utente'!$D$2:$D$492,$C10,'Output Utente'!$B$2:$B$492,"P",'Output Utente'!$AF$2:$AF$492,"Titolare"))</f>
        <v>1</v>
      </c>
      <c r="G10">
        <f>MAX(0,'Parametri Modello'!$B$74-COUNTIFS('Output Utente'!$D$2:$D$492,$C10,'Output Utente'!$B$2:$B$492,"D",'Output Utente'!$AF$2:$AF$492,"Titolare"))</f>
        <v>3</v>
      </c>
      <c r="H10">
        <f>MAX(0,'Parametri Modello'!$B$75-COUNTIFS('Output Utente'!$D$2:$D$492,$C10,'Output Utente'!$B$2:$B$492,"C",'Output Utente'!$AF$2:$AF$492,"Titolare"))</f>
        <v>4</v>
      </c>
      <c r="I10">
        <f>MAX(0,'Parametri Modello'!$B$76-COUNTIFS('Output Utente'!$D$2:$D$492,$C10,'Output Utente'!$B$2:$B$492,"A",'Output Utente'!$AF$2:$AF$492,"Titolare"))</f>
        <v>3</v>
      </c>
    </row>
    <row r="11" spans="1:9" x14ac:dyDescent="0.25">
      <c r="A11">
        <v>10</v>
      </c>
      <c r="B11">
        <f>('Info Lega'!$B$5-COUNTIFS('Output Utente'!$D$2:$D$492,$C11,'Output Utente'!$B$2:$B$492,"P"))+('Info Lega'!$B$6-COUNTIFS('Output Utente'!$D$2:$D$492,$C11,'Output Utente'!$B$2:$B$492,"D"))+('Info Lega'!$B$7-COUNTIFS('Output Utente'!$D$2:$D$492,$C11,'Output Utente'!$B$2:$B$492,"C"))+('Info Lega'!$B$8-COUNTIFS('Output Utente'!$D$2:$D$492,$C11,'Output Utente'!$B$2:$B$492,"A"))</f>
        <v>25</v>
      </c>
      <c r="C11" t="str">
        <f>'Info Lega'!$B$18</f>
        <v>xxx10</v>
      </c>
      <c r="D11" t="str">
        <f>'Info Lega'!$D$18</f>
        <v>No</v>
      </c>
      <c r="E11">
        <f>'Info Lega'!$B$4-SUMIFS('Output Utente'!$M$2:$M$492,'Output Utente'!$D$2:$D$492,$C11)</f>
        <v>1000</v>
      </c>
      <c r="F11">
        <f>MAX(0,'Parametri Modello'!$B$73-COUNTIFS('Output Utente'!$D$2:$D$492,$C11,'Output Utente'!$B$2:$B$492,"P",'Output Utente'!$AF$2:$AF$492,"Titolare"))</f>
        <v>1</v>
      </c>
      <c r="G11">
        <f>MAX(0,'Parametri Modello'!$B$74-COUNTIFS('Output Utente'!$D$2:$D$492,$C11,'Output Utente'!$B$2:$B$492,"D",'Output Utente'!$AF$2:$AF$492,"Titolare"))</f>
        <v>3</v>
      </c>
      <c r="H11">
        <f>MAX(0,'Parametri Modello'!$B$75-COUNTIFS('Output Utente'!$D$2:$D$492,$C11,'Output Utente'!$B$2:$B$492,"C",'Output Utente'!$AF$2:$AF$492,"Titolare"))</f>
        <v>4</v>
      </c>
      <c r="I11">
        <f>MAX(0,'Parametri Modello'!$B$76-COUNTIFS('Output Utente'!$D$2:$D$492,$C11,'Output Utente'!$B$2:$B$492,"A",'Output Utente'!$AF$2:$AF$492,"Titolare"))</f>
        <v>3</v>
      </c>
    </row>
    <row r="12" spans="1:9" x14ac:dyDescent="0.25">
      <c r="A12">
        <v>11</v>
      </c>
      <c r="B12">
        <f>('Info Lega'!$B$5-COUNTIFS('Output Utente'!$D$2:$D$492,$C12,'Output Utente'!$B$2:$B$492,"P"))+('Info Lega'!$B$6-COUNTIFS('Output Utente'!$D$2:$D$492,$C12,'Output Utente'!$B$2:$B$492,"D"))+('Info Lega'!$B$7-COUNTIFS('Output Utente'!$D$2:$D$492,$C12,'Output Utente'!$B$2:$B$492,"C"))+('Info Lega'!$B$8-COUNTIFS('Output Utente'!$D$2:$D$492,$C12,'Output Utente'!$B$2:$B$492,"A"))</f>
        <v>25</v>
      </c>
      <c r="C12" t="str">
        <f>'Info Lega'!$B$19</f>
        <v>xxx11</v>
      </c>
      <c r="D12" t="str">
        <f>'Info Lega'!$D$19</f>
        <v>No</v>
      </c>
      <c r="E12">
        <f>'Info Lega'!$B$4-SUMIFS('Output Utente'!$M$2:$M$492,'Output Utente'!$D$2:$D$492,$C12)</f>
        <v>1000</v>
      </c>
      <c r="F12">
        <f>MAX(0,'Parametri Modello'!$B$73-COUNTIFS('Output Utente'!$D$2:$D$492,$C12,'Output Utente'!$B$2:$B$492,"P",'Output Utente'!$AF$2:$AF$492,"Titolare"))</f>
        <v>1</v>
      </c>
      <c r="G12">
        <f>MAX(0,'Parametri Modello'!$B$74-COUNTIFS('Output Utente'!$D$2:$D$492,$C12,'Output Utente'!$B$2:$B$492,"D",'Output Utente'!$AF$2:$AF$492,"Titolare"))</f>
        <v>3</v>
      </c>
      <c r="H12">
        <f>MAX(0,'Parametri Modello'!$B$75-COUNTIFS('Output Utente'!$D$2:$D$492,$C12,'Output Utente'!$B$2:$B$492,"C",'Output Utente'!$AF$2:$AF$492,"Titolare"))</f>
        <v>4</v>
      </c>
      <c r="I12">
        <f>MAX(0,'Parametri Modello'!$B$76-COUNTIFS('Output Utente'!$D$2:$D$492,$C12,'Output Utente'!$B$2:$B$492,"A",'Output Utente'!$AF$2:$AF$492,"Titolare"))</f>
        <v>3</v>
      </c>
    </row>
    <row r="13" spans="1:9" x14ac:dyDescent="0.25">
      <c r="A13">
        <v>12</v>
      </c>
      <c r="B13">
        <f>('Info Lega'!$B$5-COUNTIFS('Output Utente'!$D$2:$D$492,$C13,'Output Utente'!$B$2:$B$492,"P"))+('Info Lega'!$B$6-COUNTIFS('Output Utente'!$D$2:$D$492,$C13,'Output Utente'!$B$2:$B$492,"D"))+('Info Lega'!$B$7-COUNTIFS('Output Utente'!$D$2:$D$492,$C13,'Output Utente'!$B$2:$B$492,"C"))+('Info Lega'!$B$8-COUNTIFS('Output Utente'!$D$2:$D$492,$C13,'Output Utente'!$B$2:$B$492,"A"))</f>
        <v>25</v>
      </c>
      <c r="C13" t="str">
        <f>'Info Lega'!$B$20</f>
        <v>xxx12</v>
      </c>
      <c r="D13" t="str">
        <f>'Info Lega'!$D$20</f>
        <v>No</v>
      </c>
      <c r="E13">
        <f>'Info Lega'!$B$4-SUMIFS('Output Utente'!$M$2:$M$492,'Output Utente'!$D$2:$D$492,$C13)</f>
        <v>1000</v>
      </c>
      <c r="F13">
        <f>MAX(0,'Parametri Modello'!$B$73-COUNTIFS('Output Utente'!$D$2:$D$492,$C13,'Output Utente'!$B$2:$B$492,"P",'Output Utente'!$AF$2:$AF$492,"Titolare"))</f>
        <v>1</v>
      </c>
      <c r="G13">
        <f>MAX(0,'Parametri Modello'!$B$74-COUNTIFS('Output Utente'!$D$2:$D$492,$C13,'Output Utente'!$B$2:$B$492,"D",'Output Utente'!$AF$2:$AF$492,"Titolare"))</f>
        <v>3</v>
      </c>
      <c r="H13">
        <f>MAX(0,'Parametri Modello'!$B$75-COUNTIFS('Output Utente'!$D$2:$D$492,$C13,'Output Utente'!$B$2:$B$492,"C",'Output Utente'!$AF$2:$AF$492,"Titolare"))</f>
        <v>4</v>
      </c>
      <c r="I13">
        <f>MAX(0,'Parametri Modello'!$B$76-COUNTIFS('Output Utente'!$D$2:$D$492,$C13,'Output Utente'!$B$2:$B$492,"A",'Output Utente'!$AF$2:$AF$492,"Titolare"))</f>
        <v>3</v>
      </c>
    </row>
    <row r="14" spans="1:9" x14ac:dyDescent="0.25">
      <c r="A14">
        <v>13</v>
      </c>
      <c r="B14">
        <f>('Info Lega'!$B$5-COUNTIFS('Output Utente'!$D$2:$D$492,$C14,'Output Utente'!$B$2:$B$492,"P"))+('Info Lega'!$B$6-COUNTIFS('Output Utente'!$D$2:$D$492,$C14,'Output Utente'!$B$2:$B$492,"D"))+('Info Lega'!$B$7-COUNTIFS('Output Utente'!$D$2:$D$492,$C14,'Output Utente'!$B$2:$B$492,"C"))+('Info Lega'!$B$8-COUNTIFS('Output Utente'!$D$2:$D$492,$C14,'Output Utente'!$B$2:$B$492,"A"))</f>
        <v>25</v>
      </c>
      <c r="C14" t="str">
        <f>'Info Lega'!$B$21</f>
        <v>xxx13</v>
      </c>
      <c r="D14" t="str">
        <f>'Info Lega'!$D$21</f>
        <v>No</v>
      </c>
      <c r="E14">
        <f>'Info Lega'!$B$4-SUMIFS('Output Utente'!$M$2:$M$492,'Output Utente'!$D$2:$D$492,$C14)</f>
        <v>1000</v>
      </c>
      <c r="F14">
        <f>MAX(0,'Parametri Modello'!$B$73-COUNTIFS('Output Utente'!$D$2:$D$492,$C14,'Output Utente'!$B$2:$B$492,"P",'Output Utente'!$AF$2:$AF$492,"Titolare"))</f>
        <v>1</v>
      </c>
      <c r="G14">
        <f>MAX(0,'Parametri Modello'!$B$74-COUNTIFS('Output Utente'!$D$2:$D$492,$C14,'Output Utente'!$B$2:$B$492,"D",'Output Utente'!$AF$2:$AF$492,"Titolare"))</f>
        <v>3</v>
      </c>
      <c r="H14">
        <f>MAX(0,'Parametri Modello'!$B$75-COUNTIFS('Output Utente'!$D$2:$D$492,$C14,'Output Utente'!$B$2:$B$492,"C",'Output Utente'!$AF$2:$AF$492,"Titolare"))</f>
        <v>4</v>
      </c>
      <c r="I14">
        <f>MAX(0,'Parametri Modello'!$B$76-COUNTIFS('Output Utente'!$D$2:$D$492,$C14,'Output Utente'!$B$2:$B$492,"A",'Output Utente'!$AF$2:$AF$492,"Titolare"))</f>
        <v>3</v>
      </c>
    </row>
    <row r="15" spans="1:9" x14ac:dyDescent="0.25">
      <c r="A15">
        <v>14</v>
      </c>
      <c r="B15">
        <f>('Info Lega'!$B$5-COUNTIFS('Output Utente'!$D$2:$D$492,$C15,'Output Utente'!$B$2:$B$492,"P"))+('Info Lega'!$B$6-COUNTIFS('Output Utente'!$D$2:$D$492,$C15,'Output Utente'!$B$2:$B$492,"D"))+('Info Lega'!$B$7-COUNTIFS('Output Utente'!$D$2:$D$492,$C15,'Output Utente'!$B$2:$B$492,"C"))+('Info Lega'!$B$8-COUNTIFS('Output Utente'!$D$2:$D$492,$C15,'Output Utente'!$B$2:$B$492,"A"))</f>
        <v>25</v>
      </c>
      <c r="C15" t="str">
        <f>'Info Lega'!$B$22</f>
        <v>xxx14</v>
      </c>
      <c r="D15" t="str">
        <f>'Info Lega'!$D$22</f>
        <v>No</v>
      </c>
      <c r="E15">
        <f>'Info Lega'!$B$4-SUMIFS('Output Utente'!$M$2:$M$492,'Output Utente'!$D$2:$D$492,$C15)</f>
        <v>1000</v>
      </c>
      <c r="F15">
        <f>MAX(0,'Parametri Modello'!$B$73-COUNTIFS('Output Utente'!$D$2:$D$492,$C15,'Output Utente'!$B$2:$B$492,"P",'Output Utente'!$AF$2:$AF$492,"Titolare"))</f>
        <v>1</v>
      </c>
      <c r="G15">
        <f>MAX(0,'Parametri Modello'!$B$74-COUNTIFS('Output Utente'!$D$2:$D$492,$C15,'Output Utente'!$B$2:$B$492,"D",'Output Utente'!$AF$2:$AF$492,"Titolare"))</f>
        <v>3</v>
      </c>
      <c r="H15">
        <f>MAX(0,'Parametri Modello'!$B$75-COUNTIFS('Output Utente'!$D$2:$D$492,$C15,'Output Utente'!$B$2:$B$492,"C",'Output Utente'!$AF$2:$AF$492,"Titolare"))</f>
        <v>4</v>
      </c>
      <c r="I15">
        <f>MAX(0,'Parametri Modello'!$B$76-COUNTIFS('Output Utente'!$D$2:$D$492,$C15,'Output Utente'!$B$2:$B$492,"A",'Output Utente'!$AF$2:$AF$492,"Titolare"))</f>
        <v>3</v>
      </c>
    </row>
    <row r="16" spans="1:9" x14ac:dyDescent="0.25">
      <c r="A16">
        <v>15</v>
      </c>
      <c r="B16">
        <f>('Info Lega'!$B$5-COUNTIFS('Output Utente'!$D$2:$D$492,$C16,'Output Utente'!$B$2:$B$492,"P"))+('Info Lega'!$B$6-COUNTIFS('Output Utente'!$D$2:$D$492,$C16,'Output Utente'!$B$2:$B$492,"D"))+('Info Lega'!$B$7-COUNTIFS('Output Utente'!$D$2:$D$492,$C16,'Output Utente'!$B$2:$B$492,"C"))+('Info Lega'!$B$8-COUNTIFS('Output Utente'!$D$2:$D$492,$C16,'Output Utente'!$B$2:$B$492,"A"))</f>
        <v>25</v>
      </c>
      <c r="C16" t="str">
        <f>'Info Lega'!$B$23</f>
        <v>xxx15</v>
      </c>
      <c r="D16" t="str">
        <f>'Info Lega'!$D$23</f>
        <v>No</v>
      </c>
      <c r="E16">
        <f>'Info Lega'!$B$4-SUMIFS('Output Utente'!$M$2:$M$492,'Output Utente'!$D$2:$D$492,$C16)</f>
        <v>1000</v>
      </c>
      <c r="F16">
        <f>MAX(0,'Parametri Modello'!$B$73-COUNTIFS('Output Utente'!$D$2:$D$492,$C16,'Output Utente'!$B$2:$B$492,"P",'Output Utente'!$AF$2:$AF$492,"Titolare"))</f>
        <v>1</v>
      </c>
      <c r="G16">
        <f>MAX(0,'Parametri Modello'!$B$74-COUNTIFS('Output Utente'!$D$2:$D$492,$C16,'Output Utente'!$B$2:$B$492,"D",'Output Utente'!$AF$2:$AF$492,"Titolare"))</f>
        <v>3</v>
      </c>
      <c r="H16">
        <f>MAX(0,'Parametri Modello'!$B$75-COUNTIFS('Output Utente'!$D$2:$D$492,$C16,'Output Utente'!$B$2:$B$492,"C",'Output Utente'!$AF$2:$AF$492,"Titolare"))</f>
        <v>4</v>
      </c>
      <c r="I16">
        <f>MAX(0,'Parametri Modello'!$B$76-COUNTIFS('Output Utente'!$D$2:$D$492,$C16,'Output Utente'!$B$2:$B$492,"A",'Output Utente'!$AF$2:$AF$492,"Titolare"))</f>
        <v>3</v>
      </c>
    </row>
    <row r="17" spans="1:9" x14ac:dyDescent="0.25">
      <c r="A17">
        <v>16</v>
      </c>
      <c r="B17">
        <f>('Info Lega'!$B$5-COUNTIFS('Output Utente'!$D$2:$D$492,$C17,'Output Utente'!$B$2:$B$492,"P"))+('Info Lega'!$B$6-COUNTIFS('Output Utente'!$D$2:$D$492,$C17,'Output Utente'!$B$2:$B$492,"D"))+('Info Lega'!$B$7-COUNTIFS('Output Utente'!$D$2:$D$492,$C17,'Output Utente'!$B$2:$B$492,"C"))+('Info Lega'!$B$8-COUNTIFS('Output Utente'!$D$2:$D$492,$C17,'Output Utente'!$B$2:$B$492,"A"))</f>
        <v>25</v>
      </c>
      <c r="C17" t="str">
        <f>'Info Lega'!$B$24</f>
        <v>xxx16</v>
      </c>
      <c r="D17" t="str">
        <f>'Info Lega'!$D$24</f>
        <v>No</v>
      </c>
      <c r="E17">
        <f>'Info Lega'!$B$4-SUMIFS('Output Utente'!$M$2:$M$492,'Output Utente'!$D$2:$D$492,$C17)</f>
        <v>1000</v>
      </c>
      <c r="F17">
        <f>MAX(0,'Parametri Modello'!$B$73-COUNTIFS('Output Utente'!$D$2:$D$492,$C17,'Output Utente'!$B$2:$B$492,"P",'Output Utente'!$AF$2:$AF$492,"Titolare"))</f>
        <v>1</v>
      </c>
      <c r="G17">
        <f>MAX(0,'Parametri Modello'!$B$74-COUNTIFS('Output Utente'!$D$2:$D$492,$C17,'Output Utente'!$B$2:$B$492,"D",'Output Utente'!$AF$2:$AF$492,"Titolare"))</f>
        <v>3</v>
      </c>
      <c r="H17">
        <f>MAX(0,'Parametri Modello'!$B$75-COUNTIFS('Output Utente'!$D$2:$D$492,$C17,'Output Utente'!$B$2:$B$492,"C",'Output Utente'!$AF$2:$AF$492,"Titolare"))</f>
        <v>4</v>
      </c>
      <c r="I17">
        <f>MAX(0,'Parametri Modello'!$B$76-COUNTIFS('Output Utente'!$D$2:$D$492,$C17,'Output Utente'!$B$2:$B$492,"A",'Output Utente'!$AF$2:$AF$492,"Titolare"))</f>
        <v>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4"/>
  <sheetViews>
    <sheetView showGridLines="0" workbookViewId="0">
      <selection sqref="A1:E1"/>
    </sheetView>
  </sheetViews>
  <sheetFormatPr defaultRowHeight="15" x14ac:dyDescent="0.25"/>
  <cols>
    <col min="1" max="1" width="4" customWidth="1"/>
    <col min="2" max="5" width="22" customWidth="1"/>
  </cols>
  <sheetData>
    <row r="1" spans="1:5" ht="20.25" customHeight="1" x14ac:dyDescent="0.3">
      <c r="A1" s="65" t="s">
        <v>830</v>
      </c>
      <c r="B1" s="66"/>
      <c r="C1" s="66"/>
      <c r="D1" s="66"/>
      <c r="E1" s="66"/>
    </row>
    <row r="2" spans="1:5" x14ac:dyDescent="0.25">
      <c r="A2" s="70" t="s">
        <v>831</v>
      </c>
      <c r="B2" s="66"/>
      <c r="C2" s="66"/>
      <c r="D2" s="66"/>
      <c r="E2" s="66"/>
    </row>
    <row r="4" spans="1:5" ht="15.75" customHeight="1" x14ac:dyDescent="0.25">
      <c r="A4" s="73" t="s">
        <v>582</v>
      </c>
      <c r="B4" s="66"/>
      <c r="C4" s="66"/>
      <c r="D4" s="66"/>
      <c r="E4" s="66"/>
    </row>
    <row r="5" spans="1:5" x14ac:dyDescent="0.25">
      <c r="B5" s="45" t="s">
        <v>832</v>
      </c>
      <c r="C5" s="45" t="s">
        <v>833</v>
      </c>
      <c r="D5" s="45" t="s">
        <v>834</v>
      </c>
      <c r="E5" s="45" t="s">
        <v>835</v>
      </c>
    </row>
    <row r="6" spans="1:5" x14ac:dyDescent="0.25">
      <c r="A6">
        <v>1</v>
      </c>
      <c r="B6" t="str">
        <f>IFERROR(INDEX('Output Utente'!$C$2:$C$492,MATCH("P|Top|1",'Output Utente'!$AL$2:$AL$492,0)),"")</f>
        <v>Svilar</v>
      </c>
      <c r="C6" t="str">
        <f>IFERROR(INDEX('Output Utente'!$C$2:$C$492,MATCH("D|Top|1",'Output Utente'!$AL$2:$AL$492,0)),"")</f>
        <v>Dimarco</v>
      </c>
      <c r="D6" t="str">
        <f>IFERROR(INDEX('Output Utente'!$C$2:$C$492,MATCH("C|Top|1",'Output Utente'!$AL$2:$AL$492,0)),"")</f>
        <v>Paz N.</v>
      </c>
      <c r="E6" t="str">
        <f>IFERROR(INDEX('Output Utente'!$C$2:$C$492,MATCH("A|Top|1",'Output Utente'!$AL$2:$AL$492,0)),"")</f>
        <v>Martinez L.</v>
      </c>
    </row>
    <row r="7" spans="1:5" x14ac:dyDescent="0.25">
      <c r="A7">
        <v>2</v>
      </c>
      <c r="B7" t="str">
        <f>IFERROR(INDEX('Output Utente'!$C$2:$C$492,MATCH("P|Top|2",'Output Utente'!$AL$2:$AL$492,0)),"")</f>
        <v>Martinez Jo.</v>
      </c>
      <c r="C7" t="str">
        <f>IFERROR(INDEX('Output Utente'!$C$2:$C$492,MATCH("D|Top|2",'Output Utente'!$AL$2:$AL$492,0)),"")</f>
        <v>Wesley</v>
      </c>
      <c r="D7" t="str">
        <f>IFERROR(INDEX('Output Utente'!$C$2:$C$492,MATCH("C|Top|2",'Output Utente'!$AL$2:$AL$492,0)),"")</f>
        <v>McTominay</v>
      </c>
      <c r="E7" t="str">
        <f>IFERROR(INDEX('Output Utente'!$C$2:$C$492,MATCH("A|Top|2",'Output Utente'!$AL$2:$AL$492,0)),"")</f>
        <v>Malen</v>
      </c>
    </row>
    <row r="8" spans="1:5" x14ac:dyDescent="0.25">
      <c r="A8">
        <v>3</v>
      </c>
      <c r="B8" t="str">
        <f>IFERROR(INDEX('Output Utente'!$C$2:$C$492,MATCH("P|Top|3",'Output Utente'!$AL$2:$AL$492,0)),"")</f>
        <v>Butez</v>
      </c>
      <c r="C8" t="str">
        <f>IFERROR(INDEX('Output Utente'!$C$2:$C$492,MATCH("D|Top|3",'Output Utente'!$AL$2:$AL$492,0)),"")</f>
        <v>Akanji</v>
      </c>
      <c r="D8" t="str">
        <f>IFERROR(INDEX('Output Utente'!$C$2:$C$492,MATCH("C|Top|3",'Output Utente'!$AL$2:$AL$492,0)),"")</f>
        <v>Calhanoglu</v>
      </c>
      <c r="E8" t="str">
        <f>IFERROR(INDEX('Output Utente'!$C$2:$C$492,MATCH("A|Top|3",'Output Utente'!$AL$2:$AL$492,0)),"")</f>
        <v>Thuram</v>
      </c>
    </row>
    <row r="9" spans="1:5" x14ac:dyDescent="0.25">
      <c r="A9">
        <v>4</v>
      </c>
      <c r="B9" t="str">
        <f>IFERROR(INDEX('Output Utente'!$C$2:$C$492,MATCH("P|Top|4",'Output Utente'!$AL$2:$AL$492,0)),"")</f>
        <v>Carnesecchi</v>
      </c>
      <c r="C9" t="str">
        <f>IFERROR(INDEX('Output Utente'!$C$2:$C$492,MATCH("D|Top|4",'Output Utente'!$AL$2:$AL$492,0)),"")</f>
        <v>Bremer</v>
      </c>
      <c r="D9" t="str">
        <f>IFERROR(INDEX('Output Utente'!$C$2:$C$492,MATCH("C|Top|4",'Output Utente'!$AL$2:$AL$492,0)),"")</f>
        <v>Orsolini</v>
      </c>
      <c r="E9" t="str">
        <f>IFERROR(INDEX('Output Utente'!$C$2:$C$492,MATCH("A|Top|4",'Output Utente'!$AL$2:$AL$492,0)),"")</f>
        <v>Hojlund</v>
      </c>
    </row>
    <row r="10" spans="1:5" x14ac:dyDescent="0.25">
      <c r="A10">
        <v>5</v>
      </c>
      <c r="B10" t="str">
        <f>IFERROR(INDEX('Output Utente'!$C$2:$C$492,MATCH("P|Top|5",'Output Utente'!$AL$2:$AL$492,0)),"")</f>
        <v>Maignan</v>
      </c>
      <c r="C10" t="str">
        <f>IFERROR(INDEX('Output Utente'!$C$2:$C$492,MATCH("D|Top|5",'Output Utente'!$AL$2:$AL$492,0)),"")</f>
        <v>Mancini</v>
      </c>
      <c r="D10" t="str">
        <f>IFERROR(INDEX('Output Utente'!$C$2:$C$492,MATCH("C|Top|5",'Output Utente'!$AL$2:$AL$492,0)),"")</f>
        <v>Pulisic</v>
      </c>
      <c r="E10" t="str">
        <f>IFERROR(INDEX('Output Utente'!$C$2:$C$492,MATCH("A|Top|5",'Output Utente'!$AL$2:$AL$492,0)),"")</f>
        <v>Ramos G.</v>
      </c>
    </row>
    <row r="11" spans="1:5" x14ac:dyDescent="0.25">
      <c r="A11">
        <v>6</v>
      </c>
      <c r="B11" t="str">
        <f>IFERROR(INDEX('Output Utente'!$C$2:$C$492,MATCH("P|Top|6",'Output Utente'!$AL$2:$AL$492,0)),"")</f>
        <v>De Gea</v>
      </c>
      <c r="C11" t="str">
        <f>IFERROR(INDEX('Output Utente'!$C$2:$C$492,MATCH("D|Top|6",'Output Utente'!$AL$2:$AL$492,0)),"")</f>
        <v>Pavlovic</v>
      </c>
      <c r="D11" t="str">
        <f>IFERROR(INDEX('Output Utente'!$C$2:$C$492,MATCH("C|Top|6",'Output Utente'!$AL$2:$AL$492,0)),"")</f>
        <v>Rabiot</v>
      </c>
      <c r="E11" t="str">
        <f>IFERROR(INDEX('Output Utente'!$C$2:$C$492,MATCH("A|Top|6",'Output Utente'!$AL$2:$AL$492,0)),"")</f>
        <v>Kolo Muani</v>
      </c>
    </row>
    <row r="12" spans="1:5" x14ac:dyDescent="0.25">
      <c r="A12">
        <v>7</v>
      </c>
      <c r="B12" t="str">
        <f>IFERROR(INDEX('Output Utente'!$C$2:$C$492,MATCH("P|Top|7",'Output Utente'!$AL$2:$AL$492,0)),"")</f>
        <v/>
      </c>
      <c r="C12" t="str">
        <f>IFERROR(INDEX('Output Utente'!$C$2:$C$492,MATCH("D|Top|7",'Output Utente'!$AL$2:$AL$492,0)),"")</f>
        <v>Rrahmani</v>
      </c>
      <c r="D12" t="str">
        <f>IFERROR(INDEX('Output Utente'!$C$2:$C$492,MATCH("C|Top|7",'Output Utente'!$AL$2:$AL$492,0)),"")</f>
        <v>Baturina</v>
      </c>
      <c r="E12" t="str">
        <f>IFERROR(INDEX('Output Utente'!$C$2:$C$492,MATCH("A|Top|7",'Output Utente'!$AL$2:$AL$492,0)),"")</f>
        <v>Kean</v>
      </c>
    </row>
    <row r="13" spans="1:5" x14ac:dyDescent="0.25">
      <c r="A13">
        <v>8</v>
      </c>
      <c r="B13" t="str">
        <f>IFERROR(INDEX('Output Utente'!$C$2:$C$492,MATCH("P|Top|8",'Output Utente'!$AL$2:$AL$492,0)),"")</f>
        <v/>
      </c>
      <c r="C13" t="str">
        <f>IFERROR(INDEX('Output Utente'!$C$2:$C$492,MATCH("D|Top|8",'Output Utente'!$AL$2:$AL$492,0)),"")</f>
        <v>Kalulu</v>
      </c>
      <c r="D13" t="str">
        <f>IFERROR(INDEX('Output Utente'!$C$2:$C$492,MATCH("C|Top|8",'Output Utente'!$AL$2:$AL$492,0)),"")</f>
        <v>De Bruyne</v>
      </c>
      <c r="E13" t="str">
        <f>IFERROR(INDEX('Output Utente'!$C$2:$C$492,MATCH("A|Top|8",'Output Utente'!$AL$2:$AL$492,0)),"")</f>
        <v>Yildiz</v>
      </c>
    </row>
    <row r="14" spans="1:5" x14ac:dyDescent="0.25">
      <c r="A14">
        <v>9</v>
      </c>
      <c r="B14" t="str">
        <f>IFERROR(INDEX('Output Utente'!$C$2:$C$492,MATCH("P|Top|9",'Output Utente'!$AL$2:$AL$492,0)),"")</f>
        <v/>
      </c>
      <c r="C14" t="str">
        <f>IFERROR(INDEX('Output Utente'!$C$2:$C$492,MATCH("D|Top|9",'Output Utente'!$AL$2:$AL$492,0)),"")</f>
        <v/>
      </c>
      <c r="D14" t="str">
        <f>IFERROR(INDEX('Output Utente'!$C$2:$C$492,MATCH("C|Top|9",'Output Utente'!$AL$2:$AL$492,0)),"")</f>
        <v>Zaccagni</v>
      </c>
      <c r="E14" t="str">
        <f>IFERROR(INDEX('Output Utente'!$C$2:$C$492,MATCH("A|Top|9",'Output Utente'!$AL$2:$AL$492,0)),"")</f>
        <v>Douvikas</v>
      </c>
    </row>
    <row r="15" spans="1:5" x14ac:dyDescent="0.25">
      <c r="A15">
        <v>10</v>
      </c>
      <c r="B15" t="str">
        <f>IFERROR(INDEX('Output Utente'!$C$2:$C$492,MATCH("P|Top|10",'Output Utente'!$AL$2:$AL$492,0)),"")</f>
        <v/>
      </c>
      <c r="C15" t="str">
        <f>IFERROR(INDEX('Output Utente'!$C$2:$C$492,MATCH("D|Top|10",'Output Utente'!$AL$2:$AL$492,0)),"")</f>
        <v>Bastoni</v>
      </c>
      <c r="D15" t="str">
        <f>IFERROR(INDEX('Output Utente'!$C$2:$C$492,MATCH("C|Top|10",'Output Utente'!$AL$2:$AL$492,0)),"")</f>
        <v>Da Cunha</v>
      </c>
      <c r="E15" t="str">
        <f>IFERROR(INDEX('Output Utente'!$C$2:$C$492,MATCH("A|Top|10",'Output Utente'!$AL$2:$AL$492,0)),"")</f>
        <v/>
      </c>
    </row>
    <row r="16" spans="1:5" x14ac:dyDescent="0.25">
      <c r="A16">
        <v>11</v>
      </c>
      <c r="B16" t="str">
        <f>IFERROR(INDEX('Output Utente'!$C$2:$C$492,MATCH("P|Top|11",'Output Utente'!$AL$2:$AL$492,0)),"")</f>
        <v/>
      </c>
      <c r="C16" t="str">
        <f>IFERROR(INDEX('Output Utente'!$C$2:$C$492,MATCH("D|Top|11",'Output Utente'!$AL$2:$AL$492,0)),"")</f>
        <v/>
      </c>
      <c r="D16" t="str">
        <f>IFERROR(INDEX('Output Utente'!$C$2:$C$492,MATCH("C|Top|11",'Output Utente'!$AL$2:$AL$492,0)),"")</f>
        <v/>
      </c>
      <c r="E16" t="str">
        <f>IFERROR(INDEX('Output Utente'!$C$2:$C$492,MATCH("A|Top|11",'Output Utente'!$AL$2:$AL$492,0)),"")</f>
        <v/>
      </c>
    </row>
    <row r="17" spans="1:5" x14ac:dyDescent="0.25">
      <c r="A17">
        <v>12</v>
      </c>
      <c r="B17" t="str">
        <f>IFERROR(INDEX('Output Utente'!$C$2:$C$492,MATCH("P|Top|12",'Output Utente'!$AL$2:$AL$492,0)),"")</f>
        <v/>
      </c>
      <c r="C17" t="str">
        <f>IFERROR(INDEX('Output Utente'!$C$2:$C$492,MATCH("D|Top|12",'Output Utente'!$AL$2:$AL$492,0)),"")</f>
        <v>Di Lorenzo</v>
      </c>
      <c r="D17" t="str">
        <f>IFERROR(INDEX('Output Utente'!$C$2:$C$492,MATCH("C|Top|12",'Output Utente'!$AL$2:$AL$492,0)),"")</f>
        <v>Atta</v>
      </c>
      <c r="E17" t="str">
        <f>IFERROR(INDEX('Output Utente'!$C$2:$C$492,MATCH("A|Top|12",'Output Utente'!$AL$2:$AL$492,0)),"")</f>
        <v/>
      </c>
    </row>
    <row r="18" spans="1:5" x14ac:dyDescent="0.25">
      <c r="A18">
        <v>13</v>
      </c>
      <c r="B18" t="str">
        <f>IFERROR(INDEX('Output Utente'!$C$2:$C$492,MATCH("P|Top|13",'Output Utente'!$AL$2:$AL$492,0)),"")</f>
        <v/>
      </c>
      <c r="C18" t="str">
        <f>IFERROR(INDEX('Output Utente'!$C$2:$C$492,MATCH("D|Top|13",'Output Utente'!$AL$2:$AL$492,0)),"")</f>
        <v/>
      </c>
      <c r="D18" t="str">
        <f>IFERROR(INDEX('Output Utente'!$C$2:$C$492,MATCH("C|Top|13",'Output Utente'!$AL$2:$AL$492,0)),"")</f>
        <v>Barella</v>
      </c>
      <c r="E18" t="str">
        <f>IFERROR(INDEX('Output Utente'!$C$2:$C$492,MATCH("A|Top|13",'Output Utente'!$AL$2:$AL$492,0)),"")</f>
        <v/>
      </c>
    </row>
    <row r="19" spans="1:5" x14ac:dyDescent="0.25">
      <c r="A19">
        <v>14</v>
      </c>
      <c r="B19" t="str">
        <f>IFERROR(INDEX('Output Utente'!$C$2:$C$492,MATCH("P|Top|14",'Output Utente'!$AL$2:$AL$492,0)),"")</f>
        <v/>
      </c>
      <c r="C19" t="str">
        <f>IFERROR(INDEX('Output Utente'!$C$2:$C$492,MATCH("D|Top|14",'Output Utente'!$AL$2:$AL$492,0)),"")</f>
        <v>Stones</v>
      </c>
      <c r="D19" t="str">
        <f>IFERROR(INDEX('Output Utente'!$C$2:$C$492,MATCH("C|Top|14",'Output Utente'!$AL$2:$AL$492,0)),"")</f>
        <v>Vlasic</v>
      </c>
      <c r="E19" t="str">
        <f>IFERROR(INDEX('Output Utente'!$C$2:$C$492,MATCH("A|Top|14",'Output Utente'!$AL$2:$AL$492,0)),"")</f>
        <v/>
      </c>
    </row>
    <row r="20" spans="1:5" x14ac:dyDescent="0.25">
      <c r="A20">
        <v>15</v>
      </c>
      <c r="B20" t="str">
        <f>IFERROR(INDEX('Output Utente'!$C$2:$C$492,MATCH("P|Top|15",'Output Utente'!$AL$2:$AL$492,0)),"")</f>
        <v/>
      </c>
      <c r="C20" t="str">
        <f>IFERROR(INDEX('Output Utente'!$C$2:$C$492,MATCH("D|Top|15",'Output Utente'!$AL$2:$AL$492,0)),"")</f>
        <v>Bisseck</v>
      </c>
      <c r="D20" t="str">
        <f>IFERROR(INDEX('Output Utente'!$C$2:$C$492,MATCH("C|Top|15",'Output Utente'!$AL$2:$AL$492,0)),"")</f>
        <v>McKennie</v>
      </c>
      <c r="E20" t="str">
        <f>IFERROR(INDEX('Output Utente'!$C$2:$C$492,MATCH("A|Top|15",'Output Utente'!$AL$2:$AL$492,0)),"")</f>
        <v/>
      </c>
    </row>
    <row r="22" spans="1:5" ht="15.75" customHeight="1" x14ac:dyDescent="0.25">
      <c r="A22" s="73" t="s">
        <v>583</v>
      </c>
      <c r="B22" s="66"/>
      <c r="C22" s="66"/>
      <c r="D22" s="66"/>
      <c r="E22" s="66"/>
    </row>
    <row r="23" spans="1:5" x14ac:dyDescent="0.25">
      <c r="B23" s="45" t="s">
        <v>832</v>
      </c>
      <c r="C23" s="45" t="s">
        <v>833</v>
      </c>
      <c r="D23" s="45" t="s">
        <v>834</v>
      </c>
      <c r="E23" s="45" t="s">
        <v>835</v>
      </c>
    </row>
    <row r="24" spans="1:5" x14ac:dyDescent="0.25">
      <c r="A24">
        <v>1</v>
      </c>
      <c r="B24" t="str">
        <f>IFERROR(INDEX('Output Utente'!$C$2:$C$492,MATCH("P|Buono|1",'Output Utente'!$AL$2:$AL$492,0)),"")</f>
        <v>Di Gregorio</v>
      </c>
      <c r="C24" t="str">
        <f>IFERROR(INDEX('Output Utente'!$C$2:$C$492,MATCH("D|Buono|1",'Output Utente'!$AL$2:$AL$492,0)),"")</f>
        <v>Dodò</v>
      </c>
      <c r="D24" t="str">
        <f>IFERROR(INDEX('Output Utente'!$C$2:$C$492,MATCH("C|Buono|1",'Output Utente'!$AL$2:$AL$492,0)),"")</f>
        <v>Alajbegovic</v>
      </c>
      <c r="E24" t="str">
        <f>IFERROR(INDEX('Output Utente'!$C$2:$C$492,MATCH("A|Buono|1",'Output Utente'!$AL$2:$AL$492,0)),"")</f>
        <v>Scamacca</v>
      </c>
    </row>
    <row r="25" spans="1:5" x14ac:dyDescent="0.25">
      <c r="A25">
        <v>2</v>
      </c>
      <c r="B25" t="str">
        <f>IFERROR(INDEX('Output Utente'!$C$2:$C$492,MATCH("P|Buono|2",'Output Utente'!$AL$2:$AL$492,0)),"")</f>
        <v>Skorupski</v>
      </c>
      <c r="C25" t="str">
        <f>IFERROR(INDEX('Output Utente'!$C$2:$C$492,MATCH("D|Buono|2",'Output Utente'!$AL$2:$AL$492,0)),"")</f>
        <v>Scalvini</v>
      </c>
      <c r="D25" t="str">
        <f>IFERROR(INDEX('Output Utente'!$C$2:$C$492,MATCH("C|Buono|2",'Output Utente'!$AL$2:$AL$492,0)),"")</f>
        <v>Zambo Anguissa</v>
      </c>
      <c r="E25" t="str">
        <f>IFERROR(INDEX('Output Utente'!$C$2:$C$492,MATCH("A|Buono|2",'Output Utente'!$AL$2:$AL$492,0)),"")</f>
        <v>Davis K.</v>
      </c>
    </row>
    <row r="26" spans="1:5" x14ac:dyDescent="0.25">
      <c r="A26">
        <v>3</v>
      </c>
      <c r="B26" t="str">
        <f>IFERROR(INDEX('Output Utente'!$C$2:$C$492,MATCH("P|Buono|3",'Output Utente'!$AL$2:$AL$492,0)),"")</f>
        <v>Mandas</v>
      </c>
      <c r="C26" t="str">
        <f>IFERROR(INDEX('Output Utente'!$C$2:$C$492,MATCH("D|Buono|3",'Output Utente'!$AL$2:$AL$492,0)),"")</f>
        <v>Cambiaso</v>
      </c>
      <c r="D26" t="str">
        <f>IFERROR(INDEX('Output Utente'!$C$2:$C$492,MATCH("C|Buono|3",'Output Utente'!$AL$2:$AL$492,0)),"")</f>
        <v>Modric</v>
      </c>
      <c r="E26" t="str">
        <f>IFERROR(INDEX('Output Utente'!$C$2:$C$492,MATCH("A|Buono|3",'Output Utente'!$AL$2:$AL$492,0)),"")</f>
        <v>Leao</v>
      </c>
    </row>
    <row r="27" spans="1:5" x14ac:dyDescent="0.25">
      <c r="A27">
        <v>4</v>
      </c>
      <c r="B27" t="str">
        <f>IFERROR(INDEX('Output Utente'!$C$2:$C$492,MATCH("P|Buono|4",'Output Utente'!$AL$2:$AL$492,0)),"")</f>
        <v>Okoye</v>
      </c>
      <c r="C27" t="str">
        <f>IFERROR(INDEX('Output Utente'!$C$2:$C$492,MATCH("D|Buono|4",'Output Utente'!$AL$2:$AL$492,0)),"")</f>
        <v/>
      </c>
      <c r="D27" t="str">
        <f>IFERROR(INDEX('Output Utente'!$C$2:$C$492,MATCH("C|Buono|4",'Output Utente'!$AL$2:$AL$492,0)),"")</f>
        <v>Politano</v>
      </c>
      <c r="E27" t="str">
        <f>IFERROR(INDEX('Output Utente'!$C$2:$C$492,MATCH("A|Buono|4",'Output Utente'!$AL$2:$AL$492,0)),"")</f>
        <v>Berardi</v>
      </c>
    </row>
    <row r="28" spans="1:5" x14ac:dyDescent="0.25">
      <c r="A28">
        <v>5</v>
      </c>
      <c r="B28" t="str">
        <f>IFERROR(INDEX('Output Utente'!$C$2:$C$492,MATCH("P|Buono|5",'Output Utente'!$AL$2:$AL$492,0)),"")</f>
        <v>Caprile</v>
      </c>
      <c r="C28" t="str">
        <f>IFERROR(INDEX('Output Utente'!$C$2:$C$492,MATCH("D|Buono|5",'Output Utente'!$AL$2:$AL$492,0)),"")</f>
        <v/>
      </c>
      <c r="D28" t="str">
        <f>IFERROR(INDEX('Output Utente'!$C$2:$C$492,MATCH("C|Buono|5",'Output Utente'!$AL$2:$AL$492,0)),"")</f>
        <v>Ederson D.S.</v>
      </c>
      <c r="E28" t="str">
        <f>IFERROR(INDEX('Output Utente'!$C$2:$C$492,MATCH("A|Buono|5",'Output Utente'!$AL$2:$AL$492,0)),"")</f>
        <v>De Ketelaere</v>
      </c>
    </row>
    <row r="29" spans="1:5" x14ac:dyDescent="0.25">
      <c r="A29">
        <v>6</v>
      </c>
      <c r="B29" t="str">
        <f>IFERROR(INDEX('Output Utente'!$C$2:$C$492,MATCH("P|Buono|6",'Output Utente'!$AL$2:$AL$492,0)),"")</f>
        <v>Falcone</v>
      </c>
      <c r="C29" t="str">
        <f>IFERROR(INDEX('Output Utente'!$C$2:$C$492,MATCH("D|Buono|6",'Output Utente'!$AL$2:$AL$492,0)),"")</f>
        <v>Hermoso</v>
      </c>
      <c r="D29" t="str">
        <f>IFERROR(INDEX('Output Utente'!$C$2:$C$492,MATCH("C|Buono|6",'Output Utente'!$AL$2:$AL$492,0)),"")</f>
        <v>Saelemaekers</v>
      </c>
      <c r="E29" t="str">
        <f>IFERROR(INDEX('Output Utente'!$C$2:$C$492,MATCH("A|Buono|6",'Output Utente'!$AL$2:$AL$492,0)),"")</f>
        <v>Krstovic</v>
      </c>
    </row>
    <row r="30" spans="1:5" x14ac:dyDescent="0.25">
      <c r="A30">
        <v>7</v>
      </c>
      <c r="B30" t="str">
        <f>IFERROR(INDEX('Output Utente'!$C$2:$C$492,MATCH("P|Buono|7",'Output Utente'!$AL$2:$AL$492,0)),"")</f>
        <v>Suzuki</v>
      </c>
      <c r="C30" t="str">
        <f>IFERROR(INDEX('Output Utente'!$C$2:$C$492,MATCH("D|Buono|7",'Output Utente'!$AL$2:$AL$492,0)),"")</f>
        <v>Bartesaghi</v>
      </c>
      <c r="D30" t="str">
        <f>IFERROR(INDEX('Output Utente'!$C$2:$C$492,MATCH("C|Buono|7",'Output Utente'!$AL$2:$AL$492,0)),"")</f>
        <v>Samardzic</v>
      </c>
      <c r="E30" t="str">
        <f>IFERROR(INDEX('Output Utente'!$C$2:$C$492,MATCH("A|Buono|7",'Output Utente'!$AL$2:$AL$492,0)),"")</f>
        <v>Esposito F.P.</v>
      </c>
    </row>
    <row r="31" spans="1:5" x14ac:dyDescent="0.25">
      <c r="A31">
        <v>8</v>
      </c>
      <c r="B31" t="str">
        <f>IFERROR(INDEX('Output Utente'!$C$2:$C$492,MATCH("P|Buono|8",'Output Utente'!$AL$2:$AL$492,0)),"")</f>
        <v>Bijlow</v>
      </c>
      <c r="C31" t="str">
        <f>IFERROR(INDEX('Output Utente'!$C$2:$C$492,MATCH("D|Buono|8",'Output Utente'!$AL$2:$AL$492,0)),"")</f>
        <v>Zappacosta</v>
      </c>
      <c r="D31" t="str">
        <f>IFERROR(INDEX('Output Utente'!$C$2:$C$492,MATCH("C|Buono|8",'Output Utente'!$AL$2:$AL$492,0)),"")</f>
        <v/>
      </c>
      <c r="E31" t="str">
        <f>IFERROR(INDEX('Output Utente'!$C$2:$C$492,MATCH("A|Buono|8",'Output Utente'!$AL$2:$AL$492,0)),"")</f>
        <v>Laurientè</v>
      </c>
    </row>
    <row r="32" spans="1:5" x14ac:dyDescent="0.25">
      <c r="A32">
        <v>9</v>
      </c>
      <c r="B32" t="str">
        <f>IFERROR(INDEX('Output Utente'!$C$2:$C$492,MATCH("P|Buono|9",'Output Utente'!$AL$2:$AL$492,0)),"")</f>
        <v>Muric</v>
      </c>
      <c r="C32" t="str">
        <f>IFERROR(INDEX('Output Utente'!$C$2:$C$492,MATCH("D|Buono|9",'Output Utente'!$AL$2:$AL$492,0)),"")</f>
        <v/>
      </c>
      <c r="D32" t="str">
        <f>IFERROR(INDEX('Output Utente'!$C$2:$C$492,MATCH("C|Buono|9",'Output Utente'!$AL$2:$AL$492,0)),"")</f>
        <v>Zielinski</v>
      </c>
      <c r="E32" t="str">
        <f>IFERROR(INDEX('Output Utente'!$C$2:$C$492,MATCH("A|Buono|9",'Output Utente'!$AL$2:$AL$492,0)),"")</f>
        <v>Dovbyk</v>
      </c>
    </row>
    <row r="33" spans="1:5" x14ac:dyDescent="0.25">
      <c r="A33">
        <v>10</v>
      </c>
      <c r="B33" t="str">
        <f>IFERROR(INDEX('Output Utente'!$C$2:$C$492,MATCH("P|Buono|10",'Output Utente'!$AL$2:$AL$492,0)),"")</f>
        <v>Stankovic F.</v>
      </c>
      <c r="C33" t="str">
        <f>IFERROR(INDEX('Output Utente'!$C$2:$C$492,MATCH("D|Buono|10",'Output Utente'!$AL$2:$AL$492,0)),"")</f>
        <v/>
      </c>
      <c r="D33" t="str">
        <f>IFERROR(INDEX('Output Utente'!$C$2:$C$492,MATCH("C|Buono|10",'Output Utente'!$AL$2:$AL$492,0)),"")</f>
        <v/>
      </c>
      <c r="E33" t="str">
        <f>IFERROR(INDEX('Output Utente'!$C$2:$C$492,MATCH("A|Buono|10",'Output Utente'!$AL$2:$AL$492,0)),"")</f>
        <v>Castro S.</v>
      </c>
    </row>
    <row r="34" spans="1:5" x14ac:dyDescent="0.25">
      <c r="A34">
        <v>11</v>
      </c>
      <c r="B34" t="str">
        <f>IFERROR(INDEX('Output Utente'!$C$2:$C$492,MATCH("P|Buono|11",'Output Utente'!$AL$2:$AL$492,0)),"")</f>
        <v>Thiam</v>
      </c>
      <c r="C34" t="str">
        <f>IFERROR(INDEX('Output Utente'!$C$2:$C$492,MATCH("D|Buono|11",'Output Utente'!$AL$2:$AL$492,0)),"")</f>
        <v/>
      </c>
      <c r="D34" t="str">
        <f>IFERROR(INDEX('Output Utente'!$C$2:$C$492,MATCH("C|Buono|11",'Output Utente'!$AL$2:$AL$492,0)),"")</f>
        <v/>
      </c>
      <c r="E34" t="str">
        <f>IFERROR(INDEX('Output Utente'!$C$2:$C$492,MATCH("A|Buono|11",'Output Utente'!$AL$2:$AL$492,0)),"")</f>
        <v>Simeone</v>
      </c>
    </row>
    <row r="35" spans="1:5" x14ac:dyDescent="0.25">
      <c r="A35">
        <v>12</v>
      </c>
      <c r="B35" t="str">
        <f>IFERROR(INDEX('Output Utente'!$C$2:$C$492,MATCH("P|Buono|12",'Output Utente'!$AL$2:$AL$492,0)),"")</f>
        <v/>
      </c>
      <c r="C35" t="str">
        <f>IFERROR(INDEX('Output Utente'!$C$2:$C$492,MATCH("D|Buono|12",'Output Utente'!$AL$2:$AL$492,0)),"")</f>
        <v/>
      </c>
      <c r="D35" t="str">
        <f>IFERROR(INDEX('Output Utente'!$C$2:$C$492,MATCH("C|Buono|12",'Output Utente'!$AL$2:$AL$492,0)),"")</f>
        <v/>
      </c>
      <c r="E35" t="str">
        <f>IFERROR(INDEX('Output Utente'!$C$2:$C$492,MATCH("A|Buono|12",'Output Utente'!$AL$2:$AL$492,0)),"")</f>
        <v>Pellegrino M.</v>
      </c>
    </row>
    <row r="36" spans="1:5" x14ac:dyDescent="0.25">
      <c r="A36">
        <v>13</v>
      </c>
      <c r="B36" t="str">
        <f>IFERROR(INDEX('Output Utente'!$C$2:$C$492,MATCH("P|Buono|13",'Output Utente'!$AL$2:$AL$492,0)),"")</f>
        <v/>
      </c>
      <c r="C36" t="str">
        <f>IFERROR(INDEX('Output Utente'!$C$2:$C$492,MATCH("D|Buono|13",'Output Utente'!$AL$2:$AL$492,0)),"")</f>
        <v>Jimenez A.</v>
      </c>
      <c r="D36" t="str">
        <f>IFERROR(INDEX('Output Utente'!$C$2:$C$492,MATCH("C|Buono|13",'Output Utente'!$AL$2:$AL$492,0)),"")</f>
        <v>Perrone</v>
      </c>
      <c r="E36" t="str">
        <f>IFERROR(INDEX('Output Utente'!$C$2:$C$492,MATCH("A|Buono|13",'Output Utente'!$AL$2:$AL$492,0)),"")</f>
        <v>Dybala</v>
      </c>
    </row>
    <row r="37" spans="1:5" x14ac:dyDescent="0.25">
      <c r="A37">
        <v>14</v>
      </c>
      <c r="B37" t="str">
        <f>IFERROR(INDEX('Output Utente'!$C$2:$C$492,MATCH("P|Buono|14",'Output Utente'!$AL$2:$AL$492,0)),"")</f>
        <v/>
      </c>
      <c r="C37" t="str">
        <f>IFERROR(INDEX('Output Utente'!$C$2:$C$492,MATCH("D|Buono|14",'Output Utente'!$AL$2:$AL$492,0)),"")</f>
        <v/>
      </c>
      <c r="D37" t="str">
        <f>IFERROR(INDEX('Output Utente'!$C$2:$C$492,MATCH("C|Buono|14",'Output Utente'!$AL$2:$AL$492,0)),"")</f>
        <v>Rowe</v>
      </c>
      <c r="E37" t="str">
        <f>IFERROR(INDEX('Output Utente'!$C$2:$C$492,MATCH("A|Buono|14",'Output Utente'!$AL$2:$AL$492,0)),"")</f>
        <v>Colombo</v>
      </c>
    </row>
    <row r="38" spans="1:5" x14ac:dyDescent="0.25">
      <c r="A38">
        <v>15</v>
      </c>
      <c r="B38" t="str">
        <f>IFERROR(INDEX('Output Utente'!$C$2:$C$492,MATCH("P|Buono|15",'Output Utente'!$AL$2:$AL$492,0)),"")</f>
        <v/>
      </c>
      <c r="C38" t="str">
        <f>IFERROR(INDEX('Output Utente'!$C$2:$C$492,MATCH("D|Buono|15",'Output Utente'!$AL$2:$AL$492,0)),"")</f>
        <v/>
      </c>
      <c r="D38" t="str">
        <f>IFERROR(INDEX('Output Utente'!$C$2:$C$492,MATCH("C|Buono|15",'Output Utente'!$AL$2:$AL$492,0)),"")</f>
        <v/>
      </c>
      <c r="E38" t="str">
        <f>IFERROR(INDEX('Output Utente'!$C$2:$C$492,MATCH("A|Buono|15",'Output Utente'!$AL$2:$AL$492,0)),"")</f>
        <v>Raspadori</v>
      </c>
    </row>
    <row r="40" spans="1:5" ht="15.75" customHeight="1" x14ac:dyDescent="0.25">
      <c r="A40" s="73" t="s">
        <v>584</v>
      </c>
      <c r="B40" s="66"/>
      <c r="C40" s="66"/>
      <c r="D40" s="66"/>
      <c r="E40" s="66"/>
    </row>
    <row r="41" spans="1:5" x14ac:dyDescent="0.25">
      <c r="B41" s="45" t="s">
        <v>832</v>
      </c>
      <c r="C41" s="45" t="s">
        <v>833</v>
      </c>
      <c r="D41" s="45" t="s">
        <v>834</v>
      </c>
      <c r="E41" s="45" t="s">
        <v>835</v>
      </c>
    </row>
    <row r="42" spans="1:5" x14ac:dyDescent="0.25">
      <c r="A42">
        <v>1</v>
      </c>
      <c r="B42" t="str">
        <f>IFERROR(INDEX('Output Utente'!$C$2:$C$492,MATCH("P|Nella Media|1",'Output Utente'!$AL$2:$AL$492,0)),"")</f>
        <v>Perin</v>
      </c>
      <c r="C42" t="str">
        <f>IFERROR(INDEX('Output Utente'!$C$2:$C$492,MATCH("D|Nella Media|1",'Output Utente'!$AL$2:$AL$492,0)),"")</f>
        <v>Hien</v>
      </c>
      <c r="D42" t="str">
        <f>IFERROR(INDEX('Output Utente'!$C$2:$C$492,MATCH("C|Nella Media|1",'Output Utente'!$AL$2:$AL$492,0)),"")</f>
        <v>Odgaard</v>
      </c>
      <c r="E42" t="str">
        <f>IFERROR(INDEX('Output Utente'!$C$2:$C$492,MATCH("A|Nella Media|1",'Output Utente'!$AL$2:$AL$492,0)),"")</f>
        <v>Soulè</v>
      </c>
    </row>
    <row r="43" spans="1:5" x14ac:dyDescent="0.25">
      <c r="A43">
        <v>2</v>
      </c>
      <c r="B43" t="str">
        <f>IFERROR(INDEX('Output Utente'!$C$2:$C$492,MATCH("P|Nella Media|2",'Output Utente'!$AL$2:$AL$492,0)),"")</f>
        <v/>
      </c>
      <c r="C43" t="str">
        <f>IFERROR(INDEX('Output Utente'!$C$2:$C$492,MATCH("D|Nella Media|2",'Output Utente'!$AL$2:$AL$492,0)),"")</f>
        <v/>
      </c>
      <c r="D43" t="str">
        <f>IFERROR(INDEX('Output Utente'!$C$2:$C$492,MATCH("C|Nella Media|2",'Output Utente'!$AL$2:$AL$492,0)),"")</f>
        <v/>
      </c>
      <c r="E43" t="str">
        <f>IFERROR(INDEX('Output Utente'!$C$2:$C$492,MATCH("A|Nella Media|2",'Output Utente'!$AL$2:$AL$492,0)),"")</f>
        <v>Nkunku</v>
      </c>
    </row>
    <row r="44" spans="1:5" x14ac:dyDescent="0.25">
      <c r="A44">
        <v>3</v>
      </c>
      <c r="B44" t="str">
        <f>IFERROR(INDEX('Output Utente'!$C$2:$C$492,MATCH("P|Nella Media|3",'Output Utente'!$AL$2:$AL$492,0)),"")</f>
        <v>Palmisani</v>
      </c>
      <c r="C44" t="str">
        <f>IFERROR(INDEX('Output Utente'!$C$2:$C$492,MATCH("D|Nella Media|3",'Output Utente'!$AL$2:$AL$492,0)),"")</f>
        <v/>
      </c>
      <c r="D44" t="str">
        <f>IFERROR(INDEX('Output Utente'!$C$2:$C$492,MATCH("C|Nella Media|3",'Output Utente'!$AL$2:$AL$492,0)),"")</f>
        <v>Bernardeschi</v>
      </c>
      <c r="E44" t="str">
        <f>IFERROR(INDEX('Output Utente'!$C$2:$C$492,MATCH("A|Nella Media|3",'Output Utente'!$AL$2:$AL$492,0)),"")</f>
        <v/>
      </c>
    </row>
    <row r="45" spans="1:5" x14ac:dyDescent="0.25">
      <c r="A45">
        <v>4</v>
      </c>
      <c r="B45" t="str">
        <f>IFERROR(INDEX('Output Utente'!$C$2:$C$492,MATCH("P|Nella Media|4",'Output Utente'!$AL$2:$AL$492,0)),"")</f>
        <v/>
      </c>
      <c r="C45" t="str">
        <f>IFERROR(INDEX('Output Utente'!$C$2:$C$492,MATCH("D|Nella Media|4",'Output Utente'!$AL$2:$AL$492,0)),"")</f>
        <v/>
      </c>
      <c r="D45" t="str">
        <f>IFERROR(INDEX('Output Utente'!$C$2:$C$492,MATCH("C|Nella Media|4",'Output Utente'!$AL$2:$AL$492,0)),"")</f>
        <v/>
      </c>
      <c r="E45" t="str">
        <f>IFERROR(INDEX('Output Utente'!$C$2:$C$492,MATCH("A|Nella Media|4",'Output Utente'!$AL$2:$AL$492,0)),"")</f>
        <v>Esposito Se.</v>
      </c>
    </row>
    <row r="46" spans="1:5" x14ac:dyDescent="0.25">
      <c r="A46">
        <v>5</v>
      </c>
      <c r="B46" t="str">
        <f>IFERROR(INDEX('Output Utente'!$C$2:$C$492,MATCH("P|Nella Media|5",'Output Utente'!$AL$2:$AL$492,0)),"")</f>
        <v>Daffara</v>
      </c>
      <c r="C46" t="str">
        <f>IFERROR(INDEX('Output Utente'!$C$2:$C$492,MATCH("D|Nella Media|5",'Output Utente'!$AL$2:$AL$492,0)),"")</f>
        <v/>
      </c>
      <c r="D46" t="str">
        <f>IFERROR(INDEX('Output Utente'!$C$2:$C$492,MATCH("C|Nella Media|5",'Output Utente'!$AL$2:$AL$492,0)),"")</f>
        <v>Konè I.</v>
      </c>
      <c r="E46" t="str">
        <f>IFERROR(INDEX('Output Utente'!$C$2:$C$492,MATCH("A|Nella Media|5",'Output Utente'!$AL$2:$AL$492,0)),"")</f>
        <v/>
      </c>
    </row>
    <row r="47" spans="1:5" x14ac:dyDescent="0.25">
      <c r="A47">
        <v>6</v>
      </c>
      <c r="B47" t="str">
        <f>IFERROR(INDEX('Output Utente'!$C$2:$C$492,MATCH("P|Nella Media|6",'Output Utente'!$AL$2:$AL$492,0)),"")</f>
        <v/>
      </c>
      <c r="C47" t="str">
        <f>IFERROR(INDEX('Output Utente'!$C$2:$C$492,MATCH("D|Nella Media|6",'Output Utente'!$AL$2:$AL$492,0)),"")</f>
        <v>Kristensen T.</v>
      </c>
      <c r="D47" t="str">
        <f>IFERROR(INDEX('Output Utente'!$C$2:$C$492,MATCH("C|Nella Media|6",'Output Utente'!$AL$2:$AL$492,0)),"")</f>
        <v/>
      </c>
      <c r="E47" t="str">
        <f>IFERROR(INDEX('Output Utente'!$C$2:$C$492,MATCH("A|Nella Media|6",'Output Utente'!$AL$2:$AL$492,0)),"")</f>
        <v>Lukaku</v>
      </c>
    </row>
    <row r="48" spans="1:5" x14ac:dyDescent="0.25">
      <c r="A48">
        <v>7</v>
      </c>
      <c r="B48" t="str">
        <f>IFERROR(INDEX('Output Utente'!$C$2:$C$492,MATCH("P|Nella Media|7",'Output Utente'!$AL$2:$AL$492,0)),"")</f>
        <v/>
      </c>
      <c r="C48" t="str">
        <f>IFERROR(INDEX('Output Utente'!$C$2:$C$492,MATCH("D|Nella Media|7",'Output Utente'!$AL$2:$AL$492,0)),"")</f>
        <v/>
      </c>
      <c r="D48" t="str">
        <f>IFERROR(INDEX('Output Utente'!$C$2:$C$492,MATCH("C|Nella Media|7",'Output Utente'!$AL$2:$AL$492,0)),"")</f>
        <v/>
      </c>
      <c r="E48" t="str">
        <f>IFERROR(INDEX('Output Utente'!$C$2:$C$492,MATCH("A|Nella Media|7",'Output Utente'!$AL$2:$AL$492,0)),"")</f>
        <v>David</v>
      </c>
    </row>
    <row r="49" spans="1:5" x14ac:dyDescent="0.25">
      <c r="A49">
        <v>8</v>
      </c>
      <c r="B49" t="str">
        <f>IFERROR(INDEX('Output Utente'!$C$2:$C$492,MATCH("P|Nella Media|8",'Output Utente'!$AL$2:$AL$492,0)),"")</f>
        <v/>
      </c>
      <c r="C49" t="str">
        <f>IFERROR(INDEX('Output Utente'!$C$2:$C$492,MATCH("D|Nella Media|8",'Output Utente'!$AL$2:$AL$492,0)),"")</f>
        <v/>
      </c>
      <c r="D49" t="str">
        <f>IFERROR(INDEX('Output Utente'!$C$2:$C$492,MATCH("C|Nella Media|8",'Output Utente'!$AL$2:$AL$492,0)),"")</f>
        <v/>
      </c>
      <c r="E49" t="str">
        <f>IFERROR(INDEX('Output Utente'!$C$2:$C$492,MATCH("A|Nella Media|8",'Output Utente'!$AL$2:$AL$492,0)),"")</f>
        <v>Bowie</v>
      </c>
    </row>
    <row r="50" spans="1:5" x14ac:dyDescent="0.25">
      <c r="A50">
        <v>9</v>
      </c>
      <c r="B50" t="str">
        <f>IFERROR(INDEX('Output Utente'!$C$2:$C$492,MATCH("P|Nella Media|9",'Output Utente'!$AL$2:$AL$492,0)),"")</f>
        <v/>
      </c>
      <c r="C50" t="str">
        <f>IFERROR(INDEX('Output Utente'!$C$2:$C$492,MATCH("D|Nella Media|9",'Output Utente'!$AL$2:$AL$492,0)),"")</f>
        <v/>
      </c>
      <c r="D50" t="str">
        <f>IFERROR(INDEX('Output Utente'!$C$2:$C$492,MATCH("C|Nella Media|9",'Output Utente'!$AL$2:$AL$492,0)),"")</f>
        <v/>
      </c>
      <c r="E50" t="str">
        <f>IFERROR(INDEX('Output Utente'!$C$2:$C$492,MATCH("A|Nella Media|9",'Output Utente'!$AL$2:$AL$492,0)),"")</f>
        <v>Cutrone</v>
      </c>
    </row>
    <row r="51" spans="1:5" x14ac:dyDescent="0.25">
      <c r="A51">
        <v>10</v>
      </c>
      <c r="B51" t="str">
        <f>IFERROR(INDEX('Output Utente'!$C$2:$C$492,MATCH("P|Nella Media|10",'Output Utente'!$AL$2:$AL$492,0)),"")</f>
        <v/>
      </c>
      <c r="C51" t="str">
        <f>IFERROR(INDEX('Output Utente'!$C$2:$C$492,MATCH("D|Nella Media|10",'Output Utente'!$AL$2:$AL$492,0)),"")</f>
        <v/>
      </c>
      <c r="D51" t="str">
        <f>IFERROR(INDEX('Output Utente'!$C$2:$C$492,MATCH("C|Nella Media|10",'Output Utente'!$AL$2:$AL$492,0)),"")</f>
        <v/>
      </c>
      <c r="E51" t="str">
        <f>IFERROR(INDEX('Output Utente'!$C$2:$C$492,MATCH("A|Nella Media|10",'Output Utente'!$AL$2:$AL$492,0)),"")</f>
        <v>Ratkov</v>
      </c>
    </row>
    <row r="52" spans="1:5" x14ac:dyDescent="0.25">
      <c r="A52">
        <v>11</v>
      </c>
      <c r="B52" t="str">
        <f>IFERROR(INDEX('Output Utente'!$C$2:$C$492,MATCH("P|Nella Media|11",'Output Utente'!$AL$2:$AL$492,0)),"")</f>
        <v/>
      </c>
      <c r="C52" t="str">
        <f>IFERROR(INDEX('Output Utente'!$C$2:$C$492,MATCH("D|Nella Media|11",'Output Utente'!$AL$2:$AL$492,0)),"")</f>
        <v/>
      </c>
      <c r="D52" t="str">
        <f>IFERROR(INDEX('Output Utente'!$C$2:$C$492,MATCH("C|Nella Media|11",'Output Utente'!$AL$2:$AL$492,0)),"")</f>
        <v>Fazzini</v>
      </c>
      <c r="E52" t="str">
        <f>IFERROR(INDEX('Output Utente'!$C$2:$C$492,MATCH("A|Nella Media|11",'Output Utente'!$AL$2:$AL$492,0)),"")</f>
        <v/>
      </c>
    </row>
    <row r="53" spans="1:5" x14ac:dyDescent="0.25">
      <c r="A53">
        <v>12</v>
      </c>
      <c r="B53" t="str">
        <f>IFERROR(INDEX('Output Utente'!$C$2:$C$492,MATCH("P|Nella Media|12",'Output Utente'!$AL$2:$AL$492,0)),"")</f>
        <v/>
      </c>
      <c r="C53" t="str">
        <f>IFERROR(INDEX('Output Utente'!$C$2:$C$492,MATCH("D|Nella Media|12",'Output Utente'!$AL$2:$AL$492,0)),"")</f>
        <v>Obert</v>
      </c>
      <c r="D53" t="str">
        <f>IFERROR(INDEX('Output Utente'!$C$2:$C$492,MATCH("C|Nella Media|12",'Output Utente'!$AL$2:$AL$492,0)),"")</f>
        <v/>
      </c>
      <c r="E53" t="str">
        <f>IFERROR(INDEX('Output Utente'!$C$2:$C$492,MATCH("A|Nella Media|12",'Output Utente'!$AL$2:$AL$492,0)),"")</f>
        <v>Dia</v>
      </c>
    </row>
    <row r="54" spans="1:5" x14ac:dyDescent="0.25">
      <c r="A54">
        <v>13</v>
      </c>
      <c r="B54" t="str">
        <f>IFERROR(INDEX('Output Utente'!$C$2:$C$492,MATCH("P|Nella Media|13",'Output Utente'!$AL$2:$AL$492,0)),"")</f>
        <v/>
      </c>
      <c r="C54" t="str">
        <f>IFERROR(INDEX('Output Utente'!$C$2:$C$492,MATCH("D|Nella Media|13",'Output Utente'!$AL$2:$AL$492,0)),"")</f>
        <v/>
      </c>
      <c r="D54" t="str">
        <f>IFERROR(INDEX('Output Utente'!$C$2:$C$492,MATCH("C|Nella Media|13",'Output Utente'!$AL$2:$AL$492,0)),"")</f>
        <v/>
      </c>
      <c r="E54" t="str">
        <f>IFERROR(INDEX('Output Utente'!$C$2:$C$492,MATCH("A|Nella Media|13",'Output Utente'!$AL$2:$AL$492,0)),"")</f>
        <v>Ghedjemis</v>
      </c>
    </row>
    <row r="55" spans="1:5" x14ac:dyDescent="0.25">
      <c r="A55">
        <v>14</v>
      </c>
      <c r="B55" t="str">
        <f>IFERROR(INDEX('Output Utente'!$C$2:$C$492,MATCH("P|Nella Media|14",'Output Utente'!$AL$2:$AL$492,0)),"")</f>
        <v/>
      </c>
      <c r="C55" t="str">
        <f>IFERROR(INDEX('Output Utente'!$C$2:$C$492,MATCH("D|Nella Media|14",'Output Utente'!$AL$2:$AL$492,0)),"")</f>
        <v>Marcandalli</v>
      </c>
      <c r="D55" t="str">
        <f>IFERROR(INDEX('Output Utente'!$C$2:$C$492,MATCH("C|Nella Media|14",'Output Utente'!$AL$2:$AL$492,0)),"")</f>
        <v/>
      </c>
      <c r="E55" t="str">
        <f>IFERROR(INDEX('Output Utente'!$C$2:$C$492,MATCH("A|Nella Media|14",'Output Utente'!$AL$2:$AL$492,0)),"")</f>
        <v>Yeboah J.</v>
      </c>
    </row>
    <row r="56" spans="1:5" x14ac:dyDescent="0.25">
      <c r="A56">
        <v>15</v>
      </c>
      <c r="B56" t="str">
        <f>IFERROR(INDEX('Output Utente'!$C$2:$C$492,MATCH("P|Nella Media|15",'Output Utente'!$AL$2:$AL$492,0)),"")</f>
        <v/>
      </c>
      <c r="C56" t="str">
        <f>IFERROR(INDEX('Output Utente'!$C$2:$C$492,MATCH("D|Nella Media|15",'Output Utente'!$AL$2:$AL$492,0)),"")</f>
        <v/>
      </c>
      <c r="D56" t="str">
        <f>IFERROR(INDEX('Output Utente'!$C$2:$C$492,MATCH("C|Nella Media|15",'Output Utente'!$AL$2:$AL$492,0)),"")</f>
        <v/>
      </c>
      <c r="E56" t="str">
        <f>IFERROR(INDEX('Output Utente'!$C$2:$C$492,MATCH("A|Nella Media|15",'Output Utente'!$AL$2:$AL$492,0)),"")</f>
        <v>Geubbels</v>
      </c>
    </row>
    <row r="58" spans="1:5" ht="15.75" customHeight="1" x14ac:dyDescent="0.25">
      <c r="A58" s="73" t="s">
        <v>585</v>
      </c>
      <c r="B58" s="66"/>
      <c r="C58" s="66"/>
      <c r="D58" s="66"/>
      <c r="E58" s="66"/>
    </row>
    <row r="59" spans="1:5" x14ac:dyDescent="0.25">
      <c r="B59" s="45" t="s">
        <v>832</v>
      </c>
      <c r="C59" s="45" t="s">
        <v>833</v>
      </c>
      <c r="D59" s="45" t="s">
        <v>834</v>
      </c>
      <c r="E59" s="45" t="s">
        <v>835</v>
      </c>
    </row>
    <row r="60" spans="1:5" x14ac:dyDescent="0.25">
      <c r="A60">
        <v>1</v>
      </c>
      <c r="B60" t="str">
        <f>IFERROR(INDEX('Output Utente'!$C$2:$C$492,MATCH("P|Scommessa/Riserva|1",'Output Utente'!$AL$2:$AL$492,0)),"")</f>
        <v/>
      </c>
      <c r="C60" t="str">
        <f>IFERROR(INDEX('Output Utente'!$C$2:$C$492,MATCH("D|Scommessa/Riserva|1",'Output Utente'!$AL$2:$AL$492,0)),"")</f>
        <v>Zappa</v>
      </c>
      <c r="D60" t="str">
        <f>IFERROR(INDEX('Output Utente'!$C$2:$C$492,MATCH("C|Scommessa/Riserva|1",'Output Utente'!$AL$2:$AL$492,0)),"")</f>
        <v>Amondarain</v>
      </c>
      <c r="E60" t="str">
        <f>IFERROR(INDEX('Output Utente'!$C$2:$C$492,MATCH("A|Scommessa/Riserva|1",'Output Utente'!$AL$2:$AL$492,0)),"")</f>
        <v>Noslin</v>
      </c>
    </row>
    <row r="61" spans="1:5" x14ac:dyDescent="0.25">
      <c r="A61">
        <v>2</v>
      </c>
      <c r="B61" t="str">
        <f>IFERROR(INDEX('Output Utente'!$C$2:$C$492,MATCH("P|Scommessa/Riserva|2",'Output Utente'!$AL$2:$AL$492,0)),"")</f>
        <v/>
      </c>
      <c r="C61" t="str">
        <f>IFERROR(INDEX('Output Utente'!$C$2:$C$492,MATCH("D|Scommessa/Riserva|2",'Output Utente'!$AL$2:$AL$492,0)),"")</f>
        <v/>
      </c>
      <c r="D61" t="str">
        <f>IFERROR(INDEX('Output Utente'!$C$2:$C$492,MATCH("C|Scommessa/Riserva|2",'Output Utente'!$AL$2:$AL$492,0)),"")</f>
        <v/>
      </c>
      <c r="E61" t="str">
        <f>IFERROR(INDEX('Output Utente'!$C$2:$C$492,MATCH("A|Scommessa/Riserva|2",'Output Utente'!$AL$2:$AL$492,0)),"")</f>
        <v>Sulemana K.</v>
      </c>
    </row>
    <row r="62" spans="1:5" x14ac:dyDescent="0.25">
      <c r="A62">
        <v>3</v>
      </c>
      <c r="B62" t="str">
        <f>IFERROR(INDEX('Output Utente'!$C$2:$C$492,MATCH("P|Scommessa/Riserva|3",'Output Utente'!$AL$2:$AL$492,0)),"")</f>
        <v/>
      </c>
      <c r="C62" t="str">
        <f>IFERROR(INDEX('Output Utente'!$C$2:$C$492,MATCH("D|Scommessa/Riserva|3",'Output Utente'!$AL$2:$AL$492,0)),"")</f>
        <v/>
      </c>
      <c r="D62" t="str">
        <f>IFERROR(INDEX('Output Utente'!$C$2:$C$492,MATCH("C|Scommessa/Riserva|3",'Output Utente'!$AL$2:$AL$492,0)),"")</f>
        <v/>
      </c>
      <c r="E62" t="str">
        <f>IFERROR(INDEX('Output Utente'!$C$2:$C$492,MATCH("A|Scommessa/Riserva|3",'Output Utente'!$AL$2:$AL$492,0)),"")</f>
        <v>Kvernadze</v>
      </c>
    </row>
    <row r="63" spans="1:5" x14ac:dyDescent="0.25">
      <c r="A63">
        <v>4</v>
      </c>
      <c r="B63" t="str">
        <f>IFERROR(INDEX('Output Utente'!$C$2:$C$492,MATCH("P|Scommessa/Riserva|4",'Output Utente'!$AL$2:$AL$492,0)),"")</f>
        <v/>
      </c>
      <c r="C63" t="str">
        <f>IFERROR(INDEX('Output Utente'!$C$2:$C$492,MATCH("D|Scommessa/Riserva|4",'Output Utente'!$AL$2:$AL$492,0)),"")</f>
        <v/>
      </c>
      <c r="D63" t="str">
        <f>IFERROR(INDEX('Output Utente'!$C$2:$C$492,MATCH("C|Scommessa/Riserva|4",'Output Utente'!$AL$2:$AL$492,0)),"")</f>
        <v/>
      </c>
      <c r="E63" t="str">
        <f>IFERROR(INDEX('Output Utente'!$C$2:$C$492,MATCH("A|Scommessa/Riserva|4",'Output Utente'!$AL$2:$AL$492,0)),"")</f>
        <v>Gimenez</v>
      </c>
    </row>
    <row r="64" spans="1:5" x14ac:dyDescent="0.25">
      <c r="A64">
        <v>5</v>
      </c>
      <c r="B64" t="str">
        <f>IFERROR(INDEX('Output Utente'!$C$2:$C$492,MATCH("P|Scommessa/Riserva|5",'Output Utente'!$AL$2:$AL$492,0)),"")</f>
        <v/>
      </c>
      <c r="C64" t="str">
        <f>IFERROR(INDEX('Output Utente'!$C$2:$C$492,MATCH("D|Scommessa/Riserva|5",'Output Utente'!$AL$2:$AL$492,0)),"")</f>
        <v/>
      </c>
      <c r="D64" t="str">
        <f>IFERROR(INDEX('Output Utente'!$C$2:$C$492,MATCH("C|Scommessa/Riserva|5",'Output Utente'!$AL$2:$AL$492,0)),"")</f>
        <v/>
      </c>
      <c r="E64" t="str">
        <f>IFERROR(INDEX('Output Utente'!$C$2:$C$492,MATCH("A|Scommessa/Riserva|5",'Output Utente'!$AL$2:$AL$492,0)),"")</f>
        <v/>
      </c>
    </row>
    <row r="65" spans="1:5" x14ac:dyDescent="0.25">
      <c r="A65">
        <v>6</v>
      </c>
      <c r="B65" t="str">
        <f>IFERROR(INDEX('Output Utente'!$C$2:$C$492,MATCH("P|Scommessa/Riserva|6",'Output Utente'!$AL$2:$AL$492,0)),"")</f>
        <v/>
      </c>
      <c r="C65" t="str">
        <f>IFERROR(INDEX('Output Utente'!$C$2:$C$492,MATCH("D|Scommessa/Riserva|6",'Output Utente'!$AL$2:$AL$492,0)),"")</f>
        <v/>
      </c>
      <c r="D65" t="str">
        <f>IFERROR(INDEX('Output Utente'!$C$2:$C$492,MATCH("C|Scommessa/Riserva|6",'Output Utente'!$AL$2:$AL$492,0)),"")</f>
        <v/>
      </c>
      <c r="E65" t="str">
        <f>IFERROR(INDEX('Output Utente'!$C$2:$C$492,MATCH("A|Scommessa/Riserva|6",'Output Utente'!$AL$2:$AL$492,0)),"")</f>
        <v/>
      </c>
    </row>
    <row r="66" spans="1:5" x14ac:dyDescent="0.25">
      <c r="A66">
        <v>7</v>
      </c>
      <c r="B66" t="str">
        <f>IFERROR(INDEX('Output Utente'!$C$2:$C$492,MATCH("P|Scommessa/Riserva|7",'Output Utente'!$AL$2:$AL$492,0)),"")</f>
        <v/>
      </c>
      <c r="C66" t="str">
        <f>IFERROR(INDEX('Output Utente'!$C$2:$C$492,MATCH("D|Scommessa/Riserva|7",'Output Utente'!$AL$2:$AL$492,0)),"")</f>
        <v>Pongracic</v>
      </c>
      <c r="D66" t="str">
        <f>IFERROR(INDEX('Output Utente'!$C$2:$C$492,MATCH("C|Scommessa/Riserva|7",'Output Utente'!$AL$2:$AL$492,0)),"")</f>
        <v/>
      </c>
      <c r="E66" t="str">
        <f>IFERROR(INDEX('Output Utente'!$C$2:$C$492,MATCH("A|Scommessa/Riserva|7",'Output Utente'!$AL$2:$AL$492,0)),"")</f>
        <v>Frigan</v>
      </c>
    </row>
    <row r="67" spans="1:5" x14ac:dyDescent="0.25">
      <c r="A67">
        <v>8</v>
      </c>
      <c r="B67" t="str">
        <f>IFERROR(INDEX('Output Utente'!$C$2:$C$492,MATCH("P|Scommessa/Riserva|8",'Output Utente'!$AL$2:$AL$492,0)),"")</f>
        <v/>
      </c>
      <c r="C67" t="str">
        <f>IFERROR(INDEX('Output Utente'!$C$2:$C$492,MATCH("D|Scommessa/Riserva|8",'Output Utente'!$AL$2:$AL$492,0)),"")</f>
        <v/>
      </c>
      <c r="D67" t="str">
        <f>IFERROR(INDEX('Output Utente'!$C$2:$C$492,MATCH("C|Scommessa/Riserva|8",'Output Utente'!$AL$2:$AL$492,0)),"")</f>
        <v/>
      </c>
      <c r="E67" t="str">
        <f>IFERROR(INDEX('Output Utente'!$C$2:$C$492,MATCH("A|Scommessa/Riserva|8",'Output Utente'!$AL$2:$AL$492,0)),"")</f>
        <v>Elphege</v>
      </c>
    </row>
    <row r="68" spans="1:5" x14ac:dyDescent="0.25">
      <c r="A68">
        <v>9</v>
      </c>
      <c r="B68" t="str">
        <f>IFERROR(INDEX('Output Utente'!$C$2:$C$492,MATCH("P|Scommessa/Riserva|9",'Output Utente'!$AL$2:$AL$492,0)),"")</f>
        <v/>
      </c>
      <c r="C68" t="str">
        <f>IFERROR(INDEX('Output Utente'!$C$2:$C$492,MATCH("D|Scommessa/Riserva|9",'Output Utente'!$AL$2:$AL$492,0)),"")</f>
        <v/>
      </c>
      <c r="D68" t="str">
        <f>IFERROR(INDEX('Output Utente'!$C$2:$C$492,MATCH("C|Scommessa/Riserva|9",'Output Utente'!$AL$2:$AL$492,0)),"")</f>
        <v/>
      </c>
      <c r="E68" t="str">
        <f>IFERROR(INDEX('Output Utente'!$C$2:$C$492,MATCH("A|Scommessa/Riserva|9",'Output Utente'!$AL$2:$AL$492,0)),"")</f>
        <v>Morata</v>
      </c>
    </row>
    <row r="69" spans="1:5" x14ac:dyDescent="0.25">
      <c r="A69">
        <v>10</v>
      </c>
      <c r="B69" t="str">
        <f>IFERROR(INDEX('Output Utente'!$C$2:$C$492,MATCH("P|Scommessa/Riserva|10",'Output Utente'!$AL$2:$AL$492,0)),"")</f>
        <v/>
      </c>
      <c r="C69" t="str">
        <f>IFERROR(INDEX('Output Utente'!$C$2:$C$492,MATCH("D|Scommessa/Riserva|10",'Output Utente'!$AL$2:$AL$492,0)),"")</f>
        <v/>
      </c>
      <c r="D69" t="str">
        <f>IFERROR(INDEX('Output Utente'!$C$2:$C$492,MATCH("C|Scommessa/Riserva|10",'Output Utente'!$AL$2:$AL$492,0)),"")</f>
        <v/>
      </c>
      <c r="E69" t="str">
        <f>IFERROR(INDEX('Output Utente'!$C$2:$C$492,MATCH("A|Scommessa/Riserva|10",'Output Utente'!$AL$2:$AL$492,0)),"")</f>
        <v/>
      </c>
    </row>
    <row r="70" spans="1:5" x14ac:dyDescent="0.25">
      <c r="A70">
        <v>11</v>
      </c>
      <c r="B70" t="str">
        <f>IFERROR(INDEX('Output Utente'!$C$2:$C$492,MATCH("P|Scommessa/Riserva|11",'Output Utente'!$AL$2:$AL$492,0)),"")</f>
        <v/>
      </c>
      <c r="C70" t="str">
        <f>IFERROR(INDEX('Output Utente'!$C$2:$C$492,MATCH("D|Scommessa/Riserva|11",'Output Utente'!$AL$2:$AL$492,0)),"")</f>
        <v/>
      </c>
      <c r="D70" t="str">
        <f>IFERROR(INDEX('Output Utente'!$C$2:$C$492,MATCH("C|Scommessa/Riserva|11",'Output Utente'!$AL$2:$AL$492,0)),"")</f>
        <v>Chukwueze</v>
      </c>
      <c r="E70" t="str">
        <f>IFERROR(INDEX('Output Utente'!$C$2:$C$492,MATCH("A|Scommessa/Riserva|11",'Output Utente'!$AL$2:$AL$492,0)),"")</f>
        <v/>
      </c>
    </row>
    <row r="71" spans="1:5" x14ac:dyDescent="0.25">
      <c r="A71">
        <v>12</v>
      </c>
      <c r="B71" t="str">
        <f>IFERROR(INDEX('Output Utente'!$C$2:$C$492,MATCH("P|Scommessa/Riserva|12",'Output Utente'!$AL$2:$AL$492,0)),"")</f>
        <v/>
      </c>
      <c r="C71" t="str">
        <f>IFERROR(INDEX('Output Utente'!$C$2:$C$492,MATCH("D|Scommessa/Riserva|12",'Output Utente'!$AL$2:$AL$492,0)),"")</f>
        <v/>
      </c>
      <c r="D71" t="str">
        <f>IFERROR(INDEX('Output Utente'!$C$2:$C$492,MATCH("C|Scommessa/Riserva|12",'Output Utente'!$AL$2:$AL$492,0)),"")</f>
        <v/>
      </c>
      <c r="E71" t="str">
        <f>IFERROR(INDEX('Output Utente'!$C$2:$C$492,MATCH("A|Scommessa/Riserva|12",'Output Utente'!$AL$2:$AL$492,0)),"")</f>
        <v/>
      </c>
    </row>
    <row r="72" spans="1:5" x14ac:dyDescent="0.25">
      <c r="A72">
        <v>13</v>
      </c>
      <c r="B72" t="str">
        <f>IFERROR(INDEX('Output Utente'!$C$2:$C$492,MATCH("P|Scommessa/Riserva|13",'Output Utente'!$AL$2:$AL$492,0)),"")</f>
        <v/>
      </c>
      <c r="C72" t="str">
        <f>IFERROR(INDEX('Output Utente'!$C$2:$C$492,MATCH("D|Scommessa/Riserva|13",'Output Utente'!$AL$2:$AL$492,0)),"")</f>
        <v>Kossounou</v>
      </c>
      <c r="D72" t="str">
        <f>IFERROR(INDEX('Output Utente'!$C$2:$C$492,MATCH("C|Scommessa/Riserva|13",'Output Utente'!$AL$2:$AL$492,0)),"")</f>
        <v/>
      </c>
      <c r="E72" t="str">
        <f>IFERROR(INDEX('Output Utente'!$C$2:$C$492,MATCH("A|Scommessa/Riserva|13",'Output Utente'!$AL$2:$AL$492,0)),"")</f>
        <v/>
      </c>
    </row>
    <row r="73" spans="1:5" x14ac:dyDescent="0.25">
      <c r="A73">
        <v>14</v>
      </c>
      <c r="B73" t="str">
        <f>IFERROR(INDEX('Output Utente'!$C$2:$C$492,MATCH("P|Scommessa/Riserva|14",'Output Utente'!$AL$2:$AL$492,0)),"")</f>
        <v/>
      </c>
      <c r="C73" t="str">
        <f>IFERROR(INDEX('Output Utente'!$C$2:$C$492,MATCH("D|Scommessa/Riserva|14",'Output Utente'!$AL$2:$AL$492,0)),"")</f>
        <v/>
      </c>
      <c r="D73" t="str">
        <f>IFERROR(INDEX('Output Utente'!$C$2:$C$492,MATCH("C|Scommessa/Riserva|14",'Output Utente'!$AL$2:$AL$492,0)),"")</f>
        <v/>
      </c>
      <c r="E73" t="str">
        <f>IFERROR(INDEX('Output Utente'!$C$2:$C$492,MATCH("A|Scommessa/Riserva|14",'Output Utente'!$AL$2:$AL$492,0)),"")</f>
        <v>Borrelli</v>
      </c>
    </row>
    <row r="74" spans="1:5" x14ac:dyDescent="0.25">
      <c r="A74">
        <v>15</v>
      </c>
      <c r="B74" t="str">
        <f>IFERROR(INDEX('Output Utente'!$C$2:$C$492,MATCH("P|Scommessa/Riserva|15",'Output Utente'!$AL$2:$AL$492,0)),"")</f>
        <v/>
      </c>
      <c r="C74" t="str">
        <f>IFERROR(INDEX('Output Utente'!$C$2:$C$492,MATCH("D|Scommessa/Riserva|15",'Output Utente'!$AL$2:$AL$492,0)),"")</f>
        <v/>
      </c>
      <c r="D74" t="str">
        <f>IFERROR(INDEX('Output Utente'!$C$2:$C$492,MATCH("C|Scommessa/Riserva|15",'Output Utente'!$AL$2:$AL$492,0)),"")</f>
        <v/>
      </c>
      <c r="E74" t="str">
        <f>IFERROR(INDEX('Output Utente'!$C$2:$C$492,MATCH("A|Scommessa/Riserva|15",'Output Utente'!$AL$2:$AL$492,0)),"")</f>
        <v/>
      </c>
    </row>
  </sheetData>
  <mergeCells count="6">
    <mergeCell ref="A4:E4"/>
    <mergeCell ref="A2:E2"/>
    <mergeCell ref="A1:E1"/>
    <mergeCell ref="A58:E58"/>
    <mergeCell ref="A22:E22"/>
    <mergeCell ref="A40:E4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94"/>
  <sheetViews>
    <sheetView showGridLines="0" zoomScaleNormal="100" workbookViewId="0">
      <pane ySplit="3" topLeftCell="A4" activePane="bottomLeft" state="frozen"/>
      <selection pane="bottomLeft" sqref="A1:K1"/>
    </sheetView>
  </sheetViews>
  <sheetFormatPr defaultColWidth="8.5703125" defaultRowHeight="15" x14ac:dyDescent="0.25"/>
  <cols>
    <col min="1" max="1" width="4" customWidth="1"/>
    <col min="2" max="2" width="7" customWidth="1"/>
    <col min="3" max="3" width="4" customWidth="1"/>
    <col min="4" max="4" width="20" customWidth="1"/>
    <col min="5" max="5" width="16" customWidth="1"/>
    <col min="6" max="6" width="7" customWidth="1"/>
    <col min="7" max="7" width="9" customWidth="1"/>
    <col min="8" max="8" width="16" customWidth="1"/>
    <col min="9" max="9" width="11" customWidth="1"/>
    <col min="10" max="11" width="13" customWidth="1"/>
    <col min="12" max="12" width="10" customWidth="1"/>
    <col min="13" max="13" width="14" customWidth="1"/>
    <col min="14" max="14" width="18" customWidth="1"/>
  </cols>
  <sheetData>
    <row r="1" spans="1:14" ht="21.75" customHeight="1" x14ac:dyDescent="0.25">
      <c r="A1" s="74" t="s">
        <v>836</v>
      </c>
      <c r="B1" s="66"/>
      <c r="C1" s="66"/>
      <c r="D1" s="66"/>
      <c r="E1" s="66"/>
      <c r="F1" s="66"/>
      <c r="G1" s="66"/>
      <c r="H1" s="66"/>
      <c r="I1" s="66"/>
      <c r="J1" s="66"/>
      <c r="K1" s="66"/>
    </row>
    <row r="3" spans="1:14" ht="15" customHeight="1" x14ac:dyDescent="0.25">
      <c r="A3" s="10" t="s">
        <v>823</v>
      </c>
      <c r="B3" s="10" t="s">
        <v>1</v>
      </c>
      <c r="C3" s="10" t="s">
        <v>2</v>
      </c>
      <c r="D3" s="10" t="s">
        <v>3</v>
      </c>
      <c r="E3" s="10" t="s">
        <v>837</v>
      </c>
      <c r="F3" s="10" t="s">
        <v>5</v>
      </c>
      <c r="G3" s="10" t="s">
        <v>7</v>
      </c>
      <c r="H3" s="10" t="s">
        <v>543</v>
      </c>
      <c r="I3" s="10" t="s">
        <v>633</v>
      </c>
      <c r="J3" s="10" t="s">
        <v>634</v>
      </c>
      <c r="K3" s="10" t="s">
        <v>635</v>
      </c>
      <c r="L3" s="10" t="s">
        <v>632</v>
      </c>
      <c r="M3" s="10" t="s">
        <v>838</v>
      </c>
      <c r="N3" s="10" t="s">
        <v>653</v>
      </c>
    </row>
    <row r="4" spans="1:14" ht="15" customHeight="1" x14ac:dyDescent="0.25">
      <c r="A4" s="41">
        <v>1</v>
      </c>
      <c r="B4" s="5">
        <f>IFERROR(INDEX('Output Utente'!$A$2:$A$492,MATCH(1,'Output Utente'!$Q$2:$Q$492,0)),"")</f>
        <v>2764</v>
      </c>
      <c r="C4" s="5" t="str">
        <f>IFERROR(INDEX('Output Utente'!$B$2:$B$492,MATCH(1,'Output Utente'!$Q$2:$Q$492,0)),"")</f>
        <v>A</v>
      </c>
      <c r="D4" s="5" t="str">
        <f>IFERROR(INDEX('Output Utente'!$C$2:$C$492,MATCH(1,'Output Utente'!$Q$2:$Q$492,0)),"")</f>
        <v>Martinez L.</v>
      </c>
      <c r="E4" s="5" t="str">
        <f>IFERROR(INDEX('Input Giocatori 2026_27'!$D$3:$D$493,MATCH($B4,'Input Giocatori 2026_27'!$A$3:$A$493,0)),"")</f>
        <v>Inter</v>
      </c>
      <c r="F4" s="42">
        <f>IFERROR(INDEX('Output Utente'!$N$2:$N$492,MATCH(1,'Output Utente'!$Q$2:$Q$492,0)),"")</f>
        <v>35</v>
      </c>
      <c r="G4" s="42">
        <f>IFERROR(INDEX('Output Utente'!$O$2:$O$492,MATCH(1,'Output Utente'!$Q$2:$Q$492,0)),"")</f>
        <v>370</v>
      </c>
      <c r="H4" s="5" t="str">
        <f>IFERROR(INDEX('Output Utente'!$P$2:$P$492,MATCH(1,'Output Utente'!$Q$2:$Q$492,0)),"")</f>
        <v>Top</v>
      </c>
      <c r="I4" s="42">
        <f>IFERROR(INDEX('Output Utente'!$F$2:$F$492,MATCH(1,'Output Utente'!$Q$2:$Q$492,0)),"")</f>
        <v>397</v>
      </c>
      <c r="J4" s="42">
        <f>IFERROR(INDEX('Output Utente'!$G$2:$G$492,MATCH(1,'Output Utente'!$Q$2:$Q$492,0)),"")</f>
        <v>248</v>
      </c>
      <c r="K4" s="42">
        <f>IFERROR(INDEX('Output Utente'!$H$2:$H$492,MATCH(1,'Output Utente'!$Q$2:$Q$492,0)),"")</f>
        <v>461</v>
      </c>
      <c r="L4" s="5" t="str">
        <f>IFERROR(INDEX('Output Utente'!$E$2:$E$492,MATCH(1,'Output Utente'!$Q$2:$Q$492,0)),"")</f>
        <v>NO</v>
      </c>
      <c r="M4" s="5" t="str">
        <f>IFERROR(INDEX('Output Utente'!$U$2:$U$492,MATCH(1,'Output Utente'!$Q$2:$Q$492,0)),"")</f>
        <v>Rischio Alto</v>
      </c>
      <c r="N4" s="5" t="str">
        <f>IFERROR(INDEX('Output Utente'!$AE$2:$AE$492,MATCH(1,'Output Utente'!$Q$2:$Q$492,0)),"")</f>
        <v>🟡 Attesa rischiosa</v>
      </c>
    </row>
    <row r="5" spans="1:14" ht="15" customHeight="1" x14ac:dyDescent="0.25">
      <c r="A5" s="41">
        <v>2</v>
      </c>
      <c r="B5" s="5">
        <f>IFERROR(INDEX('Output Utente'!$A$2:$A$492,MATCH(2,'Output Utente'!$Q$2:$Q$492,0)),"")</f>
        <v>5585</v>
      </c>
      <c r="C5" s="5" t="str">
        <f>IFERROR(INDEX('Output Utente'!$B$2:$B$492,MATCH(2,'Output Utente'!$Q$2:$Q$492,0)),"")</f>
        <v>A</v>
      </c>
      <c r="D5" s="5" t="str">
        <f>IFERROR(INDEX('Output Utente'!$C$2:$C$492,MATCH(2,'Output Utente'!$Q$2:$Q$492,0)),"")</f>
        <v>Malen</v>
      </c>
      <c r="E5" s="5" t="str">
        <f>IFERROR(INDEX('Input Giocatori 2026_27'!$D$3:$D$493,MATCH($B5,'Input Giocatori 2026_27'!$A$3:$A$493,0)),"")</f>
        <v>Roma</v>
      </c>
      <c r="F5" s="42">
        <f>IFERROR(INDEX('Output Utente'!$N$2:$N$492,MATCH(2,'Output Utente'!$Q$2:$Q$492,0)),"")</f>
        <v>34</v>
      </c>
      <c r="G5" s="42">
        <f>IFERROR(INDEX('Output Utente'!$O$2:$O$492,MATCH(2,'Output Utente'!$Q$2:$Q$492,0)),"")</f>
        <v>365</v>
      </c>
      <c r="H5" s="5" t="str">
        <f>IFERROR(INDEX('Output Utente'!$P$2:$P$492,MATCH(2,'Output Utente'!$Q$2:$Q$492,0)),"")</f>
        <v>Top</v>
      </c>
      <c r="I5" s="42">
        <f>IFERROR(INDEX('Output Utente'!$F$2:$F$492,MATCH(2,'Output Utente'!$Q$2:$Q$492,0)),"")</f>
        <v>400</v>
      </c>
      <c r="J5" s="42">
        <f>IFERROR(INDEX('Output Utente'!$G$2:$G$492,MATCH(2,'Output Utente'!$Q$2:$Q$492,0)),"")</f>
        <v>250</v>
      </c>
      <c r="K5" s="42">
        <f>IFERROR(INDEX('Output Utente'!$H$2:$H$492,MATCH(2,'Output Utente'!$Q$2:$Q$492,0)),"")</f>
        <v>464</v>
      </c>
      <c r="L5" s="5" t="str">
        <f>IFERROR(INDEX('Output Utente'!$E$2:$E$492,MATCH(2,'Output Utente'!$Q$2:$Q$492,0)),"")</f>
        <v>NO</v>
      </c>
      <c r="M5" s="5" t="str">
        <f>IFERROR(INDEX('Output Utente'!$U$2:$U$492,MATCH(2,'Output Utente'!$Q$2:$Q$492,0)),"")</f>
        <v>Rischio Alto</v>
      </c>
      <c r="N5" s="5" t="str">
        <f>IFERROR(INDEX('Output Utente'!$AE$2:$AE$492,MATCH(2,'Output Utente'!$Q$2:$Q$492,0)),"")</f>
        <v>🟡 Attesa rischiosa</v>
      </c>
    </row>
    <row r="6" spans="1:14" ht="15" customHeight="1" x14ac:dyDescent="0.25">
      <c r="A6" s="41">
        <v>3</v>
      </c>
      <c r="B6" s="5">
        <f>IFERROR(INDEX('Output Utente'!$A$2:$A$492,MATCH(3,'Output Utente'!$Q$2:$Q$492,0)),"")</f>
        <v>4871</v>
      </c>
      <c r="C6" s="5" t="str">
        <f>IFERROR(INDEX('Output Utente'!$B$2:$B$492,MATCH(3,'Output Utente'!$Q$2:$Q$492,0)),"")</f>
        <v>A</v>
      </c>
      <c r="D6" s="5" t="str">
        <f>IFERROR(INDEX('Output Utente'!$C$2:$C$492,MATCH(3,'Output Utente'!$Q$2:$Q$492,0)),"")</f>
        <v>Thuram</v>
      </c>
      <c r="E6" s="5" t="str">
        <f>IFERROR(INDEX('Input Giocatori 2026_27'!$D$3:$D$493,MATCH($B6,'Input Giocatori 2026_27'!$A$3:$A$493,0)),"")</f>
        <v>Inter</v>
      </c>
      <c r="F6" s="42">
        <f>IFERROR(INDEX('Output Utente'!$N$2:$N$492,MATCH(3,'Output Utente'!$Q$2:$Q$492,0)),"")</f>
        <v>29</v>
      </c>
      <c r="G6" s="42">
        <f>IFERROR(INDEX('Output Utente'!$O$2:$O$492,MATCH(3,'Output Utente'!$Q$2:$Q$492,0)),"")</f>
        <v>280</v>
      </c>
      <c r="H6" s="5" t="str">
        <f>IFERROR(INDEX('Output Utente'!$P$2:$P$492,MATCH(3,'Output Utente'!$Q$2:$Q$492,0)),"")</f>
        <v>Top</v>
      </c>
      <c r="I6" s="42">
        <f>IFERROR(INDEX('Output Utente'!$F$2:$F$492,MATCH(3,'Output Utente'!$Q$2:$Q$492,0)),"")</f>
        <v>298</v>
      </c>
      <c r="J6" s="42">
        <f>IFERROR(INDEX('Output Utente'!$G$2:$G$492,MATCH(3,'Output Utente'!$Q$2:$Q$492,0)),"")</f>
        <v>186</v>
      </c>
      <c r="K6" s="42">
        <f>IFERROR(INDEX('Output Utente'!$H$2:$H$492,MATCH(3,'Output Utente'!$Q$2:$Q$492,0)),"")</f>
        <v>346</v>
      </c>
      <c r="L6" s="5" t="str">
        <f>IFERROR(INDEX('Output Utente'!$E$2:$E$492,MATCH(3,'Output Utente'!$Q$2:$Q$492,0)),"")</f>
        <v>NO</v>
      </c>
      <c r="M6" s="5" t="str">
        <f>IFERROR(INDEX('Output Utente'!$U$2:$U$492,MATCH(3,'Output Utente'!$Q$2:$Q$492,0)),"")</f>
        <v>Rischio Alto</v>
      </c>
      <c r="N6" s="5" t="str">
        <f>IFERROR(INDEX('Output Utente'!$AE$2:$AE$492,MATCH(3,'Output Utente'!$Q$2:$Q$492,0)),"")</f>
        <v>🟡 Attesa rischiosa</v>
      </c>
    </row>
    <row r="7" spans="1:14" ht="15" customHeight="1" x14ac:dyDescent="0.25">
      <c r="A7" s="41">
        <v>4</v>
      </c>
      <c r="B7" s="5">
        <f>IFERROR(INDEX('Output Utente'!$A$2:$A$492,MATCH(4,'Output Utente'!$Q$2:$Q$492,0)),"")</f>
        <v>6052</v>
      </c>
      <c r="C7" s="5" t="str">
        <f>IFERROR(INDEX('Output Utente'!$B$2:$B$492,MATCH(4,'Output Utente'!$Q$2:$Q$492,0)),"")</f>
        <v>A</v>
      </c>
      <c r="D7" s="5" t="str">
        <f>IFERROR(INDEX('Output Utente'!$C$2:$C$492,MATCH(4,'Output Utente'!$Q$2:$Q$492,0)),"")</f>
        <v>Hojlund</v>
      </c>
      <c r="E7" s="5" t="str">
        <f>IFERROR(INDEX('Input Giocatori 2026_27'!$D$3:$D$493,MATCH($B7,'Input Giocatori 2026_27'!$A$3:$A$493,0)),"")</f>
        <v>Napoli</v>
      </c>
      <c r="F7" s="42">
        <f>IFERROR(INDEX('Output Utente'!$N$2:$N$492,MATCH(4,'Output Utente'!$Q$2:$Q$492,0)),"")</f>
        <v>28</v>
      </c>
      <c r="G7" s="42">
        <f>IFERROR(INDEX('Output Utente'!$O$2:$O$492,MATCH(4,'Output Utente'!$Q$2:$Q$492,0)),"")</f>
        <v>271</v>
      </c>
      <c r="H7" s="5" t="str">
        <f>IFERROR(INDEX('Output Utente'!$P$2:$P$492,MATCH(4,'Output Utente'!$Q$2:$Q$492,0)),"")</f>
        <v>Top</v>
      </c>
      <c r="I7" s="42">
        <f>IFERROR(INDEX('Output Utente'!$F$2:$F$492,MATCH(4,'Output Utente'!$Q$2:$Q$492,0)),"")</f>
        <v>284</v>
      </c>
      <c r="J7" s="42">
        <f>IFERROR(INDEX('Output Utente'!$G$2:$G$492,MATCH(4,'Output Utente'!$Q$2:$Q$492,0)),"")</f>
        <v>178</v>
      </c>
      <c r="K7" s="42">
        <f>IFERROR(INDEX('Output Utente'!$H$2:$H$492,MATCH(4,'Output Utente'!$Q$2:$Q$492,0)),"")</f>
        <v>330</v>
      </c>
      <c r="L7" s="5" t="str">
        <f>IFERROR(INDEX('Output Utente'!$E$2:$E$492,MATCH(4,'Output Utente'!$Q$2:$Q$492,0)),"")</f>
        <v>NO</v>
      </c>
      <c r="M7" s="5" t="str">
        <f>IFERROR(INDEX('Output Utente'!$U$2:$U$492,MATCH(4,'Output Utente'!$Q$2:$Q$492,0)),"")</f>
        <v>Rischio Alto</v>
      </c>
      <c r="N7" s="5" t="str">
        <f>IFERROR(INDEX('Output Utente'!$AE$2:$AE$492,MATCH(4,'Output Utente'!$Q$2:$Q$492,0)),"")</f>
        <v>🟡 Attesa rischiosa</v>
      </c>
    </row>
    <row r="8" spans="1:14" ht="15" customHeight="1" x14ac:dyDescent="0.25">
      <c r="A8" s="41">
        <v>5</v>
      </c>
      <c r="B8" s="5">
        <f>IFERROR(INDEX('Output Utente'!$A$2:$A$492,MATCH(5,'Output Utente'!$Q$2:$Q$492,0)),"")</f>
        <v>254</v>
      </c>
      <c r="C8" s="5" t="str">
        <f>IFERROR(INDEX('Output Utente'!$B$2:$B$492,MATCH(5,'Output Utente'!$Q$2:$Q$492,0)),"")</f>
        <v>D</v>
      </c>
      <c r="D8" s="5" t="str">
        <f>IFERROR(INDEX('Output Utente'!$C$2:$C$492,MATCH(5,'Output Utente'!$Q$2:$Q$492,0)),"")</f>
        <v>Dimarco</v>
      </c>
      <c r="E8" s="5" t="str">
        <f>IFERROR(INDEX('Input Giocatori 2026_27'!$D$3:$D$493,MATCH($B8,'Input Giocatori 2026_27'!$A$3:$A$493,0)),"")</f>
        <v>Inter</v>
      </c>
      <c r="F8" s="42">
        <f>IFERROR(INDEX('Output Utente'!$N$2:$N$492,MATCH(5,'Output Utente'!$Q$2:$Q$492,0)),"")</f>
        <v>32</v>
      </c>
      <c r="G8" s="42">
        <f>IFERROR(INDEX('Output Utente'!$O$2:$O$492,MATCH(5,'Output Utente'!$Q$2:$Q$492,0)),"")</f>
        <v>265</v>
      </c>
      <c r="H8" s="5" t="str">
        <f>IFERROR(INDEX('Output Utente'!$P$2:$P$492,MATCH(5,'Output Utente'!$Q$2:$Q$492,0)),"")</f>
        <v>Top</v>
      </c>
      <c r="I8" s="42">
        <f>IFERROR(INDEX('Output Utente'!$F$2:$F$492,MATCH(5,'Output Utente'!$Q$2:$Q$492,0)),"")</f>
        <v>190</v>
      </c>
      <c r="J8" s="42">
        <f>IFERROR(INDEX('Output Utente'!$G$2:$G$492,MATCH(5,'Output Utente'!$Q$2:$Q$492,0)),"")</f>
        <v>141</v>
      </c>
      <c r="K8" s="42">
        <f>IFERROR(INDEX('Output Utente'!$H$2:$H$492,MATCH(5,'Output Utente'!$Q$2:$Q$492,0)),"")</f>
        <v>211</v>
      </c>
      <c r="L8" s="5" t="str">
        <f>IFERROR(INDEX('Output Utente'!$E$2:$E$492,MATCH(5,'Output Utente'!$Q$2:$Q$492,0)),"")</f>
        <v>NO</v>
      </c>
      <c r="M8" s="5" t="str">
        <f>IFERROR(INDEX('Output Utente'!$U$2:$U$492,MATCH(5,'Output Utente'!$Q$2:$Q$492,0)),"")</f>
        <v>Rischio Alto</v>
      </c>
      <c r="N8" s="5" t="str">
        <f>IFERROR(INDEX('Output Utente'!$AE$2:$AE$492,MATCH(5,'Output Utente'!$Q$2:$Q$492,0)),"")</f>
        <v>🟢 Puoi aspettare</v>
      </c>
    </row>
    <row r="9" spans="1:14" ht="15" customHeight="1" x14ac:dyDescent="0.25">
      <c r="A9" s="41">
        <v>6</v>
      </c>
      <c r="B9" s="5">
        <f>IFERROR(INDEX('Output Utente'!$A$2:$A$492,MATCH(6,'Output Utente'!$Q$2:$Q$492,0)),"")</f>
        <v>6875</v>
      </c>
      <c r="C9" s="5" t="str">
        <f>IFERROR(INDEX('Output Utente'!$B$2:$B$492,MATCH(6,'Output Utente'!$Q$2:$Q$492,0)),"")</f>
        <v>C</v>
      </c>
      <c r="D9" s="5" t="str">
        <f>IFERROR(INDEX('Output Utente'!$C$2:$C$492,MATCH(6,'Output Utente'!$Q$2:$Q$492,0)),"")</f>
        <v>Paz N.</v>
      </c>
      <c r="E9" s="5" t="str">
        <f>IFERROR(INDEX('Input Giocatori 2026_27'!$D$3:$D$493,MATCH($B9,'Input Giocatori 2026_27'!$A$3:$A$493,0)),"")</f>
        <v>Como</v>
      </c>
      <c r="F9" s="42">
        <f>IFERROR(INDEX('Output Utente'!$N$2:$N$492,MATCH(6,'Output Utente'!$Q$2:$Q$492,0)),"")</f>
        <v>30</v>
      </c>
      <c r="G9" s="42">
        <f>IFERROR(INDEX('Output Utente'!$O$2:$O$492,MATCH(6,'Output Utente'!$Q$2:$Q$492,0)),"")</f>
        <v>250</v>
      </c>
      <c r="H9" s="5" t="str">
        <f>IFERROR(INDEX('Output Utente'!$P$2:$P$492,MATCH(6,'Output Utente'!$Q$2:$Q$492,0)),"")</f>
        <v>Top</v>
      </c>
      <c r="I9" s="42">
        <f>IFERROR(INDEX('Output Utente'!$F$2:$F$492,MATCH(6,'Output Utente'!$Q$2:$Q$492,0)),"")</f>
        <v>171</v>
      </c>
      <c r="J9" s="42">
        <f>IFERROR(INDEX('Output Utente'!$G$2:$G$492,MATCH(6,'Output Utente'!$Q$2:$Q$492,0)),"")</f>
        <v>116</v>
      </c>
      <c r="K9" s="42">
        <f>IFERROR(INDEX('Output Utente'!$H$2:$H$492,MATCH(6,'Output Utente'!$Q$2:$Q$492,0)),"")</f>
        <v>194</v>
      </c>
      <c r="L9" s="5" t="str">
        <f>IFERROR(INDEX('Output Utente'!$E$2:$E$492,MATCH(6,'Output Utente'!$Q$2:$Q$492,0)),"")</f>
        <v>NO</v>
      </c>
      <c r="M9" s="5" t="str">
        <f>IFERROR(INDEX('Output Utente'!$U$2:$U$492,MATCH(6,'Output Utente'!$Q$2:$Q$492,0)),"")</f>
        <v>Rischio Alto</v>
      </c>
      <c r="N9" s="5" t="str">
        <f>IFERROR(INDEX('Output Utente'!$AE$2:$AE$492,MATCH(6,'Output Utente'!$Q$2:$Q$492,0)),"")</f>
        <v>🟡 Attesa rischiosa</v>
      </c>
    </row>
    <row r="10" spans="1:14" ht="15" customHeight="1" x14ac:dyDescent="0.25">
      <c r="A10" s="41">
        <v>7</v>
      </c>
      <c r="B10" s="5">
        <f>IFERROR(INDEX('Output Utente'!$A$2:$A$492,MATCH(7,'Output Utente'!$Q$2:$Q$492,0)),"")</f>
        <v>4777</v>
      </c>
      <c r="C10" s="5" t="str">
        <f>IFERROR(INDEX('Output Utente'!$B$2:$B$492,MATCH(7,'Output Utente'!$Q$2:$Q$492,0)),"")</f>
        <v>C</v>
      </c>
      <c r="D10" s="5" t="str">
        <f>IFERROR(INDEX('Output Utente'!$C$2:$C$492,MATCH(7,'Output Utente'!$Q$2:$Q$492,0)),"")</f>
        <v>McTominay</v>
      </c>
      <c r="E10" s="5" t="str">
        <f>IFERROR(INDEX('Input Giocatori 2026_27'!$D$3:$D$493,MATCH($B10,'Input Giocatori 2026_27'!$A$3:$A$493,0)),"")</f>
        <v>Napoli</v>
      </c>
      <c r="F10" s="42">
        <f>IFERROR(INDEX('Output Utente'!$N$2:$N$492,MATCH(7,'Output Utente'!$Q$2:$Q$492,0)),"")</f>
        <v>28</v>
      </c>
      <c r="G10" s="42">
        <f>IFERROR(INDEX('Output Utente'!$O$2:$O$492,MATCH(7,'Output Utente'!$Q$2:$Q$492,0)),"")</f>
        <v>240</v>
      </c>
      <c r="H10" s="5" t="str">
        <f>IFERROR(INDEX('Output Utente'!$P$2:$P$492,MATCH(7,'Output Utente'!$Q$2:$Q$492,0)),"")</f>
        <v>Top</v>
      </c>
      <c r="I10" s="42">
        <f>IFERROR(INDEX('Output Utente'!$F$2:$F$492,MATCH(7,'Output Utente'!$Q$2:$Q$492,0)),"")</f>
        <v>164</v>
      </c>
      <c r="J10" s="42">
        <f>IFERROR(INDEX('Output Utente'!$G$2:$G$492,MATCH(7,'Output Utente'!$Q$2:$Q$492,0)),"")</f>
        <v>112</v>
      </c>
      <c r="K10" s="42">
        <f>IFERROR(INDEX('Output Utente'!$H$2:$H$492,MATCH(7,'Output Utente'!$Q$2:$Q$492,0)),"")</f>
        <v>186</v>
      </c>
      <c r="L10" s="5" t="str">
        <f>IFERROR(INDEX('Output Utente'!$E$2:$E$492,MATCH(7,'Output Utente'!$Q$2:$Q$492,0)),"")</f>
        <v>NO</v>
      </c>
      <c r="M10" s="5" t="str">
        <f>IFERROR(INDEX('Output Utente'!$U$2:$U$492,MATCH(7,'Output Utente'!$Q$2:$Q$492,0)),"")</f>
        <v>Rischio Alto</v>
      </c>
      <c r="N10" s="5" t="str">
        <f>IFERROR(INDEX('Output Utente'!$AE$2:$AE$492,MATCH(7,'Output Utente'!$Q$2:$Q$492,0)),"")</f>
        <v>🟡 Attesa rischiosa</v>
      </c>
    </row>
    <row r="11" spans="1:14" ht="15" customHeight="1" x14ac:dyDescent="0.25">
      <c r="A11" s="41">
        <v>8</v>
      </c>
      <c r="B11" s="5">
        <f>IFERROR(INDEX('Output Utente'!$A$2:$A$492,MATCH(8,'Output Utente'!$Q$2:$Q$492,0)),"")</f>
        <v>6397</v>
      </c>
      <c r="C11" s="5" t="str">
        <f>IFERROR(INDEX('Output Utente'!$B$2:$B$492,MATCH(8,'Output Utente'!$Q$2:$Q$492,0)),"")</f>
        <v>A</v>
      </c>
      <c r="D11" s="5" t="str">
        <f>IFERROR(INDEX('Output Utente'!$C$2:$C$492,MATCH(8,'Output Utente'!$Q$2:$Q$492,0)),"")</f>
        <v>Ramos G.</v>
      </c>
      <c r="E11" s="5" t="str">
        <f>IFERROR(INDEX('Input Giocatori 2026_27'!$D$3:$D$493,MATCH($B11,'Input Giocatori 2026_27'!$A$3:$A$493,0)),"")</f>
        <v>Milan</v>
      </c>
      <c r="F11" s="42">
        <f>IFERROR(INDEX('Output Utente'!$N$2:$N$492,MATCH(8,'Output Utente'!$Q$2:$Q$492,0)),"")</f>
        <v>27</v>
      </c>
      <c r="G11" s="42">
        <f>IFERROR(INDEX('Output Utente'!$O$2:$O$492,MATCH(8,'Output Utente'!$Q$2:$Q$492,0)),"")</f>
        <v>240</v>
      </c>
      <c r="H11" s="5" t="str">
        <f>IFERROR(INDEX('Output Utente'!$P$2:$P$492,MATCH(8,'Output Utente'!$Q$2:$Q$492,0)),"")</f>
        <v>Top</v>
      </c>
      <c r="I11" s="42">
        <f>IFERROR(INDEX('Output Utente'!$F$2:$F$492,MATCH(8,'Output Utente'!$Q$2:$Q$492,0)),"")</f>
        <v>246</v>
      </c>
      <c r="J11" s="42">
        <f>IFERROR(INDEX('Output Utente'!$G$2:$G$492,MATCH(8,'Output Utente'!$Q$2:$Q$492,0)),"")</f>
        <v>154</v>
      </c>
      <c r="K11" s="42">
        <f>IFERROR(INDEX('Output Utente'!$H$2:$H$492,MATCH(8,'Output Utente'!$Q$2:$Q$492,0)),"")</f>
        <v>286</v>
      </c>
      <c r="L11" s="5" t="str">
        <f>IFERROR(INDEX('Output Utente'!$E$2:$E$492,MATCH(8,'Output Utente'!$Q$2:$Q$492,0)),"")</f>
        <v>NO</v>
      </c>
      <c r="M11" s="5" t="str">
        <f>IFERROR(INDEX('Output Utente'!$U$2:$U$492,MATCH(8,'Output Utente'!$Q$2:$Q$492,0)),"")</f>
        <v>Rischio Alto</v>
      </c>
      <c r="N11" s="5" t="str">
        <f>IFERROR(INDEX('Output Utente'!$AE$2:$AE$492,MATCH(8,'Output Utente'!$Q$2:$Q$492,0)),"")</f>
        <v>🟡 Attesa rischiosa</v>
      </c>
    </row>
    <row r="12" spans="1:14" ht="15" customHeight="1" x14ac:dyDescent="0.25">
      <c r="A12" s="41">
        <v>9</v>
      </c>
      <c r="B12" s="5">
        <f>IFERROR(INDEX('Output Utente'!$A$2:$A$492,MATCH(9,'Output Utente'!$Q$2:$Q$492,0)),"")</f>
        <v>2194</v>
      </c>
      <c r="C12" s="5" t="str">
        <f>IFERROR(INDEX('Output Utente'!$B$2:$B$492,MATCH(9,'Output Utente'!$Q$2:$Q$492,0)),"")</f>
        <v>C</v>
      </c>
      <c r="D12" s="5" t="str">
        <f>IFERROR(INDEX('Output Utente'!$C$2:$C$492,MATCH(9,'Output Utente'!$Q$2:$Q$492,0)),"")</f>
        <v>Calhanoglu</v>
      </c>
      <c r="E12" s="5" t="str">
        <f>IFERROR(INDEX('Input Giocatori 2026_27'!$D$3:$D$493,MATCH($B12,'Input Giocatori 2026_27'!$A$3:$A$493,0)),"")</f>
        <v>Inter</v>
      </c>
      <c r="F12" s="42">
        <f>IFERROR(INDEX('Output Utente'!$N$2:$N$492,MATCH(9,'Output Utente'!$Q$2:$Q$492,0)),"")</f>
        <v>27</v>
      </c>
      <c r="G12" s="42">
        <f>IFERROR(INDEX('Output Utente'!$O$2:$O$492,MATCH(9,'Output Utente'!$Q$2:$Q$492,0)),"")</f>
        <v>230</v>
      </c>
      <c r="H12" s="5" t="str">
        <f>IFERROR(INDEX('Output Utente'!$P$2:$P$492,MATCH(9,'Output Utente'!$Q$2:$Q$492,0)),"")</f>
        <v>Top</v>
      </c>
      <c r="I12" s="42">
        <f>IFERROR(INDEX('Output Utente'!$F$2:$F$492,MATCH(9,'Output Utente'!$Q$2:$Q$492,0)),"")</f>
        <v>158</v>
      </c>
      <c r="J12" s="42">
        <f>IFERROR(INDEX('Output Utente'!$G$2:$G$492,MATCH(9,'Output Utente'!$Q$2:$Q$492,0)),"")</f>
        <v>108</v>
      </c>
      <c r="K12" s="42">
        <f>IFERROR(INDEX('Output Utente'!$H$2:$H$492,MATCH(9,'Output Utente'!$Q$2:$Q$492,0)),"")</f>
        <v>180</v>
      </c>
      <c r="L12" s="5" t="str">
        <f>IFERROR(INDEX('Output Utente'!$E$2:$E$492,MATCH(9,'Output Utente'!$Q$2:$Q$492,0)),"")</f>
        <v>NO</v>
      </c>
      <c r="M12" s="5" t="str">
        <f>IFERROR(INDEX('Output Utente'!$U$2:$U$492,MATCH(9,'Output Utente'!$Q$2:$Q$492,0)),"")</f>
        <v>Rischio Alto</v>
      </c>
      <c r="N12" s="5" t="str">
        <f>IFERROR(INDEX('Output Utente'!$AE$2:$AE$492,MATCH(9,'Output Utente'!$Q$2:$Q$492,0)),"")</f>
        <v>🟡 Attesa rischiosa</v>
      </c>
    </row>
    <row r="13" spans="1:14" ht="15" customHeight="1" x14ac:dyDescent="0.25">
      <c r="A13" s="41">
        <v>10</v>
      </c>
      <c r="B13" s="5">
        <f>IFERROR(INDEX('Output Utente'!$A$2:$A$492,MATCH(10,'Output Utente'!$Q$2:$Q$492,0)),"")</f>
        <v>5951</v>
      </c>
      <c r="C13" s="5" t="str">
        <f>IFERROR(INDEX('Output Utente'!$B$2:$B$492,MATCH(10,'Output Utente'!$Q$2:$Q$492,0)),"")</f>
        <v>A</v>
      </c>
      <c r="D13" s="5" t="str">
        <f>IFERROR(INDEX('Output Utente'!$C$2:$C$492,MATCH(10,'Output Utente'!$Q$2:$Q$492,0)),"")</f>
        <v>Kolo Muani</v>
      </c>
      <c r="E13" s="5" t="str">
        <f>IFERROR(INDEX('Input Giocatori 2026_27'!$D$3:$D$493,MATCH($B13,'Input Giocatori 2026_27'!$A$3:$A$493,0)),"")</f>
        <v>Juventus</v>
      </c>
      <c r="F13" s="42">
        <f>IFERROR(INDEX('Output Utente'!$N$2:$N$492,MATCH(10,'Output Utente'!$Q$2:$Q$492,0)),"")</f>
        <v>26</v>
      </c>
      <c r="G13" s="42">
        <f>IFERROR(INDEX('Output Utente'!$O$2:$O$492,MATCH(10,'Output Utente'!$Q$2:$Q$492,0)),"")</f>
        <v>225</v>
      </c>
      <c r="H13" s="5" t="str">
        <f>IFERROR(INDEX('Output Utente'!$P$2:$P$492,MATCH(10,'Output Utente'!$Q$2:$Q$492,0)),"")</f>
        <v>Top</v>
      </c>
      <c r="I13" s="42">
        <f>IFERROR(INDEX('Output Utente'!$F$2:$F$492,MATCH(10,'Output Utente'!$Q$2:$Q$492,0)),"")</f>
        <v>231</v>
      </c>
      <c r="J13" s="42">
        <f>IFERROR(INDEX('Output Utente'!$G$2:$G$492,MATCH(10,'Output Utente'!$Q$2:$Q$492,0)),"")</f>
        <v>144</v>
      </c>
      <c r="K13" s="42">
        <f>IFERROR(INDEX('Output Utente'!$H$2:$H$492,MATCH(10,'Output Utente'!$Q$2:$Q$492,0)),"")</f>
        <v>268</v>
      </c>
      <c r="L13" s="5" t="str">
        <f>IFERROR(INDEX('Output Utente'!$E$2:$E$492,MATCH(10,'Output Utente'!$Q$2:$Q$492,0)),"")</f>
        <v>NO</v>
      </c>
      <c r="M13" s="5" t="str">
        <f>IFERROR(INDEX('Output Utente'!$U$2:$U$492,MATCH(10,'Output Utente'!$Q$2:$Q$492,0)),"")</f>
        <v>Rischio Alto</v>
      </c>
      <c r="N13" s="5" t="str">
        <f>IFERROR(INDEX('Output Utente'!$AE$2:$AE$492,MATCH(10,'Output Utente'!$Q$2:$Q$492,0)),"")</f>
        <v>🟡 Attesa rischiosa</v>
      </c>
    </row>
    <row r="14" spans="1:14" ht="15" customHeight="1" x14ac:dyDescent="0.25">
      <c r="A14" s="41">
        <v>11</v>
      </c>
      <c r="B14" s="5">
        <f>IFERROR(INDEX('Output Utente'!$A$2:$A$492,MATCH(11,'Output Utente'!$Q$2:$Q$492,0)),"")</f>
        <v>2097</v>
      </c>
      <c r="C14" s="5" t="str">
        <f>IFERROR(INDEX('Output Utente'!$B$2:$B$492,MATCH(11,'Output Utente'!$Q$2:$Q$492,0)),"")</f>
        <v>A</v>
      </c>
      <c r="D14" s="5" t="str">
        <f>IFERROR(INDEX('Output Utente'!$C$2:$C$492,MATCH(11,'Output Utente'!$Q$2:$Q$492,0)),"")</f>
        <v>Kean</v>
      </c>
      <c r="E14" s="5" t="str">
        <f>IFERROR(INDEX('Input Giocatori 2026_27'!$D$3:$D$493,MATCH($B14,'Input Giocatori 2026_27'!$A$3:$A$493,0)),"")</f>
        <v>Fiorentina</v>
      </c>
      <c r="F14" s="42">
        <f>IFERROR(INDEX('Output Utente'!$N$2:$N$492,MATCH(11,'Output Utente'!$Q$2:$Q$492,0)),"")</f>
        <v>25</v>
      </c>
      <c r="G14" s="42">
        <f>IFERROR(INDEX('Output Utente'!$O$2:$O$492,MATCH(11,'Output Utente'!$Q$2:$Q$492,0)),"")</f>
        <v>212</v>
      </c>
      <c r="H14" s="5" t="str">
        <f>IFERROR(INDEX('Output Utente'!$P$2:$P$492,MATCH(11,'Output Utente'!$Q$2:$Q$492,0)),"")</f>
        <v>Top</v>
      </c>
      <c r="I14" s="42">
        <f>IFERROR(INDEX('Output Utente'!$F$2:$F$492,MATCH(11,'Output Utente'!$Q$2:$Q$492,0)),"")</f>
        <v>218</v>
      </c>
      <c r="J14" s="42">
        <f>IFERROR(INDEX('Output Utente'!$G$2:$G$492,MATCH(11,'Output Utente'!$Q$2:$Q$492,0)),"")</f>
        <v>136</v>
      </c>
      <c r="K14" s="42">
        <f>IFERROR(INDEX('Output Utente'!$H$2:$H$492,MATCH(11,'Output Utente'!$Q$2:$Q$492,0)),"")</f>
        <v>253</v>
      </c>
      <c r="L14" s="5" t="str">
        <f>IFERROR(INDEX('Output Utente'!$E$2:$E$492,MATCH(11,'Output Utente'!$Q$2:$Q$492,0)),"")</f>
        <v>NO</v>
      </c>
      <c r="M14" s="5" t="str">
        <f>IFERROR(INDEX('Output Utente'!$U$2:$U$492,MATCH(11,'Output Utente'!$Q$2:$Q$492,0)),"")</f>
        <v>Rischio Alto</v>
      </c>
      <c r="N14" s="5" t="str">
        <f>IFERROR(INDEX('Output Utente'!$AE$2:$AE$492,MATCH(11,'Output Utente'!$Q$2:$Q$492,0)),"")</f>
        <v>🟡 Attesa rischiosa</v>
      </c>
    </row>
    <row r="15" spans="1:14" ht="15" customHeight="1" x14ac:dyDescent="0.25">
      <c r="A15" s="41">
        <v>12</v>
      </c>
      <c r="B15" s="5">
        <f>IFERROR(INDEX('Output Utente'!$A$2:$A$492,MATCH(12,'Output Utente'!$Q$2:$Q$492,0)),"")</f>
        <v>2167</v>
      </c>
      <c r="C15" s="5" t="str">
        <f>IFERROR(INDEX('Output Utente'!$B$2:$B$492,MATCH(12,'Output Utente'!$Q$2:$Q$492,0)),"")</f>
        <v>C</v>
      </c>
      <c r="D15" s="5" t="str">
        <f>IFERROR(INDEX('Output Utente'!$C$2:$C$492,MATCH(12,'Output Utente'!$Q$2:$Q$492,0)),"")</f>
        <v>Orsolini</v>
      </c>
      <c r="E15" s="5" t="str">
        <f>IFERROR(INDEX('Input Giocatori 2026_27'!$D$3:$D$493,MATCH($B15,'Input Giocatori 2026_27'!$A$3:$A$493,0)),"")</f>
        <v>Bologna</v>
      </c>
      <c r="F15" s="42">
        <f>IFERROR(INDEX('Output Utente'!$N$2:$N$492,MATCH(12,'Output Utente'!$Q$2:$Q$492,0)),"")</f>
        <v>26</v>
      </c>
      <c r="G15" s="42">
        <f>IFERROR(INDEX('Output Utente'!$O$2:$O$492,MATCH(12,'Output Utente'!$Q$2:$Q$492,0)),"")</f>
        <v>200</v>
      </c>
      <c r="H15" s="5" t="str">
        <f>IFERROR(INDEX('Output Utente'!$P$2:$P$492,MATCH(12,'Output Utente'!$Q$2:$Q$492,0)),"")</f>
        <v>Top</v>
      </c>
      <c r="I15" s="42">
        <f>IFERROR(INDEX('Output Utente'!$F$2:$F$492,MATCH(12,'Output Utente'!$Q$2:$Q$492,0)),"")</f>
        <v>135</v>
      </c>
      <c r="J15" s="42">
        <f>IFERROR(INDEX('Output Utente'!$G$2:$G$492,MATCH(12,'Output Utente'!$Q$2:$Q$492,0)),"")</f>
        <v>92</v>
      </c>
      <c r="K15" s="42">
        <f>IFERROR(INDEX('Output Utente'!$H$2:$H$492,MATCH(12,'Output Utente'!$Q$2:$Q$492,0)),"")</f>
        <v>153</v>
      </c>
      <c r="L15" s="5" t="str">
        <f>IFERROR(INDEX('Output Utente'!$E$2:$E$492,MATCH(12,'Output Utente'!$Q$2:$Q$492,0)),"")</f>
        <v>NO</v>
      </c>
      <c r="M15" s="5" t="str">
        <f>IFERROR(INDEX('Output Utente'!$U$2:$U$492,MATCH(12,'Output Utente'!$Q$2:$Q$492,0)),"")</f>
        <v>Rischio Alto</v>
      </c>
      <c r="N15" s="5" t="str">
        <f>IFERROR(INDEX('Output Utente'!$AE$2:$AE$492,MATCH(12,'Output Utente'!$Q$2:$Q$492,0)),"")</f>
        <v>🟡 Attesa rischiosa</v>
      </c>
    </row>
    <row r="16" spans="1:14" ht="15" customHeight="1" x14ac:dyDescent="0.25">
      <c r="A16" s="41">
        <v>13</v>
      </c>
      <c r="B16" s="5">
        <f>IFERROR(INDEX('Output Utente'!$A$2:$A$492,MATCH(13,'Output Utente'!$Q$2:$Q$492,0)),"")</f>
        <v>6434</v>
      </c>
      <c r="C16" s="5" t="str">
        <f>IFERROR(INDEX('Output Utente'!$B$2:$B$492,MATCH(13,'Output Utente'!$Q$2:$Q$492,0)),"")</f>
        <v>A</v>
      </c>
      <c r="D16" s="5" t="str">
        <f>IFERROR(INDEX('Output Utente'!$C$2:$C$492,MATCH(13,'Output Utente'!$Q$2:$Q$492,0)),"")</f>
        <v>Yildiz</v>
      </c>
      <c r="E16" s="5" t="str">
        <f>IFERROR(INDEX('Input Giocatori 2026_27'!$D$3:$D$493,MATCH($B16,'Input Giocatori 2026_27'!$A$3:$A$493,0)),"")</f>
        <v>Juventus</v>
      </c>
      <c r="F16" s="42">
        <f>IFERROR(INDEX('Output Utente'!$N$2:$N$492,MATCH(13,'Output Utente'!$Q$2:$Q$492,0)),"")</f>
        <v>23</v>
      </c>
      <c r="G16" s="42">
        <f>IFERROR(INDEX('Output Utente'!$O$2:$O$492,MATCH(13,'Output Utente'!$Q$2:$Q$492,0)),"")</f>
        <v>200</v>
      </c>
      <c r="H16" s="5" t="str">
        <f>IFERROR(INDEX('Output Utente'!$P$2:$P$492,MATCH(13,'Output Utente'!$Q$2:$Q$492,0)),"")</f>
        <v>Top</v>
      </c>
      <c r="I16" s="42">
        <f>IFERROR(INDEX('Output Utente'!$F$2:$F$492,MATCH(13,'Output Utente'!$Q$2:$Q$492,0)),"")</f>
        <v>209</v>
      </c>
      <c r="J16" s="42">
        <f>IFERROR(INDEX('Output Utente'!$G$2:$G$492,MATCH(13,'Output Utente'!$Q$2:$Q$492,0)),"")</f>
        <v>131</v>
      </c>
      <c r="K16" s="42">
        <f>IFERROR(INDEX('Output Utente'!$H$2:$H$492,MATCH(13,'Output Utente'!$Q$2:$Q$492,0)),"")</f>
        <v>243</v>
      </c>
      <c r="L16" s="5" t="str">
        <f>IFERROR(INDEX('Output Utente'!$E$2:$E$492,MATCH(13,'Output Utente'!$Q$2:$Q$492,0)),"")</f>
        <v>NO</v>
      </c>
      <c r="M16" s="5" t="str">
        <f>IFERROR(INDEX('Output Utente'!$U$2:$U$492,MATCH(13,'Output Utente'!$Q$2:$Q$492,0)),"")</f>
        <v>Rischio Alto</v>
      </c>
      <c r="N16" s="5" t="str">
        <f>IFERROR(INDEX('Output Utente'!$AE$2:$AE$492,MATCH(13,'Output Utente'!$Q$2:$Q$492,0)),"")</f>
        <v>🟡 Attesa rischiosa</v>
      </c>
    </row>
    <row r="17" spans="1:14" ht="15" customHeight="1" x14ac:dyDescent="0.25">
      <c r="A17" s="41">
        <v>14</v>
      </c>
      <c r="B17" s="5">
        <f>IFERROR(INDEX('Output Utente'!$A$2:$A$492,MATCH(14,'Output Utente'!$Q$2:$Q$492,0)),"")</f>
        <v>2423</v>
      </c>
      <c r="C17" s="5" t="str">
        <f>IFERROR(INDEX('Output Utente'!$B$2:$B$492,MATCH(14,'Output Utente'!$Q$2:$Q$492,0)),"")</f>
        <v>C</v>
      </c>
      <c r="D17" s="5" t="str">
        <f>IFERROR(INDEX('Output Utente'!$C$2:$C$492,MATCH(14,'Output Utente'!$Q$2:$Q$492,0)),"")</f>
        <v>Pulisic</v>
      </c>
      <c r="E17" s="5" t="str">
        <f>IFERROR(INDEX('Input Giocatori 2026_27'!$D$3:$D$493,MATCH($B17,'Input Giocatori 2026_27'!$A$3:$A$493,0)),"")</f>
        <v>Milan</v>
      </c>
      <c r="F17" s="42">
        <f>IFERROR(INDEX('Output Utente'!$N$2:$N$492,MATCH(14,'Output Utente'!$Q$2:$Q$492,0)),"")</f>
        <v>25</v>
      </c>
      <c r="G17" s="42">
        <f>IFERROR(INDEX('Output Utente'!$O$2:$O$492,MATCH(14,'Output Utente'!$Q$2:$Q$492,0)),"")</f>
        <v>180</v>
      </c>
      <c r="H17" s="5" t="str">
        <f>IFERROR(INDEX('Output Utente'!$P$2:$P$492,MATCH(14,'Output Utente'!$Q$2:$Q$492,0)),"")</f>
        <v>Top</v>
      </c>
      <c r="I17" s="42">
        <f>IFERROR(INDEX('Output Utente'!$F$2:$F$492,MATCH(14,'Output Utente'!$Q$2:$Q$492,0)),"")</f>
        <v>122</v>
      </c>
      <c r="J17" s="42">
        <f>IFERROR(INDEX('Output Utente'!$G$2:$G$492,MATCH(14,'Output Utente'!$Q$2:$Q$492,0)),"")</f>
        <v>83</v>
      </c>
      <c r="K17" s="42">
        <f>IFERROR(INDEX('Output Utente'!$H$2:$H$492,MATCH(14,'Output Utente'!$Q$2:$Q$492,0)),"")</f>
        <v>139</v>
      </c>
      <c r="L17" s="5" t="str">
        <f>IFERROR(INDEX('Output Utente'!$E$2:$E$492,MATCH(14,'Output Utente'!$Q$2:$Q$492,0)),"")</f>
        <v>NO</v>
      </c>
      <c r="M17" s="5" t="str">
        <f>IFERROR(INDEX('Output Utente'!$U$2:$U$492,MATCH(14,'Output Utente'!$Q$2:$Q$492,0)),"")</f>
        <v>Rischio Alto</v>
      </c>
      <c r="N17" s="5" t="str">
        <f>IFERROR(INDEX('Output Utente'!$AE$2:$AE$492,MATCH(14,'Output Utente'!$Q$2:$Q$492,0)),"")</f>
        <v>🟡 Attesa rischiosa</v>
      </c>
    </row>
    <row r="18" spans="1:14" ht="15" customHeight="1" x14ac:dyDescent="0.25">
      <c r="A18" s="41">
        <v>15</v>
      </c>
      <c r="B18" s="5">
        <f>IFERROR(INDEX('Output Utente'!$A$2:$A$492,MATCH(15,'Output Utente'!$Q$2:$Q$492,0)),"")</f>
        <v>7017</v>
      </c>
      <c r="C18" s="5" t="str">
        <f>IFERROR(INDEX('Output Utente'!$B$2:$B$492,MATCH(15,'Output Utente'!$Q$2:$Q$492,0)),"")</f>
        <v>A</v>
      </c>
      <c r="D18" s="5" t="str">
        <f>IFERROR(INDEX('Output Utente'!$C$2:$C$492,MATCH(15,'Output Utente'!$Q$2:$Q$492,0)),"")</f>
        <v>Douvikas</v>
      </c>
      <c r="E18" s="5" t="str">
        <f>IFERROR(INDEX('Input Giocatori 2026_27'!$D$3:$D$493,MATCH($B18,'Input Giocatori 2026_27'!$A$3:$A$493,0)),"")</f>
        <v>Como</v>
      </c>
      <c r="F18" s="42">
        <f>IFERROR(INDEX('Output Utente'!$N$2:$N$492,MATCH(15,'Output Utente'!$Q$2:$Q$492,0)),"")</f>
        <v>20</v>
      </c>
      <c r="G18" s="42">
        <f>IFERROR(INDEX('Output Utente'!$O$2:$O$492,MATCH(15,'Output Utente'!$Q$2:$Q$492,0)),"")</f>
        <v>157</v>
      </c>
      <c r="H18" s="5" t="str">
        <f>IFERROR(INDEX('Output Utente'!$P$2:$P$492,MATCH(15,'Output Utente'!$Q$2:$Q$492,0)),"")</f>
        <v>Top</v>
      </c>
      <c r="I18" s="42">
        <f>IFERROR(INDEX('Output Utente'!$F$2:$F$492,MATCH(15,'Output Utente'!$Q$2:$Q$492,0)),"")</f>
        <v>165</v>
      </c>
      <c r="J18" s="42">
        <f>IFERROR(INDEX('Output Utente'!$G$2:$G$492,MATCH(15,'Output Utente'!$Q$2:$Q$492,0)),"")</f>
        <v>103</v>
      </c>
      <c r="K18" s="42">
        <f>IFERROR(INDEX('Output Utente'!$H$2:$H$492,MATCH(15,'Output Utente'!$Q$2:$Q$492,0)),"")</f>
        <v>191</v>
      </c>
      <c r="L18" s="5" t="str">
        <f>IFERROR(INDEX('Output Utente'!$E$2:$E$492,MATCH(15,'Output Utente'!$Q$2:$Q$492,0)),"")</f>
        <v>NO</v>
      </c>
      <c r="M18" s="5" t="str">
        <f>IFERROR(INDEX('Output Utente'!$U$2:$U$492,MATCH(15,'Output Utente'!$Q$2:$Q$492,0)),"")</f>
        <v>Rischio Alto</v>
      </c>
      <c r="N18" s="5" t="str">
        <f>IFERROR(INDEX('Output Utente'!$AE$2:$AE$492,MATCH(15,'Output Utente'!$Q$2:$Q$492,0)),"")</f>
        <v>🟡 Attesa rischiosa</v>
      </c>
    </row>
    <row r="19" spans="1:14" ht="15" customHeight="1" x14ac:dyDescent="0.25">
      <c r="A19" s="41">
        <v>16</v>
      </c>
      <c r="B19" s="5">
        <f>IFERROR(INDEX('Output Utente'!$A$2:$A$492,MATCH(16,'Output Utente'!$Q$2:$Q$492,0)),"")</f>
        <v>2379</v>
      </c>
      <c r="C19" s="5" t="str">
        <f>IFERROR(INDEX('Output Utente'!$B$2:$B$492,MATCH(16,'Output Utente'!$Q$2:$Q$492,0)),"")</f>
        <v>C</v>
      </c>
      <c r="D19" s="5" t="str">
        <f>IFERROR(INDEX('Output Utente'!$C$2:$C$492,MATCH(16,'Output Utente'!$Q$2:$Q$492,0)),"")</f>
        <v>Rabiot</v>
      </c>
      <c r="E19" s="5" t="str">
        <f>IFERROR(INDEX('Input Giocatori 2026_27'!$D$3:$D$493,MATCH($B19,'Input Giocatori 2026_27'!$A$3:$A$493,0)),"")</f>
        <v>Milan</v>
      </c>
      <c r="F19" s="42">
        <f>IFERROR(INDEX('Output Utente'!$N$2:$N$492,MATCH(16,'Output Utente'!$Q$2:$Q$492,0)),"")</f>
        <v>22</v>
      </c>
      <c r="G19" s="42">
        <f>IFERROR(INDEX('Output Utente'!$O$2:$O$492,MATCH(16,'Output Utente'!$Q$2:$Q$492,0)),"")</f>
        <v>128</v>
      </c>
      <c r="H19" s="5" t="str">
        <f>IFERROR(INDEX('Output Utente'!$P$2:$P$492,MATCH(16,'Output Utente'!$Q$2:$Q$492,0)),"")</f>
        <v>Top</v>
      </c>
      <c r="I19" s="42">
        <f>IFERROR(INDEX('Output Utente'!$F$2:$F$492,MATCH(16,'Output Utente'!$Q$2:$Q$492,0)),"")</f>
        <v>86</v>
      </c>
      <c r="J19" s="42">
        <f>IFERROR(INDEX('Output Utente'!$G$2:$G$492,MATCH(16,'Output Utente'!$Q$2:$Q$492,0)),"")</f>
        <v>59</v>
      </c>
      <c r="K19" s="42">
        <f>IFERROR(INDEX('Output Utente'!$H$2:$H$492,MATCH(16,'Output Utente'!$Q$2:$Q$492,0)),"")</f>
        <v>98</v>
      </c>
      <c r="L19" s="5" t="str">
        <f>IFERROR(INDEX('Output Utente'!$E$2:$E$492,MATCH(16,'Output Utente'!$Q$2:$Q$492,0)),"")</f>
        <v>NO</v>
      </c>
      <c r="M19" s="5" t="str">
        <f>IFERROR(INDEX('Output Utente'!$U$2:$U$492,MATCH(16,'Output Utente'!$Q$2:$Q$492,0)),"")</f>
        <v>Attenzione</v>
      </c>
      <c r="N19" s="5" t="str">
        <f>IFERROR(INDEX('Output Utente'!$AE$2:$AE$492,MATCH(16,'Output Utente'!$Q$2:$Q$492,0)),"")</f>
        <v>🟡 Attesa rischiosa</v>
      </c>
    </row>
    <row r="20" spans="1:14" ht="15" customHeight="1" x14ac:dyDescent="0.25">
      <c r="A20" s="41">
        <v>17</v>
      </c>
      <c r="B20" s="5">
        <f>IFERROR(INDEX('Output Utente'!$A$2:$A$492,MATCH(17,'Output Utente'!$Q$2:$Q$492,0)),"")</f>
        <v>2137</v>
      </c>
      <c r="C20" s="5" t="str">
        <f>IFERROR(INDEX('Output Utente'!$B$2:$B$492,MATCH(17,'Output Utente'!$Q$2:$Q$492,0)),"")</f>
        <v>A</v>
      </c>
      <c r="D20" s="5" t="str">
        <f>IFERROR(INDEX('Output Utente'!$C$2:$C$492,MATCH(17,'Output Utente'!$Q$2:$Q$492,0)),"")</f>
        <v>Scamacca</v>
      </c>
      <c r="E20" s="5" t="str">
        <f>IFERROR(INDEX('Input Giocatori 2026_27'!$D$3:$D$493,MATCH($B20,'Input Giocatori 2026_27'!$A$3:$A$493,0)),"")</f>
        <v>Atalanta</v>
      </c>
      <c r="F20" s="42">
        <f>IFERROR(INDEX('Output Utente'!$N$2:$N$492,MATCH(17,'Output Utente'!$Q$2:$Q$492,0)),"")</f>
        <v>19</v>
      </c>
      <c r="G20" s="42">
        <f>IFERROR(INDEX('Output Utente'!$O$2:$O$492,MATCH(17,'Output Utente'!$Q$2:$Q$492,0)),"")</f>
        <v>128</v>
      </c>
      <c r="H20" s="5" t="str">
        <f>IFERROR(INDEX('Output Utente'!$P$2:$P$492,MATCH(17,'Output Utente'!$Q$2:$Q$492,0)),"")</f>
        <v>Buono</v>
      </c>
      <c r="I20" s="42">
        <f>IFERROR(INDEX('Output Utente'!$F$2:$F$492,MATCH(17,'Output Utente'!$Q$2:$Q$492,0)),"")</f>
        <v>134</v>
      </c>
      <c r="J20" s="42">
        <f>IFERROR(INDEX('Output Utente'!$G$2:$G$492,MATCH(17,'Output Utente'!$Q$2:$Q$492,0)),"")</f>
        <v>84</v>
      </c>
      <c r="K20" s="42">
        <f>IFERROR(INDEX('Output Utente'!$H$2:$H$492,MATCH(17,'Output Utente'!$Q$2:$Q$492,0)),"")</f>
        <v>156</v>
      </c>
      <c r="L20" s="5" t="str">
        <f>IFERROR(INDEX('Output Utente'!$E$2:$E$492,MATCH(17,'Output Utente'!$Q$2:$Q$492,0)),"")</f>
        <v>NO</v>
      </c>
      <c r="M20" s="5" t="str">
        <f>IFERROR(INDEX('Output Utente'!$U$2:$U$492,MATCH(17,'Output Utente'!$Q$2:$Q$492,0)),"")</f>
        <v>Rischio Alto</v>
      </c>
      <c r="N20" s="5" t="str">
        <f>IFERROR(INDEX('Output Utente'!$AE$2:$AE$492,MATCH(17,'Output Utente'!$Q$2:$Q$492,0)),"")</f>
        <v>🟡 Attesa rischiosa</v>
      </c>
    </row>
    <row r="21" spans="1:14" ht="15" customHeight="1" x14ac:dyDescent="0.25">
      <c r="A21" s="41">
        <v>18</v>
      </c>
      <c r="B21" s="5">
        <f>IFERROR(INDEX('Output Utente'!$A$2:$A$492,MATCH(18,'Output Utente'!$Q$2:$Q$492,0)),"")</f>
        <v>5637</v>
      </c>
      <c r="C21" s="5" t="str">
        <f>IFERROR(INDEX('Output Utente'!$B$2:$B$492,MATCH(18,'Output Utente'!$Q$2:$Q$492,0)),"")</f>
        <v>A</v>
      </c>
      <c r="D21" s="5" t="str">
        <f>IFERROR(INDEX('Output Utente'!$C$2:$C$492,MATCH(18,'Output Utente'!$Q$2:$Q$492,0)),"")</f>
        <v>Davis K.</v>
      </c>
      <c r="E21" s="5" t="str">
        <f>IFERROR(INDEX('Input Giocatori 2026_27'!$D$3:$D$493,MATCH($B21,'Input Giocatori 2026_27'!$A$3:$A$493,0)),"")</f>
        <v>Udinese</v>
      </c>
      <c r="F21" s="42">
        <f>IFERROR(INDEX('Output Utente'!$N$2:$N$492,MATCH(18,'Output Utente'!$Q$2:$Q$492,0)),"")</f>
        <v>19</v>
      </c>
      <c r="G21" s="42">
        <f>IFERROR(INDEX('Output Utente'!$O$2:$O$492,MATCH(18,'Output Utente'!$Q$2:$Q$492,0)),"")</f>
        <v>121</v>
      </c>
      <c r="H21" s="5" t="str">
        <f>IFERROR(INDEX('Output Utente'!$P$2:$P$492,MATCH(18,'Output Utente'!$Q$2:$Q$492,0)),"")</f>
        <v>Buono</v>
      </c>
      <c r="I21" s="42">
        <f>IFERROR(INDEX('Output Utente'!$F$2:$F$492,MATCH(18,'Output Utente'!$Q$2:$Q$492,0)),"")</f>
        <v>127</v>
      </c>
      <c r="J21" s="42">
        <f>IFERROR(INDEX('Output Utente'!$G$2:$G$492,MATCH(18,'Output Utente'!$Q$2:$Q$492,0)),"")</f>
        <v>79</v>
      </c>
      <c r="K21" s="42">
        <f>IFERROR(INDEX('Output Utente'!$H$2:$H$492,MATCH(18,'Output Utente'!$Q$2:$Q$492,0)),"")</f>
        <v>147</v>
      </c>
      <c r="L21" s="5" t="str">
        <f>IFERROR(INDEX('Output Utente'!$E$2:$E$492,MATCH(18,'Output Utente'!$Q$2:$Q$492,0)),"")</f>
        <v>NO</v>
      </c>
      <c r="M21" s="5" t="str">
        <f>IFERROR(INDEX('Output Utente'!$U$2:$U$492,MATCH(18,'Output Utente'!$Q$2:$Q$492,0)),"")</f>
        <v>Rischio Alto</v>
      </c>
      <c r="N21" s="5" t="str">
        <f>IFERROR(INDEX('Output Utente'!$AE$2:$AE$492,MATCH(18,'Output Utente'!$Q$2:$Q$492,0)),"")</f>
        <v>🟡 Attesa rischiosa</v>
      </c>
    </row>
    <row r="22" spans="1:14" ht="15" customHeight="1" x14ac:dyDescent="0.25">
      <c r="A22" s="41">
        <v>19</v>
      </c>
      <c r="B22" s="5">
        <f>IFERROR(INDEX('Output Utente'!$A$2:$A$492,MATCH(19,'Output Utente'!$Q$2:$Q$492,0)),"")</f>
        <v>4510</v>
      </c>
      <c r="C22" s="5" t="str">
        <f>IFERROR(INDEX('Output Utente'!$B$2:$B$492,MATCH(19,'Output Utente'!$Q$2:$Q$492,0)),"")</f>
        <v>A</v>
      </c>
      <c r="D22" s="5" t="str">
        <f>IFERROR(INDEX('Output Utente'!$C$2:$C$492,MATCH(19,'Output Utente'!$Q$2:$Q$492,0)),"")</f>
        <v>Leao</v>
      </c>
      <c r="E22" s="5" t="str">
        <f>IFERROR(INDEX('Input Giocatori 2026_27'!$D$3:$D$493,MATCH($B22,'Input Giocatori 2026_27'!$A$3:$A$493,0)),"")</f>
        <v>Milan</v>
      </c>
      <c r="F22" s="42">
        <f>IFERROR(INDEX('Output Utente'!$N$2:$N$492,MATCH(19,'Output Utente'!$Q$2:$Q$492,0)),"")</f>
        <v>18</v>
      </c>
      <c r="G22" s="42">
        <f>IFERROR(INDEX('Output Utente'!$O$2:$O$492,MATCH(19,'Output Utente'!$Q$2:$Q$492,0)),"")</f>
        <v>120</v>
      </c>
      <c r="H22" s="5" t="str">
        <f>IFERROR(INDEX('Output Utente'!$P$2:$P$492,MATCH(19,'Output Utente'!$Q$2:$Q$492,0)),"")</f>
        <v>Buono</v>
      </c>
      <c r="I22" s="42">
        <f>IFERROR(INDEX('Output Utente'!$F$2:$F$492,MATCH(19,'Output Utente'!$Q$2:$Q$492,0)),"")</f>
        <v>124</v>
      </c>
      <c r="J22" s="42">
        <f>IFERROR(INDEX('Output Utente'!$G$2:$G$492,MATCH(19,'Output Utente'!$Q$2:$Q$492,0)),"")</f>
        <v>77</v>
      </c>
      <c r="K22" s="42">
        <f>IFERROR(INDEX('Output Utente'!$H$2:$H$492,MATCH(19,'Output Utente'!$Q$2:$Q$492,0)),"")</f>
        <v>144</v>
      </c>
      <c r="L22" s="5" t="str">
        <f>IFERROR(INDEX('Output Utente'!$E$2:$E$492,MATCH(19,'Output Utente'!$Q$2:$Q$492,0)),"")</f>
        <v>NO</v>
      </c>
      <c r="M22" s="5" t="str">
        <f>IFERROR(INDEX('Output Utente'!$U$2:$U$492,MATCH(19,'Output Utente'!$Q$2:$Q$492,0)),"")</f>
        <v>Rischio Alto</v>
      </c>
      <c r="N22" s="5" t="str">
        <f>IFERROR(INDEX('Output Utente'!$AE$2:$AE$492,MATCH(19,'Output Utente'!$Q$2:$Q$492,0)),"")</f>
        <v>🟡 Attesa rischiosa</v>
      </c>
    </row>
    <row r="23" spans="1:14" ht="15" customHeight="1" x14ac:dyDescent="0.25">
      <c r="A23" s="41">
        <v>20</v>
      </c>
      <c r="B23" s="5">
        <f>IFERROR(INDEX('Output Utente'!$A$2:$A$492,MATCH(20,'Output Utente'!$Q$2:$Q$492,0)),"")</f>
        <v>531</v>
      </c>
      <c r="C23" s="5" t="str">
        <f>IFERROR(INDEX('Output Utente'!$B$2:$B$492,MATCH(20,'Output Utente'!$Q$2:$Q$492,0)),"")</f>
        <v>A</v>
      </c>
      <c r="D23" s="5" t="str">
        <f>IFERROR(INDEX('Output Utente'!$C$2:$C$492,MATCH(20,'Output Utente'!$Q$2:$Q$492,0)),"")</f>
        <v>Berardi</v>
      </c>
      <c r="E23" s="5" t="str">
        <f>IFERROR(INDEX('Input Giocatori 2026_27'!$D$3:$D$493,MATCH($B23,'Input Giocatori 2026_27'!$A$3:$A$493,0)),"")</f>
        <v>Sassuolo</v>
      </c>
      <c r="F23" s="42">
        <f>IFERROR(INDEX('Output Utente'!$N$2:$N$492,MATCH(20,'Output Utente'!$Q$2:$Q$492,0)),"")</f>
        <v>18</v>
      </c>
      <c r="G23" s="42">
        <f>IFERROR(INDEX('Output Utente'!$O$2:$O$492,MATCH(20,'Output Utente'!$Q$2:$Q$492,0)),"")</f>
        <v>115</v>
      </c>
      <c r="H23" s="5" t="str">
        <f>IFERROR(INDEX('Output Utente'!$P$2:$P$492,MATCH(20,'Output Utente'!$Q$2:$Q$492,0)),"")</f>
        <v>Buono</v>
      </c>
      <c r="I23" s="42">
        <f>IFERROR(INDEX('Output Utente'!$F$2:$F$492,MATCH(20,'Output Utente'!$Q$2:$Q$492,0)),"")</f>
        <v>120</v>
      </c>
      <c r="J23" s="42">
        <f>IFERROR(INDEX('Output Utente'!$G$2:$G$492,MATCH(20,'Output Utente'!$Q$2:$Q$492,0)),"")</f>
        <v>75</v>
      </c>
      <c r="K23" s="42">
        <f>IFERROR(INDEX('Output Utente'!$H$2:$H$492,MATCH(20,'Output Utente'!$Q$2:$Q$492,0)),"")</f>
        <v>139</v>
      </c>
      <c r="L23" s="5" t="str">
        <f>IFERROR(INDEX('Output Utente'!$E$2:$E$492,MATCH(20,'Output Utente'!$Q$2:$Q$492,0)),"")</f>
        <v>NO</v>
      </c>
      <c r="M23" s="5" t="str">
        <f>IFERROR(INDEX('Output Utente'!$U$2:$U$492,MATCH(20,'Output Utente'!$Q$2:$Q$492,0)),"")</f>
        <v>Attenzione</v>
      </c>
      <c r="N23" s="5" t="str">
        <f>IFERROR(INDEX('Output Utente'!$AE$2:$AE$492,MATCH(20,'Output Utente'!$Q$2:$Q$492,0)),"")</f>
        <v>🟡 Attesa rischiosa</v>
      </c>
    </row>
    <row r="24" spans="1:14" ht="15" customHeight="1" x14ac:dyDescent="0.25">
      <c r="A24" s="41">
        <v>21</v>
      </c>
      <c r="B24" s="5">
        <f>IFERROR(INDEX('Output Utente'!$A$2:$A$492,MATCH(21,'Output Utente'!$Q$2:$Q$492,0)),"")</f>
        <v>5995</v>
      </c>
      <c r="C24" s="5" t="str">
        <f>IFERROR(INDEX('Output Utente'!$B$2:$B$492,MATCH(21,'Output Utente'!$Q$2:$Q$492,0)),"")</f>
        <v>A</v>
      </c>
      <c r="D24" s="5" t="str">
        <f>IFERROR(INDEX('Output Utente'!$C$2:$C$492,MATCH(21,'Output Utente'!$Q$2:$Q$492,0)),"")</f>
        <v>De Ketelaere</v>
      </c>
      <c r="E24" s="5" t="str">
        <f>IFERROR(INDEX('Input Giocatori 2026_27'!$D$3:$D$493,MATCH($B24,'Input Giocatori 2026_27'!$A$3:$A$493,0)),"")</f>
        <v>Atalanta</v>
      </c>
      <c r="F24" s="42">
        <f>IFERROR(INDEX('Output Utente'!$N$2:$N$492,MATCH(21,'Output Utente'!$Q$2:$Q$492,0)),"")</f>
        <v>17</v>
      </c>
      <c r="G24" s="42">
        <f>IFERROR(INDEX('Output Utente'!$O$2:$O$492,MATCH(21,'Output Utente'!$Q$2:$Q$492,0)),"")</f>
        <v>106</v>
      </c>
      <c r="H24" s="5" t="str">
        <f>IFERROR(INDEX('Output Utente'!$P$2:$P$492,MATCH(21,'Output Utente'!$Q$2:$Q$492,0)),"")</f>
        <v>Buono</v>
      </c>
      <c r="I24" s="42">
        <f>IFERROR(INDEX('Output Utente'!$F$2:$F$492,MATCH(21,'Output Utente'!$Q$2:$Q$492,0)),"")</f>
        <v>109</v>
      </c>
      <c r="J24" s="42">
        <f>IFERROR(INDEX('Output Utente'!$G$2:$G$492,MATCH(21,'Output Utente'!$Q$2:$Q$492,0)),"")</f>
        <v>68</v>
      </c>
      <c r="K24" s="42">
        <f>IFERROR(INDEX('Output Utente'!$H$2:$H$492,MATCH(21,'Output Utente'!$Q$2:$Q$492,0)),"")</f>
        <v>126</v>
      </c>
      <c r="L24" s="5" t="str">
        <f>IFERROR(INDEX('Output Utente'!$E$2:$E$492,MATCH(21,'Output Utente'!$Q$2:$Q$492,0)),"")</f>
        <v>NO</v>
      </c>
      <c r="M24" s="5" t="str">
        <f>IFERROR(INDEX('Output Utente'!$U$2:$U$492,MATCH(21,'Output Utente'!$Q$2:$Q$492,0)),"")</f>
        <v>Attenzione</v>
      </c>
      <c r="N24" s="5" t="str">
        <f>IFERROR(INDEX('Output Utente'!$AE$2:$AE$492,MATCH(21,'Output Utente'!$Q$2:$Q$492,0)),"")</f>
        <v>🟡 Attesa rischiosa</v>
      </c>
    </row>
    <row r="25" spans="1:14" ht="15" customHeight="1" x14ac:dyDescent="0.25">
      <c r="A25" s="41">
        <v>22</v>
      </c>
      <c r="B25" s="5">
        <f>IFERROR(INDEX('Output Utente'!$A$2:$A$492,MATCH(22,'Output Utente'!$Q$2:$Q$492,0)),"")</f>
        <v>7126</v>
      </c>
      <c r="C25" s="5" t="str">
        <f>IFERROR(INDEX('Output Utente'!$B$2:$B$492,MATCH(22,'Output Utente'!$Q$2:$Q$492,0)),"")</f>
        <v>C</v>
      </c>
      <c r="D25" s="5" t="str">
        <f>IFERROR(INDEX('Output Utente'!$C$2:$C$492,MATCH(22,'Output Utente'!$Q$2:$Q$492,0)),"")</f>
        <v>Baturina</v>
      </c>
      <c r="E25" s="5" t="str">
        <f>IFERROR(INDEX('Input Giocatori 2026_27'!$D$3:$D$493,MATCH($B25,'Input Giocatori 2026_27'!$A$3:$A$493,0)),"")</f>
        <v>Como</v>
      </c>
      <c r="F25" s="42">
        <f>IFERROR(INDEX('Output Utente'!$N$2:$N$492,MATCH(22,'Output Utente'!$Q$2:$Q$492,0)),"")</f>
        <v>19</v>
      </c>
      <c r="G25" s="42">
        <f>IFERROR(INDEX('Output Utente'!$O$2:$O$492,MATCH(22,'Output Utente'!$Q$2:$Q$492,0)),"")</f>
        <v>102</v>
      </c>
      <c r="H25" s="5" t="str">
        <f>IFERROR(INDEX('Output Utente'!$P$2:$P$492,MATCH(22,'Output Utente'!$Q$2:$Q$492,0)),"")</f>
        <v>Top</v>
      </c>
      <c r="I25" s="42">
        <f>IFERROR(INDEX('Output Utente'!$F$2:$F$492,MATCH(22,'Output Utente'!$Q$2:$Q$492,0)),"")</f>
        <v>69</v>
      </c>
      <c r="J25" s="42">
        <f>IFERROR(INDEX('Output Utente'!$G$2:$G$492,MATCH(22,'Output Utente'!$Q$2:$Q$492,0)),"")</f>
        <v>47</v>
      </c>
      <c r="K25" s="42">
        <f>IFERROR(INDEX('Output Utente'!$H$2:$H$492,MATCH(22,'Output Utente'!$Q$2:$Q$492,0)),"")</f>
        <v>79</v>
      </c>
      <c r="L25" s="5" t="str">
        <f>IFERROR(INDEX('Output Utente'!$E$2:$E$492,MATCH(22,'Output Utente'!$Q$2:$Q$492,0)),"")</f>
        <v>NO</v>
      </c>
      <c r="M25" s="5" t="str">
        <f>IFERROR(INDEX('Output Utente'!$U$2:$U$492,MATCH(22,'Output Utente'!$Q$2:$Q$492,0)),"")</f>
        <v>Attenzione</v>
      </c>
      <c r="N25" s="5" t="str">
        <f>IFERROR(INDEX('Output Utente'!$AE$2:$AE$492,MATCH(22,'Output Utente'!$Q$2:$Q$492,0)),"")</f>
        <v>🟡 Attesa rischiosa</v>
      </c>
    </row>
    <row r="26" spans="1:14" ht="15" customHeight="1" x14ac:dyDescent="0.25">
      <c r="A26" s="41">
        <v>23</v>
      </c>
      <c r="B26" s="5">
        <f>IFERROR(INDEX('Output Utente'!$A$2:$A$492,MATCH(23,'Output Utente'!$Q$2:$Q$492,0)),"")</f>
        <v>2517</v>
      </c>
      <c r="C26" s="5" t="str">
        <f>IFERROR(INDEX('Output Utente'!$B$2:$B$492,MATCH(23,'Output Utente'!$Q$2:$Q$492,0)),"")</f>
        <v>C</v>
      </c>
      <c r="D26" s="5" t="str">
        <f>IFERROR(INDEX('Output Utente'!$C$2:$C$492,MATCH(23,'Output Utente'!$Q$2:$Q$492,0)),"")</f>
        <v>De Bruyne</v>
      </c>
      <c r="E26" s="5" t="str">
        <f>IFERROR(INDEX('Input Giocatori 2026_27'!$D$3:$D$493,MATCH($B26,'Input Giocatori 2026_27'!$A$3:$A$493,0)),"")</f>
        <v>Napoli</v>
      </c>
      <c r="F26" s="42">
        <f>IFERROR(INDEX('Output Utente'!$N$2:$N$492,MATCH(23,'Output Utente'!$Q$2:$Q$492,0)),"")</f>
        <v>15</v>
      </c>
      <c r="G26" s="42">
        <f>IFERROR(INDEX('Output Utente'!$O$2:$O$492,MATCH(23,'Output Utente'!$Q$2:$Q$492,0)),"")</f>
        <v>100</v>
      </c>
      <c r="H26" s="5" t="str">
        <f>IFERROR(INDEX('Output Utente'!$P$2:$P$492,MATCH(23,'Output Utente'!$Q$2:$Q$492,0)),"")</f>
        <v>Top</v>
      </c>
      <c r="I26" s="42">
        <f>IFERROR(INDEX('Output Utente'!$F$2:$F$492,MATCH(23,'Output Utente'!$Q$2:$Q$492,0)),"")</f>
        <v>68</v>
      </c>
      <c r="J26" s="42">
        <f>IFERROR(INDEX('Output Utente'!$G$2:$G$492,MATCH(23,'Output Utente'!$Q$2:$Q$492,0)),"")</f>
        <v>46</v>
      </c>
      <c r="K26" s="42">
        <f>IFERROR(INDEX('Output Utente'!$H$2:$H$492,MATCH(23,'Output Utente'!$Q$2:$Q$492,0)),"")</f>
        <v>77</v>
      </c>
      <c r="L26" s="5" t="str">
        <f>IFERROR(INDEX('Output Utente'!$E$2:$E$492,MATCH(23,'Output Utente'!$Q$2:$Q$492,0)),"")</f>
        <v>NO</v>
      </c>
      <c r="M26" s="5" t="str">
        <f>IFERROR(INDEX('Output Utente'!$U$2:$U$492,MATCH(23,'Output Utente'!$Q$2:$Q$492,0)),"")</f>
        <v>Attenzione</v>
      </c>
      <c r="N26" s="5" t="str">
        <f>IFERROR(INDEX('Output Utente'!$AE$2:$AE$492,MATCH(23,'Output Utente'!$Q$2:$Q$492,0)),"")</f>
        <v>🟡 Attesa rischiosa</v>
      </c>
    </row>
    <row r="27" spans="1:14" ht="15" customHeight="1" x14ac:dyDescent="0.25">
      <c r="A27" s="41">
        <v>24</v>
      </c>
      <c r="B27" s="5">
        <f>IFERROR(INDEX('Output Utente'!$A$2:$A$492,MATCH(24,'Output Utente'!$Q$2:$Q$492,0)),"")</f>
        <v>6435</v>
      </c>
      <c r="C27" s="5" t="str">
        <f>IFERROR(INDEX('Output Utente'!$B$2:$B$492,MATCH(24,'Output Utente'!$Q$2:$Q$492,0)),"")</f>
        <v>A</v>
      </c>
      <c r="D27" s="5" t="str">
        <f>IFERROR(INDEX('Output Utente'!$C$2:$C$492,MATCH(24,'Output Utente'!$Q$2:$Q$492,0)),"")</f>
        <v>Krstovic</v>
      </c>
      <c r="E27" s="5" t="str">
        <f>IFERROR(INDEX('Input Giocatori 2026_27'!$D$3:$D$493,MATCH($B27,'Input Giocatori 2026_27'!$A$3:$A$493,0)),"")</f>
        <v>Atalanta</v>
      </c>
      <c r="F27" s="42">
        <f>IFERROR(INDEX('Output Utente'!$N$2:$N$492,MATCH(24,'Output Utente'!$Q$2:$Q$492,0)),"")</f>
        <v>18</v>
      </c>
      <c r="G27" s="42">
        <f>IFERROR(INDEX('Output Utente'!$O$2:$O$492,MATCH(24,'Output Utente'!$Q$2:$Q$492,0)),"")</f>
        <v>100</v>
      </c>
      <c r="H27" s="5" t="str">
        <f>IFERROR(INDEX('Output Utente'!$P$2:$P$492,MATCH(24,'Output Utente'!$Q$2:$Q$492,0)),"")</f>
        <v>Buono</v>
      </c>
      <c r="I27" s="42">
        <f>IFERROR(INDEX('Output Utente'!$F$2:$F$492,MATCH(24,'Output Utente'!$Q$2:$Q$492,0)),"")</f>
        <v>104</v>
      </c>
      <c r="J27" s="42">
        <f>IFERROR(INDEX('Output Utente'!$G$2:$G$492,MATCH(24,'Output Utente'!$Q$2:$Q$492,0)),"")</f>
        <v>65</v>
      </c>
      <c r="K27" s="42">
        <f>IFERROR(INDEX('Output Utente'!$H$2:$H$492,MATCH(24,'Output Utente'!$Q$2:$Q$492,0)),"")</f>
        <v>121</v>
      </c>
      <c r="L27" s="5" t="str">
        <f>IFERROR(INDEX('Output Utente'!$E$2:$E$492,MATCH(24,'Output Utente'!$Q$2:$Q$492,0)),"")</f>
        <v>NO</v>
      </c>
      <c r="M27" s="5" t="str">
        <f>IFERROR(INDEX('Output Utente'!$U$2:$U$492,MATCH(24,'Output Utente'!$Q$2:$Q$492,0)),"")</f>
        <v>Attenzione</v>
      </c>
      <c r="N27" s="5" t="str">
        <f>IFERROR(INDEX('Output Utente'!$AE$2:$AE$492,MATCH(24,'Output Utente'!$Q$2:$Q$492,0)),"")</f>
        <v>🟡 Attesa rischiosa</v>
      </c>
    </row>
    <row r="28" spans="1:14" ht="15" customHeight="1" x14ac:dyDescent="0.25">
      <c r="A28" s="41">
        <v>25</v>
      </c>
      <c r="B28" s="5">
        <f>IFERROR(INDEX('Output Utente'!$A$2:$A$492,MATCH(25,'Output Utente'!$Q$2:$Q$492,0)),"")</f>
        <v>7071</v>
      </c>
      <c r="C28" s="5" t="str">
        <f>IFERROR(INDEX('Output Utente'!$B$2:$B$492,MATCH(25,'Output Utente'!$Q$2:$Q$492,0)),"")</f>
        <v>A</v>
      </c>
      <c r="D28" s="5" t="str">
        <f>IFERROR(INDEX('Output Utente'!$C$2:$C$492,MATCH(25,'Output Utente'!$Q$2:$Q$492,0)),"")</f>
        <v>Esposito F.P.</v>
      </c>
      <c r="E28" s="5" t="str">
        <f>IFERROR(INDEX('Input Giocatori 2026_27'!$D$3:$D$493,MATCH($B28,'Input Giocatori 2026_27'!$A$3:$A$493,0)),"")</f>
        <v>Inter</v>
      </c>
      <c r="F28" s="42">
        <f>IFERROR(INDEX('Output Utente'!$N$2:$N$492,MATCH(25,'Output Utente'!$Q$2:$Q$492,0)),"")</f>
        <v>16</v>
      </c>
      <c r="G28" s="42">
        <f>IFERROR(INDEX('Output Utente'!$O$2:$O$492,MATCH(25,'Output Utente'!$Q$2:$Q$492,0)),"")</f>
        <v>93</v>
      </c>
      <c r="H28" s="5" t="str">
        <f>IFERROR(INDEX('Output Utente'!$P$2:$P$492,MATCH(25,'Output Utente'!$Q$2:$Q$492,0)),"")</f>
        <v>Buono</v>
      </c>
      <c r="I28" s="42">
        <f>IFERROR(INDEX('Output Utente'!$F$2:$F$492,MATCH(25,'Output Utente'!$Q$2:$Q$492,0)),"")</f>
        <v>96</v>
      </c>
      <c r="J28" s="42">
        <f>IFERROR(INDEX('Output Utente'!$G$2:$G$492,MATCH(25,'Output Utente'!$Q$2:$Q$492,0)),"")</f>
        <v>60</v>
      </c>
      <c r="K28" s="42">
        <f>IFERROR(INDEX('Output Utente'!$H$2:$H$492,MATCH(25,'Output Utente'!$Q$2:$Q$492,0)),"")</f>
        <v>112</v>
      </c>
      <c r="L28" s="5" t="str">
        <f>IFERROR(INDEX('Output Utente'!$E$2:$E$492,MATCH(25,'Output Utente'!$Q$2:$Q$492,0)),"")</f>
        <v>NO</v>
      </c>
      <c r="M28" s="5" t="str">
        <f>IFERROR(INDEX('Output Utente'!$U$2:$U$492,MATCH(25,'Output Utente'!$Q$2:$Q$492,0)),"")</f>
        <v>Attenzione</v>
      </c>
      <c r="N28" s="5" t="str">
        <f>IFERROR(INDEX('Output Utente'!$AE$2:$AE$492,MATCH(25,'Output Utente'!$Q$2:$Q$492,0)),"")</f>
        <v>🟡 Attesa rischiosa</v>
      </c>
    </row>
    <row r="29" spans="1:14" ht="15" customHeight="1" x14ac:dyDescent="0.25">
      <c r="A29" s="41">
        <v>26</v>
      </c>
      <c r="B29" s="5">
        <f>IFERROR(INDEX('Output Utente'!$A$2:$A$492,MATCH(26,'Output Utente'!$Q$2:$Q$492,0)),"")</f>
        <v>632</v>
      </c>
      <c r="C29" s="5" t="str">
        <f>IFERROR(INDEX('Output Utente'!$B$2:$B$492,MATCH(26,'Output Utente'!$Q$2:$Q$492,0)),"")</f>
        <v>C</v>
      </c>
      <c r="D29" s="5" t="str">
        <f>IFERROR(INDEX('Output Utente'!$C$2:$C$492,MATCH(26,'Output Utente'!$Q$2:$Q$492,0)),"")</f>
        <v>Zaccagni</v>
      </c>
      <c r="E29" s="5" t="str">
        <f>IFERROR(INDEX('Input Giocatori 2026_27'!$D$3:$D$493,MATCH($B29,'Input Giocatori 2026_27'!$A$3:$A$493,0)),"")</f>
        <v>Lazio</v>
      </c>
      <c r="F29" s="42">
        <f>IFERROR(INDEX('Output Utente'!$N$2:$N$492,MATCH(26,'Output Utente'!$Q$2:$Q$492,0)),"")</f>
        <v>16</v>
      </c>
      <c r="G29" s="42">
        <f>IFERROR(INDEX('Output Utente'!$O$2:$O$492,MATCH(26,'Output Utente'!$Q$2:$Q$492,0)),"")</f>
        <v>91</v>
      </c>
      <c r="H29" s="5" t="str">
        <f>IFERROR(INDEX('Output Utente'!$P$2:$P$492,MATCH(26,'Output Utente'!$Q$2:$Q$492,0)),"")</f>
        <v>Top</v>
      </c>
      <c r="I29" s="42">
        <f>IFERROR(INDEX('Output Utente'!$F$2:$F$492,MATCH(26,'Output Utente'!$Q$2:$Q$492,0)),"")</f>
        <v>60</v>
      </c>
      <c r="J29" s="42">
        <f>IFERROR(INDEX('Output Utente'!$G$2:$G$492,MATCH(26,'Output Utente'!$Q$2:$Q$492,0)),"")</f>
        <v>41</v>
      </c>
      <c r="K29" s="42">
        <f>IFERROR(INDEX('Output Utente'!$H$2:$H$492,MATCH(26,'Output Utente'!$Q$2:$Q$492,0)),"")</f>
        <v>68</v>
      </c>
      <c r="L29" s="5" t="str">
        <f>IFERROR(INDEX('Output Utente'!$E$2:$E$492,MATCH(26,'Output Utente'!$Q$2:$Q$492,0)),"")</f>
        <v>NO</v>
      </c>
      <c r="M29" s="5" t="str">
        <f>IFERROR(INDEX('Output Utente'!$U$2:$U$492,MATCH(26,'Output Utente'!$Q$2:$Q$492,0)),"")</f>
        <v>OK</v>
      </c>
      <c r="N29" s="5" t="str">
        <f>IFERROR(INDEX('Output Utente'!$AE$2:$AE$492,MATCH(26,'Output Utente'!$Q$2:$Q$492,0)),"")</f>
        <v>🟡 Attesa rischiosa</v>
      </c>
    </row>
    <row r="30" spans="1:14" ht="15" customHeight="1" x14ac:dyDescent="0.25">
      <c r="A30" s="41">
        <v>27</v>
      </c>
      <c r="B30" s="5">
        <f>IFERROR(INDEX('Output Utente'!$A$2:$A$492,MATCH(27,'Output Utente'!$Q$2:$Q$492,0)),"")</f>
        <v>7181</v>
      </c>
      <c r="C30" s="5" t="str">
        <f>IFERROR(INDEX('Output Utente'!$B$2:$B$492,MATCH(27,'Output Utente'!$Q$2:$Q$492,0)),"")</f>
        <v>D</v>
      </c>
      <c r="D30" s="5" t="str">
        <f>IFERROR(INDEX('Output Utente'!$C$2:$C$492,MATCH(27,'Output Utente'!$Q$2:$Q$492,0)),"")</f>
        <v>Wesley</v>
      </c>
      <c r="E30" s="5" t="str">
        <f>IFERROR(INDEX('Input Giocatori 2026_27'!$D$3:$D$493,MATCH($B30,'Input Giocatori 2026_27'!$A$3:$A$493,0)),"")</f>
        <v>Roma</v>
      </c>
      <c r="F30" s="42">
        <f>IFERROR(INDEX('Output Utente'!$N$2:$N$492,MATCH(27,'Output Utente'!$Q$2:$Q$492,0)),"")</f>
        <v>17</v>
      </c>
      <c r="G30" s="42">
        <f>IFERROR(INDEX('Output Utente'!$O$2:$O$492,MATCH(27,'Output Utente'!$Q$2:$Q$492,0)),"")</f>
        <v>90</v>
      </c>
      <c r="H30" s="5" t="str">
        <f>IFERROR(INDEX('Output Utente'!$P$2:$P$492,MATCH(27,'Output Utente'!$Q$2:$Q$492,0)),"")</f>
        <v>Top</v>
      </c>
      <c r="I30" s="42">
        <f>IFERROR(INDEX('Output Utente'!$F$2:$F$492,MATCH(27,'Output Utente'!$Q$2:$Q$492,0)),"")</f>
        <v>62</v>
      </c>
      <c r="J30" s="42">
        <f>IFERROR(INDEX('Output Utente'!$G$2:$G$492,MATCH(27,'Output Utente'!$Q$2:$Q$492,0)),"")</f>
        <v>46</v>
      </c>
      <c r="K30" s="42">
        <f>IFERROR(INDEX('Output Utente'!$H$2:$H$492,MATCH(27,'Output Utente'!$Q$2:$Q$492,0)),"")</f>
        <v>69</v>
      </c>
      <c r="L30" s="5" t="str">
        <f>IFERROR(INDEX('Output Utente'!$E$2:$E$492,MATCH(27,'Output Utente'!$Q$2:$Q$492,0)),"")</f>
        <v>NO</v>
      </c>
      <c r="M30" s="5" t="str">
        <f>IFERROR(INDEX('Output Utente'!$U$2:$U$492,MATCH(27,'Output Utente'!$Q$2:$Q$492,0)),"")</f>
        <v>Attenzione</v>
      </c>
      <c r="N30" s="5" t="str">
        <f>IFERROR(INDEX('Output Utente'!$AE$2:$AE$492,MATCH(27,'Output Utente'!$Q$2:$Q$492,0)),"")</f>
        <v>🟢 Puoi aspettare</v>
      </c>
    </row>
    <row r="31" spans="1:14" ht="15" customHeight="1" x14ac:dyDescent="0.25">
      <c r="A31" s="41">
        <v>28</v>
      </c>
      <c r="B31" s="5">
        <f>IFERROR(INDEX('Output Utente'!$A$2:$A$492,MATCH(28,'Output Utente'!$Q$2:$Q$492,0)),"")</f>
        <v>5559</v>
      </c>
      <c r="C31" s="5" t="str">
        <f>IFERROR(INDEX('Output Utente'!$B$2:$B$492,MATCH(28,'Output Utente'!$Q$2:$Q$492,0)),"")</f>
        <v>C</v>
      </c>
      <c r="D31" s="5" t="str">
        <f>IFERROR(INDEX('Output Utente'!$C$2:$C$492,MATCH(28,'Output Utente'!$Q$2:$Q$492,0)),"")</f>
        <v>Da Cunha</v>
      </c>
      <c r="E31" s="5" t="str">
        <f>IFERROR(INDEX('Input Giocatori 2026_27'!$D$3:$D$493,MATCH($B31,'Input Giocatori 2026_27'!$A$3:$A$493,0)),"")</f>
        <v>Como</v>
      </c>
      <c r="F31" s="42">
        <f>IFERROR(INDEX('Output Utente'!$N$2:$N$492,MATCH(28,'Output Utente'!$Q$2:$Q$492,0)),"")</f>
        <v>18</v>
      </c>
      <c r="G31" s="42">
        <f>IFERROR(INDEX('Output Utente'!$O$2:$O$492,MATCH(28,'Output Utente'!$Q$2:$Q$492,0)),"")</f>
        <v>90</v>
      </c>
      <c r="H31" s="5" t="str">
        <f>IFERROR(INDEX('Output Utente'!$P$2:$P$492,MATCH(28,'Output Utente'!$Q$2:$Q$492,0)),"")</f>
        <v>Top</v>
      </c>
      <c r="I31" s="42">
        <f>IFERROR(INDEX('Output Utente'!$F$2:$F$492,MATCH(28,'Output Utente'!$Q$2:$Q$492,0)),"")</f>
        <v>61</v>
      </c>
      <c r="J31" s="42">
        <f>IFERROR(INDEX('Output Utente'!$G$2:$G$492,MATCH(28,'Output Utente'!$Q$2:$Q$492,0)),"")</f>
        <v>41</v>
      </c>
      <c r="K31" s="42">
        <f>IFERROR(INDEX('Output Utente'!$H$2:$H$492,MATCH(28,'Output Utente'!$Q$2:$Q$492,0)),"")</f>
        <v>69</v>
      </c>
      <c r="L31" s="5" t="str">
        <f>IFERROR(INDEX('Output Utente'!$E$2:$E$492,MATCH(28,'Output Utente'!$Q$2:$Q$492,0)),"")</f>
        <v>NO</v>
      </c>
      <c r="M31" s="5" t="str">
        <f>IFERROR(INDEX('Output Utente'!$U$2:$U$492,MATCH(28,'Output Utente'!$Q$2:$Q$492,0)),"")</f>
        <v>Attenzione</v>
      </c>
      <c r="N31" s="5" t="str">
        <f>IFERROR(INDEX('Output Utente'!$AE$2:$AE$492,MATCH(28,'Output Utente'!$Q$2:$Q$492,0)),"")</f>
        <v>🟡 Attesa rischiosa</v>
      </c>
    </row>
    <row r="32" spans="1:14" ht="15" customHeight="1" x14ac:dyDescent="0.25">
      <c r="A32" s="41">
        <v>29</v>
      </c>
      <c r="B32" s="5">
        <f>IFERROR(INDEX('Output Utente'!$A$2:$A$492,MATCH(29,'Output Utente'!$Q$2:$Q$492,0)),"")</f>
        <v>2766</v>
      </c>
      <c r="C32" s="5" t="str">
        <f>IFERROR(INDEX('Output Utente'!$B$2:$B$492,MATCH(29,'Output Utente'!$Q$2:$Q$492,0)),"")</f>
        <v>C</v>
      </c>
      <c r="D32" s="5" t="str">
        <f>IFERROR(INDEX('Output Utente'!$C$2:$C$492,MATCH(29,'Output Utente'!$Q$2:$Q$492,0)),"")</f>
        <v>Zaniolo</v>
      </c>
      <c r="E32" s="5" t="str">
        <f>IFERROR(INDEX('Input Giocatori 2026_27'!$D$3:$D$493,MATCH($B32,'Input Giocatori 2026_27'!$A$3:$A$493,0)),"")</f>
        <v>Udinese</v>
      </c>
      <c r="F32" s="42">
        <f>IFERROR(INDEX('Output Utente'!$N$2:$N$492,MATCH(29,'Output Utente'!$Q$2:$Q$492,0)),"")</f>
        <v>18</v>
      </c>
      <c r="G32" s="42">
        <f>IFERROR(INDEX('Output Utente'!$O$2:$O$492,MATCH(29,'Output Utente'!$Q$2:$Q$492,0)),"")</f>
        <v>90</v>
      </c>
      <c r="H32" s="5" t="str">
        <f>IFERROR(INDEX('Output Utente'!$P$2:$P$492,MATCH(29,'Output Utente'!$Q$2:$Q$492,0)),"")</f>
        <v>Top</v>
      </c>
      <c r="I32" s="42">
        <f>IFERROR(INDEX('Output Utente'!$F$2:$F$492,MATCH(29,'Output Utente'!$Q$2:$Q$492,0)),"")</f>
        <v>61</v>
      </c>
      <c r="J32" s="42">
        <f>IFERROR(INDEX('Output Utente'!$G$2:$G$492,MATCH(29,'Output Utente'!$Q$2:$Q$492,0)),"")</f>
        <v>41</v>
      </c>
      <c r="K32" s="42">
        <f>IFERROR(INDEX('Output Utente'!$H$2:$H$492,MATCH(29,'Output Utente'!$Q$2:$Q$492,0)),"")</f>
        <v>69</v>
      </c>
      <c r="L32" s="5" t="str">
        <f>IFERROR(INDEX('Output Utente'!$E$2:$E$492,MATCH(29,'Output Utente'!$Q$2:$Q$492,0)),"")</f>
        <v>NO</v>
      </c>
      <c r="M32" s="5" t="str">
        <f>IFERROR(INDEX('Output Utente'!$U$2:$U$492,MATCH(29,'Output Utente'!$Q$2:$Q$492,0)),"")</f>
        <v>Attenzione</v>
      </c>
      <c r="N32" s="5" t="str">
        <f>IFERROR(INDEX('Output Utente'!$AE$2:$AE$492,MATCH(29,'Output Utente'!$Q$2:$Q$492,0)),"")</f>
        <v>🟡 Attesa rischiosa</v>
      </c>
    </row>
    <row r="33" spans="1:14" ht="15" customHeight="1" x14ac:dyDescent="0.25">
      <c r="A33" s="41">
        <v>30</v>
      </c>
      <c r="B33" s="5">
        <f>IFERROR(INDEX('Output Utente'!$A$2:$A$492,MATCH(30,'Output Utente'!$Q$2:$Q$492,0)),"")</f>
        <v>6060</v>
      </c>
      <c r="C33" s="5" t="str">
        <f>IFERROR(INDEX('Output Utente'!$B$2:$B$492,MATCH(30,'Output Utente'!$Q$2:$Q$492,0)),"")</f>
        <v>A</v>
      </c>
      <c r="D33" s="5" t="str">
        <f>IFERROR(INDEX('Output Utente'!$C$2:$C$492,MATCH(30,'Output Utente'!$Q$2:$Q$492,0)),"")</f>
        <v>Laurientè</v>
      </c>
      <c r="E33" s="5" t="str">
        <f>IFERROR(INDEX('Input Giocatori 2026_27'!$D$3:$D$493,MATCH($B33,'Input Giocatori 2026_27'!$A$3:$A$493,0)),"")</f>
        <v>Sassuolo</v>
      </c>
      <c r="F33" s="42">
        <f>IFERROR(INDEX('Output Utente'!$N$2:$N$492,MATCH(30,'Output Utente'!$Q$2:$Q$492,0)),"")</f>
        <v>15</v>
      </c>
      <c r="G33" s="42">
        <f>IFERROR(INDEX('Output Utente'!$O$2:$O$492,MATCH(30,'Output Utente'!$Q$2:$Q$492,0)),"")</f>
        <v>88</v>
      </c>
      <c r="H33" s="5" t="str">
        <f>IFERROR(INDEX('Output Utente'!$P$2:$P$492,MATCH(30,'Output Utente'!$Q$2:$Q$492,0)),"")</f>
        <v>Buono</v>
      </c>
      <c r="I33" s="42">
        <f>IFERROR(INDEX('Output Utente'!$F$2:$F$492,MATCH(30,'Output Utente'!$Q$2:$Q$492,0)),"")</f>
        <v>91</v>
      </c>
      <c r="J33" s="42">
        <f>IFERROR(INDEX('Output Utente'!$G$2:$G$492,MATCH(30,'Output Utente'!$Q$2:$Q$492,0)),"")</f>
        <v>57</v>
      </c>
      <c r="K33" s="42">
        <f>IFERROR(INDEX('Output Utente'!$H$2:$H$492,MATCH(30,'Output Utente'!$Q$2:$Q$492,0)),"")</f>
        <v>106</v>
      </c>
      <c r="L33" s="5" t="str">
        <f>IFERROR(INDEX('Output Utente'!$E$2:$E$492,MATCH(30,'Output Utente'!$Q$2:$Q$492,0)),"")</f>
        <v>NO</v>
      </c>
      <c r="M33" s="5" t="str">
        <f>IFERROR(INDEX('Output Utente'!$U$2:$U$492,MATCH(30,'Output Utente'!$Q$2:$Q$492,0)),"")</f>
        <v>Attenzione</v>
      </c>
      <c r="N33" s="5" t="str">
        <f>IFERROR(INDEX('Output Utente'!$AE$2:$AE$492,MATCH(30,'Output Utente'!$Q$2:$Q$492,0)),"")</f>
        <v>🟡 Attesa rischiosa</v>
      </c>
    </row>
    <row r="34" spans="1:14" ht="15" customHeight="1" x14ac:dyDescent="0.25">
      <c r="A34" s="41">
        <v>31</v>
      </c>
      <c r="B34" s="5">
        <f>IFERROR(INDEX('Output Utente'!$A$2:$A$492,MATCH(31,'Output Utente'!$Q$2:$Q$492,0)),"")</f>
        <v>6908</v>
      </c>
      <c r="C34" s="5" t="str">
        <f>IFERROR(INDEX('Output Utente'!$B$2:$B$492,MATCH(31,'Output Utente'!$Q$2:$Q$492,0)),"")</f>
        <v>C</v>
      </c>
      <c r="D34" s="5" t="str">
        <f>IFERROR(INDEX('Output Utente'!$C$2:$C$492,MATCH(31,'Output Utente'!$Q$2:$Q$492,0)),"")</f>
        <v>Atta</v>
      </c>
      <c r="E34" s="5" t="str">
        <f>IFERROR(INDEX('Input Giocatori 2026_27'!$D$3:$D$493,MATCH($B34,'Input Giocatori 2026_27'!$A$3:$A$493,0)),"")</f>
        <v>Fiorentina</v>
      </c>
      <c r="F34" s="42">
        <f>IFERROR(INDEX('Output Utente'!$N$2:$N$492,MATCH(31,'Output Utente'!$Q$2:$Q$492,0)),"")</f>
        <v>17</v>
      </c>
      <c r="G34" s="42">
        <f>IFERROR(INDEX('Output Utente'!$O$2:$O$492,MATCH(31,'Output Utente'!$Q$2:$Q$492,0)),"")</f>
        <v>87</v>
      </c>
      <c r="H34" s="5" t="str">
        <f>IFERROR(INDEX('Output Utente'!$P$2:$P$492,MATCH(31,'Output Utente'!$Q$2:$Q$492,0)),"")</f>
        <v>Top</v>
      </c>
      <c r="I34" s="42">
        <f>IFERROR(INDEX('Output Utente'!$F$2:$F$492,MATCH(31,'Output Utente'!$Q$2:$Q$492,0)),"")</f>
        <v>59</v>
      </c>
      <c r="J34" s="42">
        <f>IFERROR(INDEX('Output Utente'!$G$2:$G$492,MATCH(31,'Output Utente'!$Q$2:$Q$492,0)),"")</f>
        <v>40</v>
      </c>
      <c r="K34" s="42">
        <f>IFERROR(INDEX('Output Utente'!$H$2:$H$492,MATCH(31,'Output Utente'!$Q$2:$Q$492,0)),"")</f>
        <v>67</v>
      </c>
      <c r="L34" s="5" t="str">
        <f>IFERROR(INDEX('Output Utente'!$E$2:$E$492,MATCH(31,'Output Utente'!$Q$2:$Q$492,0)),"")</f>
        <v>NO</v>
      </c>
      <c r="M34" s="5" t="str">
        <f>IFERROR(INDEX('Output Utente'!$U$2:$U$492,MATCH(31,'Output Utente'!$Q$2:$Q$492,0)),"")</f>
        <v>OK</v>
      </c>
      <c r="N34" s="5" t="str">
        <f>IFERROR(INDEX('Output Utente'!$AE$2:$AE$492,MATCH(31,'Output Utente'!$Q$2:$Q$492,0)),"")</f>
        <v>🟡 Attesa rischiosa</v>
      </c>
    </row>
    <row r="35" spans="1:14" ht="15" customHeight="1" x14ac:dyDescent="0.25">
      <c r="A35" s="41">
        <v>32</v>
      </c>
      <c r="B35" s="5">
        <f>IFERROR(INDEX('Output Utente'!$A$2:$A$492,MATCH(32,'Output Utente'!$Q$2:$Q$492,0)),"")</f>
        <v>6675</v>
      </c>
      <c r="C35" s="5" t="str">
        <f>IFERROR(INDEX('Output Utente'!$B$2:$B$492,MATCH(32,'Output Utente'!$Q$2:$Q$492,0)),"")</f>
        <v>A</v>
      </c>
      <c r="D35" s="5" t="str">
        <f>IFERROR(INDEX('Output Utente'!$C$2:$C$492,MATCH(32,'Output Utente'!$Q$2:$Q$492,0)),"")</f>
        <v>Dovbyk</v>
      </c>
      <c r="E35" s="5" t="str">
        <f>IFERROR(INDEX('Input Giocatori 2026_27'!$D$3:$D$493,MATCH($B35,'Input Giocatori 2026_27'!$A$3:$A$493,0)),"")</f>
        <v>Bologna</v>
      </c>
      <c r="F35" s="42">
        <f>IFERROR(INDEX('Output Utente'!$N$2:$N$492,MATCH(32,'Output Utente'!$Q$2:$Q$492,0)),"")</f>
        <v>16</v>
      </c>
      <c r="G35" s="42">
        <f>IFERROR(INDEX('Output Utente'!$O$2:$O$492,MATCH(32,'Output Utente'!$Q$2:$Q$492,0)),"")</f>
        <v>84</v>
      </c>
      <c r="H35" s="5" t="str">
        <f>IFERROR(INDEX('Output Utente'!$P$2:$P$492,MATCH(32,'Output Utente'!$Q$2:$Q$492,0)),"")</f>
        <v>Buono</v>
      </c>
      <c r="I35" s="42">
        <f>IFERROR(INDEX('Output Utente'!$F$2:$F$492,MATCH(32,'Output Utente'!$Q$2:$Q$492,0)),"")</f>
        <v>86</v>
      </c>
      <c r="J35" s="42">
        <f>IFERROR(INDEX('Output Utente'!$G$2:$G$492,MATCH(32,'Output Utente'!$Q$2:$Q$492,0)),"")</f>
        <v>54</v>
      </c>
      <c r="K35" s="42">
        <f>IFERROR(INDEX('Output Utente'!$H$2:$H$492,MATCH(32,'Output Utente'!$Q$2:$Q$492,0)),"")</f>
        <v>100</v>
      </c>
      <c r="L35" s="5" t="str">
        <f>IFERROR(INDEX('Output Utente'!$E$2:$E$492,MATCH(32,'Output Utente'!$Q$2:$Q$492,0)),"")</f>
        <v>NO</v>
      </c>
      <c r="M35" s="5" t="str">
        <f>IFERROR(INDEX('Output Utente'!$U$2:$U$492,MATCH(32,'Output Utente'!$Q$2:$Q$492,0)),"")</f>
        <v>Attenzione</v>
      </c>
      <c r="N35" s="5" t="str">
        <f>IFERROR(INDEX('Output Utente'!$AE$2:$AE$492,MATCH(32,'Output Utente'!$Q$2:$Q$492,0)),"")</f>
        <v>🟡 Attesa rischiosa</v>
      </c>
    </row>
    <row r="36" spans="1:14" ht="15" customHeight="1" x14ac:dyDescent="0.25">
      <c r="A36" s="41">
        <v>33</v>
      </c>
      <c r="B36" s="5">
        <f>IFERROR(INDEX('Output Utente'!$A$2:$A$492,MATCH(33,'Output Utente'!$Q$2:$Q$492,0)),"")</f>
        <v>6572</v>
      </c>
      <c r="C36" s="5" t="str">
        <f>IFERROR(INDEX('Output Utente'!$B$2:$B$492,MATCH(33,'Output Utente'!$Q$2:$Q$492,0)),"")</f>
        <v>A</v>
      </c>
      <c r="D36" s="5" t="str">
        <f>IFERROR(INDEX('Output Utente'!$C$2:$C$492,MATCH(33,'Output Utente'!$Q$2:$Q$492,0)),"")</f>
        <v>Castro S.</v>
      </c>
      <c r="E36" s="5" t="str">
        <f>IFERROR(INDEX('Input Giocatori 2026_27'!$D$3:$D$493,MATCH($B36,'Input Giocatori 2026_27'!$A$3:$A$493,0)),"")</f>
        <v>Roma</v>
      </c>
      <c r="F36" s="42">
        <f>IFERROR(INDEX('Output Utente'!$N$2:$N$492,MATCH(33,'Output Utente'!$Q$2:$Q$492,0)),"")</f>
        <v>14</v>
      </c>
      <c r="G36" s="42">
        <f>IFERROR(INDEX('Output Utente'!$O$2:$O$492,MATCH(33,'Output Utente'!$Q$2:$Q$492,0)),"")</f>
        <v>83</v>
      </c>
      <c r="H36" s="5" t="str">
        <f>IFERROR(INDEX('Output Utente'!$P$2:$P$492,MATCH(33,'Output Utente'!$Q$2:$Q$492,0)),"")</f>
        <v>Buono</v>
      </c>
      <c r="I36" s="42">
        <f>IFERROR(INDEX('Output Utente'!$F$2:$F$492,MATCH(33,'Output Utente'!$Q$2:$Q$492,0)),"")</f>
        <v>85</v>
      </c>
      <c r="J36" s="42">
        <f>IFERROR(INDEX('Output Utente'!$G$2:$G$492,MATCH(33,'Output Utente'!$Q$2:$Q$492,0)),"")</f>
        <v>53</v>
      </c>
      <c r="K36" s="42">
        <f>IFERROR(INDEX('Output Utente'!$H$2:$H$492,MATCH(33,'Output Utente'!$Q$2:$Q$492,0)),"")</f>
        <v>98</v>
      </c>
      <c r="L36" s="5" t="str">
        <f>IFERROR(INDEX('Output Utente'!$E$2:$E$492,MATCH(33,'Output Utente'!$Q$2:$Q$492,0)),"")</f>
        <v>NO</v>
      </c>
      <c r="M36" s="5" t="str">
        <f>IFERROR(INDEX('Output Utente'!$U$2:$U$492,MATCH(33,'Output Utente'!$Q$2:$Q$492,0)),"")</f>
        <v>Attenzione</v>
      </c>
      <c r="N36" s="5" t="str">
        <f>IFERROR(INDEX('Output Utente'!$AE$2:$AE$492,MATCH(33,'Output Utente'!$Q$2:$Q$492,0)),"")</f>
        <v>🟡 Attesa rischiosa</v>
      </c>
    </row>
    <row r="37" spans="1:14" ht="15" customHeight="1" x14ac:dyDescent="0.25">
      <c r="A37" s="41">
        <v>34</v>
      </c>
      <c r="B37" s="5">
        <f>IFERROR(INDEX('Output Utente'!$A$2:$A$492,MATCH(34,'Output Utente'!$Q$2:$Q$492,0)),"")</f>
        <v>1870</v>
      </c>
      <c r="C37" s="5" t="str">
        <f>IFERROR(INDEX('Output Utente'!$B$2:$B$492,MATCH(34,'Output Utente'!$Q$2:$Q$492,0)),"")</f>
        <v>C</v>
      </c>
      <c r="D37" s="5" t="str">
        <f>IFERROR(INDEX('Output Utente'!$C$2:$C$492,MATCH(34,'Output Utente'!$Q$2:$Q$492,0)),"")</f>
        <v>Barella</v>
      </c>
      <c r="E37" s="5" t="str">
        <f>IFERROR(INDEX('Input Giocatori 2026_27'!$D$3:$D$493,MATCH($B37,'Input Giocatori 2026_27'!$A$3:$A$493,0)),"")</f>
        <v>Inter</v>
      </c>
      <c r="F37" s="42">
        <f>IFERROR(INDEX('Output Utente'!$N$2:$N$492,MATCH(34,'Output Utente'!$Q$2:$Q$492,0)),"")</f>
        <v>17</v>
      </c>
      <c r="G37" s="42">
        <f>IFERROR(INDEX('Output Utente'!$O$2:$O$492,MATCH(34,'Output Utente'!$Q$2:$Q$492,0)),"")</f>
        <v>82</v>
      </c>
      <c r="H37" s="5" t="str">
        <f>IFERROR(INDEX('Output Utente'!$P$2:$P$492,MATCH(34,'Output Utente'!$Q$2:$Q$492,0)),"")</f>
        <v>Top</v>
      </c>
      <c r="I37" s="42">
        <f>IFERROR(INDEX('Output Utente'!$F$2:$F$492,MATCH(34,'Output Utente'!$Q$2:$Q$492,0)),"")</f>
        <v>55</v>
      </c>
      <c r="J37" s="42">
        <f>IFERROR(INDEX('Output Utente'!$G$2:$G$492,MATCH(34,'Output Utente'!$Q$2:$Q$492,0)),"")</f>
        <v>37</v>
      </c>
      <c r="K37" s="42">
        <f>IFERROR(INDEX('Output Utente'!$H$2:$H$492,MATCH(34,'Output Utente'!$Q$2:$Q$492,0)),"")</f>
        <v>62</v>
      </c>
      <c r="L37" s="5" t="str">
        <f>IFERROR(INDEX('Output Utente'!$E$2:$E$492,MATCH(34,'Output Utente'!$Q$2:$Q$492,0)),"")</f>
        <v>NO</v>
      </c>
      <c r="M37" s="5" t="str">
        <f>IFERROR(INDEX('Output Utente'!$U$2:$U$492,MATCH(34,'Output Utente'!$Q$2:$Q$492,0)),"")</f>
        <v>OK</v>
      </c>
      <c r="N37" s="5" t="str">
        <f>IFERROR(INDEX('Output Utente'!$AE$2:$AE$492,MATCH(34,'Output Utente'!$Q$2:$Q$492,0)),"")</f>
        <v>🟡 Attesa rischiosa</v>
      </c>
    </row>
    <row r="38" spans="1:14" ht="15" customHeight="1" x14ac:dyDescent="0.25">
      <c r="A38" s="41">
        <v>35</v>
      </c>
      <c r="B38" s="5">
        <f>IFERROR(INDEX('Output Utente'!$A$2:$A$492,MATCH(35,'Output Utente'!$Q$2:$Q$492,0)),"")</f>
        <v>2061</v>
      </c>
      <c r="C38" s="5" t="str">
        <f>IFERROR(INDEX('Output Utente'!$B$2:$B$492,MATCH(35,'Output Utente'!$Q$2:$Q$492,0)),"")</f>
        <v>A</v>
      </c>
      <c r="D38" s="5" t="str">
        <f>IFERROR(INDEX('Output Utente'!$C$2:$C$492,MATCH(35,'Output Utente'!$Q$2:$Q$492,0)),"")</f>
        <v>Simeone</v>
      </c>
      <c r="E38" s="5" t="str">
        <f>IFERROR(INDEX('Input Giocatori 2026_27'!$D$3:$D$493,MATCH($B38,'Input Giocatori 2026_27'!$A$3:$A$493,0)),"")</f>
        <v>Torino</v>
      </c>
      <c r="F38" s="42">
        <f>IFERROR(INDEX('Output Utente'!$N$2:$N$492,MATCH(35,'Output Utente'!$Q$2:$Q$492,0)),"")</f>
        <v>15</v>
      </c>
      <c r="G38" s="42">
        <f>IFERROR(INDEX('Output Utente'!$O$2:$O$492,MATCH(35,'Output Utente'!$Q$2:$Q$492,0)),"")</f>
        <v>82</v>
      </c>
      <c r="H38" s="5" t="str">
        <f>IFERROR(INDEX('Output Utente'!$P$2:$P$492,MATCH(35,'Output Utente'!$Q$2:$Q$492,0)),"")</f>
        <v>Buono</v>
      </c>
      <c r="I38" s="42">
        <f>IFERROR(INDEX('Output Utente'!$F$2:$F$492,MATCH(35,'Output Utente'!$Q$2:$Q$492,0)),"")</f>
        <v>85</v>
      </c>
      <c r="J38" s="42">
        <f>IFERROR(INDEX('Output Utente'!$G$2:$G$492,MATCH(35,'Output Utente'!$Q$2:$Q$492,0)),"")</f>
        <v>53</v>
      </c>
      <c r="K38" s="42">
        <f>IFERROR(INDEX('Output Utente'!$H$2:$H$492,MATCH(35,'Output Utente'!$Q$2:$Q$492,0)),"")</f>
        <v>99</v>
      </c>
      <c r="L38" s="5" t="str">
        <f>IFERROR(INDEX('Output Utente'!$E$2:$E$492,MATCH(35,'Output Utente'!$Q$2:$Q$492,0)),"")</f>
        <v>NO</v>
      </c>
      <c r="M38" s="5" t="str">
        <f>IFERROR(INDEX('Output Utente'!$U$2:$U$492,MATCH(35,'Output Utente'!$Q$2:$Q$492,0)),"")</f>
        <v>Attenzione</v>
      </c>
      <c r="N38" s="5" t="str">
        <f>IFERROR(INDEX('Output Utente'!$AE$2:$AE$492,MATCH(35,'Output Utente'!$Q$2:$Q$492,0)),"")</f>
        <v>🟡 Attesa rischiosa</v>
      </c>
    </row>
    <row r="39" spans="1:14" ht="15" customHeight="1" x14ac:dyDescent="0.25">
      <c r="A39" s="41">
        <v>36</v>
      </c>
      <c r="B39" s="5">
        <f>IFERROR(INDEX('Output Utente'!$A$2:$A$492,MATCH(36,'Output Utente'!$Q$2:$Q$492,0)),"")</f>
        <v>7023</v>
      </c>
      <c r="C39" s="5" t="str">
        <f>IFERROR(INDEX('Output Utente'!$B$2:$B$492,MATCH(36,'Output Utente'!$Q$2:$Q$492,0)),"")</f>
        <v>A</v>
      </c>
      <c r="D39" s="5" t="str">
        <f>IFERROR(INDEX('Output Utente'!$C$2:$C$492,MATCH(36,'Output Utente'!$Q$2:$Q$492,0)),"")</f>
        <v>Pellegrino M.</v>
      </c>
      <c r="E39" s="5" t="str">
        <f>IFERROR(INDEX('Input Giocatori 2026_27'!$D$3:$D$493,MATCH($B39,'Input Giocatori 2026_27'!$A$3:$A$493,0)),"")</f>
        <v>Parma</v>
      </c>
      <c r="F39" s="42">
        <f>IFERROR(INDEX('Output Utente'!$N$2:$N$492,MATCH(36,'Output Utente'!$Q$2:$Q$492,0)),"")</f>
        <v>15</v>
      </c>
      <c r="G39" s="42">
        <f>IFERROR(INDEX('Output Utente'!$O$2:$O$492,MATCH(36,'Output Utente'!$Q$2:$Q$492,0)),"")</f>
        <v>81</v>
      </c>
      <c r="H39" s="5" t="str">
        <f>IFERROR(INDEX('Output Utente'!$P$2:$P$492,MATCH(36,'Output Utente'!$Q$2:$Q$492,0)),"")</f>
        <v>Buono</v>
      </c>
      <c r="I39" s="42">
        <f>IFERROR(INDEX('Output Utente'!$F$2:$F$492,MATCH(36,'Output Utente'!$Q$2:$Q$492,0)),"")</f>
        <v>83</v>
      </c>
      <c r="J39" s="42">
        <f>IFERROR(INDEX('Output Utente'!$G$2:$G$492,MATCH(36,'Output Utente'!$Q$2:$Q$492,0)),"")</f>
        <v>52</v>
      </c>
      <c r="K39" s="42">
        <f>IFERROR(INDEX('Output Utente'!$H$2:$H$492,MATCH(36,'Output Utente'!$Q$2:$Q$492,0)),"")</f>
        <v>96</v>
      </c>
      <c r="L39" s="5" t="str">
        <f>IFERROR(INDEX('Output Utente'!$E$2:$E$492,MATCH(36,'Output Utente'!$Q$2:$Q$492,0)),"")</f>
        <v>NO</v>
      </c>
      <c r="M39" s="5" t="str">
        <f>IFERROR(INDEX('Output Utente'!$U$2:$U$492,MATCH(36,'Output Utente'!$Q$2:$Q$492,0)),"")</f>
        <v>Attenzione</v>
      </c>
      <c r="N39" s="5" t="str">
        <f>IFERROR(INDEX('Output Utente'!$AE$2:$AE$492,MATCH(36,'Output Utente'!$Q$2:$Q$492,0)),"")</f>
        <v>🟡 Attesa rischiosa</v>
      </c>
    </row>
    <row r="40" spans="1:14" ht="15" customHeight="1" x14ac:dyDescent="0.25">
      <c r="A40" s="41">
        <v>37</v>
      </c>
      <c r="B40" s="5">
        <f>IFERROR(INDEX('Output Utente'!$A$2:$A$492,MATCH(37,'Output Utente'!$Q$2:$Q$492,0)),"")</f>
        <v>5687</v>
      </c>
      <c r="C40" s="5" t="str">
        <f>IFERROR(INDEX('Output Utente'!$B$2:$B$492,MATCH(37,'Output Utente'!$Q$2:$Q$492,0)),"")</f>
        <v>C</v>
      </c>
      <c r="D40" s="5" t="str">
        <f>IFERROR(INDEX('Output Utente'!$C$2:$C$492,MATCH(37,'Output Utente'!$Q$2:$Q$492,0)),"")</f>
        <v>Vlasic</v>
      </c>
      <c r="E40" s="5" t="str">
        <f>IFERROR(INDEX('Input Giocatori 2026_27'!$D$3:$D$493,MATCH($B40,'Input Giocatori 2026_27'!$A$3:$A$493,0)),"")</f>
        <v>Torino</v>
      </c>
      <c r="F40" s="42">
        <f>IFERROR(INDEX('Output Utente'!$N$2:$N$492,MATCH(37,'Output Utente'!$Q$2:$Q$492,0)),"")</f>
        <v>14</v>
      </c>
      <c r="G40" s="42">
        <f>IFERROR(INDEX('Output Utente'!$O$2:$O$492,MATCH(37,'Output Utente'!$Q$2:$Q$492,0)),"")</f>
        <v>80</v>
      </c>
      <c r="H40" s="5" t="str">
        <f>IFERROR(INDEX('Output Utente'!$P$2:$P$492,MATCH(37,'Output Utente'!$Q$2:$Q$492,0)),"")</f>
        <v>Top</v>
      </c>
      <c r="I40" s="42">
        <f>IFERROR(INDEX('Output Utente'!$F$2:$F$492,MATCH(37,'Output Utente'!$Q$2:$Q$492,0)),"")</f>
        <v>54</v>
      </c>
      <c r="J40" s="42">
        <f>IFERROR(INDEX('Output Utente'!$G$2:$G$492,MATCH(37,'Output Utente'!$Q$2:$Q$492,0)),"")</f>
        <v>36</v>
      </c>
      <c r="K40" s="42">
        <f>IFERROR(INDEX('Output Utente'!$H$2:$H$492,MATCH(37,'Output Utente'!$Q$2:$Q$492,0)),"")</f>
        <v>61</v>
      </c>
      <c r="L40" s="5" t="str">
        <f>IFERROR(INDEX('Output Utente'!$E$2:$E$492,MATCH(37,'Output Utente'!$Q$2:$Q$492,0)),"")</f>
        <v>NO</v>
      </c>
      <c r="M40" s="5" t="str">
        <f>IFERROR(INDEX('Output Utente'!$U$2:$U$492,MATCH(37,'Output Utente'!$Q$2:$Q$492,0)),"")</f>
        <v>OK</v>
      </c>
      <c r="N40" s="5" t="str">
        <f>IFERROR(INDEX('Output Utente'!$AE$2:$AE$492,MATCH(37,'Output Utente'!$Q$2:$Q$492,0)),"")</f>
        <v>🟡 Attesa rischiosa</v>
      </c>
    </row>
    <row r="41" spans="1:14" ht="15" customHeight="1" x14ac:dyDescent="0.25">
      <c r="A41" s="41">
        <v>38</v>
      </c>
      <c r="B41" s="5">
        <f>IFERROR(INDEX('Output Utente'!$A$2:$A$492,MATCH(38,'Output Utente'!$Q$2:$Q$492,0)),"")</f>
        <v>4973</v>
      </c>
      <c r="C41" s="5" t="str">
        <f>IFERROR(INDEX('Output Utente'!$B$2:$B$492,MATCH(38,'Output Utente'!$Q$2:$Q$492,0)),"")</f>
        <v>C</v>
      </c>
      <c r="D41" s="5" t="str">
        <f>IFERROR(INDEX('Output Utente'!$C$2:$C$492,MATCH(38,'Output Utente'!$Q$2:$Q$492,0)),"")</f>
        <v>McKennie</v>
      </c>
      <c r="E41" s="5" t="str">
        <f>IFERROR(INDEX('Input Giocatori 2026_27'!$D$3:$D$493,MATCH($B41,'Input Giocatori 2026_27'!$A$3:$A$493,0)),"")</f>
        <v>Juventus</v>
      </c>
      <c r="F41" s="42">
        <f>IFERROR(INDEX('Output Utente'!$N$2:$N$492,MATCH(38,'Output Utente'!$Q$2:$Q$492,0)),"")</f>
        <v>17</v>
      </c>
      <c r="G41" s="42">
        <f>IFERROR(INDEX('Output Utente'!$O$2:$O$492,MATCH(38,'Output Utente'!$Q$2:$Q$492,0)),"")</f>
        <v>68</v>
      </c>
      <c r="H41" s="5" t="str">
        <f>IFERROR(INDEX('Output Utente'!$P$2:$P$492,MATCH(38,'Output Utente'!$Q$2:$Q$492,0)),"")</f>
        <v>Top</v>
      </c>
      <c r="I41" s="42">
        <f>IFERROR(INDEX('Output Utente'!$F$2:$F$492,MATCH(38,'Output Utente'!$Q$2:$Q$492,0)),"")</f>
        <v>46</v>
      </c>
      <c r="J41" s="42">
        <f>IFERROR(INDEX('Output Utente'!$G$2:$G$492,MATCH(38,'Output Utente'!$Q$2:$Q$492,0)),"")</f>
        <v>31</v>
      </c>
      <c r="K41" s="42">
        <f>IFERROR(INDEX('Output Utente'!$H$2:$H$492,MATCH(38,'Output Utente'!$Q$2:$Q$492,0)),"")</f>
        <v>52</v>
      </c>
      <c r="L41" s="5" t="str">
        <f>IFERROR(INDEX('Output Utente'!$E$2:$E$492,MATCH(38,'Output Utente'!$Q$2:$Q$492,0)),"")</f>
        <v>NO</v>
      </c>
      <c r="M41" s="5" t="str">
        <f>IFERROR(INDEX('Output Utente'!$U$2:$U$492,MATCH(38,'Output Utente'!$Q$2:$Q$492,0)),"")</f>
        <v>OK</v>
      </c>
      <c r="N41" s="5" t="str">
        <f>IFERROR(INDEX('Output Utente'!$AE$2:$AE$492,MATCH(38,'Output Utente'!$Q$2:$Q$492,0)),"")</f>
        <v>🟡 Attesa rischiosa</v>
      </c>
    </row>
    <row r="42" spans="1:14" ht="15" customHeight="1" x14ac:dyDescent="0.25">
      <c r="A42" s="41">
        <v>39</v>
      </c>
      <c r="B42" s="5">
        <f>IFERROR(INDEX('Output Utente'!$A$2:$A$492,MATCH(39,'Output Utente'!$Q$2:$Q$492,0)),"")</f>
        <v>309</v>
      </c>
      <c r="C42" s="5" t="str">
        <f>IFERROR(INDEX('Output Utente'!$B$2:$B$492,MATCH(39,'Output Utente'!$Q$2:$Q$492,0)),"")</f>
        <v>A</v>
      </c>
      <c r="D42" s="5" t="str">
        <f>IFERROR(INDEX('Output Utente'!$C$2:$C$492,MATCH(39,'Output Utente'!$Q$2:$Q$492,0)),"")</f>
        <v>Dybala</v>
      </c>
      <c r="E42" s="5" t="str">
        <f>IFERROR(INDEX('Input Giocatori 2026_27'!$D$3:$D$493,MATCH($B42,'Input Giocatori 2026_27'!$A$3:$A$493,0)),"")</f>
        <v>Roma</v>
      </c>
      <c r="F42" s="42">
        <f>IFERROR(INDEX('Output Utente'!$N$2:$N$492,MATCH(39,'Output Utente'!$Q$2:$Q$492,0)),"")</f>
        <v>14</v>
      </c>
      <c r="G42" s="42">
        <f>IFERROR(INDEX('Output Utente'!$O$2:$O$492,MATCH(39,'Output Utente'!$Q$2:$Q$492,0)),"")</f>
        <v>67</v>
      </c>
      <c r="H42" s="5" t="str">
        <f>IFERROR(INDEX('Output Utente'!$P$2:$P$492,MATCH(39,'Output Utente'!$Q$2:$Q$492,0)),"")</f>
        <v>Buono</v>
      </c>
      <c r="I42" s="42">
        <f>IFERROR(INDEX('Output Utente'!$F$2:$F$492,MATCH(39,'Output Utente'!$Q$2:$Q$492,0)),"")</f>
        <v>69</v>
      </c>
      <c r="J42" s="42">
        <f>IFERROR(INDEX('Output Utente'!$G$2:$G$492,MATCH(39,'Output Utente'!$Q$2:$Q$492,0)),"")</f>
        <v>43</v>
      </c>
      <c r="K42" s="42">
        <f>IFERROR(INDEX('Output Utente'!$H$2:$H$492,MATCH(39,'Output Utente'!$Q$2:$Q$492,0)),"")</f>
        <v>80</v>
      </c>
      <c r="L42" s="5" t="str">
        <f>IFERROR(INDEX('Output Utente'!$E$2:$E$492,MATCH(39,'Output Utente'!$Q$2:$Q$492,0)),"")</f>
        <v>NO</v>
      </c>
      <c r="M42" s="5" t="str">
        <f>IFERROR(INDEX('Output Utente'!$U$2:$U$492,MATCH(39,'Output Utente'!$Q$2:$Q$492,0)),"")</f>
        <v>Attenzione</v>
      </c>
      <c r="N42" s="5" t="str">
        <f>IFERROR(INDEX('Output Utente'!$AE$2:$AE$492,MATCH(39,'Output Utente'!$Q$2:$Q$492,0)),"")</f>
        <v>🟡 Attesa rischiosa</v>
      </c>
    </row>
    <row r="43" spans="1:14" ht="15" customHeight="1" x14ac:dyDescent="0.25">
      <c r="A43" s="41">
        <v>40</v>
      </c>
      <c r="B43" s="5">
        <f>IFERROR(INDEX('Output Utente'!$A$2:$A$492,MATCH(40,'Output Utente'!$Q$2:$Q$492,0)),"")</f>
        <v>5841</v>
      </c>
      <c r="C43" s="5" t="str">
        <f>IFERROR(INDEX('Output Utente'!$B$2:$B$492,MATCH(40,'Output Utente'!$Q$2:$Q$492,0)),"")</f>
        <v>P</v>
      </c>
      <c r="D43" s="5" t="str">
        <f>IFERROR(INDEX('Output Utente'!$C$2:$C$492,MATCH(40,'Output Utente'!$Q$2:$Q$492,0)),"")</f>
        <v>Svilar</v>
      </c>
      <c r="E43" s="5" t="str">
        <f>IFERROR(INDEX('Input Giocatori 2026_27'!$D$3:$D$493,MATCH($B43,'Input Giocatori 2026_27'!$A$3:$A$493,0)),"")</f>
        <v>Roma</v>
      </c>
      <c r="F43" s="42">
        <f>IFERROR(INDEX('Output Utente'!$N$2:$N$492,MATCH(40,'Output Utente'!$Q$2:$Q$492,0)),"")</f>
        <v>18</v>
      </c>
      <c r="G43" s="42">
        <f>IFERROR(INDEX('Output Utente'!$O$2:$O$492,MATCH(40,'Output Utente'!$Q$2:$Q$492,0)),"")</f>
        <v>65</v>
      </c>
      <c r="H43" s="5" t="str">
        <f>IFERROR(INDEX('Output Utente'!$P$2:$P$492,MATCH(40,'Output Utente'!$Q$2:$Q$492,0)),"")</f>
        <v>Top</v>
      </c>
      <c r="I43" s="42">
        <f>IFERROR(INDEX('Output Utente'!$F$2:$F$492,MATCH(40,'Output Utente'!$Q$2:$Q$492,0)),"")</f>
        <v>110</v>
      </c>
      <c r="J43" s="42">
        <f>IFERROR(INDEX('Output Utente'!$G$2:$G$492,MATCH(40,'Output Utente'!$Q$2:$Q$492,0)),"")</f>
        <v>88</v>
      </c>
      <c r="K43" s="42">
        <f>IFERROR(INDEX('Output Utente'!$H$2:$H$492,MATCH(40,'Output Utente'!$Q$2:$Q$492,0)),"")</f>
        <v>119</v>
      </c>
      <c r="L43" s="5" t="str">
        <f>IFERROR(INDEX('Output Utente'!$E$2:$E$492,MATCH(40,'Output Utente'!$Q$2:$Q$492,0)),"")</f>
        <v>NO</v>
      </c>
      <c r="M43" s="5" t="str">
        <f>IFERROR(INDEX('Output Utente'!$U$2:$U$492,MATCH(40,'Output Utente'!$Q$2:$Q$492,0)),"")</f>
        <v>Attenzione</v>
      </c>
      <c r="N43" s="5" t="str">
        <f>IFERROR(INDEX('Output Utente'!$AE$2:$AE$492,MATCH(40,'Output Utente'!$Q$2:$Q$492,0)),"")</f>
        <v>🟢 Puoi aspettare</v>
      </c>
    </row>
    <row r="44" spans="1:14" ht="15" customHeight="1" x14ac:dyDescent="0.25">
      <c r="A44" s="41">
        <v>41</v>
      </c>
      <c r="B44" s="5">
        <f>IFERROR(INDEX('Output Utente'!$A$2:$A$492,MATCH(41,'Output Utente'!$Q$2:$Q$492,0)),"")</f>
        <v>7314</v>
      </c>
      <c r="C44" s="5" t="str">
        <f>IFERROR(INDEX('Output Utente'!$B$2:$B$492,MATCH(41,'Output Utente'!$Q$2:$Q$492,0)),"")</f>
        <v>C</v>
      </c>
      <c r="D44" s="5" t="str">
        <f>IFERROR(INDEX('Output Utente'!$C$2:$C$492,MATCH(41,'Output Utente'!$Q$2:$Q$492,0)),"")</f>
        <v>Taylor K.</v>
      </c>
      <c r="E44" s="5" t="str">
        <f>IFERROR(INDEX('Input Giocatori 2026_27'!$D$3:$D$493,MATCH($B44,'Input Giocatori 2026_27'!$A$3:$A$493,0)),"")</f>
        <v>Lazio</v>
      </c>
      <c r="F44" s="42">
        <f>IFERROR(INDEX('Output Utente'!$N$2:$N$492,MATCH(41,'Output Utente'!$Q$2:$Q$492,0)),"")</f>
        <v>13</v>
      </c>
      <c r="G44" s="42">
        <f>IFERROR(INDEX('Output Utente'!$O$2:$O$492,MATCH(41,'Output Utente'!$Q$2:$Q$492,0)),"")</f>
        <v>64</v>
      </c>
      <c r="H44" s="5" t="str">
        <f>IFERROR(INDEX('Output Utente'!$P$2:$P$492,MATCH(41,'Output Utente'!$Q$2:$Q$492,0)),"")</f>
        <v>Top</v>
      </c>
      <c r="I44" s="42">
        <f>IFERROR(INDEX('Output Utente'!$F$2:$F$492,MATCH(41,'Output Utente'!$Q$2:$Q$492,0)),"")</f>
        <v>42</v>
      </c>
      <c r="J44" s="42">
        <f>IFERROR(INDEX('Output Utente'!$G$2:$G$492,MATCH(41,'Output Utente'!$Q$2:$Q$492,0)),"")</f>
        <v>29</v>
      </c>
      <c r="K44" s="42">
        <f>IFERROR(INDEX('Output Utente'!$H$2:$H$492,MATCH(41,'Output Utente'!$Q$2:$Q$492,0)),"")</f>
        <v>48</v>
      </c>
      <c r="L44" s="5" t="str">
        <f>IFERROR(INDEX('Output Utente'!$E$2:$E$492,MATCH(41,'Output Utente'!$Q$2:$Q$492,0)),"")</f>
        <v>NO</v>
      </c>
      <c r="M44" s="5" t="str">
        <f>IFERROR(INDEX('Output Utente'!$U$2:$U$492,MATCH(41,'Output Utente'!$Q$2:$Q$492,0)),"")</f>
        <v>OK</v>
      </c>
      <c r="N44" s="5" t="str">
        <f>IFERROR(INDEX('Output Utente'!$AE$2:$AE$492,MATCH(41,'Output Utente'!$Q$2:$Q$492,0)),"")</f>
        <v>🟡 Attesa rischiosa</v>
      </c>
    </row>
    <row r="45" spans="1:14" ht="15" customHeight="1" x14ac:dyDescent="0.25">
      <c r="A45" s="41">
        <v>42</v>
      </c>
      <c r="B45" s="5">
        <f>IFERROR(INDEX('Output Utente'!$A$2:$A$492,MATCH(42,'Output Utente'!$Q$2:$Q$492,0)),"")</f>
        <v>5116</v>
      </c>
      <c r="C45" s="5" t="str">
        <f>IFERROR(INDEX('Output Utente'!$B$2:$B$492,MATCH(42,'Output Utente'!$Q$2:$Q$492,0)),"")</f>
        <v>P</v>
      </c>
      <c r="D45" s="5" t="str">
        <f>IFERROR(INDEX('Output Utente'!$C$2:$C$492,MATCH(42,'Output Utente'!$Q$2:$Q$492,0)),"")</f>
        <v>Martinez Jo.</v>
      </c>
      <c r="E45" s="5" t="str">
        <f>IFERROR(INDEX('Input Giocatori 2026_27'!$D$3:$D$493,MATCH($B45,'Input Giocatori 2026_27'!$A$3:$A$493,0)),"")</f>
        <v>Inter</v>
      </c>
      <c r="F45" s="42">
        <f>IFERROR(INDEX('Output Utente'!$N$2:$N$492,MATCH(42,'Output Utente'!$Q$2:$Q$492,0)),"")</f>
        <v>17</v>
      </c>
      <c r="G45" s="42">
        <f>IFERROR(INDEX('Output Utente'!$O$2:$O$492,MATCH(42,'Output Utente'!$Q$2:$Q$492,0)),"")</f>
        <v>63</v>
      </c>
      <c r="H45" s="5" t="str">
        <f>IFERROR(INDEX('Output Utente'!$P$2:$P$492,MATCH(42,'Output Utente'!$Q$2:$Q$492,0)),"")</f>
        <v>Top</v>
      </c>
      <c r="I45" s="42">
        <f>IFERROR(INDEX('Output Utente'!$F$2:$F$492,MATCH(42,'Output Utente'!$Q$2:$Q$492,0)),"")</f>
        <v>105</v>
      </c>
      <c r="J45" s="42">
        <f>IFERROR(INDEX('Output Utente'!$G$2:$G$492,MATCH(42,'Output Utente'!$Q$2:$Q$492,0)),"")</f>
        <v>84</v>
      </c>
      <c r="K45" s="42">
        <f>IFERROR(INDEX('Output Utente'!$H$2:$H$492,MATCH(42,'Output Utente'!$Q$2:$Q$492,0)),"")</f>
        <v>114</v>
      </c>
      <c r="L45" s="5" t="str">
        <f>IFERROR(INDEX('Output Utente'!$E$2:$E$492,MATCH(42,'Output Utente'!$Q$2:$Q$492,0)),"")</f>
        <v>NO</v>
      </c>
      <c r="M45" s="5" t="str">
        <f>IFERROR(INDEX('Output Utente'!$U$2:$U$492,MATCH(42,'Output Utente'!$Q$2:$Q$492,0)),"")</f>
        <v>Attenzione</v>
      </c>
      <c r="N45" s="5" t="str">
        <f>IFERROR(INDEX('Output Utente'!$AE$2:$AE$492,MATCH(42,'Output Utente'!$Q$2:$Q$492,0)),"")</f>
        <v>🟢 Puoi aspettare</v>
      </c>
    </row>
    <row r="46" spans="1:14" ht="15" customHeight="1" x14ac:dyDescent="0.25">
      <c r="A46" s="41">
        <v>43</v>
      </c>
      <c r="B46" s="5">
        <f>IFERROR(INDEX('Output Utente'!$A$2:$A$492,MATCH(43,'Output Utente'!$Q$2:$Q$492,0)),"")</f>
        <v>4923</v>
      </c>
      <c r="C46" s="5" t="str">
        <f>IFERROR(INDEX('Output Utente'!$B$2:$B$492,MATCH(43,'Output Utente'!$Q$2:$Q$492,0)),"")</f>
        <v>A</v>
      </c>
      <c r="D46" s="5" t="str">
        <f>IFERROR(INDEX('Output Utente'!$C$2:$C$492,MATCH(43,'Output Utente'!$Q$2:$Q$492,0)),"")</f>
        <v>Colombo</v>
      </c>
      <c r="E46" s="5" t="str">
        <f>IFERROR(INDEX('Input Giocatori 2026_27'!$D$3:$D$493,MATCH($B46,'Input Giocatori 2026_27'!$A$3:$A$493,0)),"")</f>
        <v>Genoa</v>
      </c>
      <c r="F46" s="42">
        <f>IFERROR(INDEX('Output Utente'!$N$2:$N$492,MATCH(43,'Output Utente'!$Q$2:$Q$492,0)),"")</f>
        <v>11</v>
      </c>
      <c r="G46" s="42">
        <f>IFERROR(INDEX('Output Utente'!$O$2:$O$492,MATCH(43,'Output Utente'!$Q$2:$Q$492,0)),"")</f>
        <v>63</v>
      </c>
      <c r="H46" s="5" t="str">
        <f>IFERROR(INDEX('Output Utente'!$P$2:$P$492,MATCH(43,'Output Utente'!$Q$2:$Q$492,0)),"")</f>
        <v>Buono</v>
      </c>
      <c r="I46" s="42">
        <f>IFERROR(INDEX('Output Utente'!$F$2:$F$492,MATCH(43,'Output Utente'!$Q$2:$Q$492,0)),"")</f>
        <v>64</v>
      </c>
      <c r="J46" s="42">
        <f>IFERROR(INDEX('Output Utente'!$G$2:$G$492,MATCH(43,'Output Utente'!$Q$2:$Q$492,0)),"")</f>
        <v>40</v>
      </c>
      <c r="K46" s="42">
        <f>IFERROR(INDEX('Output Utente'!$H$2:$H$492,MATCH(43,'Output Utente'!$Q$2:$Q$492,0)),"")</f>
        <v>74</v>
      </c>
      <c r="L46" s="5" t="str">
        <f>IFERROR(INDEX('Output Utente'!$E$2:$E$492,MATCH(43,'Output Utente'!$Q$2:$Q$492,0)),"")</f>
        <v>NO</v>
      </c>
      <c r="M46" s="5" t="str">
        <f>IFERROR(INDEX('Output Utente'!$U$2:$U$492,MATCH(43,'Output Utente'!$Q$2:$Q$492,0)),"")</f>
        <v>Attenzione</v>
      </c>
      <c r="N46" s="5" t="str">
        <f>IFERROR(INDEX('Output Utente'!$AE$2:$AE$492,MATCH(43,'Output Utente'!$Q$2:$Q$492,0)),"")</f>
        <v>🟡 Attesa rischiosa</v>
      </c>
    </row>
    <row r="47" spans="1:14" ht="15" customHeight="1" x14ac:dyDescent="0.25">
      <c r="A47" s="41">
        <v>44</v>
      </c>
      <c r="B47" s="5">
        <f>IFERROR(INDEX('Output Utente'!$A$2:$A$492,MATCH(44,'Output Utente'!$Q$2:$Q$492,0)),"")</f>
        <v>4371</v>
      </c>
      <c r="C47" s="5" t="str">
        <f>IFERROR(INDEX('Output Utente'!$B$2:$B$492,MATCH(44,'Output Utente'!$Q$2:$Q$492,0)),"")</f>
        <v>A</v>
      </c>
      <c r="D47" s="5" t="str">
        <f>IFERROR(INDEX('Output Utente'!$C$2:$C$492,MATCH(44,'Output Utente'!$Q$2:$Q$492,0)),"")</f>
        <v>Raspadori</v>
      </c>
      <c r="E47" s="5" t="str">
        <f>IFERROR(INDEX('Input Giocatori 2026_27'!$D$3:$D$493,MATCH($B47,'Input Giocatori 2026_27'!$A$3:$A$493,0)),"")</f>
        <v>Atalanta</v>
      </c>
      <c r="F47" s="42">
        <f>IFERROR(INDEX('Output Utente'!$N$2:$N$492,MATCH(44,'Output Utente'!$Q$2:$Q$492,0)),"")</f>
        <v>13</v>
      </c>
      <c r="G47" s="42">
        <f>IFERROR(INDEX('Output Utente'!$O$2:$O$492,MATCH(44,'Output Utente'!$Q$2:$Q$492,0)),"")</f>
        <v>62</v>
      </c>
      <c r="H47" s="5" t="str">
        <f>IFERROR(INDEX('Output Utente'!$P$2:$P$492,MATCH(44,'Output Utente'!$Q$2:$Q$492,0)),"")</f>
        <v>Buono</v>
      </c>
      <c r="I47" s="42">
        <f>IFERROR(INDEX('Output Utente'!$F$2:$F$492,MATCH(44,'Output Utente'!$Q$2:$Q$492,0)),"")</f>
        <v>64</v>
      </c>
      <c r="J47" s="42">
        <f>IFERROR(INDEX('Output Utente'!$G$2:$G$492,MATCH(44,'Output Utente'!$Q$2:$Q$492,0)),"")</f>
        <v>40</v>
      </c>
      <c r="K47" s="42">
        <f>IFERROR(INDEX('Output Utente'!$H$2:$H$492,MATCH(44,'Output Utente'!$Q$2:$Q$492,0)),"")</f>
        <v>74</v>
      </c>
      <c r="L47" s="5" t="str">
        <f>IFERROR(INDEX('Output Utente'!$E$2:$E$492,MATCH(44,'Output Utente'!$Q$2:$Q$492,0)),"")</f>
        <v>NO</v>
      </c>
      <c r="M47" s="5" t="str">
        <f>IFERROR(INDEX('Output Utente'!$U$2:$U$492,MATCH(44,'Output Utente'!$Q$2:$Q$492,0)),"")</f>
        <v>Attenzione</v>
      </c>
      <c r="N47" s="5" t="str">
        <f>IFERROR(INDEX('Output Utente'!$AE$2:$AE$492,MATCH(44,'Output Utente'!$Q$2:$Q$492,0)),"")</f>
        <v>🟡 Attesa rischiosa</v>
      </c>
    </row>
    <row r="48" spans="1:14" ht="15" customHeight="1" x14ac:dyDescent="0.25">
      <c r="A48" s="41">
        <v>45</v>
      </c>
      <c r="B48" s="5">
        <f>IFERROR(INDEX('Output Utente'!$A$2:$A$492,MATCH(45,'Output Utente'!$Q$2:$Q$492,0)),"")</f>
        <v>5800</v>
      </c>
      <c r="C48" s="5" t="str">
        <f>IFERROR(INDEX('Output Utente'!$B$2:$B$492,MATCH(45,'Output Utente'!$Q$2:$Q$492,0)),"")</f>
        <v>C</v>
      </c>
      <c r="D48" s="5" t="str">
        <f>IFERROR(INDEX('Output Utente'!$C$2:$C$492,MATCH(45,'Output Utente'!$Q$2:$Q$492,0)),"")</f>
        <v>Gudmundsson A.</v>
      </c>
      <c r="E48" s="5" t="str">
        <f>IFERROR(INDEX('Input Giocatori 2026_27'!$D$3:$D$493,MATCH($B48,'Input Giocatori 2026_27'!$A$3:$A$493,0)),"")</f>
        <v>Fiorentina</v>
      </c>
      <c r="F48" s="42">
        <f>IFERROR(INDEX('Output Utente'!$N$2:$N$492,MATCH(45,'Output Utente'!$Q$2:$Q$492,0)),"")</f>
        <v>13</v>
      </c>
      <c r="G48" s="42">
        <f>IFERROR(INDEX('Output Utente'!$O$2:$O$492,MATCH(45,'Output Utente'!$Q$2:$Q$492,0)),"")</f>
        <v>61</v>
      </c>
      <c r="H48" s="5" t="str">
        <f>IFERROR(INDEX('Output Utente'!$P$2:$P$492,MATCH(45,'Output Utente'!$Q$2:$Q$492,0)),"")</f>
        <v>Top</v>
      </c>
      <c r="I48" s="42">
        <f>IFERROR(INDEX('Output Utente'!$F$2:$F$492,MATCH(45,'Output Utente'!$Q$2:$Q$492,0)),"")</f>
        <v>41</v>
      </c>
      <c r="J48" s="42">
        <f>IFERROR(INDEX('Output Utente'!$G$2:$G$492,MATCH(45,'Output Utente'!$Q$2:$Q$492,0)),"")</f>
        <v>28</v>
      </c>
      <c r="K48" s="42">
        <f>IFERROR(INDEX('Output Utente'!$H$2:$H$492,MATCH(45,'Output Utente'!$Q$2:$Q$492,0)),"")</f>
        <v>46</v>
      </c>
      <c r="L48" s="5" t="str">
        <f>IFERROR(INDEX('Output Utente'!$E$2:$E$492,MATCH(45,'Output Utente'!$Q$2:$Q$492,0)),"")</f>
        <v>NO</v>
      </c>
      <c r="M48" s="5" t="str">
        <f>IFERROR(INDEX('Output Utente'!$U$2:$U$492,MATCH(45,'Output Utente'!$Q$2:$Q$492,0)),"")</f>
        <v>OK</v>
      </c>
      <c r="N48" s="5" t="str">
        <f>IFERROR(INDEX('Output Utente'!$AE$2:$AE$492,MATCH(45,'Output Utente'!$Q$2:$Q$492,0)),"")</f>
        <v>🟡 Attesa rischiosa</v>
      </c>
    </row>
    <row r="49" spans="1:14" ht="15" customHeight="1" x14ac:dyDescent="0.25">
      <c r="A49" s="41">
        <v>46</v>
      </c>
      <c r="B49" s="5">
        <f>IFERROR(INDEX('Output Utente'!$A$2:$A$492,MATCH(46,'Output Utente'!$Q$2:$Q$492,0)),"")</f>
        <v>6884</v>
      </c>
      <c r="C49" s="5" t="str">
        <f>IFERROR(INDEX('Output Utente'!$B$2:$B$492,MATCH(46,'Output Utente'!$Q$2:$Q$492,0)),"")</f>
        <v>C</v>
      </c>
      <c r="D49" s="5" t="str">
        <f>IFERROR(INDEX('Output Utente'!$C$2:$C$492,MATCH(46,'Output Utente'!$Q$2:$Q$492,0)),"")</f>
        <v>Conceicao</v>
      </c>
      <c r="E49" s="5" t="str">
        <f>IFERROR(INDEX('Input Giocatori 2026_27'!$D$3:$D$493,MATCH($B49,'Input Giocatori 2026_27'!$A$3:$A$493,0)),"")</f>
        <v>Juventus</v>
      </c>
      <c r="F49" s="42">
        <f>IFERROR(INDEX('Output Utente'!$N$2:$N$492,MATCH(46,'Output Utente'!$Q$2:$Q$492,0)),"")</f>
        <v>12</v>
      </c>
      <c r="G49" s="42">
        <f>IFERROR(INDEX('Output Utente'!$O$2:$O$492,MATCH(46,'Output Utente'!$Q$2:$Q$492,0)),"")</f>
        <v>60</v>
      </c>
      <c r="H49" s="5" t="str">
        <f>IFERROR(INDEX('Output Utente'!$P$2:$P$492,MATCH(46,'Output Utente'!$Q$2:$Q$492,0)),"")</f>
        <v>Top</v>
      </c>
      <c r="I49" s="42">
        <f>IFERROR(INDEX('Output Utente'!$F$2:$F$492,MATCH(46,'Output Utente'!$Q$2:$Q$492,0)),"")</f>
        <v>40</v>
      </c>
      <c r="J49" s="42">
        <f>IFERROR(INDEX('Output Utente'!$G$2:$G$492,MATCH(46,'Output Utente'!$Q$2:$Q$492,0)),"")</f>
        <v>27</v>
      </c>
      <c r="K49" s="42">
        <f>IFERROR(INDEX('Output Utente'!$H$2:$H$492,MATCH(46,'Output Utente'!$Q$2:$Q$492,0)),"")</f>
        <v>46</v>
      </c>
      <c r="L49" s="5" t="str">
        <f>IFERROR(INDEX('Output Utente'!$E$2:$E$492,MATCH(46,'Output Utente'!$Q$2:$Q$492,0)),"")</f>
        <v>NO</v>
      </c>
      <c r="M49" s="5" t="str">
        <f>IFERROR(INDEX('Output Utente'!$U$2:$U$492,MATCH(46,'Output Utente'!$Q$2:$Q$492,0)),"")</f>
        <v>OK</v>
      </c>
      <c r="N49" s="5" t="str">
        <f>IFERROR(INDEX('Output Utente'!$AE$2:$AE$492,MATCH(46,'Output Utente'!$Q$2:$Q$492,0)),"")</f>
        <v>🟡 Attesa rischiosa</v>
      </c>
    </row>
    <row r="50" spans="1:14" ht="15" customHeight="1" x14ac:dyDescent="0.25">
      <c r="A50" s="41">
        <v>47</v>
      </c>
      <c r="B50" s="5">
        <f>IFERROR(INDEX('Output Utente'!$A$2:$A$492,MATCH(47,'Output Utente'!$Q$2:$Q$492,0)),"")</f>
        <v>7351</v>
      </c>
      <c r="C50" s="5" t="str">
        <f>IFERROR(INDEX('Output Utente'!$B$2:$B$492,MATCH(47,'Output Utente'!$Q$2:$Q$492,0)),"")</f>
        <v>A</v>
      </c>
      <c r="D50" s="5" t="str">
        <f>IFERROR(INDEX('Output Utente'!$C$2:$C$492,MATCH(47,'Output Utente'!$Q$2:$Q$492,0)),"")</f>
        <v>Santos A.</v>
      </c>
      <c r="E50" s="5" t="str">
        <f>IFERROR(INDEX('Input Giocatori 2026_27'!$D$3:$D$493,MATCH($B50,'Input Giocatori 2026_27'!$A$3:$A$493,0)),"")</f>
        <v>Napoli</v>
      </c>
      <c r="F50" s="42">
        <f>IFERROR(INDEX('Output Utente'!$N$2:$N$492,MATCH(47,'Output Utente'!$Q$2:$Q$492,0)),"")</f>
        <v>14</v>
      </c>
      <c r="G50" s="42">
        <f>IFERROR(INDEX('Output Utente'!$O$2:$O$492,MATCH(47,'Output Utente'!$Q$2:$Q$492,0)),"")</f>
        <v>60</v>
      </c>
      <c r="H50" s="5" t="str">
        <f>IFERROR(INDEX('Output Utente'!$P$2:$P$492,MATCH(47,'Output Utente'!$Q$2:$Q$492,0)),"")</f>
        <v>Buono</v>
      </c>
      <c r="I50" s="42">
        <f>IFERROR(INDEX('Output Utente'!$F$2:$F$492,MATCH(47,'Output Utente'!$Q$2:$Q$492,0)),"")</f>
        <v>20</v>
      </c>
      <c r="J50" s="42">
        <f>IFERROR(INDEX('Output Utente'!$G$2:$G$492,MATCH(47,'Output Utente'!$Q$2:$Q$492,0)),"")</f>
        <v>12</v>
      </c>
      <c r="K50" s="42">
        <f>IFERROR(INDEX('Output Utente'!$H$2:$H$492,MATCH(47,'Output Utente'!$Q$2:$Q$492,0)),"")</f>
        <v>23</v>
      </c>
      <c r="L50" s="5" t="str">
        <f>IFERROR(INDEX('Output Utente'!$E$2:$E$492,MATCH(47,'Output Utente'!$Q$2:$Q$492,0)),"")</f>
        <v>NO</v>
      </c>
      <c r="M50" s="5" t="str">
        <f>IFERROR(INDEX('Output Utente'!$U$2:$U$492,MATCH(47,'Output Utente'!$Q$2:$Q$492,0)),"")</f>
        <v>OK</v>
      </c>
      <c r="N50" s="5" t="str">
        <f>IFERROR(INDEX('Output Utente'!$AE$2:$AE$492,MATCH(47,'Output Utente'!$Q$2:$Q$492,0)),"")</f>
        <v>🟢 Riserve abbondanti</v>
      </c>
    </row>
    <row r="51" spans="1:14" ht="15" customHeight="1" x14ac:dyDescent="0.25">
      <c r="A51" s="41">
        <v>48</v>
      </c>
      <c r="B51" s="5">
        <f>IFERROR(INDEX('Output Utente'!$A$2:$A$492,MATCH(48,'Output Utente'!$Q$2:$Q$492,0)),"")</f>
        <v>2038</v>
      </c>
      <c r="C51" s="5" t="str">
        <f>IFERROR(INDEX('Output Utente'!$B$2:$B$492,MATCH(48,'Output Utente'!$Q$2:$Q$492,0)),"")</f>
        <v>A</v>
      </c>
      <c r="D51" s="5" t="str">
        <f>IFERROR(INDEX('Output Utente'!$C$2:$C$492,MATCH(48,'Output Utente'!$Q$2:$Q$492,0)),"")</f>
        <v>Pinamonti</v>
      </c>
      <c r="E51" s="5" t="str">
        <f>IFERROR(INDEX('Input Giocatori 2026_27'!$D$3:$D$493,MATCH($B51,'Input Giocatori 2026_27'!$A$3:$A$493,0)),"")</f>
        <v>Sassuolo</v>
      </c>
      <c r="F51" s="42">
        <f>IFERROR(INDEX('Output Utente'!$N$2:$N$492,MATCH(48,'Output Utente'!$Q$2:$Q$492,0)),"")</f>
        <v>13</v>
      </c>
      <c r="G51" s="42">
        <f>IFERROR(INDEX('Output Utente'!$O$2:$O$492,MATCH(48,'Output Utente'!$Q$2:$Q$492,0)),"")</f>
        <v>58</v>
      </c>
      <c r="H51" s="5" t="str">
        <f>IFERROR(INDEX('Output Utente'!$P$2:$P$492,MATCH(48,'Output Utente'!$Q$2:$Q$492,0)),"")</f>
        <v>Buono</v>
      </c>
      <c r="I51" s="42">
        <f>IFERROR(INDEX('Output Utente'!$F$2:$F$492,MATCH(48,'Output Utente'!$Q$2:$Q$492,0)),"")</f>
        <v>19</v>
      </c>
      <c r="J51" s="42">
        <f>IFERROR(INDEX('Output Utente'!$G$2:$G$492,MATCH(48,'Output Utente'!$Q$2:$Q$492,0)),"")</f>
        <v>12</v>
      </c>
      <c r="K51" s="42">
        <f>IFERROR(INDEX('Output Utente'!$H$2:$H$492,MATCH(48,'Output Utente'!$Q$2:$Q$492,0)),"")</f>
        <v>22</v>
      </c>
      <c r="L51" s="5" t="str">
        <f>IFERROR(INDEX('Output Utente'!$E$2:$E$492,MATCH(48,'Output Utente'!$Q$2:$Q$492,0)),"")</f>
        <v>NO</v>
      </c>
      <c r="M51" s="5" t="str">
        <f>IFERROR(INDEX('Output Utente'!$U$2:$U$492,MATCH(48,'Output Utente'!$Q$2:$Q$492,0)),"")</f>
        <v>OK</v>
      </c>
      <c r="N51" s="5" t="str">
        <f>IFERROR(INDEX('Output Utente'!$AE$2:$AE$492,MATCH(48,'Output Utente'!$Q$2:$Q$492,0)),"")</f>
        <v>🟢 Riserve abbondanti</v>
      </c>
    </row>
    <row r="52" spans="1:14" ht="15" customHeight="1" x14ac:dyDescent="0.25">
      <c r="A52" s="41">
        <v>49</v>
      </c>
      <c r="B52" s="5">
        <f>IFERROR(INDEX('Output Utente'!$A$2:$A$492,MATCH(49,'Output Utente'!$Q$2:$Q$492,0)),"")</f>
        <v>7436</v>
      </c>
      <c r="C52" s="5" t="str">
        <f>IFERROR(INDEX('Output Utente'!$B$2:$B$492,MATCH(49,'Output Utente'!$Q$2:$Q$492,0)),"")</f>
        <v>C</v>
      </c>
      <c r="D52" s="5" t="str">
        <f>IFERROR(INDEX('Output Utente'!$C$2:$C$492,MATCH(49,'Output Utente'!$Q$2:$Q$492,0)),"")</f>
        <v>Alajbegovic</v>
      </c>
      <c r="E52" s="5" t="str">
        <f>IFERROR(INDEX('Input Giocatori 2026_27'!$D$3:$D$493,MATCH($B52,'Input Giocatori 2026_27'!$A$3:$A$493,0)),"")</f>
        <v>Juventus</v>
      </c>
      <c r="F52" s="42">
        <f>IFERROR(INDEX('Output Utente'!$N$2:$N$492,MATCH(49,'Output Utente'!$Q$2:$Q$492,0)),"")</f>
        <v>12</v>
      </c>
      <c r="G52" s="42">
        <f>IFERROR(INDEX('Output Utente'!$O$2:$O$492,MATCH(49,'Output Utente'!$Q$2:$Q$492,0)),"")</f>
        <v>57</v>
      </c>
      <c r="H52" s="5" t="str">
        <f>IFERROR(INDEX('Output Utente'!$P$2:$P$492,MATCH(49,'Output Utente'!$Q$2:$Q$492,0)),"")</f>
        <v>Buono</v>
      </c>
      <c r="I52" s="42">
        <f>IFERROR(INDEX('Output Utente'!$F$2:$F$492,MATCH(49,'Output Utente'!$Q$2:$Q$492,0)),"")</f>
        <v>38</v>
      </c>
      <c r="J52" s="42">
        <f>IFERROR(INDEX('Output Utente'!$G$2:$G$492,MATCH(49,'Output Utente'!$Q$2:$Q$492,0)),"")</f>
        <v>26</v>
      </c>
      <c r="K52" s="42">
        <f>IFERROR(INDEX('Output Utente'!$H$2:$H$492,MATCH(49,'Output Utente'!$Q$2:$Q$492,0)),"")</f>
        <v>43</v>
      </c>
      <c r="L52" s="5" t="str">
        <f>IFERROR(INDEX('Output Utente'!$E$2:$E$492,MATCH(49,'Output Utente'!$Q$2:$Q$492,0)),"")</f>
        <v>NO</v>
      </c>
      <c r="M52" s="5" t="str">
        <f>IFERROR(INDEX('Output Utente'!$U$2:$U$492,MATCH(49,'Output Utente'!$Q$2:$Q$492,0)),"")</f>
        <v>OK</v>
      </c>
      <c r="N52" s="5" t="str">
        <f>IFERROR(INDEX('Output Utente'!$AE$2:$AE$492,MATCH(49,'Output Utente'!$Q$2:$Q$492,0)),"")</f>
        <v>🟡 Attesa rischiosa</v>
      </c>
    </row>
    <row r="53" spans="1:14" ht="15" customHeight="1" x14ac:dyDescent="0.25">
      <c r="A53" s="41">
        <v>50</v>
      </c>
      <c r="B53" s="5">
        <f>IFERROR(INDEX('Output Utente'!$A$2:$A$492,MATCH(50,'Output Utente'!$Q$2:$Q$492,0)),"")</f>
        <v>6966</v>
      </c>
      <c r="C53" s="5" t="str">
        <f>IFERROR(INDEX('Output Utente'!$B$2:$B$492,MATCH(50,'Output Utente'!$Q$2:$Q$492,0)),"")</f>
        <v>P</v>
      </c>
      <c r="D53" s="5" t="str">
        <f>IFERROR(INDEX('Output Utente'!$C$2:$C$492,MATCH(50,'Output Utente'!$Q$2:$Q$492,0)),"")</f>
        <v>Butez</v>
      </c>
      <c r="E53" s="5" t="str">
        <f>IFERROR(INDEX('Input Giocatori 2026_27'!$D$3:$D$493,MATCH($B53,'Input Giocatori 2026_27'!$A$3:$A$493,0)),"")</f>
        <v>Como</v>
      </c>
      <c r="F53" s="42">
        <f>IFERROR(INDEX('Output Utente'!$N$2:$N$492,MATCH(50,'Output Utente'!$Q$2:$Q$492,0)),"")</f>
        <v>16</v>
      </c>
      <c r="G53" s="42">
        <f>IFERROR(INDEX('Output Utente'!$O$2:$O$492,MATCH(50,'Output Utente'!$Q$2:$Q$492,0)),"")</f>
        <v>56</v>
      </c>
      <c r="H53" s="5" t="str">
        <f>IFERROR(INDEX('Output Utente'!$P$2:$P$492,MATCH(50,'Output Utente'!$Q$2:$Q$492,0)),"")</f>
        <v>Top</v>
      </c>
      <c r="I53" s="42">
        <f>IFERROR(INDEX('Output Utente'!$F$2:$F$492,MATCH(50,'Output Utente'!$Q$2:$Q$492,0)),"")</f>
        <v>94</v>
      </c>
      <c r="J53" s="42">
        <f>IFERROR(INDEX('Output Utente'!$G$2:$G$492,MATCH(50,'Output Utente'!$Q$2:$Q$492,0)),"")</f>
        <v>76</v>
      </c>
      <c r="K53" s="42">
        <f>IFERROR(INDEX('Output Utente'!$H$2:$H$492,MATCH(50,'Output Utente'!$Q$2:$Q$492,0)),"")</f>
        <v>102</v>
      </c>
      <c r="L53" s="5" t="str">
        <f>IFERROR(INDEX('Output Utente'!$E$2:$E$492,MATCH(50,'Output Utente'!$Q$2:$Q$492,0)),"")</f>
        <v>NO</v>
      </c>
      <c r="M53" s="5" t="str">
        <f>IFERROR(INDEX('Output Utente'!$U$2:$U$492,MATCH(50,'Output Utente'!$Q$2:$Q$492,0)),"")</f>
        <v>Attenzione</v>
      </c>
      <c r="N53" s="5" t="str">
        <f>IFERROR(INDEX('Output Utente'!$AE$2:$AE$492,MATCH(50,'Output Utente'!$Q$2:$Q$492,0)),"")</f>
        <v>🟢 Puoi aspettare</v>
      </c>
    </row>
    <row r="54" spans="1:14" ht="15" customHeight="1" x14ac:dyDescent="0.25">
      <c r="A54" s="41">
        <v>51</v>
      </c>
      <c r="B54" s="5">
        <f>IFERROR(INDEX('Output Utente'!$A$2:$A$492,MATCH(51,'Output Utente'!$Q$2:$Q$492,0)),"")</f>
        <v>4159</v>
      </c>
      <c r="C54" s="5" t="str">
        <f>IFERROR(INDEX('Output Utente'!$B$2:$B$492,MATCH(51,'Output Utente'!$Q$2:$Q$492,0)),"")</f>
        <v>D</v>
      </c>
      <c r="D54" s="5" t="str">
        <f>IFERROR(INDEX('Output Utente'!$C$2:$C$492,MATCH(51,'Output Utente'!$Q$2:$Q$492,0)),"")</f>
        <v>Akanji</v>
      </c>
      <c r="E54" s="5" t="str">
        <f>IFERROR(INDEX('Input Giocatori 2026_27'!$D$3:$D$493,MATCH($B54,'Input Giocatori 2026_27'!$A$3:$A$493,0)),"")</f>
        <v>Inter</v>
      </c>
      <c r="F54" s="42">
        <f>IFERROR(INDEX('Output Utente'!$N$2:$N$492,MATCH(51,'Output Utente'!$Q$2:$Q$492,0)),"")</f>
        <v>16</v>
      </c>
      <c r="G54" s="42">
        <f>IFERROR(INDEX('Output Utente'!$O$2:$O$492,MATCH(51,'Output Utente'!$Q$2:$Q$492,0)),"")</f>
        <v>55</v>
      </c>
      <c r="H54" s="5" t="str">
        <f>IFERROR(INDEX('Output Utente'!$P$2:$P$492,MATCH(51,'Output Utente'!$Q$2:$Q$492,0)),"")</f>
        <v>Top</v>
      </c>
      <c r="I54" s="42">
        <f>IFERROR(INDEX('Output Utente'!$F$2:$F$492,MATCH(51,'Output Utente'!$Q$2:$Q$492,0)),"")</f>
        <v>38</v>
      </c>
      <c r="J54" s="42">
        <f>IFERROR(INDEX('Output Utente'!$G$2:$G$492,MATCH(51,'Output Utente'!$Q$2:$Q$492,0)),"")</f>
        <v>28</v>
      </c>
      <c r="K54" s="42">
        <f>IFERROR(INDEX('Output Utente'!$H$2:$H$492,MATCH(51,'Output Utente'!$Q$2:$Q$492,0)),"")</f>
        <v>42</v>
      </c>
      <c r="L54" s="5" t="str">
        <f>IFERROR(INDEX('Output Utente'!$E$2:$E$492,MATCH(51,'Output Utente'!$Q$2:$Q$492,0)),"")</f>
        <v>NO</v>
      </c>
      <c r="M54" s="5" t="str">
        <f>IFERROR(INDEX('Output Utente'!$U$2:$U$492,MATCH(51,'Output Utente'!$Q$2:$Q$492,0)),"")</f>
        <v>OK</v>
      </c>
      <c r="N54" s="5" t="str">
        <f>IFERROR(INDEX('Output Utente'!$AE$2:$AE$492,MATCH(51,'Output Utente'!$Q$2:$Q$492,0)),"")</f>
        <v>🟢 Puoi aspettare</v>
      </c>
    </row>
    <row r="55" spans="1:14" ht="15" customHeight="1" x14ac:dyDescent="0.25">
      <c r="A55" s="41">
        <v>52</v>
      </c>
      <c r="B55" s="5">
        <f>IFERROR(INDEX('Output Utente'!$A$2:$A$492,MATCH(52,'Output Utente'!$Q$2:$Q$492,0)),"")</f>
        <v>4220</v>
      </c>
      <c r="C55" s="5" t="str">
        <f>IFERROR(INDEX('Output Utente'!$B$2:$B$492,MATCH(52,'Output Utente'!$Q$2:$Q$492,0)),"")</f>
        <v>C</v>
      </c>
      <c r="D55" s="5" t="str">
        <f>IFERROR(INDEX('Output Utente'!$C$2:$C$492,MATCH(52,'Output Utente'!$Q$2:$Q$492,0)),"")</f>
        <v>Zambo Anguissa</v>
      </c>
      <c r="E55" s="5" t="str">
        <f>IFERROR(INDEX('Input Giocatori 2026_27'!$D$3:$D$493,MATCH($B55,'Input Giocatori 2026_27'!$A$3:$A$493,0)),"")</f>
        <v>Napoli</v>
      </c>
      <c r="F55" s="42">
        <f>IFERROR(INDEX('Output Utente'!$N$2:$N$492,MATCH(52,'Output Utente'!$Q$2:$Q$492,0)),"")</f>
        <v>11</v>
      </c>
      <c r="G55" s="42">
        <f>IFERROR(INDEX('Output Utente'!$O$2:$O$492,MATCH(52,'Output Utente'!$Q$2:$Q$492,0)),"")</f>
        <v>55</v>
      </c>
      <c r="H55" s="5" t="str">
        <f>IFERROR(INDEX('Output Utente'!$P$2:$P$492,MATCH(52,'Output Utente'!$Q$2:$Q$492,0)),"")</f>
        <v>Buono</v>
      </c>
      <c r="I55" s="42">
        <f>IFERROR(INDEX('Output Utente'!$F$2:$F$492,MATCH(52,'Output Utente'!$Q$2:$Q$492,0)),"")</f>
        <v>37</v>
      </c>
      <c r="J55" s="42">
        <f>IFERROR(INDEX('Output Utente'!$G$2:$G$492,MATCH(52,'Output Utente'!$Q$2:$Q$492,0)),"")</f>
        <v>25</v>
      </c>
      <c r="K55" s="42">
        <f>IFERROR(INDEX('Output Utente'!$H$2:$H$492,MATCH(52,'Output Utente'!$Q$2:$Q$492,0)),"")</f>
        <v>42</v>
      </c>
      <c r="L55" s="5" t="str">
        <f>IFERROR(INDEX('Output Utente'!$E$2:$E$492,MATCH(52,'Output Utente'!$Q$2:$Q$492,0)),"")</f>
        <v>NO</v>
      </c>
      <c r="M55" s="5" t="str">
        <f>IFERROR(INDEX('Output Utente'!$U$2:$U$492,MATCH(52,'Output Utente'!$Q$2:$Q$492,0)),"")</f>
        <v>OK</v>
      </c>
      <c r="N55" s="5" t="str">
        <f>IFERROR(INDEX('Output Utente'!$AE$2:$AE$492,MATCH(52,'Output Utente'!$Q$2:$Q$492,0)),"")</f>
        <v>🟡 Attesa rischiosa</v>
      </c>
    </row>
    <row r="56" spans="1:14" ht="15" customHeight="1" x14ac:dyDescent="0.25">
      <c r="A56" s="41">
        <v>53</v>
      </c>
      <c r="B56" s="5">
        <f>IFERROR(INDEX('Output Utente'!$A$2:$A$492,MATCH(53,'Output Utente'!$Q$2:$Q$492,0)),"")</f>
        <v>5734</v>
      </c>
      <c r="C56" s="5" t="str">
        <f>IFERROR(INDEX('Output Utente'!$B$2:$B$492,MATCH(53,'Output Utente'!$Q$2:$Q$492,0)),"")</f>
        <v>A</v>
      </c>
      <c r="D56" s="5" t="str">
        <f>IFERROR(INDEX('Output Utente'!$C$2:$C$492,MATCH(53,'Output Utente'!$Q$2:$Q$492,0)),"")</f>
        <v>Soulè</v>
      </c>
      <c r="E56" s="5" t="str">
        <f>IFERROR(INDEX('Input Giocatori 2026_27'!$D$3:$D$493,MATCH($B56,'Input Giocatori 2026_27'!$A$3:$A$493,0)),"")</f>
        <v>Roma</v>
      </c>
      <c r="F56" s="42">
        <f>IFERROR(INDEX('Output Utente'!$N$2:$N$492,MATCH(53,'Output Utente'!$Q$2:$Q$492,0)),"")</f>
        <v>12</v>
      </c>
      <c r="G56" s="42">
        <f>IFERROR(INDEX('Output Utente'!$O$2:$O$492,MATCH(53,'Output Utente'!$Q$2:$Q$492,0)),"")</f>
        <v>55</v>
      </c>
      <c r="H56" s="5" t="str">
        <f>IFERROR(INDEX('Output Utente'!$P$2:$P$492,MATCH(53,'Output Utente'!$Q$2:$Q$492,0)),"")</f>
        <v>Nella Media</v>
      </c>
      <c r="I56" s="42">
        <f>IFERROR(INDEX('Output Utente'!$F$2:$F$492,MATCH(53,'Output Utente'!$Q$2:$Q$492,0)),"")</f>
        <v>18</v>
      </c>
      <c r="J56" s="42">
        <f>IFERROR(INDEX('Output Utente'!$G$2:$G$492,MATCH(53,'Output Utente'!$Q$2:$Q$492,0)),"")</f>
        <v>11</v>
      </c>
      <c r="K56" s="42">
        <f>IFERROR(INDEX('Output Utente'!$H$2:$H$492,MATCH(53,'Output Utente'!$Q$2:$Q$492,0)),"")</f>
        <v>21</v>
      </c>
      <c r="L56" s="5" t="str">
        <f>IFERROR(INDEX('Output Utente'!$E$2:$E$492,MATCH(53,'Output Utente'!$Q$2:$Q$492,0)),"")</f>
        <v>NO</v>
      </c>
      <c r="M56" s="5" t="str">
        <f>IFERROR(INDEX('Output Utente'!$U$2:$U$492,MATCH(53,'Output Utente'!$Q$2:$Q$492,0)),"")</f>
        <v>OK</v>
      </c>
      <c r="N56" s="5" t="str">
        <f>IFERROR(INDEX('Output Utente'!$AE$2:$AE$492,MATCH(53,'Output Utente'!$Q$2:$Q$492,0)),"")</f>
        <v>🟢 Riserve abbondanti</v>
      </c>
    </row>
    <row r="57" spans="1:14" ht="15" customHeight="1" x14ac:dyDescent="0.25">
      <c r="A57" s="41">
        <v>54</v>
      </c>
      <c r="B57" s="5">
        <f>IFERROR(INDEX('Output Utente'!$A$2:$A$492,MATCH(54,'Output Utente'!$Q$2:$Q$492,0)),"")</f>
        <v>4431</v>
      </c>
      <c r="C57" s="5" t="str">
        <f>IFERROR(INDEX('Output Utente'!$B$2:$B$492,MATCH(54,'Output Utente'!$Q$2:$Q$492,0)),"")</f>
        <v>P</v>
      </c>
      <c r="D57" s="5" t="str">
        <f>IFERROR(INDEX('Output Utente'!$C$2:$C$492,MATCH(54,'Output Utente'!$Q$2:$Q$492,0)),"")</f>
        <v>Carnesecchi</v>
      </c>
      <c r="E57" s="5" t="str">
        <f>IFERROR(INDEX('Input Giocatori 2026_27'!$D$3:$D$493,MATCH($B57,'Input Giocatori 2026_27'!$A$3:$A$493,0)),"")</f>
        <v>Atalanta</v>
      </c>
      <c r="F57" s="42">
        <f>IFERROR(INDEX('Output Utente'!$N$2:$N$492,MATCH(54,'Output Utente'!$Q$2:$Q$492,0)),"")</f>
        <v>16</v>
      </c>
      <c r="G57" s="42">
        <f>IFERROR(INDEX('Output Utente'!$O$2:$O$492,MATCH(54,'Output Utente'!$Q$2:$Q$492,0)),"")</f>
        <v>52</v>
      </c>
      <c r="H57" s="5" t="str">
        <f>IFERROR(INDEX('Output Utente'!$P$2:$P$492,MATCH(54,'Output Utente'!$Q$2:$Q$492,0)),"")</f>
        <v>Top</v>
      </c>
      <c r="I57" s="42">
        <f>IFERROR(INDEX('Output Utente'!$F$2:$F$492,MATCH(54,'Output Utente'!$Q$2:$Q$492,0)),"")</f>
        <v>89</v>
      </c>
      <c r="J57" s="42">
        <f>IFERROR(INDEX('Output Utente'!$G$2:$G$492,MATCH(54,'Output Utente'!$Q$2:$Q$492,0)),"")</f>
        <v>71</v>
      </c>
      <c r="K57" s="42">
        <f>IFERROR(INDEX('Output Utente'!$H$2:$H$492,MATCH(54,'Output Utente'!$Q$2:$Q$492,0)),"")</f>
        <v>96</v>
      </c>
      <c r="L57" s="5" t="str">
        <f>IFERROR(INDEX('Output Utente'!$E$2:$E$492,MATCH(54,'Output Utente'!$Q$2:$Q$492,0)),"")</f>
        <v>NO</v>
      </c>
      <c r="M57" s="5" t="str">
        <f>IFERROR(INDEX('Output Utente'!$U$2:$U$492,MATCH(54,'Output Utente'!$Q$2:$Q$492,0)),"")</f>
        <v>Attenzione</v>
      </c>
      <c r="N57" s="5" t="str">
        <f>IFERROR(INDEX('Output Utente'!$AE$2:$AE$492,MATCH(54,'Output Utente'!$Q$2:$Q$492,0)),"")</f>
        <v>🟢 Puoi aspettare</v>
      </c>
    </row>
    <row r="58" spans="1:14" ht="15" customHeight="1" x14ac:dyDescent="0.25">
      <c r="A58" s="41">
        <v>55</v>
      </c>
      <c r="B58" s="5">
        <f>IFERROR(INDEX('Output Utente'!$A$2:$A$492,MATCH(55,'Output Utente'!$Q$2:$Q$492,0)),"")</f>
        <v>4728</v>
      </c>
      <c r="C58" s="5" t="str">
        <f>IFERROR(INDEX('Output Utente'!$B$2:$B$492,MATCH(55,'Output Utente'!$Q$2:$Q$492,0)),"")</f>
        <v>A</v>
      </c>
      <c r="D58" s="5" t="str">
        <f>IFERROR(INDEX('Output Utente'!$C$2:$C$492,MATCH(55,'Output Utente'!$Q$2:$Q$492,0)),"")</f>
        <v>Nkunku</v>
      </c>
      <c r="E58" s="5" t="str">
        <f>IFERROR(INDEX('Input Giocatori 2026_27'!$D$3:$D$493,MATCH($B58,'Input Giocatori 2026_27'!$A$3:$A$493,0)),"")</f>
        <v>Milan</v>
      </c>
      <c r="F58" s="42">
        <f>IFERROR(INDEX('Output Utente'!$N$2:$N$492,MATCH(55,'Output Utente'!$Q$2:$Q$492,0)),"")</f>
        <v>13</v>
      </c>
      <c r="G58" s="42">
        <f>IFERROR(INDEX('Output Utente'!$O$2:$O$492,MATCH(55,'Output Utente'!$Q$2:$Q$492,0)),"")</f>
        <v>52</v>
      </c>
      <c r="H58" s="5" t="str">
        <f>IFERROR(INDEX('Output Utente'!$P$2:$P$492,MATCH(55,'Output Utente'!$Q$2:$Q$492,0)),"")</f>
        <v>Nella Media</v>
      </c>
      <c r="I58" s="42">
        <f>IFERROR(INDEX('Output Utente'!$F$2:$F$492,MATCH(55,'Output Utente'!$Q$2:$Q$492,0)),"")</f>
        <v>17</v>
      </c>
      <c r="J58" s="42">
        <f>IFERROR(INDEX('Output Utente'!$G$2:$G$492,MATCH(55,'Output Utente'!$Q$2:$Q$492,0)),"")</f>
        <v>11</v>
      </c>
      <c r="K58" s="42">
        <f>IFERROR(INDEX('Output Utente'!$H$2:$H$492,MATCH(55,'Output Utente'!$Q$2:$Q$492,0)),"")</f>
        <v>20</v>
      </c>
      <c r="L58" s="5" t="str">
        <f>IFERROR(INDEX('Output Utente'!$E$2:$E$492,MATCH(55,'Output Utente'!$Q$2:$Q$492,0)),"")</f>
        <v>NO</v>
      </c>
      <c r="M58" s="5" t="str">
        <f>IFERROR(INDEX('Output Utente'!$U$2:$U$492,MATCH(55,'Output Utente'!$Q$2:$Q$492,0)),"")</f>
        <v>OK</v>
      </c>
      <c r="N58" s="5" t="str">
        <f>IFERROR(INDEX('Output Utente'!$AE$2:$AE$492,MATCH(55,'Output Utente'!$Q$2:$Q$492,0)),"")</f>
        <v>🟢 Riserve abbondanti</v>
      </c>
    </row>
    <row r="59" spans="1:14" ht="15" customHeight="1" x14ac:dyDescent="0.25">
      <c r="A59" s="41">
        <v>56</v>
      </c>
      <c r="B59" s="5">
        <f>IFERROR(INDEX('Output Utente'!$A$2:$A$492,MATCH(56,'Output Utente'!$Q$2:$Q$492,0)),"")</f>
        <v>7484</v>
      </c>
      <c r="C59" s="5" t="str">
        <f>IFERROR(INDEX('Output Utente'!$B$2:$B$492,MATCH(56,'Output Utente'!$Q$2:$Q$492,0)),"")</f>
        <v>A</v>
      </c>
      <c r="D59" s="5" t="str">
        <f>IFERROR(INDEX('Output Utente'!$C$2:$C$492,MATCH(56,'Output Utente'!$Q$2:$Q$492,0)),"")</f>
        <v>Adams A.</v>
      </c>
      <c r="E59" s="5" t="str">
        <f>IFERROR(INDEX('Input Giocatori 2026_27'!$D$3:$D$493,MATCH($B59,'Input Giocatori 2026_27'!$A$3:$A$493,0)),"")</f>
        <v>Venezia</v>
      </c>
      <c r="F59" s="42">
        <f>IFERROR(INDEX('Output Utente'!$N$2:$N$492,MATCH(56,'Output Utente'!$Q$2:$Q$492,0)),"")</f>
        <v>12</v>
      </c>
      <c r="G59" s="42">
        <f>IFERROR(INDEX('Output Utente'!$O$2:$O$492,MATCH(56,'Output Utente'!$Q$2:$Q$492,0)),"")</f>
        <v>52</v>
      </c>
      <c r="H59" s="5" t="str">
        <f>IFERROR(INDEX('Output Utente'!$P$2:$P$492,MATCH(56,'Output Utente'!$Q$2:$Q$492,0)),"")</f>
        <v>Nella Media</v>
      </c>
      <c r="I59" s="42">
        <f>IFERROR(INDEX('Output Utente'!$F$2:$F$492,MATCH(56,'Output Utente'!$Q$2:$Q$492,0)),"")</f>
        <v>16</v>
      </c>
      <c r="J59" s="42">
        <f>IFERROR(INDEX('Output Utente'!$G$2:$G$492,MATCH(56,'Output Utente'!$Q$2:$Q$492,0)),"")</f>
        <v>10</v>
      </c>
      <c r="K59" s="42">
        <f>IFERROR(INDEX('Output Utente'!$H$2:$H$492,MATCH(56,'Output Utente'!$Q$2:$Q$492,0)),"")</f>
        <v>19</v>
      </c>
      <c r="L59" s="5" t="str">
        <f>IFERROR(INDEX('Output Utente'!$E$2:$E$492,MATCH(56,'Output Utente'!$Q$2:$Q$492,0)),"")</f>
        <v>NO</v>
      </c>
      <c r="M59" s="5" t="str">
        <f>IFERROR(INDEX('Output Utente'!$U$2:$U$492,MATCH(56,'Output Utente'!$Q$2:$Q$492,0)),"")</f>
        <v>OK</v>
      </c>
      <c r="N59" s="5" t="str">
        <f>IFERROR(INDEX('Output Utente'!$AE$2:$AE$492,MATCH(56,'Output Utente'!$Q$2:$Q$492,0)),"")</f>
        <v>🟢 Riserve abbondanti</v>
      </c>
    </row>
    <row r="60" spans="1:14" ht="15" customHeight="1" x14ac:dyDescent="0.25">
      <c r="A60" s="41">
        <v>57</v>
      </c>
      <c r="B60" s="5">
        <f>IFERROR(INDEX('Output Utente'!$A$2:$A$492,MATCH(57,'Output Utente'!$Q$2:$Q$492,0)),"")</f>
        <v>4312</v>
      </c>
      <c r="C60" s="5" t="str">
        <f>IFERROR(INDEX('Output Utente'!$B$2:$B$492,MATCH(57,'Output Utente'!$Q$2:$Q$492,0)),"")</f>
        <v>P</v>
      </c>
      <c r="D60" s="5" t="str">
        <f>IFERROR(INDEX('Output Utente'!$C$2:$C$492,MATCH(57,'Output Utente'!$Q$2:$Q$492,0)),"")</f>
        <v>Maignan</v>
      </c>
      <c r="E60" s="5" t="str">
        <f>IFERROR(INDEX('Input Giocatori 2026_27'!$D$3:$D$493,MATCH($B60,'Input Giocatori 2026_27'!$A$3:$A$493,0)),"")</f>
        <v>Milan</v>
      </c>
      <c r="F60" s="42">
        <f>IFERROR(INDEX('Output Utente'!$N$2:$N$492,MATCH(57,'Output Utente'!$Q$2:$Q$492,0)),"")</f>
        <v>15</v>
      </c>
      <c r="G60" s="42">
        <f>IFERROR(INDEX('Output Utente'!$O$2:$O$492,MATCH(57,'Output Utente'!$Q$2:$Q$492,0)),"")</f>
        <v>50</v>
      </c>
      <c r="H60" s="5" t="str">
        <f>IFERROR(INDEX('Output Utente'!$P$2:$P$492,MATCH(57,'Output Utente'!$Q$2:$Q$492,0)),"")</f>
        <v>Top</v>
      </c>
      <c r="I60" s="42">
        <f>IFERROR(INDEX('Output Utente'!$F$2:$F$492,MATCH(57,'Output Utente'!$Q$2:$Q$492,0)),"")</f>
        <v>84</v>
      </c>
      <c r="J60" s="42">
        <f>IFERROR(INDEX('Output Utente'!$G$2:$G$492,MATCH(57,'Output Utente'!$Q$2:$Q$492,0)),"")</f>
        <v>68</v>
      </c>
      <c r="K60" s="42">
        <f>IFERROR(INDEX('Output Utente'!$H$2:$H$492,MATCH(57,'Output Utente'!$Q$2:$Q$492,0)),"")</f>
        <v>91</v>
      </c>
      <c r="L60" s="5" t="str">
        <f>IFERROR(INDEX('Output Utente'!$E$2:$E$492,MATCH(57,'Output Utente'!$Q$2:$Q$492,0)),"")</f>
        <v>NO</v>
      </c>
      <c r="M60" s="5" t="str">
        <f>IFERROR(INDEX('Output Utente'!$U$2:$U$492,MATCH(57,'Output Utente'!$Q$2:$Q$492,0)),"")</f>
        <v>Attenzione</v>
      </c>
      <c r="N60" s="5" t="str">
        <f>IFERROR(INDEX('Output Utente'!$AE$2:$AE$492,MATCH(57,'Output Utente'!$Q$2:$Q$492,0)),"")</f>
        <v>🟢 Puoi aspettare</v>
      </c>
    </row>
    <row r="61" spans="1:14" ht="15" customHeight="1" x14ac:dyDescent="0.25">
      <c r="A61" s="41">
        <v>58</v>
      </c>
      <c r="B61" s="5">
        <f>IFERROR(INDEX('Output Utente'!$A$2:$A$492,MATCH(58,'Output Utente'!$Q$2:$Q$492,0)),"")</f>
        <v>2788</v>
      </c>
      <c r="C61" s="5" t="str">
        <f>IFERROR(INDEX('Output Utente'!$B$2:$B$492,MATCH(58,'Output Utente'!$Q$2:$Q$492,0)),"")</f>
        <v>D</v>
      </c>
      <c r="D61" s="5" t="str">
        <f>IFERROR(INDEX('Output Utente'!$C$2:$C$492,MATCH(58,'Output Utente'!$Q$2:$Q$492,0)),"")</f>
        <v>Bremer</v>
      </c>
      <c r="E61" s="5" t="str">
        <f>IFERROR(INDEX('Input Giocatori 2026_27'!$D$3:$D$493,MATCH($B61,'Input Giocatori 2026_27'!$A$3:$A$493,0)),"")</f>
        <v>Juventus</v>
      </c>
      <c r="F61" s="42">
        <f>IFERROR(INDEX('Output Utente'!$N$2:$N$492,MATCH(58,'Output Utente'!$Q$2:$Q$492,0)),"")</f>
        <v>15</v>
      </c>
      <c r="G61" s="42">
        <f>IFERROR(INDEX('Output Utente'!$O$2:$O$492,MATCH(58,'Output Utente'!$Q$2:$Q$492,0)),"")</f>
        <v>50</v>
      </c>
      <c r="H61" s="5" t="str">
        <f>IFERROR(INDEX('Output Utente'!$P$2:$P$492,MATCH(58,'Output Utente'!$Q$2:$Q$492,0)),"")</f>
        <v>Top</v>
      </c>
      <c r="I61" s="42">
        <f>IFERROR(INDEX('Output Utente'!$F$2:$F$492,MATCH(58,'Output Utente'!$Q$2:$Q$492,0)),"")</f>
        <v>35</v>
      </c>
      <c r="J61" s="42">
        <f>IFERROR(INDEX('Output Utente'!$G$2:$G$492,MATCH(58,'Output Utente'!$Q$2:$Q$492,0)),"")</f>
        <v>26</v>
      </c>
      <c r="K61" s="42">
        <f>IFERROR(INDEX('Output Utente'!$H$2:$H$492,MATCH(58,'Output Utente'!$Q$2:$Q$492,0)),"")</f>
        <v>39</v>
      </c>
      <c r="L61" s="5" t="str">
        <f>IFERROR(INDEX('Output Utente'!$E$2:$E$492,MATCH(58,'Output Utente'!$Q$2:$Q$492,0)),"")</f>
        <v>NO</v>
      </c>
      <c r="M61" s="5" t="str">
        <f>IFERROR(INDEX('Output Utente'!$U$2:$U$492,MATCH(58,'Output Utente'!$Q$2:$Q$492,0)),"")</f>
        <v>OK</v>
      </c>
      <c r="N61" s="5" t="str">
        <f>IFERROR(INDEX('Output Utente'!$AE$2:$AE$492,MATCH(58,'Output Utente'!$Q$2:$Q$492,0)),"")</f>
        <v>🟢 Puoi aspettare</v>
      </c>
    </row>
    <row r="62" spans="1:14" ht="15" customHeight="1" x14ac:dyDescent="0.25">
      <c r="A62" s="41">
        <v>59</v>
      </c>
      <c r="B62" s="5">
        <f>IFERROR(INDEX('Output Utente'!$A$2:$A$492,MATCH(59,'Output Utente'!$Q$2:$Q$492,0)),"")</f>
        <v>2606</v>
      </c>
      <c r="C62" s="5" t="str">
        <f>IFERROR(INDEX('Output Utente'!$B$2:$B$492,MATCH(59,'Output Utente'!$Q$2:$Q$492,0)),"")</f>
        <v>C</v>
      </c>
      <c r="D62" s="5" t="str">
        <f>IFERROR(INDEX('Output Utente'!$C$2:$C$492,MATCH(59,'Output Utente'!$Q$2:$Q$492,0)),"")</f>
        <v>Modric</v>
      </c>
      <c r="E62" s="5" t="str">
        <f>IFERROR(INDEX('Input Giocatori 2026_27'!$D$3:$D$493,MATCH($B62,'Input Giocatori 2026_27'!$A$3:$A$493,0)),"")</f>
        <v>Milan</v>
      </c>
      <c r="F62" s="42">
        <f>IFERROR(INDEX('Output Utente'!$N$2:$N$492,MATCH(59,'Output Utente'!$Q$2:$Q$492,0)),"")</f>
        <v>12</v>
      </c>
      <c r="G62" s="42">
        <f>IFERROR(INDEX('Output Utente'!$O$2:$O$492,MATCH(59,'Output Utente'!$Q$2:$Q$492,0)),"")</f>
        <v>50</v>
      </c>
      <c r="H62" s="5" t="str">
        <f>IFERROR(INDEX('Output Utente'!$P$2:$P$492,MATCH(59,'Output Utente'!$Q$2:$Q$492,0)),"")</f>
        <v>Buono</v>
      </c>
      <c r="I62" s="42">
        <f>IFERROR(INDEX('Output Utente'!$F$2:$F$492,MATCH(59,'Output Utente'!$Q$2:$Q$492,0)),"")</f>
        <v>34</v>
      </c>
      <c r="J62" s="42">
        <f>IFERROR(INDEX('Output Utente'!$G$2:$G$492,MATCH(59,'Output Utente'!$Q$2:$Q$492,0)),"")</f>
        <v>23</v>
      </c>
      <c r="K62" s="42">
        <f>IFERROR(INDEX('Output Utente'!$H$2:$H$492,MATCH(59,'Output Utente'!$Q$2:$Q$492,0)),"")</f>
        <v>38</v>
      </c>
      <c r="L62" s="5" t="str">
        <f>IFERROR(INDEX('Output Utente'!$E$2:$E$492,MATCH(59,'Output Utente'!$Q$2:$Q$492,0)),"")</f>
        <v>NO</v>
      </c>
      <c r="M62" s="5" t="str">
        <f>IFERROR(INDEX('Output Utente'!$U$2:$U$492,MATCH(59,'Output Utente'!$Q$2:$Q$492,0)),"")</f>
        <v>OK</v>
      </c>
      <c r="N62" s="5" t="str">
        <f>IFERROR(INDEX('Output Utente'!$AE$2:$AE$492,MATCH(59,'Output Utente'!$Q$2:$Q$492,0)),"")</f>
        <v>🟡 Attesa rischiosa</v>
      </c>
    </row>
    <row r="63" spans="1:14" ht="15" customHeight="1" x14ac:dyDescent="0.25">
      <c r="A63" s="41">
        <v>60</v>
      </c>
      <c r="B63" s="5">
        <f>IFERROR(INDEX('Output Utente'!$A$2:$A$492,MATCH(60,'Output Utente'!$Q$2:$Q$492,0)),"")</f>
        <v>4463</v>
      </c>
      <c r="C63" s="5" t="str">
        <f>IFERROR(INDEX('Output Utente'!$B$2:$B$492,MATCH(60,'Output Utente'!$Q$2:$Q$492,0)),"")</f>
        <v>A</v>
      </c>
      <c r="D63" s="5" t="str">
        <f>IFERROR(INDEX('Output Utente'!$C$2:$C$492,MATCH(60,'Output Utente'!$Q$2:$Q$492,0)),"")</f>
        <v>Esposito Se.</v>
      </c>
      <c r="E63" s="5" t="str">
        <f>IFERROR(INDEX('Input Giocatori 2026_27'!$D$3:$D$493,MATCH($B63,'Input Giocatori 2026_27'!$A$3:$A$493,0)),"")</f>
        <v>Cagliari</v>
      </c>
      <c r="F63" s="42">
        <f>IFERROR(INDEX('Output Utente'!$N$2:$N$492,MATCH(60,'Output Utente'!$Q$2:$Q$492,0)),"")</f>
        <v>13</v>
      </c>
      <c r="G63" s="42">
        <f>IFERROR(INDEX('Output Utente'!$O$2:$O$492,MATCH(60,'Output Utente'!$Q$2:$Q$492,0)),"")</f>
        <v>50</v>
      </c>
      <c r="H63" s="5" t="str">
        <f>IFERROR(INDEX('Output Utente'!$P$2:$P$492,MATCH(60,'Output Utente'!$Q$2:$Q$492,0)),"")</f>
        <v>Nella Media</v>
      </c>
      <c r="I63" s="42">
        <f>IFERROR(INDEX('Output Utente'!$F$2:$F$492,MATCH(60,'Output Utente'!$Q$2:$Q$492,0)),"")</f>
        <v>16</v>
      </c>
      <c r="J63" s="42">
        <f>IFERROR(INDEX('Output Utente'!$G$2:$G$492,MATCH(60,'Output Utente'!$Q$2:$Q$492,0)),"")</f>
        <v>10</v>
      </c>
      <c r="K63" s="42">
        <f>IFERROR(INDEX('Output Utente'!$H$2:$H$492,MATCH(60,'Output Utente'!$Q$2:$Q$492,0)),"")</f>
        <v>19</v>
      </c>
      <c r="L63" s="5" t="str">
        <f>IFERROR(INDEX('Output Utente'!$E$2:$E$492,MATCH(60,'Output Utente'!$Q$2:$Q$492,0)),"")</f>
        <v>NO</v>
      </c>
      <c r="M63" s="5" t="str">
        <f>IFERROR(INDEX('Output Utente'!$U$2:$U$492,MATCH(60,'Output Utente'!$Q$2:$Q$492,0)),"")</f>
        <v>OK</v>
      </c>
      <c r="N63" s="5" t="str">
        <f>IFERROR(INDEX('Output Utente'!$AE$2:$AE$492,MATCH(60,'Output Utente'!$Q$2:$Q$492,0)),"")</f>
        <v>🟢 Riserve abbondanti</v>
      </c>
    </row>
    <row r="64" spans="1:14" ht="15" customHeight="1" x14ac:dyDescent="0.25">
      <c r="A64" s="41">
        <v>61</v>
      </c>
      <c r="B64" s="5">
        <f>IFERROR(INDEX('Output Utente'!$A$2:$A$492,MATCH(61,'Output Utente'!$Q$2:$Q$492,0)),"")</f>
        <v>6967</v>
      </c>
      <c r="C64" s="5" t="str">
        <f>IFERROR(INDEX('Output Utente'!$B$2:$B$492,MATCH(61,'Output Utente'!$Q$2:$Q$492,0)),"")</f>
        <v>A</v>
      </c>
      <c r="D64" s="5" t="str">
        <f>IFERROR(INDEX('Output Utente'!$C$2:$C$492,MATCH(61,'Output Utente'!$Q$2:$Q$492,0)),"")</f>
        <v>Diao</v>
      </c>
      <c r="E64" s="5" t="str">
        <f>IFERROR(INDEX('Input Giocatori 2026_27'!$D$3:$D$493,MATCH($B64,'Input Giocatori 2026_27'!$A$3:$A$493,0)),"")</f>
        <v>Como</v>
      </c>
      <c r="F64" s="42">
        <f>IFERROR(INDEX('Output Utente'!$N$2:$N$492,MATCH(61,'Output Utente'!$Q$2:$Q$492,0)),"")</f>
        <v>11</v>
      </c>
      <c r="G64" s="42">
        <f>IFERROR(INDEX('Output Utente'!$O$2:$O$492,MATCH(61,'Output Utente'!$Q$2:$Q$492,0)),"")</f>
        <v>50</v>
      </c>
      <c r="H64" s="5" t="str">
        <f>IFERROR(INDEX('Output Utente'!$P$2:$P$492,MATCH(61,'Output Utente'!$Q$2:$Q$492,0)),"")</f>
        <v>Nella Media</v>
      </c>
      <c r="I64" s="42">
        <f>IFERROR(INDEX('Output Utente'!$F$2:$F$492,MATCH(61,'Output Utente'!$Q$2:$Q$492,0)),"")</f>
        <v>16</v>
      </c>
      <c r="J64" s="42">
        <f>IFERROR(INDEX('Output Utente'!$G$2:$G$492,MATCH(61,'Output Utente'!$Q$2:$Q$492,0)),"")</f>
        <v>10</v>
      </c>
      <c r="K64" s="42">
        <f>IFERROR(INDEX('Output Utente'!$H$2:$H$492,MATCH(61,'Output Utente'!$Q$2:$Q$492,0)),"")</f>
        <v>19</v>
      </c>
      <c r="L64" s="5" t="str">
        <f>IFERROR(INDEX('Output Utente'!$E$2:$E$492,MATCH(61,'Output Utente'!$Q$2:$Q$492,0)),"")</f>
        <v>NO</v>
      </c>
      <c r="M64" s="5" t="str">
        <f>IFERROR(INDEX('Output Utente'!$U$2:$U$492,MATCH(61,'Output Utente'!$Q$2:$Q$492,0)),"")</f>
        <v>OK</v>
      </c>
      <c r="N64" s="5" t="str">
        <f>IFERROR(INDEX('Output Utente'!$AE$2:$AE$492,MATCH(61,'Output Utente'!$Q$2:$Q$492,0)),"")</f>
        <v>🟢 Riserve abbondanti</v>
      </c>
    </row>
    <row r="65" spans="1:14" ht="15" customHeight="1" x14ac:dyDescent="0.25">
      <c r="A65" s="41">
        <v>62</v>
      </c>
      <c r="B65" s="5">
        <f>IFERROR(INDEX('Output Utente'!$A$2:$A$492,MATCH(62,'Output Utente'!$Q$2:$Q$492,0)),"")</f>
        <v>2296</v>
      </c>
      <c r="C65" s="5" t="str">
        <f>IFERROR(INDEX('Output Utente'!$B$2:$B$492,MATCH(62,'Output Utente'!$Q$2:$Q$492,0)),"")</f>
        <v>D</v>
      </c>
      <c r="D65" s="5" t="str">
        <f>IFERROR(INDEX('Output Utente'!$C$2:$C$492,MATCH(62,'Output Utente'!$Q$2:$Q$492,0)),"")</f>
        <v>Mancini</v>
      </c>
      <c r="E65" s="5" t="str">
        <f>IFERROR(INDEX('Input Giocatori 2026_27'!$D$3:$D$493,MATCH($B65,'Input Giocatori 2026_27'!$A$3:$A$493,0)),"")</f>
        <v>Roma</v>
      </c>
      <c r="F65" s="42">
        <f>IFERROR(INDEX('Output Utente'!$N$2:$N$492,MATCH(62,'Output Utente'!$Q$2:$Q$492,0)),"")</f>
        <v>15</v>
      </c>
      <c r="G65" s="42">
        <f>IFERROR(INDEX('Output Utente'!$O$2:$O$492,MATCH(62,'Output Utente'!$Q$2:$Q$492,0)),"")</f>
        <v>49</v>
      </c>
      <c r="H65" s="5" t="str">
        <f>IFERROR(INDEX('Output Utente'!$P$2:$P$492,MATCH(62,'Output Utente'!$Q$2:$Q$492,0)),"")</f>
        <v>Top</v>
      </c>
      <c r="I65" s="42">
        <f>IFERROR(INDEX('Output Utente'!$F$2:$F$492,MATCH(62,'Output Utente'!$Q$2:$Q$492,0)),"")</f>
        <v>34</v>
      </c>
      <c r="J65" s="42">
        <f>IFERROR(INDEX('Output Utente'!$G$2:$G$492,MATCH(62,'Output Utente'!$Q$2:$Q$492,0)),"")</f>
        <v>25</v>
      </c>
      <c r="K65" s="42">
        <f>IFERROR(INDEX('Output Utente'!$H$2:$H$492,MATCH(62,'Output Utente'!$Q$2:$Q$492,0)),"")</f>
        <v>38</v>
      </c>
      <c r="L65" s="5" t="str">
        <f>IFERROR(INDEX('Output Utente'!$E$2:$E$492,MATCH(62,'Output Utente'!$Q$2:$Q$492,0)),"")</f>
        <v>NO</v>
      </c>
      <c r="M65" s="5" t="str">
        <f>IFERROR(INDEX('Output Utente'!$U$2:$U$492,MATCH(62,'Output Utente'!$Q$2:$Q$492,0)),"")</f>
        <v>OK</v>
      </c>
      <c r="N65" s="5" t="str">
        <f>IFERROR(INDEX('Output Utente'!$AE$2:$AE$492,MATCH(62,'Output Utente'!$Q$2:$Q$492,0)),"")</f>
        <v>🟢 Puoi aspettare</v>
      </c>
    </row>
    <row r="66" spans="1:14" ht="15" customHeight="1" x14ac:dyDescent="0.25">
      <c r="A66" s="41">
        <v>63</v>
      </c>
      <c r="B66" s="5">
        <f>IFERROR(INDEX('Output Utente'!$A$2:$A$492,MATCH(63,'Output Utente'!$Q$2:$Q$492,0)),"")</f>
        <v>5022</v>
      </c>
      <c r="C66" s="5" t="str">
        <f>IFERROR(INDEX('Output Utente'!$B$2:$B$492,MATCH(63,'Output Utente'!$Q$2:$Q$492,0)),"")</f>
        <v>D</v>
      </c>
      <c r="D66" s="5" t="str">
        <f>IFERROR(INDEX('Output Utente'!$C$2:$C$492,MATCH(63,'Output Utente'!$Q$2:$Q$492,0)),"")</f>
        <v>Pavlovic</v>
      </c>
      <c r="E66" s="5" t="str">
        <f>IFERROR(INDEX('Input Giocatori 2026_27'!$D$3:$D$493,MATCH($B66,'Input Giocatori 2026_27'!$A$3:$A$493,0)),"")</f>
        <v>Milan</v>
      </c>
      <c r="F66" s="42">
        <f>IFERROR(INDEX('Output Utente'!$N$2:$N$492,MATCH(63,'Output Utente'!$Q$2:$Q$492,0)),"")</f>
        <v>14</v>
      </c>
      <c r="G66" s="42">
        <f>IFERROR(INDEX('Output Utente'!$O$2:$O$492,MATCH(63,'Output Utente'!$Q$2:$Q$492,0)),"")</f>
        <v>48</v>
      </c>
      <c r="H66" s="5" t="str">
        <f>IFERROR(INDEX('Output Utente'!$P$2:$P$492,MATCH(63,'Output Utente'!$Q$2:$Q$492,0)),"")</f>
        <v>Top</v>
      </c>
      <c r="I66" s="42">
        <f>IFERROR(INDEX('Output Utente'!$F$2:$F$492,MATCH(63,'Output Utente'!$Q$2:$Q$492,0)),"")</f>
        <v>33</v>
      </c>
      <c r="J66" s="42">
        <f>IFERROR(INDEX('Output Utente'!$G$2:$G$492,MATCH(63,'Output Utente'!$Q$2:$Q$492,0)),"")</f>
        <v>25</v>
      </c>
      <c r="K66" s="42">
        <f>IFERROR(INDEX('Output Utente'!$H$2:$H$492,MATCH(63,'Output Utente'!$Q$2:$Q$492,0)),"")</f>
        <v>37</v>
      </c>
      <c r="L66" s="5" t="str">
        <f>IFERROR(INDEX('Output Utente'!$E$2:$E$492,MATCH(63,'Output Utente'!$Q$2:$Q$492,0)),"")</f>
        <v>NO</v>
      </c>
      <c r="M66" s="5" t="str">
        <f>IFERROR(INDEX('Output Utente'!$U$2:$U$492,MATCH(63,'Output Utente'!$Q$2:$Q$492,0)),"")</f>
        <v>OK</v>
      </c>
      <c r="N66" s="5" t="str">
        <f>IFERROR(INDEX('Output Utente'!$AE$2:$AE$492,MATCH(63,'Output Utente'!$Q$2:$Q$492,0)),"")</f>
        <v>🟢 Puoi aspettare</v>
      </c>
    </row>
    <row r="67" spans="1:14" ht="15" customHeight="1" x14ac:dyDescent="0.25">
      <c r="A67" s="41">
        <v>64</v>
      </c>
      <c r="B67" s="5">
        <f>IFERROR(INDEX('Output Utente'!$A$2:$A$492,MATCH(64,'Output Utente'!$Q$2:$Q$492,0)),"")</f>
        <v>4409</v>
      </c>
      <c r="C67" s="5" t="str">
        <f>IFERROR(INDEX('Output Utente'!$B$2:$B$492,MATCH(64,'Output Utente'!$Q$2:$Q$492,0)),"")</f>
        <v>D</v>
      </c>
      <c r="D67" s="5" t="str">
        <f>IFERROR(INDEX('Output Utente'!$C$2:$C$492,MATCH(64,'Output Utente'!$Q$2:$Q$492,0)),"")</f>
        <v>Rrahmani</v>
      </c>
      <c r="E67" s="5" t="str">
        <f>IFERROR(INDEX('Input Giocatori 2026_27'!$D$3:$D$493,MATCH($B67,'Input Giocatori 2026_27'!$A$3:$A$493,0)),"")</f>
        <v>Napoli</v>
      </c>
      <c r="F67" s="42">
        <f>IFERROR(INDEX('Output Utente'!$N$2:$N$492,MATCH(64,'Output Utente'!$Q$2:$Q$492,0)),"")</f>
        <v>14</v>
      </c>
      <c r="G67" s="42">
        <f>IFERROR(INDEX('Output Utente'!$O$2:$O$492,MATCH(64,'Output Utente'!$Q$2:$Q$492,0)),"")</f>
        <v>47</v>
      </c>
      <c r="H67" s="5" t="str">
        <f>IFERROR(INDEX('Output Utente'!$P$2:$P$492,MATCH(64,'Output Utente'!$Q$2:$Q$492,0)),"")</f>
        <v>Top</v>
      </c>
      <c r="I67" s="42">
        <f>IFERROR(INDEX('Output Utente'!$F$2:$F$492,MATCH(64,'Output Utente'!$Q$2:$Q$492,0)),"")</f>
        <v>32</v>
      </c>
      <c r="J67" s="42">
        <f>IFERROR(INDEX('Output Utente'!$G$2:$G$492,MATCH(64,'Output Utente'!$Q$2:$Q$492,0)),"")</f>
        <v>24</v>
      </c>
      <c r="K67" s="42">
        <f>IFERROR(INDEX('Output Utente'!$H$2:$H$492,MATCH(64,'Output Utente'!$Q$2:$Q$492,0)),"")</f>
        <v>36</v>
      </c>
      <c r="L67" s="5" t="str">
        <f>IFERROR(INDEX('Output Utente'!$E$2:$E$492,MATCH(64,'Output Utente'!$Q$2:$Q$492,0)),"")</f>
        <v>NO</v>
      </c>
      <c r="M67" s="5" t="str">
        <f>IFERROR(INDEX('Output Utente'!$U$2:$U$492,MATCH(64,'Output Utente'!$Q$2:$Q$492,0)),"")</f>
        <v>OK</v>
      </c>
      <c r="N67" s="5" t="str">
        <f>IFERROR(INDEX('Output Utente'!$AE$2:$AE$492,MATCH(64,'Output Utente'!$Q$2:$Q$492,0)),"")</f>
        <v>🟢 Puoi aspettare</v>
      </c>
    </row>
    <row r="68" spans="1:14" ht="15" customHeight="1" x14ac:dyDescent="0.25">
      <c r="A68" s="41">
        <v>65</v>
      </c>
      <c r="B68" s="5">
        <f>IFERROR(INDEX('Output Utente'!$A$2:$A$492,MATCH(65,'Output Utente'!$Q$2:$Q$492,0)),"")</f>
        <v>536</v>
      </c>
      <c r="C68" s="5" t="str">
        <f>IFERROR(INDEX('Output Utente'!$B$2:$B$492,MATCH(65,'Output Utente'!$Q$2:$Q$492,0)),"")</f>
        <v>C</v>
      </c>
      <c r="D68" s="5" t="str">
        <f>IFERROR(INDEX('Output Utente'!$C$2:$C$492,MATCH(65,'Output Utente'!$Q$2:$Q$492,0)),"")</f>
        <v>Politano</v>
      </c>
      <c r="E68" s="5" t="str">
        <f>IFERROR(INDEX('Input Giocatori 2026_27'!$D$3:$D$493,MATCH($B68,'Input Giocatori 2026_27'!$A$3:$A$493,0)),"")</f>
        <v>Napoli</v>
      </c>
      <c r="F68" s="42">
        <f>IFERROR(INDEX('Output Utente'!$N$2:$N$492,MATCH(65,'Output Utente'!$Q$2:$Q$492,0)),"")</f>
        <v>10</v>
      </c>
      <c r="G68" s="42">
        <f>IFERROR(INDEX('Output Utente'!$O$2:$O$492,MATCH(65,'Output Utente'!$Q$2:$Q$492,0)),"")</f>
        <v>47</v>
      </c>
      <c r="H68" s="5" t="str">
        <f>IFERROR(INDEX('Output Utente'!$P$2:$P$492,MATCH(65,'Output Utente'!$Q$2:$Q$492,0)),"")</f>
        <v>Buono</v>
      </c>
      <c r="I68" s="42">
        <f>IFERROR(INDEX('Output Utente'!$F$2:$F$492,MATCH(65,'Output Utente'!$Q$2:$Q$492,0)),"")</f>
        <v>31</v>
      </c>
      <c r="J68" s="42">
        <f>IFERROR(INDEX('Output Utente'!$G$2:$G$492,MATCH(65,'Output Utente'!$Q$2:$Q$492,0)),"")</f>
        <v>21</v>
      </c>
      <c r="K68" s="42">
        <f>IFERROR(INDEX('Output Utente'!$H$2:$H$492,MATCH(65,'Output Utente'!$Q$2:$Q$492,0)),"")</f>
        <v>35</v>
      </c>
      <c r="L68" s="5" t="str">
        <f>IFERROR(INDEX('Output Utente'!$E$2:$E$492,MATCH(65,'Output Utente'!$Q$2:$Q$492,0)),"")</f>
        <v>NO</v>
      </c>
      <c r="M68" s="5" t="str">
        <f>IFERROR(INDEX('Output Utente'!$U$2:$U$492,MATCH(65,'Output Utente'!$Q$2:$Q$492,0)),"")</f>
        <v>OK</v>
      </c>
      <c r="N68" s="5" t="str">
        <f>IFERROR(INDEX('Output Utente'!$AE$2:$AE$492,MATCH(65,'Output Utente'!$Q$2:$Q$492,0)),"")</f>
        <v>🟡 Attesa rischiosa</v>
      </c>
    </row>
    <row r="69" spans="1:14" ht="15" customHeight="1" x14ac:dyDescent="0.25">
      <c r="A69" s="41">
        <v>66</v>
      </c>
      <c r="B69" s="5">
        <f>IFERROR(INDEX('Output Utente'!$A$2:$A$492,MATCH(66,'Output Utente'!$Q$2:$Q$492,0)),"")</f>
        <v>4976</v>
      </c>
      <c r="C69" s="5" t="str">
        <f>IFERROR(INDEX('Output Utente'!$B$2:$B$492,MATCH(66,'Output Utente'!$Q$2:$Q$492,0)),"")</f>
        <v>D</v>
      </c>
      <c r="D69" s="5" t="str">
        <f>IFERROR(INDEX('Output Utente'!$C$2:$C$492,MATCH(66,'Output Utente'!$Q$2:$Q$492,0)),"")</f>
        <v>Kalulu</v>
      </c>
      <c r="E69" s="5" t="str">
        <f>IFERROR(INDEX('Input Giocatori 2026_27'!$D$3:$D$493,MATCH($B69,'Input Giocatori 2026_27'!$A$3:$A$493,0)),"")</f>
        <v>Juventus</v>
      </c>
      <c r="F69" s="42">
        <f>IFERROR(INDEX('Output Utente'!$N$2:$N$492,MATCH(66,'Output Utente'!$Q$2:$Q$492,0)),"")</f>
        <v>13</v>
      </c>
      <c r="G69" s="42">
        <f>IFERROR(INDEX('Output Utente'!$O$2:$O$492,MATCH(66,'Output Utente'!$Q$2:$Q$492,0)),"")</f>
        <v>46</v>
      </c>
      <c r="H69" s="5" t="str">
        <f>IFERROR(INDEX('Output Utente'!$P$2:$P$492,MATCH(66,'Output Utente'!$Q$2:$Q$492,0)),"")</f>
        <v>Top</v>
      </c>
      <c r="I69" s="42">
        <f>IFERROR(INDEX('Output Utente'!$F$2:$F$492,MATCH(66,'Output Utente'!$Q$2:$Q$492,0)),"")</f>
        <v>31</v>
      </c>
      <c r="J69" s="42">
        <f>IFERROR(INDEX('Output Utente'!$G$2:$G$492,MATCH(66,'Output Utente'!$Q$2:$Q$492,0)),"")</f>
        <v>23</v>
      </c>
      <c r="K69" s="42">
        <f>IFERROR(INDEX('Output Utente'!$H$2:$H$492,MATCH(66,'Output Utente'!$Q$2:$Q$492,0)),"")</f>
        <v>35</v>
      </c>
      <c r="L69" s="5" t="str">
        <f>IFERROR(INDEX('Output Utente'!$E$2:$E$492,MATCH(66,'Output Utente'!$Q$2:$Q$492,0)),"")</f>
        <v>NO</v>
      </c>
      <c r="M69" s="5" t="str">
        <f>IFERROR(INDEX('Output Utente'!$U$2:$U$492,MATCH(66,'Output Utente'!$Q$2:$Q$492,0)),"")</f>
        <v>OK</v>
      </c>
      <c r="N69" s="5" t="str">
        <f>IFERROR(INDEX('Output Utente'!$AE$2:$AE$492,MATCH(66,'Output Utente'!$Q$2:$Q$492,0)),"")</f>
        <v>🟢 Puoi aspettare</v>
      </c>
    </row>
    <row r="70" spans="1:14" ht="15" customHeight="1" x14ac:dyDescent="0.25">
      <c r="A70" s="41">
        <v>67</v>
      </c>
      <c r="B70" s="5">
        <f>IFERROR(INDEX('Output Utente'!$A$2:$A$492,MATCH(67,'Output Utente'!$Q$2:$Q$492,0)),"")</f>
        <v>6956</v>
      </c>
      <c r="C70" s="5" t="str">
        <f>IFERROR(INDEX('Output Utente'!$B$2:$B$492,MATCH(67,'Output Utente'!$Q$2:$Q$492,0)),"")</f>
        <v>D</v>
      </c>
      <c r="D70" s="5" t="str">
        <f>IFERROR(INDEX('Output Utente'!$C$2:$C$492,MATCH(67,'Output Utente'!$Q$2:$Q$492,0)),"")</f>
        <v>Solet</v>
      </c>
      <c r="E70" s="5" t="str">
        <f>IFERROR(INDEX('Input Giocatori 2026_27'!$D$3:$D$493,MATCH($B70,'Input Giocatori 2026_27'!$A$3:$A$493,0)),"")</f>
        <v>Udinese</v>
      </c>
      <c r="F70" s="42">
        <f>IFERROR(INDEX('Output Utente'!$N$2:$N$492,MATCH(67,'Output Utente'!$Q$2:$Q$492,0)),"")</f>
        <v>13</v>
      </c>
      <c r="G70" s="42">
        <f>IFERROR(INDEX('Output Utente'!$O$2:$O$492,MATCH(67,'Output Utente'!$Q$2:$Q$492,0)),"")</f>
        <v>46</v>
      </c>
      <c r="H70" s="5" t="str">
        <f>IFERROR(INDEX('Output Utente'!$P$2:$P$492,MATCH(67,'Output Utente'!$Q$2:$Q$492,0)),"")</f>
        <v>Top</v>
      </c>
      <c r="I70" s="42">
        <f>IFERROR(INDEX('Output Utente'!$F$2:$F$492,MATCH(67,'Output Utente'!$Q$2:$Q$492,0)),"")</f>
        <v>31</v>
      </c>
      <c r="J70" s="42">
        <f>IFERROR(INDEX('Output Utente'!$G$2:$G$492,MATCH(67,'Output Utente'!$Q$2:$Q$492,0)),"")</f>
        <v>23</v>
      </c>
      <c r="K70" s="42">
        <f>IFERROR(INDEX('Output Utente'!$H$2:$H$492,MATCH(67,'Output Utente'!$Q$2:$Q$492,0)),"")</f>
        <v>35</v>
      </c>
      <c r="L70" s="5" t="str">
        <f>IFERROR(INDEX('Output Utente'!$E$2:$E$492,MATCH(67,'Output Utente'!$Q$2:$Q$492,0)),"")</f>
        <v>NO</v>
      </c>
      <c r="M70" s="5" t="str">
        <f>IFERROR(INDEX('Output Utente'!$U$2:$U$492,MATCH(67,'Output Utente'!$Q$2:$Q$492,0)),"")</f>
        <v>OK</v>
      </c>
      <c r="N70" s="5" t="str">
        <f>IFERROR(INDEX('Output Utente'!$AE$2:$AE$492,MATCH(67,'Output Utente'!$Q$2:$Q$492,0)),"")</f>
        <v>🟢 Puoi aspettare</v>
      </c>
    </row>
    <row r="71" spans="1:14" ht="15" customHeight="1" x14ac:dyDescent="0.25">
      <c r="A71" s="41">
        <v>68</v>
      </c>
      <c r="B71" s="5">
        <f>IFERROR(INDEX('Output Utente'!$A$2:$A$492,MATCH(68,'Output Utente'!$Q$2:$Q$492,0)),"")</f>
        <v>2521</v>
      </c>
      <c r="C71" s="5" t="str">
        <f>IFERROR(INDEX('Output Utente'!$B$2:$B$492,MATCH(68,'Output Utente'!$Q$2:$Q$492,0)),"")</f>
        <v>P</v>
      </c>
      <c r="D71" s="5" t="str">
        <f>IFERROR(INDEX('Output Utente'!$C$2:$C$492,MATCH(68,'Output Utente'!$Q$2:$Q$492,0)),"")</f>
        <v>De Gea</v>
      </c>
      <c r="E71" s="5" t="str">
        <f>IFERROR(INDEX('Input Giocatori 2026_27'!$D$3:$D$493,MATCH($B71,'Input Giocatori 2026_27'!$A$3:$A$493,0)),"")</f>
        <v>Fiorentina</v>
      </c>
      <c r="F71" s="42">
        <f>IFERROR(INDEX('Output Utente'!$N$2:$N$492,MATCH(68,'Output Utente'!$Q$2:$Q$492,0)),"")</f>
        <v>13</v>
      </c>
      <c r="G71" s="42">
        <f>IFERROR(INDEX('Output Utente'!$O$2:$O$492,MATCH(68,'Output Utente'!$Q$2:$Q$492,0)),"")</f>
        <v>45</v>
      </c>
      <c r="H71" s="5" t="str">
        <f>IFERROR(INDEX('Output Utente'!$P$2:$P$492,MATCH(68,'Output Utente'!$Q$2:$Q$492,0)),"")</f>
        <v>Top</v>
      </c>
      <c r="I71" s="42">
        <f>IFERROR(INDEX('Output Utente'!$F$2:$F$492,MATCH(68,'Output Utente'!$Q$2:$Q$492,0)),"")</f>
        <v>75</v>
      </c>
      <c r="J71" s="42">
        <f>IFERROR(INDEX('Output Utente'!$G$2:$G$492,MATCH(68,'Output Utente'!$Q$2:$Q$492,0)),"")</f>
        <v>60</v>
      </c>
      <c r="K71" s="42">
        <f>IFERROR(INDEX('Output Utente'!$H$2:$H$492,MATCH(68,'Output Utente'!$Q$2:$Q$492,0)),"")</f>
        <v>81</v>
      </c>
      <c r="L71" s="5" t="str">
        <f>IFERROR(INDEX('Output Utente'!$E$2:$E$492,MATCH(68,'Output Utente'!$Q$2:$Q$492,0)),"")</f>
        <v>NO</v>
      </c>
      <c r="M71" s="5" t="str">
        <f>IFERROR(INDEX('Output Utente'!$U$2:$U$492,MATCH(68,'Output Utente'!$Q$2:$Q$492,0)),"")</f>
        <v>Attenzione</v>
      </c>
      <c r="N71" s="5" t="str">
        <f>IFERROR(INDEX('Output Utente'!$AE$2:$AE$492,MATCH(68,'Output Utente'!$Q$2:$Q$492,0)),"")</f>
        <v>🟢 Puoi aspettare</v>
      </c>
    </row>
    <row r="72" spans="1:14" ht="15" customHeight="1" x14ac:dyDescent="0.25">
      <c r="A72" s="41">
        <v>69</v>
      </c>
      <c r="B72" s="5">
        <f>IFERROR(INDEX('Output Utente'!$A$2:$A$492,MATCH(69,'Output Utente'!$Q$2:$Q$492,0)),"")</f>
        <v>572</v>
      </c>
      <c r="C72" s="5" t="str">
        <f>IFERROR(INDEX('Output Utente'!$B$2:$B$492,MATCH(69,'Output Utente'!$Q$2:$Q$492,0)),"")</f>
        <v>P</v>
      </c>
      <c r="D72" s="5" t="str">
        <f>IFERROR(INDEX('Output Utente'!$C$2:$C$492,MATCH(69,'Output Utente'!$Q$2:$Q$492,0)),"")</f>
        <v>Meret</v>
      </c>
      <c r="E72" s="5" t="str">
        <f>IFERROR(INDEX('Input Giocatori 2026_27'!$D$3:$D$493,MATCH($B72,'Input Giocatori 2026_27'!$A$3:$A$493,0)),"")</f>
        <v>Napoli</v>
      </c>
      <c r="F72" s="42">
        <f>IFERROR(INDEX('Output Utente'!$N$2:$N$492,MATCH(69,'Output Utente'!$Q$2:$Q$492,0)),"")</f>
        <v>11</v>
      </c>
      <c r="G72" s="42">
        <f>IFERROR(INDEX('Output Utente'!$O$2:$O$492,MATCH(69,'Output Utente'!$Q$2:$Q$492,0)),"")</f>
        <v>45</v>
      </c>
      <c r="H72" s="5" t="str">
        <f>IFERROR(INDEX('Output Utente'!$P$2:$P$492,MATCH(69,'Output Utente'!$Q$2:$Q$492,0)),"")</f>
        <v>Top</v>
      </c>
      <c r="I72" s="42">
        <f>IFERROR(INDEX('Output Utente'!$F$2:$F$492,MATCH(69,'Output Utente'!$Q$2:$Q$492,0)),"")</f>
        <v>75</v>
      </c>
      <c r="J72" s="42">
        <f>IFERROR(INDEX('Output Utente'!$G$2:$G$492,MATCH(69,'Output Utente'!$Q$2:$Q$492,0)),"")</f>
        <v>60</v>
      </c>
      <c r="K72" s="42">
        <f>IFERROR(INDEX('Output Utente'!$H$2:$H$492,MATCH(69,'Output Utente'!$Q$2:$Q$492,0)),"")</f>
        <v>82</v>
      </c>
      <c r="L72" s="5" t="str">
        <f>IFERROR(INDEX('Output Utente'!$E$2:$E$492,MATCH(69,'Output Utente'!$Q$2:$Q$492,0)),"")</f>
        <v>NO</v>
      </c>
      <c r="M72" s="5" t="str">
        <f>IFERROR(INDEX('Output Utente'!$U$2:$U$492,MATCH(69,'Output Utente'!$Q$2:$Q$492,0)),"")</f>
        <v>Attenzione</v>
      </c>
      <c r="N72" s="5" t="str">
        <f>IFERROR(INDEX('Output Utente'!$AE$2:$AE$492,MATCH(69,'Output Utente'!$Q$2:$Q$492,0)),"")</f>
        <v>🟢 Puoi aspettare</v>
      </c>
    </row>
    <row r="73" spans="1:14" ht="15" customHeight="1" x14ac:dyDescent="0.25">
      <c r="A73" s="41">
        <v>70</v>
      </c>
      <c r="B73" s="5">
        <f>IFERROR(INDEX('Output Utente'!$A$2:$A$492,MATCH(70,'Output Utente'!$Q$2:$Q$492,0)),"")</f>
        <v>5792</v>
      </c>
      <c r="C73" s="5" t="str">
        <f>IFERROR(INDEX('Output Utente'!$B$2:$B$492,MATCH(70,'Output Utente'!$Q$2:$Q$492,0)),"")</f>
        <v>C</v>
      </c>
      <c r="D73" s="5" t="str">
        <f>IFERROR(INDEX('Output Utente'!$C$2:$C$492,MATCH(70,'Output Utente'!$Q$2:$Q$492,0)),"")</f>
        <v>Ederson D.S.</v>
      </c>
      <c r="E73" s="5" t="str">
        <f>IFERROR(INDEX('Input Giocatori 2026_27'!$D$3:$D$493,MATCH($B73,'Input Giocatori 2026_27'!$A$3:$A$493,0)),"")</f>
        <v>Atalanta</v>
      </c>
      <c r="F73" s="42">
        <f>IFERROR(INDEX('Output Utente'!$N$2:$N$492,MATCH(70,'Output Utente'!$Q$2:$Q$492,0)),"")</f>
        <v>12</v>
      </c>
      <c r="G73" s="42">
        <f>IFERROR(INDEX('Output Utente'!$O$2:$O$492,MATCH(70,'Output Utente'!$Q$2:$Q$492,0)),"")</f>
        <v>45</v>
      </c>
      <c r="H73" s="5" t="str">
        <f>IFERROR(INDEX('Output Utente'!$P$2:$P$492,MATCH(70,'Output Utente'!$Q$2:$Q$492,0)),"")</f>
        <v>Buono</v>
      </c>
      <c r="I73" s="42">
        <f>IFERROR(INDEX('Output Utente'!$F$2:$F$492,MATCH(70,'Output Utente'!$Q$2:$Q$492,0)),"")</f>
        <v>30</v>
      </c>
      <c r="J73" s="42">
        <f>IFERROR(INDEX('Output Utente'!$G$2:$G$492,MATCH(70,'Output Utente'!$Q$2:$Q$492,0)),"")</f>
        <v>20</v>
      </c>
      <c r="K73" s="42">
        <f>IFERROR(INDEX('Output Utente'!$H$2:$H$492,MATCH(70,'Output Utente'!$Q$2:$Q$492,0)),"")</f>
        <v>34</v>
      </c>
      <c r="L73" s="5" t="str">
        <f>IFERROR(INDEX('Output Utente'!$E$2:$E$492,MATCH(70,'Output Utente'!$Q$2:$Q$492,0)),"")</f>
        <v>NO</v>
      </c>
      <c r="M73" s="5" t="str">
        <f>IFERROR(INDEX('Output Utente'!$U$2:$U$492,MATCH(70,'Output Utente'!$Q$2:$Q$492,0)),"")</f>
        <v>OK</v>
      </c>
      <c r="N73" s="5" t="str">
        <f>IFERROR(INDEX('Output Utente'!$AE$2:$AE$492,MATCH(70,'Output Utente'!$Q$2:$Q$492,0)),"")</f>
        <v>🟡 Attesa rischiosa</v>
      </c>
    </row>
    <row r="74" spans="1:14" ht="15" customHeight="1" x14ac:dyDescent="0.25">
      <c r="A74" s="41">
        <v>71</v>
      </c>
      <c r="B74" s="5">
        <f>IFERROR(INDEX('Output Utente'!$A$2:$A$492,MATCH(71,'Output Utente'!$Q$2:$Q$492,0)),"")</f>
        <v>2531</v>
      </c>
      <c r="C74" s="5" t="str">
        <f>IFERROR(INDEX('Output Utente'!$B$2:$B$492,MATCH(71,'Output Utente'!$Q$2:$Q$492,0)),"")</f>
        <v>A</v>
      </c>
      <c r="D74" s="5" t="str">
        <f>IFERROR(INDEX('Output Utente'!$C$2:$C$492,MATCH(71,'Output Utente'!$Q$2:$Q$492,0)),"")</f>
        <v>Lukaku</v>
      </c>
      <c r="E74" s="5" t="str">
        <f>IFERROR(INDEX('Input Giocatori 2026_27'!$D$3:$D$493,MATCH($B74,'Input Giocatori 2026_27'!$A$3:$A$493,0)),"")</f>
        <v>Napoli</v>
      </c>
      <c r="F74" s="42">
        <f>IFERROR(INDEX('Output Utente'!$N$2:$N$492,MATCH(71,'Output Utente'!$Q$2:$Q$492,0)),"")</f>
        <v>10</v>
      </c>
      <c r="G74" s="42">
        <f>IFERROR(INDEX('Output Utente'!$O$2:$O$492,MATCH(71,'Output Utente'!$Q$2:$Q$492,0)),"")</f>
        <v>45</v>
      </c>
      <c r="H74" s="5" t="str">
        <f>IFERROR(INDEX('Output Utente'!$P$2:$P$492,MATCH(71,'Output Utente'!$Q$2:$Q$492,0)),"")</f>
        <v>Nella Media</v>
      </c>
      <c r="I74" s="42">
        <f>IFERROR(INDEX('Output Utente'!$F$2:$F$492,MATCH(71,'Output Utente'!$Q$2:$Q$492,0)),"")</f>
        <v>16</v>
      </c>
      <c r="J74" s="42">
        <f>IFERROR(INDEX('Output Utente'!$G$2:$G$492,MATCH(71,'Output Utente'!$Q$2:$Q$492,0)),"")</f>
        <v>10</v>
      </c>
      <c r="K74" s="42">
        <f>IFERROR(INDEX('Output Utente'!$H$2:$H$492,MATCH(71,'Output Utente'!$Q$2:$Q$492,0)),"")</f>
        <v>18</v>
      </c>
      <c r="L74" s="5" t="str">
        <f>IFERROR(INDEX('Output Utente'!$E$2:$E$492,MATCH(71,'Output Utente'!$Q$2:$Q$492,0)),"")</f>
        <v>NO</v>
      </c>
      <c r="M74" s="5" t="str">
        <f>IFERROR(INDEX('Output Utente'!$U$2:$U$492,MATCH(71,'Output Utente'!$Q$2:$Q$492,0)),"")</f>
        <v>OK</v>
      </c>
      <c r="N74" s="5" t="str">
        <f>IFERROR(INDEX('Output Utente'!$AE$2:$AE$492,MATCH(71,'Output Utente'!$Q$2:$Q$492,0)),"")</f>
        <v>🟢 Riserve abbondanti</v>
      </c>
    </row>
    <row r="75" spans="1:14" ht="15" customHeight="1" x14ac:dyDescent="0.25">
      <c r="A75" s="41">
        <v>72</v>
      </c>
      <c r="B75" s="5">
        <f>IFERROR(INDEX('Output Utente'!$A$2:$A$492,MATCH(72,'Output Utente'!$Q$2:$Q$492,0)),"")</f>
        <v>2120</v>
      </c>
      <c r="C75" s="5" t="str">
        <f>IFERROR(INDEX('Output Utente'!$B$2:$B$492,MATCH(72,'Output Utente'!$Q$2:$Q$492,0)),"")</f>
        <v>D</v>
      </c>
      <c r="D75" s="5" t="str">
        <f>IFERROR(INDEX('Output Utente'!$C$2:$C$492,MATCH(72,'Output Utente'!$Q$2:$Q$492,0)),"")</f>
        <v>Bastoni</v>
      </c>
      <c r="E75" s="5" t="str">
        <f>IFERROR(INDEX('Input Giocatori 2026_27'!$D$3:$D$493,MATCH($B75,'Input Giocatori 2026_27'!$A$3:$A$493,0)),"")</f>
        <v>Inter</v>
      </c>
      <c r="F75" s="42">
        <f>IFERROR(INDEX('Output Utente'!$N$2:$N$492,MATCH(72,'Output Utente'!$Q$2:$Q$492,0)),"")</f>
        <v>14</v>
      </c>
      <c r="G75" s="42">
        <f>IFERROR(INDEX('Output Utente'!$O$2:$O$492,MATCH(72,'Output Utente'!$Q$2:$Q$492,0)),"")</f>
        <v>44</v>
      </c>
      <c r="H75" s="5" t="str">
        <f>IFERROR(INDEX('Output Utente'!$P$2:$P$492,MATCH(72,'Output Utente'!$Q$2:$Q$492,0)),"")</f>
        <v>Top</v>
      </c>
      <c r="I75" s="42">
        <f>IFERROR(INDEX('Output Utente'!$F$2:$F$492,MATCH(72,'Output Utente'!$Q$2:$Q$492,0)),"")</f>
        <v>30</v>
      </c>
      <c r="J75" s="42">
        <f>IFERROR(INDEX('Output Utente'!$G$2:$G$492,MATCH(72,'Output Utente'!$Q$2:$Q$492,0)),"")</f>
        <v>22</v>
      </c>
      <c r="K75" s="42">
        <f>IFERROR(INDEX('Output Utente'!$H$2:$H$492,MATCH(72,'Output Utente'!$Q$2:$Q$492,0)),"")</f>
        <v>34</v>
      </c>
      <c r="L75" s="5" t="str">
        <f>IFERROR(INDEX('Output Utente'!$E$2:$E$492,MATCH(72,'Output Utente'!$Q$2:$Q$492,0)),"")</f>
        <v>NO</v>
      </c>
      <c r="M75" s="5" t="str">
        <f>IFERROR(INDEX('Output Utente'!$U$2:$U$492,MATCH(72,'Output Utente'!$Q$2:$Q$492,0)),"")</f>
        <v>OK</v>
      </c>
      <c r="N75" s="5" t="str">
        <f>IFERROR(INDEX('Output Utente'!$AE$2:$AE$492,MATCH(72,'Output Utente'!$Q$2:$Q$492,0)),"")</f>
        <v>🟢 Puoi aspettare</v>
      </c>
    </row>
    <row r="76" spans="1:14" ht="15" customHeight="1" x14ac:dyDescent="0.25">
      <c r="A76" s="41">
        <v>73</v>
      </c>
      <c r="B76" s="5">
        <f>IFERROR(INDEX('Output Utente'!$A$2:$A$492,MATCH(73,'Output Utente'!$Q$2:$Q$492,0)),"")</f>
        <v>4317</v>
      </c>
      <c r="C76" s="5" t="str">
        <f>IFERROR(INDEX('Output Utente'!$B$2:$B$492,MATCH(73,'Output Utente'!$Q$2:$Q$492,0)),"")</f>
        <v>D</v>
      </c>
      <c r="D76" s="5" t="str">
        <f>IFERROR(INDEX('Output Utente'!$C$2:$C$492,MATCH(73,'Output Utente'!$Q$2:$Q$492,0)),"")</f>
        <v>N'Dicka</v>
      </c>
      <c r="E76" s="5" t="str">
        <f>IFERROR(INDEX('Input Giocatori 2026_27'!$D$3:$D$493,MATCH($B76,'Input Giocatori 2026_27'!$A$3:$A$493,0)),"")</f>
        <v>Roma</v>
      </c>
      <c r="F76" s="42">
        <f>IFERROR(INDEX('Output Utente'!$N$2:$N$492,MATCH(73,'Output Utente'!$Q$2:$Q$492,0)),"")</f>
        <v>13</v>
      </c>
      <c r="G76" s="42">
        <f>IFERROR(INDEX('Output Utente'!$O$2:$O$492,MATCH(73,'Output Utente'!$Q$2:$Q$492,0)),"")</f>
        <v>44</v>
      </c>
      <c r="H76" s="5" t="str">
        <f>IFERROR(INDEX('Output Utente'!$P$2:$P$492,MATCH(73,'Output Utente'!$Q$2:$Q$492,0)),"")</f>
        <v>Top</v>
      </c>
      <c r="I76" s="42">
        <f>IFERROR(INDEX('Output Utente'!$F$2:$F$492,MATCH(73,'Output Utente'!$Q$2:$Q$492,0)),"")</f>
        <v>30</v>
      </c>
      <c r="J76" s="42">
        <f>IFERROR(INDEX('Output Utente'!$G$2:$G$492,MATCH(73,'Output Utente'!$Q$2:$Q$492,0)),"")</f>
        <v>22</v>
      </c>
      <c r="K76" s="42">
        <f>IFERROR(INDEX('Output Utente'!$H$2:$H$492,MATCH(73,'Output Utente'!$Q$2:$Q$492,0)),"")</f>
        <v>34</v>
      </c>
      <c r="L76" s="5" t="str">
        <f>IFERROR(INDEX('Output Utente'!$E$2:$E$492,MATCH(73,'Output Utente'!$Q$2:$Q$492,0)),"")</f>
        <v>NO</v>
      </c>
      <c r="M76" s="5" t="str">
        <f>IFERROR(INDEX('Output Utente'!$U$2:$U$492,MATCH(73,'Output Utente'!$Q$2:$Q$492,0)),"")</f>
        <v>OK</v>
      </c>
      <c r="N76" s="5" t="str">
        <f>IFERROR(INDEX('Output Utente'!$AE$2:$AE$492,MATCH(73,'Output Utente'!$Q$2:$Q$492,0)),"")</f>
        <v>🟢 Puoi aspettare</v>
      </c>
    </row>
    <row r="77" spans="1:14" ht="15" customHeight="1" x14ac:dyDescent="0.25">
      <c r="A77" s="41">
        <v>74</v>
      </c>
      <c r="B77" s="5">
        <f>IFERROR(INDEX('Output Utente'!$A$2:$A$492,MATCH(74,'Output Utente'!$Q$2:$Q$492,0)),"")</f>
        <v>4892</v>
      </c>
      <c r="C77" s="5" t="str">
        <f>IFERROR(INDEX('Output Utente'!$B$2:$B$492,MATCH(74,'Output Utente'!$Q$2:$Q$492,0)),"")</f>
        <v>C</v>
      </c>
      <c r="D77" s="5" t="str">
        <f>IFERROR(INDEX('Output Utente'!$C$2:$C$492,MATCH(74,'Output Utente'!$Q$2:$Q$492,0)),"")</f>
        <v>Saelemaekers</v>
      </c>
      <c r="E77" s="5" t="str">
        <f>IFERROR(INDEX('Input Giocatori 2026_27'!$D$3:$D$493,MATCH($B77,'Input Giocatori 2026_27'!$A$3:$A$493,0)),"")</f>
        <v>Milan</v>
      </c>
      <c r="F77" s="42">
        <f>IFERROR(INDEX('Output Utente'!$N$2:$N$492,MATCH(74,'Output Utente'!$Q$2:$Q$492,0)),"")</f>
        <v>10</v>
      </c>
      <c r="G77" s="42">
        <f>IFERROR(INDEX('Output Utente'!$O$2:$O$492,MATCH(74,'Output Utente'!$Q$2:$Q$492,0)),"")</f>
        <v>43</v>
      </c>
      <c r="H77" s="5" t="str">
        <f>IFERROR(INDEX('Output Utente'!$P$2:$P$492,MATCH(74,'Output Utente'!$Q$2:$Q$492,0)),"")</f>
        <v>Buono</v>
      </c>
      <c r="I77" s="42">
        <f>IFERROR(INDEX('Output Utente'!$F$2:$F$492,MATCH(74,'Output Utente'!$Q$2:$Q$492,0)),"")</f>
        <v>28</v>
      </c>
      <c r="J77" s="42">
        <f>IFERROR(INDEX('Output Utente'!$G$2:$G$492,MATCH(74,'Output Utente'!$Q$2:$Q$492,0)),"")</f>
        <v>19</v>
      </c>
      <c r="K77" s="42">
        <f>IFERROR(INDEX('Output Utente'!$H$2:$H$492,MATCH(74,'Output Utente'!$Q$2:$Q$492,0)),"")</f>
        <v>32</v>
      </c>
      <c r="L77" s="5" t="str">
        <f>IFERROR(INDEX('Output Utente'!$E$2:$E$492,MATCH(74,'Output Utente'!$Q$2:$Q$492,0)),"")</f>
        <v>NO</v>
      </c>
      <c r="M77" s="5" t="str">
        <f>IFERROR(INDEX('Output Utente'!$U$2:$U$492,MATCH(74,'Output Utente'!$Q$2:$Q$492,0)),"")</f>
        <v>OK</v>
      </c>
      <c r="N77" s="5" t="str">
        <f>IFERROR(INDEX('Output Utente'!$AE$2:$AE$492,MATCH(74,'Output Utente'!$Q$2:$Q$492,0)),"")</f>
        <v>🟡 Attesa rischiosa</v>
      </c>
    </row>
    <row r="78" spans="1:14" ht="15" customHeight="1" x14ac:dyDescent="0.25">
      <c r="A78" s="41">
        <v>75</v>
      </c>
      <c r="B78" s="5">
        <f>IFERROR(INDEX('Output Utente'!$A$2:$A$492,MATCH(75,'Output Utente'!$Q$2:$Q$492,0)),"")</f>
        <v>5119</v>
      </c>
      <c r="C78" s="5" t="str">
        <f>IFERROR(INDEX('Output Utente'!$B$2:$B$492,MATCH(75,'Output Utente'!$Q$2:$Q$492,0)),"")</f>
        <v>C</v>
      </c>
      <c r="D78" s="5" t="str">
        <f>IFERROR(INDEX('Output Utente'!$C$2:$C$492,MATCH(75,'Output Utente'!$Q$2:$Q$492,0)),"")</f>
        <v>Samardzic</v>
      </c>
      <c r="E78" s="5" t="str">
        <f>IFERROR(INDEX('Input Giocatori 2026_27'!$D$3:$D$493,MATCH($B78,'Input Giocatori 2026_27'!$A$3:$A$493,0)),"")</f>
        <v>Atalanta</v>
      </c>
      <c r="F78" s="42">
        <f>IFERROR(INDEX('Output Utente'!$N$2:$N$492,MATCH(75,'Output Utente'!$Q$2:$Q$492,0)),"")</f>
        <v>12</v>
      </c>
      <c r="G78" s="42">
        <f>IFERROR(INDEX('Output Utente'!$O$2:$O$492,MATCH(75,'Output Utente'!$Q$2:$Q$492,0)),"")</f>
        <v>42</v>
      </c>
      <c r="H78" s="5" t="str">
        <f>IFERROR(INDEX('Output Utente'!$P$2:$P$492,MATCH(75,'Output Utente'!$Q$2:$Q$492,0)),"")</f>
        <v>Buono</v>
      </c>
      <c r="I78" s="42">
        <f>IFERROR(INDEX('Output Utente'!$F$2:$F$492,MATCH(75,'Output Utente'!$Q$2:$Q$492,0)),"")</f>
        <v>28</v>
      </c>
      <c r="J78" s="42">
        <f>IFERROR(INDEX('Output Utente'!$G$2:$G$492,MATCH(75,'Output Utente'!$Q$2:$Q$492,0)),"")</f>
        <v>19</v>
      </c>
      <c r="K78" s="42">
        <f>IFERROR(INDEX('Output Utente'!$H$2:$H$492,MATCH(75,'Output Utente'!$Q$2:$Q$492,0)),"")</f>
        <v>32</v>
      </c>
      <c r="L78" s="5" t="str">
        <f>IFERROR(INDEX('Output Utente'!$E$2:$E$492,MATCH(75,'Output Utente'!$Q$2:$Q$492,0)),"")</f>
        <v>NO</v>
      </c>
      <c r="M78" s="5" t="str">
        <f>IFERROR(INDEX('Output Utente'!$U$2:$U$492,MATCH(75,'Output Utente'!$Q$2:$Q$492,0)),"")</f>
        <v>OK</v>
      </c>
      <c r="N78" s="5" t="str">
        <f>IFERROR(INDEX('Output Utente'!$AE$2:$AE$492,MATCH(75,'Output Utente'!$Q$2:$Q$492,0)),"")</f>
        <v>🟡 Attesa rischiosa</v>
      </c>
    </row>
    <row r="79" spans="1:14" ht="15" customHeight="1" x14ac:dyDescent="0.25">
      <c r="A79" s="41">
        <v>76</v>
      </c>
      <c r="B79" s="5">
        <f>IFERROR(INDEX('Output Utente'!$A$2:$A$492,MATCH(76,'Output Utente'!$Q$2:$Q$492,0)),"")</f>
        <v>5589</v>
      </c>
      <c r="C79" s="5" t="str">
        <f>IFERROR(INDEX('Output Utente'!$B$2:$B$492,MATCH(76,'Output Utente'!$Q$2:$Q$492,0)),"")</f>
        <v>C</v>
      </c>
      <c r="D79" s="5" t="str">
        <f>IFERROR(INDEX('Output Utente'!$C$2:$C$492,MATCH(76,'Output Utente'!$Q$2:$Q$492,0)),"")</f>
        <v>Konè M.</v>
      </c>
      <c r="E79" s="5" t="str">
        <f>IFERROR(INDEX('Input Giocatori 2026_27'!$D$3:$D$493,MATCH($B79,'Input Giocatori 2026_27'!$A$3:$A$493,0)),"")</f>
        <v>Roma</v>
      </c>
      <c r="F79" s="42">
        <f>IFERROR(INDEX('Output Utente'!$N$2:$N$492,MATCH(76,'Output Utente'!$Q$2:$Q$492,0)),"")</f>
        <v>10</v>
      </c>
      <c r="G79" s="42">
        <f>IFERROR(INDEX('Output Utente'!$O$2:$O$492,MATCH(76,'Output Utente'!$Q$2:$Q$492,0)),"")</f>
        <v>42</v>
      </c>
      <c r="H79" s="5" t="str">
        <f>IFERROR(INDEX('Output Utente'!$P$2:$P$492,MATCH(76,'Output Utente'!$Q$2:$Q$492,0)),"")</f>
        <v>Buono</v>
      </c>
      <c r="I79" s="42">
        <f>IFERROR(INDEX('Output Utente'!$F$2:$F$492,MATCH(76,'Output Utente'!$Q$2:$Q$492,0)),"")</f>
        <v>28</v>
      </c>
      <c r="J79" s="42">
        <f>IFERROR(INDEX('Output Utente'!$G$2:$G$492,MATCH(76,'Output Utente'!$Q$2:$Q$492,0)),"")</f>
        <v>19</v>
      </c>
      <c r="K79" s="42">
        <f>IFERROR(INDEX('Output Utente'!$H$2:$H$492,MATCH(76,'Output Utente'!$Q$2:$Q$492,0)),"")</f>
        <v>32</v>
      </c>
      <c r="L79" s="5" t="str">
        <f>IFERROR(INDEX('Output Utente'!$E$2:$E$492,MATCH(76,'Output Utente'!$Q$2:$Q$492,0)),"")</f>
        <v>NO</v>
      </c>
      <c r="M79" s="5" t="str">
        <f>IFERROR(INDEX('Output Utente'!$U$2:$U$492,MATCH(76,'Output Utente'!$Q$2:$Q$492,0)),"")</f>
        <v>OK</v>
      </c>
      <c r="N79" s="5" t="str">
        <f>IFERROR(INDEX('Output Utente'!$AE$2:$AE$492,MATCH(76,'Output Utente'!$Q$2:$Q$492,0)),"")</f>
        <v>🟡 Attesa rischiosa</v>
      </c>
    </row>
    <row r="80" spans="1:14" ht="15" customHeight="1" x14ac:dyDescent="0.25">
      <c r="A80" s="41">
        <v>77</v>
      </c>
      <c r="B80" s="5">
        <f>IFERROR(INDEX('Output Utente'!$A$2:$A$492,MATCH(77,'Output Utente'!$Q$2:$Q$492,0)),"")</f>
        <v>152</v>
      </c>
      <c r="C80" s="5" t="str">
        <f>IFERROR(INDEX('Output Utente'!$B$2:$B$492,MATCH(77,'Output Utente'!$Q$2:$Q$492,0)),"")</f>
        <v>C</v>
      </c>
      <c r="D80" s="5" t="str">
        <f>IFERROR(INDEX('Output Utente'!$C$2:$C$492,MATCH(77,'Output Utente'!$Q$2:$Q$492,0)),"")</f>
        <v>Zielinski</v>
      </c>
      <c r="E80" s="5" t="str">
        <f>IFERROR(INDEX('Input Giocatori 2026_27'!$D$3:$D$493,MATCH($B80,'Input Giocatori 2026_27'!$A$3:$A$493,0)),"")</f>
        <v>Inter</v>
      </c>
      <c r="F80" s="42">
        <f>IFERROR(INDEX('Output Utente'!$N$2:$N$492,MATCH(77,'Output Utente'!$Q$2:$Q$492,0)),"")</f>
        <v>10</v>
      </c>
      <c r="G80" s="42">
        <f>IFERROR(INDEX('Output Utente'!$O$2:$O$492,MATCH(77,'Output Utente'!$Q$2:$Q$492,0)),"")</f>
        <v>41</v>
      </c>
      <c r="H80" s="5" t="str">
        <f>IFERROR(INDEX('Output Utente'!$P$2:$P$492,MATCH(77,'Output Utente'!$Q$2:$Q$492,0)),"")</f>
        <v>Buono</v>
      </c>
      <c r="I80" s="42">
        <f>IFERROR(INDEX('Output Utente'!$F$2:$F$492,MATCH(77,'Output Utente'!$Q$2:$Q$492,0)),"")</f>
        <v>27</v>
      </c>
      <c r="J80" s="42">
        <f>IFERROR(INDEX('Output Utente'!$G$2:$G$492,MATCH(77,'Output Utente'!$Q$2:$Q$492,0)),"")</f>
        <v>19</v>
      </c>
      <c r="K80" s="42">
        <f>IFERROR(INDEX('Output Utente'!$H$2:$H$492,MATCH(77,'Output Utente'!$Q$2:$Q$492,0)),"")</f>
        <v>31</v>
      </c>
      <c r="L80" s="5" t="str">
        <f>IFERROR(INDEX('Output Utente'!$E$2:$E$492,MATCH(77,'Output Utente'!$Q$2:$Q$492,0)),"")</f>
        <v>NO</v>
      </c>
      <c r="M80" s="5" t="str">
        <f>IFERROR(INDEX('Output Utente'!$U$2:$U$492,MATCH(77,'Output Utente'!$Q$2:$Q$492,0)),"")</f>
        <v>OK</v>
      </c>
      <c r="N80" s="5" t="str">
        <f>IFERROR(INDEX('Output Utente'!$AE$2:$AE$492,MATCH(77,'Output Utente'!$Q$2:$Q$492,0)),"")</f>
        <v>🟡 Attesa rischiosa</v>
      </c>
    </row>
    <row r="81" spans="1:14" ht="15" customHeight="1" x14ac:dyDescent="0.25">
      <c r="A81" s="41">
        <v>78</v>
      </c>
      <c r="B81" s="5">
        <f>IFERROR(INDEX('Output Utente'!$A$2:$A$492,MATCH(78,'Output Utente'!$Q$2:$Q$492,0)),"")</f>
        <v>5562</v>
      </c>
      <c r="C81" s="5" t="str">
        <f>IFERROR(INDEX('Output Utente'!$B$2:$B$492,MATCH(78,'Output Utente'!$Q$2:$Q$492,0)),"")</f>
        <v>C</v>
      </c>
      <c r="D81" s="5" t="str">
        <f>IFERROR(INDEX('Output Utente'!$C$2:$C$492,MATCH(78,'Output Utente'!$Q$2:$Q$492,0)),"")</f>
        <v>Thuram K.</v>
      </c>
      <c r="E81" s="5" t="str">
        <f>IFERROR(INDEX('Input Giocatori 2026_27'!$D$3:$D$493,MATCH($B81,'Input Giocatori 2026_27'!$A$3:$A$493,0)),"")</f>
        <v>Juventus</v>
      </c>
      <c r="F81" s="42">
        <f>IFERROR(INDEX('Output Utente'!$N$2:$N$492,MATCH(78,'Output Utente'!$Q$2:$Q$492,0)),"")</f>
        <v>10</v>
      </c>
      <c r="G81" s="42">
        <f>IFERROR(INDEX('Output Utente'!$O$2:$O$492,MATCH(78,'Output Utente'!$Q$2:$Q$492,0)),"")</f>
        <v>41</v>
      </c>
      <c r="H81" s="5" t="str">
        <f>IFERROR(INDEX('Output Utente'!$P$2:$P$492,MATCH(78,'Output Utente'!$Q$2:$Q$492,0)),"")</f>
        <v>Buono</v>
      </c>
      <c r="I81" s="42">
        <f>IFERROR(INDEX('Output Utente'!$F$2:$F$492,MATCH(78,'Output Utente'!$Q$2:$Q$492,0)),"")</f>
        <v>27</v>
      </c>
      <c r="J81" s="42">
        <f>IFERROR(INDEX('Output Utente'!$G$2:$G$492,MATCH(78,'Output Utente'!$Q$2:$Q$492,0)),"")</f>
        <v>19</v>
      </c>
      <c r="K81" s="42">
        <f>IFERROR(INDEX('Output Utente'!$H$2:$H$492,MATCH(78,'Output Utente'!$Q$2:$Q$492,0)),"")</f>
        <v>31</v>
      </c>
      <c r="L81" s="5" t="str">
        <f>IFERROR(INDEX('Output Utente'!$E$2:$E$492,MATCH(78,'Output Utente'!$Q$2:$Q$492,0)),"")</f>
        <v>NO</v>
      </c>
      <c r="M81" s="5" t="str">
        <f>IFERROR(INDEX('Output Utente'!$U$2:$U$492,MATCH(78,'Output Utente'!$Q$2:$Q$492,0)),"")</f>
        <v>OK</v>
      </c>
      <c r="N81" s="5" t="str">
        <f>IFERROR(INDEX('Output Utente'!$AE$2:$AE$492,MATCH(78,'Output Utente'!$Q$2:$Q$492,0)),"")</f>
        <v>🟡 Attesa rischiosa</v>
      </c>
    </row>
    <row r="82" spans="1:14" ht="15" customHeight="1" x14ac:dyDescent="0.25">
      <c r="A82" s="41">
        <v>79</v>
      </c>
      <c r="B82" s="5">
        <f>IFERROR(INDEX('Output Utente'!$A$2:$A$492,MATCH(79,'Output Utente'!$Q$2:$Q$492,0)),"")</f>
        <v>5844</v>
      </c>
      <c r="C82" s="5" t="str">
        <f>IFERROR(INDEX('Output Utente'!$B$2:$B$492,MATCH(79,'Output Utente'!$Q$2:$Q$492,0)),"")</f>
        <v>C</v>
      </c>
      <c r="D82" s="5" t="str">
        <f>IFERROR(INDEX('Output Utente'!$C$2:$C$492,MATCH(79,'Output Utente'!$Q$2:$Q$492,0)),"")</f>
        <v>Thorstvedt</v>
      </c>
      <c r="E82" s="5" t="str">
        <f>IFERROR(INDEX('Input Giocatori 2026_27'!$D$3:$D$493,MATCH($B82,'Input Giocatori 2026_27'!$A$3:$A$493,0)),"")</f>
        <v>Sassuolo</v>
      </c>
      <c r="F82" s="42">
        <f>IFERROR(INDEX('Output Utente'!$N$2:$N$492,MATCH(79,'Output Utente'!$Q$2:$Q$492,0)),"")</f>
        <v>10</v>
      </c>
      <c r="G82" s="42">
        <f>IFERROR(INDEX('Output Utente'!$O$2:$O$492,MATCH(79,'Output Utente'!$Q$2:$Q$492,0)),"")</f>
        <v>41</v>
      </c>
      <c r="H82" s="5" t="str">
        <f>IFERROR(INDEX('Output Utente'!$P$2:$P$492,MATCH(79,'Output Utente'!$Q$2:$Q$492,0)),"")</f>
        <v>Buono</v>
      </c>
      <c r="I82" s="42">
        <f>IFERROR(INDEX('Output Utente'!$F$2:$F$492,MATCH(79,'Output Utente'!$Q$2:$Q$492,0)),"")</f>
        <v>27</v>
      </c>
      <c r="J82" s="42">
        <f>IFERROR(INDEX('Output Utente'!$G$2:$G$492,MATCH(79,'Output Utente'!$Q$2:$Q$492,0)),"")</f>
        <v>19</v>
      </c>
      <c r="K82" s="42">
        <f>IFERROR(INDEX('Output Utente'!$H$2:$H$492,MATCH(79,'Output Utente'!$Q$2:$Q$492,0)),"")</f>
        <v>31</v>
      </c>
      <c r="L82" s="5" t="str">
        <f>IFERROR(INDEX('Output Utente'!$E$2:$E$492,MATCH(79,'Output Utente'!$Q$2:$Q$492,0)),"")</f>
        <v>NO</v>
      </c>
      <c r="M82" s="5" t="str">
        <f>IFERROR(INDEX('Output Utente'!$U$2:$U$492,MATCH(79,'Output Utente'!$Q$2:$Q$492,0)),"")</f>
        <v>OK</v>
      </c>
      <c r="N82" s="5" t="str">
        <f>IFERROR(INDEX('Output Utente'!$AE$2:$AE$492,MATCH(79,'Output Utente'!$Q$2:$Q$492,0)),"")</f>
        <v>🟡 Attesa rischiosa</v>
      </c>
    </row>
    <row r="83" spans="1:14" ht="15" customHeight="1" x14ac:dyDescent="0.25">
      <c r="A83" s="41">
        <v>80</v>
      </c>
      <c r="B83" s="5">
        <f>IFERROR(INDEX('Output Utente'!$A$2:$A$492,MATCH(80,'Output Utente'!$Q$2:$Q$492,0)),"")</f>
        <v>6684</v>
      </c>
      <c r="C83" s="5" t="str">
        <f>IFERROR(INDEX('Output Utente'!$B$2:$B$492,MATCH(80,'Output Utente'!$Q$2:$Q$492,0)),"")</f>
        <v>C</v>
      </c>
      <c r="D83" s="5" t="str">
        <f>IFERROR(INDEX('Output Utente'!$C$2:$C$492,MATCH(80,'Output Utente'!$Q$2:$Q$492,0)),"")</f>
        <v>Ekkelenkamp</v>
      </c>
      <c r="E83" s="5" t="str">
        <f>IFERROR(INDEX('Input Giocatori 2026_27'!$D$3:$D$493,MATCH($B83,'Input Giocatori 2026_27'!$A$3:$A$493,0)),"")</f>
        <v>Udinese</v>
      </c>
      <c r="F83" s="42">
        <f>IFERROR(INDEX('Output Utente'!$N$2:$N$492,MATCH(80,'Output Utente'!$Q$2:$Q$492,0)),"")</f>
        <v>10</v>
      </c>
      <c r="G83" s="42">
        <f>IFERROR(INDEX('Output Utente'!$O$2:$O$492,MATCH(80,'Output Utente'!$Q$2:$Q$492,0)),"")</f>
        <v>41</v>
      </c>
      <c r="H83" s="5" t="str">
        <f>IFERROR(INDEX('Output Utente'!$P$2:$P$492,MATCH(80,'Output Utente'!$Q$2:$Q$492,0)),"")</f>
        <v>Buono</v>
      </c>
      <c r="I83" s="42">
        <f>IFERROR(INDEX('Output Utente'!$F$2:$F$492,MATCH(80,'Output Utente'!$Q$2:$Q$492,0)),"")</f>
        <v>27</v>
      </c>
      <c r="J83" s="42">
        <f>IFERROR(INDEX('Output Utente'!$G$2:$G$492,MATCH(80,'Output Utente'!$Q$2:$Q$492,0)),"")</f>
        <v>19</v>
      </c>
      <c r="K83" s="42">
        <f>IFERROR(INDEX('Output Utente'!$H$2:$H$492,MATCH(80,'Output Utente'!$Q$2:$Q$492,0)),"")</f>
        <v>31</v>
      </c>
      <c r="L83" s="5" t="str">
        <f>IFERROR(INDEX('Output Utente'!$E$2:$E$492,MATCH(80,'Output Utente'!$Q$2:$Q$492,0)),"")</f>
        <v>NO</v>
      </c>
      <c r="M83" s="5" t="str">
        <f>IFERROR(INDEX('Output Utente'!$U$2:$U$492,MATCH(80,'Output Utente'!$Q$2:$Q$492,0)),"")</f>
        <v>OK</v>
      </c>
      <c r="N83" s="5" t="str">
        <f>IFERROR(INDEX('Output Utente'!$AE$2:$AE$492,MATCH(80,'Output Utente'!$Q$2:$Q$492,0)),"")</f>
        <v>🟡 Attesa rischiosa</v>
      </c>
    </row>
    <row r="84" spans="1:14" ht="15" customHeight="1" x14ac:dyDescent="0.25">
      <c r="A84" s="41">
        <v>81</v>
      </c>
      <c r="B84" s="5">
        <f>IFERROR(INDEX('Output Utente'!$A$2:$A$492,MATCH(81,'Output Utente'!$Q$2:$Q$492,0)),"")</f>
        <v>5876</v>
      </c>
      <c r="C84" s="5" t="str">
        <f>IFERROR(INDEX('Output Utente'!$B$2:$B$492,MATCH(81,'Output Utente'!$Q$2:$Q$492,0)),"")</f>
        <v>P</v>
      </c>
      <c r="D84" s="5" t="str">
        <f>IFERROR(INDEX('Output Utente'!$C$2:$C$492,MATCH(81,'Output Utente'!$Q$2:$Q$492,0)),"")</f>
        <v>Di Gregorio</v>
      </c>
      <c r="E84" s="5" t="str">
        <f>IFERROR(INDEX('Input Giocatori 2026_27'!$D$3:$D$493,MATCH($B84,'Input Giocatori 2026_27'!$A$3:$A$493,0)),"")</f>
        <v>Juventus</v>
      </c>
      <c r="F84" s="42">
        <f>IFERROR(INDEX('Output Utente'!$N$2:$N$492,MATCH(81,'Output Utente'!$Q$2:$Q$492,0)),"")</f>
        <v>9</v>
      </c>
      <c r="G84" s="42">
        <f>IFERROR(INDEX('Output Utente'!$O$2:$O$492,MATCH(81,'Output Utente'!$Q$2:$Q$492,0)),"")</f>
        <v>40</v>
      </c>
      <c r="H84" s="5" t="str">
        <f>IFERROR(INDEX('Output Utente'!$P$2:$P$492,MATCH(81,'Output Utente'!$Q$2:$Q$492,0)),"")</f>
        <v>Buono</v>
      </c>
      <c r="I84" s="42">
        <f>IFERROR(INDEX('Output Utente'!$F$2:$F$492,MATCH(81,'Output Utente'!$Q$2:$Q$492,0)),"")</f>
        <v>67</v>
      </c>
      <c r="J84" s="42">
        <f>IFERROR(INDEX('Output Utente'!$G$2:$G$492,MATCH(81,'Output Utente'!$Q$2:$Q$492,0)),"")</f>
        <v>54</v>
      </c>
      <c r="K84" s="42">
        <f>IFERROR(INDEX('Output Utente'!$H$2:$H$492,MATCH(81,'Output Utente'!$Q$2:$Q$492,0)),"")</f>
        <v>73</v>
      </c>
      <c r="L84" s="5" t="str">
        <f>IFERROR(INDEX('Output Utente'!$E$2:$E$492,MATCH(81,'Output Utente'!$Q$2:$Q$492,0)),"")</f>
        <v>NO</v>
      </c>
      <c r="M84" s="5" t="str">
        <f>IFERROR(INDEX('Output Utente'!$U$2:$U$492,MATCH(81,'Output Utente'!$Q$2:$Q$492,0)),"")</f>
        <v>Attenzione</v>
      </c>
      <c r="N84" s="5" t="str">
        <f>IFERROR(INDEX('Output Utente'!$AE$2:$AE$492,MATCH(81,'Output Utente'!$Q$2:$Q$492,0)),"")</f>
        <v>🟢 Puoi aspettare</v>
      </c>
    </row>
    <row r="85" spans="1:14" ht="15" customHeight="1" x14ac:dyDescent="0.25">
      <c r="A85" s="41">
        <v>82</v>
      </c>
      <c r="B85" s="5">
        <f>IFERROR(INDEX('Output Utente'!$A$2:$A$492,MATCH(82,'Output Utente'!$Q$2:$Q$492,0)),"")</f>
        <v>2816</v>
      </c>
      <c r="C85" s="5" t="str">
        <f>IFERROR(INDEX('Output Utente'!$B$2:$B$492,MATCH(82,'Output Utente'!$Q$2:$Q$492,0)),"")</f>
        <v>D</v>
      </c>
      <c r="D85" s="5" t="str">
        <f>IFERROR(INDEX('Output Utente'!$C$2:$C$492,MATCH(82,'Output Utente'!$Q$2:$Q$492,0)),"")</f>
        <v>Di Lorenzo</v>
      </c>
      <c r="E85" s="5" t="str">
        <f>IFERROR(INDEX('Input Giocatori 2026_27'!$D$3:$D$493,MATCH($B85,'Input Giocatori 2026_27'!$A$3:$A$493,0)),"")</f>
        <v>Napoli</v>
      </c>
      <c r="F85" s="42">
        <f>IFERROR(INDEX('Output Utente'!$N$2:$N$492,MATCH(82,'Output Utente'!$Q$2:$Q$492,0)),"")</f>
        <v>12</v>
      </c>
      <c r="G85" s="42">
        <f>IFERROR(INDEX('Output Utente'!$O$2:$O$492,MATCH(82,'Output Utente'!$Q$2:$Q$492,0)),"")</f>
        <v>40</v>
      </c>
      <c r="H85" s="5" t="str">
        <f>IFERROR(INDEX('Output Utente'!$P$2:$P$492,MATCH(82,'Output Utente'!$Q$2:$Q$492,0)),"")</f>
        <v>Top</v>
      </c>
      <c r="I85" s="42">
        <f>IFERROR(INDEX('Output Utente'!$F$2:$F$492,MATCH(82,'Output Utente'!$Q$2:$Q$492,0)),"")</f>
        <v>28</v>
      </c>
      <c r="J85" s="42">
        <f>IFERROR(INDEX('Output Utente'!$G$2:$G$492,MATCH(82,'Output Utente'!$Q$2:$Q$492,0)),"")</f>
        <v>20</v>
      </c>
      <c r="K85" s="42">
        <f>IFERROR(INDEX('Output Utente'!$H$2:$H$492,MATCH(82,'Output Utente'!$Q$2:$Q$492,0)),"")</f>
        <v>31</v>
      </c>
      <c r="L85" s="5" t="str">
        <f>IFERROR(INDEX('Output Utente'!$E$2:$E$492,MATCH(82,'Output Utente'!$Q$2:$Q$492,0)),"")</f>
        <v>NO</v>
      </c>
      <c r="M85" s="5" t="str">
        <f>IFERROR(INDEX('Output Utente'!$U$2:$U$492,MATCH(82,'Output Utente'!$Q$2:$Q$492,0)),"")</f>
        <v>OK</v>
      </c>
      <c r="N85" s="5" t="str">
        <f>IFERROR(INDEX('Output Utente'!$AE$2:$AE$492,MATCH(82,'Output Utente'!$Q$2:$Q$492,0)),"")</f>
        <v>🟢 Puoi aspettare</v>
      </c>
    </row>
    <row r="86" spans="1:14" ht="15" customHeight="1" x14ac:dyDescent="0.25">
      <c r="A86" s="41">
        <v>83</v>
      </c>
      <c r="B86" s="5">
        <f>IFERROR(INDEX('Output Utente'!$A$2:$A$492,MATCH(83,'Output Utente'!$Q$2:$Q$492,0)),"")</f>
        <v>5750</v>
      </c>
      <c r="C86" s="5" t="str">
        <f>IFERROR(INDEX('Output Utente'!$B$2:$B$492,MATCH(83,'Output Utente'!$Q$2:$Q$492,0)),"")</f>
        <v>D</v>
      </c>
      <c r="D86" s="5" t="str">
        <f>IFERROR(INDEX('Output Utente'!$C$2:$C$492,MATCH(83,'Output Utente'!$Q$2:$Q$492,0)),"")</f>
        <v>Ostigard</v>
      </c>
      <c r="E86" s="5" t="str">
        <f>IFERROR(INDEX('Input Giocatori 2026_27'!$D$3:$D$493,MATCH($B86,'Input Giocatori 2026_27'!$A$3:$A$493,0)),"")</f>
        <v>Genoa</v>
      </c>
      <c r="F86" s="42">
        <f>IFERROR(INDEX('Output Utente'!$N$2:$N$492,MATCH(83,'Output Utente'!$Q$2:$Q$492,0)),"")</f>
        <v>11</v>
      </c>
      <c r="G86" s="42">
        <f>IFERROR(INDEX('Output Utente'!$O$2:$O$492,MATCH(83,'Output Utente'!$Q$2:$Q$492,0)),"")</f>
        <v>40</v>
      </c>
      <c r="H86" s="5" t="str">
        <f>IFERROR(INDEX('Output Utente'!$P$2:$P$492,MATCH(83,'Output Utente'!$Q$2:$Q$492,0)),"")</f>
        <v>Top</v>
      </c>
      <c r="I86" s="42">
        <f>IFERROR(INDEX('Output Utente'!$F$2:$F$492,MATCH(83,'Output Utente'!$Q$2:$Q$492,0)),"")</f>
        <v>28</v>
      </c>
      <c r="J86" s="42">
        <f>IFERROR(INDEX('Output Utente'!$G$2:$G$492,MATCH(83,'Output Utente'!$Q$2:$Q$492,0)),"")</f>
        <v>20</v>
      </c>
      <c r="K86" s="42">
        <f>IFERROR(INDEX('Output Utente'!$H$2:$H$492,MATCH(83,'Output Utente'!$Q$2:$Q$492,0)),"")</f>
        <v>31</v>
      </c>
      <c r="L86" s="5" t="str">
        <f>IFERROR(INDEX('Output Utente'!$E$2:$E$492,MATCH(83,'Output Utente'!$Q$2:$Q$492,0)),"")</f>
        <v>NO</v>
      </c>
      <c r="M86" s="5" t="str">
        <f>IFERROR(INDEX('Output Utente'!$U$2:$U$492,MATCH(83,'Output Utente'!$Q$2:$Q$492,0)),"")</f>
        <v>OK</v>
      </c>
      <c r="N86" s="5" t="str">
        <f>IFERROR(INDEX('Output Utente'!$AE$2:$AE$492,MATCH(83,'Output Utente'!$Q$2:$Q$492,0)),"")</f>
        <v>🟢 Puoi aspettare</v>
      </c>
    </row>
    <row r="87" spans="1:14" ht="15" customHeight="1" x14ac:dyDescent="0.25">
      <c r="A87" s="41">
        <v>84</v>
      </c>
      <c r="B87" s="5">
        <f>IFERROR(INDEX('Output Utente'!$A$2:$A$492,MATCH(84,'Output Utente'!$Q$2:$Q$492,0)),"")</f>
        <v>5544</v>
      </c>
      <c r="C87" s="5" t="str">
        <f>IFERROR(INDEX('Output Utente'!$B$2:$B$492,MATCH(84,'Output Utente'!$Q$2:$Q$492,0)),"")</f>
        <v>A</v>
      </c>
      <c r="D87" s="5" t="str">
        <f>IFERROR(INDEX('Output Utente'!$C$2:$C$492,MATCH(84,'Output Utente'!$Q$2:$Q$492,0)),"")</f>
        <v>David</v>
      </c>
      <c r="E87" s="5" t="str">
        <f>IFERROR(INDEX('Input Giocatori 2026_27'!$D$3:$D$493,MATCH($B87,'Input Giocatori 2026_27'!$A$3:$A$493,0)),"")</f>
        <v>Juventus</v>
      </c>
      <c r="F87" s="42">
        <f>IFERROR(INDEX('Output Utente'!$N$2:$N$492,MATCH(84,'Output Utente'!$Q$2:$Q$492,0)),"")</f>
        <v>9</v>
      </c>
      <c r="G87" s="42">
        <f>IFERROR(INDEX('Output Utente'!$O$2:$O$492,MATCH(84,'Output Utente'!$Q$2:$Q$492,0)),"")</f>
        <v>40</v>
      </c>
      <c r="H87" s="5" t="str">
        <f>IFERROR(INDEX('Output Utente'!$P$2:$P$492,MATCH(84,'Output Utente'!$Q$2:$Q$492,0)),"")</f>
        <v>Nella Media</v>
      </c>
      <c r="I87" s="42">
        <f>IFERROR(INDEX('Output Utente'!$F$2:$F$492,MATCH(84,'Output Utente'!$Q$2:$Q$492,0)),"")</f>
        <v>13</v>
      </c>
      <c r="J87" s="42">
        <f>IFERROR(INDEX('Output Utente'!$G$2:$G$492,MATCH(84,'Output Utente'!$Q$2:$Q$492,0)),"")</f>
        <v>8</v>
      </c>
      <c r="K87" s="42">
        <f>IFERROR(INDEX('Output Utente'!$H$2:$H$492,MATCH(84,'Output Utente'!$Q$2:$Q$492,0)),"")</f>
        <v>15</v>
      </c>
      <c r="L87" s="5" t="str">
        <f>IFERROR(INDEX('Output Utente'!$E$2:$E$492,MATCH(84,'Output Utente'!$Q$2:$Q$492,0)),"")</f>
        <v>NO</v>
      </c>
      <c r="M87" s="5" t="str">
        <f>IFERROR(INDEX('Output Utente'!$U$2:$U$492,MATCH(84,'Output Utente'!$Q$2:$Q$492,0)),"")</f>
        <v>OK</v>
      </c>
      <c r="N87" s="5" t="str">
        <f>IFERROR(INDEX('Output Utente'!$AE$2:$AE$492,MATCH(84,'Output Utente'!$Q$2:$Q$492,0)),"")</f>
        <v>🟢 Riserve abbondanti</v>
      </c>
    </row>
    <row r="88" spans="1:14" ht="15" customHeight="1" x14ac:dyDescent="0.25">
      <c r="A88" s="41">
        <v>85</v>
      </c>
      <c r="B88" s="5">
        <f>IFERROR(INDEX('Output Utente'!$A$2:$A$492,MATCH(85,'Output Utente'!$Q$2:$Q$492,0)),"")</f>
        <v>7347</v>
      </c>
      <c r="C88" s="5" t="str">
        <f>IFERROR(INDEX('Output Utente'!$B$2:$B$492,MATCH(85,'Output Utente'!$Q$2:$Q$492,0)),"")</f>
        <v>A</v>
      </c>
      <c r="D88" s="5" t="str">
        <f>IFERROR(INDEX('Output Utente'!$C$2:$C$492,MATCH(85,'Output Utente'!$Q$2:$Q$492,0)),"")</f>
        <v>Bowie</v>
      </c>
      <c r="E88" s="5" t="str">
        <f>IFERROR(INDEX('Input Giocatori 2026_27'!$D$3:$D$493,MATCH($B88,'Input Giocatori 2026_27'!$A$3:$A$493,0)),"")</f>
        <v>Sassuolo</v>
      </c>
      <c r="F88" s="42">
        <f>IFERROR(INDEX('Output Utente'!$N$2:$N$492,MATCH(85,'Output Utente'!$Q$2:$Q$492,0)),"")</f>
        <v>10</v>
      </c>
      <c r="G88" s="42">
        <f>IFERROR(INDEX('Output Utente'!$O$2:$O$492,MATCH(85,'Output Utente'!$Q$2:$Q$492,0)),"")</f>
        <v>39</v>
      </c>
      <c r="H88" s="5" t="str">
        <f>IFERROR(INDEX('Output Utente'!$P$2:$P$492,MATCH(85,'Output Utente'!$Q$2:$Q$492,0)),"")</f>
        <v>Nella Media</v>
      </c>
      <c r="I88" s="42">
        <f>IFERROR(INDEX('Output Utente'!$F$2:$F$492,MATCH(85,'Output Utente'!$Q$2:$Q$492,0)),"")</f>
        <v>13</v>
      </c>
      <c r="J88" s="42">
        <f>IFERROR(INDEX('Output Utente'!$G$2:$G$492,MATCH(85,'Output Utente'!$Q$2:$Q$492,0)),"")</f>
        <v>8</v>
      </c>
      <c r="K88" s="42">
        <f>IFERROR(INDEX('Output Utente'!$H$2:$H$492,MATCH(85,'Output Utente'!$Q$2:$Q$492,0)),"")</f>
        <v>15</v>
      </c>
      <c r="L88" s="5" t="str">
        <f>IFERROR(INDEX('Output Utente'!$E$2:$E$492,MATCH(85,'Output Utente'!$Q$2:$Q$492,0)),"")</f>
        <v>NO</v>
      </c>
      <c r="M88" s="5" t="str">
        <f>IFERROR(INDEX('Output Utente'!$U$2:$U$492,MATCH(85,'Output Utente'!$Q$2:$Q$492,0)),"")</f>
        <v>OK</v>
      </c>
      <c r="N88" s="5" t="str">
        <f>IFERROR(INDEX('Output Utente'!$AE$2:$AE$492,MATCH(85,'Output Utente'!$Q$2:$Q$492,0)),"")</f>
        <v>🟢 Riserve abbondanti</v>
      </c>
    </row>
    <row r="89" spans="1:14" ht="15" customHeight="1" x14ac:dyDescent="0.25">
      <c r="A89" s="41">
        <v>86</v>
      </c>
      <c r="B89" s="5">
        <f>IFERROR(INDEX('Output Utente'!$A$2:$A$492,MATCH(86,'Output Utente'!$Q$2:$Q$492,0)),"")</f>
        <v>2514</v>
      </c>
      <c r="C89" s="5" t="str">
        <f>IFERROR(INDEX('Output Utente'!$B$2:$B$492,MATCH(86,'Output Utente'!$Q$2:$Q$492,0)),"")</f>
        <v>D</v>
      </c>
      <c r="D89" s="5" t="str">
        <f>IFERROR(INDEX('Output Utente'!$C$2:$C$492,MATCH(86,'Output Utente'!$Q$2:$Q$492,0)),"")</f>
        <v>Stones</v>
      </c>
      <c r="E89" s="5" t="str">
        <f>IFERROR(INDEX('Input Giocatori 2026_27'!$D$3:$D$493,MATCH($B89,'Input Giocatori 2026_27'!$A$3:$A$493,0)),"")</f>
        <v>Inter</v>
      </c>
      <c r="F89" s="42">
        <f>IFERROR(INDEX('Output Utente'!$N$2:$N$492,MATCH(86,'Output Utente'!$Q$2:$Q$492,0)),"")</f>
        <v>12</v>
      </c>
      <c r="G89" s="42">
        <f>IFERROR(INDEX('Output Utente'!$O$2:$O$492,MATCH(86,'Output Utente'!$Q$2:$Q$492,0)),"")</f>
        <v>38</v>
      </c>
      <c r="H89" s="5" t="str">
        <f>IFERROR(INDEX('Output Utente'!$P$2:$P$492,MATCH(86,'Output Utente'!$Q$2:$Q$492,0)),"")</f>
        <v>Top</v>
      </c>
      <c r="I89" s="42">
        <f>IFERROR(INDEX('Output Utente'!$F$2:$F$492,MATCH(86,'Output Utente'!$Q$2:$Q$492,0)),"")</f>
        <v>26</v>
      </c>
      <c r="J89" s="42">
        <f>IFERROR(INDEX('Output Utente'!$G$2:$G$492,MATCH(86,'Output Utente'!$Q$2:$Q$492,0)),"")</f>
        <v>19</v>
      </c>
      <c r="K89" s="42">
        <f>IFERROR(INDEX('Output Utente'!$H$2:$H$492,MATCH(86,'Output Utente'!$Q$2:$Q$492,0)),"")</f>
        <v>29</v>
      </c>
      <c r="L89" s="5" t="str">
        <f>IFERROR(INDEX('Output Utente'!$E$2:$E$492,MATCH(86,'Output Utente'!$Q$2:$Q$492,0)),"")</f>
        <v>NO</v>
      </c>
      <c r="M89" s="5" t="str">
        <f>IFERROR(INDEX('Output Utente'!$U$2:$U$492,MATCH(86,'Output Utente'!$Q$2:$Q$492,0)),"")</f>
        <v>OK</v>
      </c>
      <c r="N89" s="5" t="str">
        <f>IFERROR(INDEX('Output Utente'!$AE$2:$AE$492,MATCH(86,'Output Utente'!$Q$2:$Q$492,0)),"")</f>
        <v>🟢 Puoi aspettare</v>
      </c>
    </row>
    <row r="90" spans="1:14" ht="15" customHeight="1" x14ac:dyDescent="0.25">
      <c r="A90" s="41">
        <v>87</v>
      </c>
      <c r="B90" s="5">
        <f>IFERROR(INDEX('Output Utente'!$A$2:$A$492,MATCH(87,'Output Utente'!$Q$2:$Q$492,0)),"")</f>
        <v>6151</v>
      </c>
      <c r="C90" s="5" t="str">
        <f>IFERROR(INDEX('Output Utente'!$B$2:$B$492,MATCH(87,'Output Utente'!$Q$2:$Q$492,0)),"")</f>
        <v>C</v>
      </c>
      <c r="D90" s="5" t="str">
        <f>IFERROR(INDEX('Output Utente'!$C$2:$C$492,MATCH(87,'Output Utente'!$Q$2:$Q$492,0)),"")</f>
        <v>Perrone</v>
      </c>
      <c r="E90" s="5" t="str">
        <f>IFERROR(INDEX('Input Giocatori 2026_27'!$D$3:$D$493,MATCH($B90,'Input Giocatori 2026_27'!$A$3:$A$493,0)),"")</f>
        <v>Como</v>
      </c>
      <c r="F90" s="42">
        <f>IFERROR(INDEX('Output Utente'!$N$2:$N$492,MATCH(87,'Output Utente'!$Q$2:$Q$492,0)),"")</f>
        <v>10</v>
      </c>
      <c r="G90" s="42">
        <f>IFERROR(INDEX('Output Utente'!$O$2:$O$492,MATCH(87,'Output Utente'!$Q$2:$Q$492,0)),"")</f>
        <v>38</v>
      </c>
      <c r="H90" s="5" t="str">
        <f>IFERROR(INDEX('Output Utente'!$P$2:$P$492,MATCH(87,'Output Utente'!$Q$2:$Q$492,0)),"")</f>
        <v>Buono</v>
      </c>
      <c r="I90" s="42">
        <f>IFERROR(INDEX('Output Utente'!$F$2:$F$492,MATCH(87,'Output Utente'!$Q$2:$Q$492,0)),"")</f>
        <v>25</v>
      </c>
      <c r="J90" s="42">
        <f>IFERROR(INDEX('Output Utente'!$G$2:$G$492,MATCH(87,'Output Utente'!$Q$2:$Q$492,0)),"")</f>
        <v>17</v>
      </c>
      <c r="K90" s="42">
        <f>IFERROR(INDEX('Output Utente'!$H$2:$H$492,MATCH(87,'Output Utente'!$Q$2:$Q$492,0)),"")</f>
        <v>29</v>
      </c>
      <c r="L90" s="5" t="str">
        <f>IFERROR(INDEX('Output Utente'!$E$2:$E$492,MATCH(87,'Output Utente'!$Q$2:$Q$492,0)),"")</f>
        <v>NO</v>
      </c>
      <c r="M90" s="5" t="str">
        <f>IFERROR(INDEX('Output Utente'!$U$2:$U$492,MATCH(87,'Output Utente'!$Q$2:$Q$492,0)),"")</f>
        <v>OK</v>
      </c>
      <c r="N90" s="5" t="str">
        <f>IFERROR(INDEX('Output Utente'!$AE$2:$AE$492,MATCH(87,'Output Utente'!$Q$2:$Q$492,0)),"")</f>
        <v>🟡 Attesa rischiosa</v>
      </c>
    </row>
    <row r="91" spans="1:14" ht="15" customHeight="1" x14ac:dyDescent="0.25">
      <c r="A91" s="41">
        <v>88</v>
      </c>
      <c r="B91" s="5">
        <f>IFERROR(INDEX('Output Utente'!$A$2:$A$492,MATCH(88,'Output Utente'!$Q$2:$Q$492,0)),"")</f>
        <v>133</v>
      </c>
      <c r="C91" s="5" t="str">
        <f>IFERROR(INDEX('Output Utente'!$B$2:$B$492,MATCH(88,'Output Utente'!$Q$2:$Q$492,0)),"")</f>
        <v>P</v>
      </c>
      <c r="D91" s="5" t="str">
        <f>IFERROR(INDEX('Output Utente'!$C$2:$C$492,MATCH(88,'Output Utente'!$Q$2:$Q$492,0)),"")</f>
        <v>Skorupski</v>
      </c>
      <c r="E91" s="5" t="str">
        <f>IFERROR(INDEX('Input Giocatori 2026_27'!$D$3:$D$493,MATCH($B91,'Input Giocatori 2026_27'!$A$3:$A$493,0)),"")</f>
        <v>Bologna</v>
      </c>
      <c r="F91" s="42">
        <f>IFERROR(INDEX('Output Utente'!$N$2:$N$492,MATCH(88,'Output Utente'!$Q$2:$Q$492,0)),"")</f>
        <v>10</v>
      </c>
      <c r="G91" s="42">
        <f>IFERROR(INDEX('Output Utente'!$O$2:$O$492,MATCH(88,'Output Utente'!$Q$2:$Q$492,0)),"")</f>
        <v>37</v>
      </c>
      <c r="H91" s="5" t="str">
        <f>IFERROR(INDEX('Output Utente'!$P$2:$P$492,MATCH(88,'Output Utente'!$Q$2:$Q$492,0)),"")</f>
        <v>Buono</v>
      </c>
      <c r="I91" s="42">
        <f>IFERROR(INDEX('Output Utente'!$F$2:$F$492,MATCH(88,'Output Utente'!$Q$2:$Q$492,0)),"")</f>
        <v>13</v>
      </c>
      <c r="J91" s="42">
        <f>IFERROR(INDEX('Output Utente'!$G$2:$G$492,MATCH(88,'Output Utente'!$Q$2:$Q$492,0)),"")</f>
        <v>10</v>
      </c>
      <c r="K91" s="42">
        <f>IFERROR(INDEX('Output Utente'!$H$2:$H$492,MATCH(88,'Output Utente'!$Q$2:$Q$492,0)),"")</f>
        <v>14</v>
      </c>
      <c r="L91" s="5" t="str">
        <f>IFERROR(INDEX('Output Utente'!$E$2:$E$492,MATCH(88,'Output Utente'!$Q$2:$Q$492,0)),"")</f>
        <v>NO</v>
      </c>
      <c r="M91" s="5" t="str">
        <f>IFERROR(INDEX('Output Utente'!$U$2:$U$492,MATCH(88,'Output Utente'!$Q$2:$Q$492,0)),"")</f>
        <v>OK</v>
      </c>
      <c r="N91" s="5" t="str">
        <f>IFERROR(INDEX('Output Utente'!$AE$2:$AE$492,MATCH(88,'Output Utente'!$Q$2:$Q$492,0)),"")</f>
        <v>🔴 Riserve scarse</v>
      </c>
    </row>
    <row r="92" spans="1:14" ht="15" customHeight="1" x14ac:dyDescent="0.25">
      <c r="A92" s="41">
        <v>89</v>
      </c>
      <c r="B92" s="5">
        <f>IFERROR(INDEX('Output Utente'!$A$2:$A$492,MATCH(89,'Output Utente'!$Q$2:$Q$492,0)),"")</f>
        <v>6844</v>
      </c>
      <c r="C92" s="5" t="str">
        <f>IFERROR(INDEX('Output Utente'!$B$2:$B$492,MATCH(89,'Output Utente'!$Q$2:$Q$492,0)),"")</f>
        <v>C</v>
      </c>
      <c r="D92" s="5" t="str">
        <f>IFERROR(INDEX('Output Utente'!$C$2:$C$492,MATCH(89,'Output Utente'!$Q$2:$Q$492,0)),"")</f>
        <v>Rowe</v>
      </c>
      <c r="E92" s="5" t="str">
        <f>IFERROR(INDEX('Input Giocatori 2026_27'!$D$3:$D$493,MATCH($B92,'Input Giocatori 2026_27'!$A$3:$A$493,0)),"")</f>
        <v>Bologna</v>
      </c>
      <c r="F92" s="42">
        <f>IFERROR(INDEX('Output Utente'!$N$2:$N$492,MATCH(89,'Output Utente'!$Q$2:$Q$492,0)),"")</f>
        <v>11</v>
      </c>
      <c r="G92" s="42">
        <f>IFERROR(INDEX('Output Utente'!$O$2:$O$492,MATCH(89,'Output Utente'!$Q$2:$Q$492,0)),"")</f>
        <v>37</v>
      </c>
      <c r="H92" s="5" t="str">
        <f>IFERROR(INDEX('Output Utente'!$P$2:$P$492,MATCH(89,'Output Utente'!$Q$2:$Q$492,0)),"")</f>
        <v>Buono</v>
      </c>
      <c r="I92" s="42">
        <f>IFERROR(INDEX('Output Utente'!$F$2:$F$492,MATCH(89,'Output Utente'!$Q$2:$Q$492,0)),"")</f>
        <v>25</v>
      </c>
      <c r="J92" s="42">
        <f>IFERROR(INDEX('Output Utente'!$G$2:$G$492,MATCH(89,'Output Utente'!$Q$2:$Q$492,0)),"")</f>
        <v>17</v>
      </c>
      <c r="K92" s="42">
        <f>IFERROR(INDEX('Output Utente'!$H$2:$H$492,MATCH(89,'Output Utente'!$Q$2:$Q$492,0)),"")</f>
        <v>28</v>
      </c>
      <c r="L92" s="5" t="str">
        <f>IFERROR(INDEX('Output Utente'!$E$2:$E$492,MATCH(89,'Output Utente'!$Q$2:$Q$492,0)),"")</f>
        <v>NO</v>
      </c>
      <c r="M92" s="5" t="str">
        <f>IFERROR(INDEX('Output Utente'!$U$2:$U$492,MATCH(89,'Output Utente'!$Q$2:$Q$492,0)),"")</f>
        <v>OK</v>
      </c>
      <c r="N92" s="5" t="str">
        <f>IFERROR(INDEX('Output Utente'!$AE$2:$AE$492,MATCH(89,'Output Utente'!$Q$2:$Q$492,0)),"")</f>
        <v>🟡 Attesa rischiosa</v>
      </c>
    </row>
    <row r="93" spans="1:14" ht="15" customHeight="1" x14ac:dyDescent="0.25">
      <c r="A93" s="41">
        <v>90</v>
      </c>
      <c r="B93" s="5">
        <f>IFERROR(INDEX('Output Utente'!$A$2:$A$492,MATCH(90,'Output Utente'!$Q$2:$Q$492,0)),"")</f>
        <v>5888</v>
      </c>
      <c r="C93" s="5" t="str">
        <f>IFERROR(INDEX('Output Utente'!$B$2:$B$492,MATCH(90,'Output Utente'!$Q$2:$Q$492,0)),"")</f>
        <v>C</v>
      </c>
      <c r="D93" s="5" t="str">
        <f>IFERROR(INDEX('Output Utente'!$C$2:$C$492,MATCH(90,'Output Utente'!$Q$2:$Q$492,0)),"")</f>
        <v>Casadei</v>
      </c>
      <c r="E93" s="5" t="str">
        <f>IFERROR(INDEX('Input Giocatori 2026_27'!$D$3:$D$493,MATCH($B93,'Input Giocatori 2026_27'!$A$3:$A$493,0)),"")</f>
        <v>Torino</v>
      </c>
      <c r="F93" s="42">
        <f>IFERROR(INDEX('Output Utente'!$N$2:$N$492,MATCH(90,'Output Utente'!$Q$2:$Q$492,0)),"")</f>
        <v>10</v>
      </c>
      <c r="G93" s="42">
        <f>IFERROR(INDEX('Output Utente'!$O$2:$O$492,MATCH(90,'Output Utente'!$Q$2:$Q$492,0)),"")</f>
        <v>37</v>
      </c>
      <c r="H93" s="5" t="str">
        <f>IFERROR(INDEX('Output Utente'!$P$2:$P$492,MATCH(90,'Output Utente'!$Q$2:$Q$492,0)),"")</f>
        <v>Buono</v>
      </c>
      <c r="I93" s="42">
        <f>IFERROR(INDEX('Output Utente'!$F$2:$F$492,MATCH(90,'Output Utente'!$Q$2:$Q$492,0)),"")</f>
        <v>25</v>
      </c>
      <c r="J93" s="42">
        <f>IFERROR(INDEX('Output Utente'!$G$2:$G$492,MATCH(90,'Output Utente'!$Q$2:$Q$492,0)),"")</f>
        <v>17</v>
      </c>
      <c r="K93" s="42">
        <f>IFERROR(INDEX('Output Utente'!$H$2:$H$492,MATCH(90,'Output Utente'!$Q$2:$Q$492,0)),"")</f>
        <v>28</v>
      </c>
      <c r="L93" s="5" t="str">
        <f>IFERROR(INDEX('Output Utente'!$E$2:$E$492,MATCH(90,'Output Utente'!$Q$2:$Q$492,0)),"")</f>
        <v>NO</v>
      </c>
      <c r="M93" s="5" t="str">
        <f>IFERROR(INDEX('Output Utente'!$U$2:$U$492,MATCH(90,'Output Utente'!$Q$2:$Q$492,0)),"")</f>
        <v>OK</v>
      </c>
      <c r="N93" s="5" t="str">
        <f>IFERROR(INDEX('Output Utente'!$AE$2:$AE$492,MATCH(90,'Output Utente'!$Q$2:$Q$492,0)),"")</f>
        <v>🟡 Attesa rischiosa</v>
      </c>
    </row>
    <row r="94" spans="1:14" ht="15" customHeight="1" x14ac:dyDescent="0.25">
      <c r="A94" s="41">
        <v>91</v>
      </c>
      <c r="B94" s="5">
        <f>IFERROR(INDEX('Output Utente'!$A$2:$A$492,MATCH(91,'Output Utente'!$Q$2:$Q$492,0)),"")</f>
        <v>6274</v>
      </c>
      <c r="C94" s="5" t="str">
        <f>IFERROR(INDEX('Output Utente'!$B$2:$B$492,MATCH(91,'Output Utente'!$Q$2:$Q$492,0)),"")</f>
        <v>C</v>
      </c>
      <c r="D94" s="5" t="str">
        <f>IFERROR(INDEX('Output Utente'!$C$2:$C$492,MATCH(91,'Output Utente'!$Q$2:$Q$492,0)),"")</f>
        <v>Diouf</v>
      </c>
      <c r="E94" s="5" t="str">
        <f>IFERROR(INDEX('Input Giocatori 2026_27'!$D$3:$D$493,MATCH($B94,'Input Giocatori 2026_27'!$A$3:$A$493,0)),"")</f>
        <v>Inter</v>
      </c>
      <c r="F94" s="42">
        <f>IFERROR(INDEX('Output Utente'!$N$2:$N$492,MATCH(91,'Output Utente'!$Q$2:$Q$492,0)),"")</f>
        <v>8</v>
      </c>
      <c r="G94" s="42">
        <f>IFERROR(INDEX('Output Utente'!$O$2:$O$492,MATCH(91,'Output Utente'!$Q$2:$Q$492,0)),"")</f>
        <v>37</v>
      </c>
      <c r="H94" s="5" t="str">
        <f>IFERROR(INDEX('Output Utente'!$P$2:$P$492,MATCH(91,'Output Utente'!$Q$2:$Q$492,0)),"")</f>
        <v>Buono</v>
      </c>
      <c r="I94" s="42">
        <f>IFERROR(INDEX('Output Utente'!$F$2:$F$492,MATCH(91,'Output Utente'!$Q$2:$Q$492,0)),"")</f>
        <v>25</v>
      </c>
      <c r="J94" s="42">
        <f>IFERROR(INDEX('Output Utente'!$G$2:$G$492,MATCH(91,'Output Utente'!$Q$2:$Q$492,0)),"")</f>
        <v>17</v>
      </c>
      <c r="K94" s="42">
        <f>IFERROR(INDEX('Output Utente'!$H$2:$H$492,MATCH(91,'Output Utente'!$Q$2:$Q$492,0)),"")</f>
        <v>28</v>
      </c>
      <c r="L94" s="5" t="str">
        <f>IFERROR(INDEX('Output Utente'!$E$2:$E$492,MATCH(91,'Output Utente'!$Q$2:$Q$492,0)),"")</f>
        <v>NO</v>
      </c>
      <c r="M94" s="5" t="str">
        <f>IFERROR(INDEX('Output Utente'!$U$2:$U$492,MATCH(91,'Output Utente'!$Q$2:$Q$492,0)),"")</f>
        <v>OK</v>
      </c>
      <c r="N94" s="5" t="str">
        <f>IFERROR(INDEX('Output Utente'!$AE$2:$AE$492,MATCH(91,'Output Utente'!$Q$2:$Q$492,0)),"")</f>
        <v>🟡 Attesa rischiosa</v>
      </c>
    </row>
    <row r="95" spans="1:14" ht="15" customHeight="1" x14ac:dyDescent="0.25">
      <c r="A95" s="41">
        <v>92</v>
      </c>
      <c r="B95" s="5">
        <f>IFERROR(INDEX('Output Utente'!$A$2:$A$492,MATCH(92,'Output Utente'!$Q$2:$Q$492,0)),"")</f>
        <v>6666</v>
      </c>
      <c r="C95" s="5" t="str">
        <f>IFERROR(INDEX('Output Utente'!$B$2:$B$492,MATCH(92,'Output Utente'!$Q$2:$Q$492,0)),"")</f>
        <v>C</v>
      </c>
      <c r="D95" s="5" t="str">
        <f>IFERROR(INDEX('Output Utente'!$C$2:$C$492,MATCH(92,'Output Utente'!$Q$2:$Q$492,0)),"")</f>
        <v>Bernabè</v>
      </c>
      <c r="E95" s="5" t="str">
        <f>IFERROR(INDEX('Input Giocatori 2026_27'!$D$3:$D$493,MATCH($B95,'Input Giocatori 2026_27'!$A$3:$A$493,0)),"")</f>
        <v>Parma</v>
      </c>
      <c r="F95" s="42">
        <f>IFERROR(INDEX('Output Utente'!$N$2:$N$492,MATCH(92,'Output Utente'!$Q$2:$Q$492,0)),"")</f>
        <v>7</v>
      </c>
      <c r="G95" s="42">
        <f>IFERROR(INDEX('Output Utente'!$O$2:$O$492,MATCH(92,'Output Utente'!$Q$2:$Q$492,0)),"")</f>
        <v>36</v>
      </c>
      <c r="H95" s="5" t="str">
        <f>IFERROR(INDEX('Output Utente'!$P$2:$P$492,MATCH(92,'Output Utente'!$Q$2:$Q$492,0)),"")</f>
        <v>Buono</v>
      </c>
      <c r="I95" s="42">
        <f>IFERROR(INDEX('Output Utente'!$F$2:$F$492,MATCH(92,'Output Utente'!$Q$2:$Q$492,0)),"")</f>
        <v>4</v>
      </c>
      <c r="J95" s="42">
        <f>IFERROR(INDEX('Output Utente'!$G$2:$G$492,MATCH(92,'Output Utente'!$Q$2:$Q$492,0)),"")</f>
        <v>3</v>
      </c>
      <c r="K95" s="42">
        <f>IFERROR(INDEX('Output Utente'!$H$2:$H$492,MATCH(92,'Output Utente'!$Q$2:$Q$492,0)),"")</f>
        <v>5</v>
      </c>
      <c r="L95" s="5" t="str">
        <f>IFERROR(INDEX('Output Utente'!$E$2:$E$492,MATCH(92,'Output Utente'!$Q$2:$Q$492,0)),"")</f>
        <v>NO</v>
      </c>
      <c r="M95" s="5" t="str">
        <f>IFERROR(INDEX('Output Utente'!$U$2:$U$492,MATCH(92,'Output Utente'!$Q$2:$Q$492,0)),"")</f>
        <v>OK</v>
      </c>
      <c r="N95" s="5" t="str">
        <f>IFERROR(INDEX('Output Utente'!$AE$2:$AE$492,MATCH(92,'Output Utente'!$Q$2:$Q$492,0)),"")</f>
        <v>🟢 Riserve abbondanti</v>
      </c>
    </row>
    <row r="96" spans="1:14" ht="15" customHeight="1" x14ac:dyDescent="0.25">
      <c r="A96" s="41">
        <v>93</v>
      </c>
      <c r="B96" s="5">
        <f>IFERROR(INDEX('Output Utente'!$A$2:$A$492,MATCH(93,'Output Utente'!$Q$2:$Q$492,0)),"")</f>
        <v>7223</v>
      </c>
      <c r="C96" s="5" t="str">
        <f>IFERROR(INDEX('Output Utente'!$B$2:$B$492,MATCH(93,'Output Utente'!$Q$2:$Q$492,0)),"")</f>
        <v>C</v>
      </c>
      <c r="D96" s="5" t="str">
        <f>IFERROR(INDEX('Output Utente'!$C$2:$C$492,MATCH(93,'Output Utente'!$Q$2:$Q$492,0)),"")</f>
        <v>Vergara</v>
      </c>
      <c r="E96" s="5" t="str">
        <f>IFERROR(INDEX('Input Giocatori 2026_27'!$D$3:$D$493,MATCH($B96,'Input Giocatori 2026_27'!$A$3:$A$493,0)),"")</f>
        <v>Napoli</v>
      </c>
      <c r="F96" s="42">
        <f>IFERROR(INDEX('Output Utente'!$N$2:$N$492,MATCH(93,'Output Utente'!$Q$2:$Q$492,0)),"")</f>
        <v>8</v>
      </c>
      <c r="G96" s="42">
        <f>IFERROR(INDEX('Output Utente'!$O$2:$O$492,MATCH(93,'Output Utente'!$Q$2:$Q$492,0)),"")</f>
        <v>34</v>
      </c>
      <c r="H96" s="5" t="str">
        <f>IFERROR(INDEX('Output Utente'!$P$2:$P$492,MATCH(93,'Output Utente'!$Q$2:$Q$492,0)),"")</f>
        <v>Buono</v>
      </c>
      <c r="I96" s="42">
        <f>IFERROR(INDEX('Output Utente'!$F$2:$F$492,MATCH(93,'Output Utente'!$Q$2:$Q$492,0)),"")</f>
        <v>4</v>
      </c>
      <c r="J96" s="42">
        <f>IFERROR(INDEX('Output Utente'!$G$2:$G$492,MATCH(93,'Output Utente'!$Q$2:$Q$492,0)),"")</f>
        <v>3</v>
      </c>
      <c r="K96" s="42">
        <f>IFERROR(INDEX('Output Utente'!$H$2:$H$492,MATCH(93,'Output Utente'!$Q$2:$Q$492,0)),"")</f>
        <v>5</v>
      </c>
      <c r="L96" s="5" t="str">
        <f>IFERROR(INDEX('Output Utente'!$E$2:$E$492,MATCH(93,'Output Utente'!$Q$2:$Q$492,0)),"")</f>
        <v>NO</v>
      </c>
      <c r="M96" s="5" t="str">
        <f>IFERROR(INDEX('Output Utente'!$U$2:$U$492,MATCH(93,'Output Utente'!$Q$2:$Q$492,0)),"")</f>
        <v>OK</v>
      </c>
      <c r="N96" s="5" t="str">
        <f>IFERROR(INDEX('Output Utente'!$AE$2:$AE$492,MATCH(93,'Output Utente'!$Q$2:$Q$492,0)),"")</f>
        <v>🟢 Riserve abbondanti</v>
      </c>
    </row>
    <row r="97" spans="1:14" ht="15" customHeight="1" x14ac:dyDescent="0.25">
      <c r="A97" s="41">
        <v>94</v>
      </c>
      <c r="B97" s="5">
        <f>IFERROR(INDEX('Output Utente'!$A$2:$A$492,MATCH(94,'Output Utente'!$Q$2:$Q$492,0)),"")</f>
        <v>6217</v>
      </c>
      <c r="C97" s="5" t="str">
        <f>IFERROR(INDEX('Output Utente'!$B$2:$B$492,MATCH(94,'Output Utente'!$Q$2:$Q$492,0)),"")</f>
        <v>D</v>
      </c>
      <c r="D97" s="5" t="str">
        <f>IFERROR(INDEX('Output Utente'!$C$2:$C$492,MATCH(94,'Output Utente'!$Q$2:$Q$492,0)),"")</f>
        <v>Bisseck</v>
      </c>
      <c r="E97" s="5" t="str">
        <f>IFERROR(INDEX('Input Giocatori 2026_27'!$D$3:$D$493,MATCH($B97,'Input Giocatori 2026_27'!$A$3:$A$493,0)),"")</f>
        <v>Inter</v>
      </c>
      <c r="F97" s="42">
        <f>IFERROR(INDEX('Output Utente'!$N$2:$N$492,MATCH(94,'Output Utente'!$Q$2:$Q$492,0)),"")</f>
        <v>11</v>
      </c>
      <c r="G97" s="42">
        <f>IFERROR(INDEX('Output Utente'!$O$2:$O$492,MATCH(94,'Output Utente'!$Q$2:$Q$492,0)),"")</f>
        <v>33</v>
      </c>
      <c r="H97" s="5" t="str">
        <f>IFERROR(INDEX('Output Utente'!$P$2:$P$492,MATCH(94,'Output Utente'!$Q$2:$Q$492,0)),"")</f>
        <v>Top</v>
      </c>
      <c r="I97" s="42">
        <f>IFERROR(INDEX('Output Utente'!$F$2:$F$492,MATCH(94,'Output Utente'!$Q$2:$Q$492,0)),"")</f>
        <v>23</v>
      </c>
      <c r="J97" s="42">
        <f>IFERROR(INDEX('Output Utente'!$G$2:$G$492,MATCH(94,'Output Utente'!$Q$2:$Q$492,0)),"")</f>
        <v>17</v>
      </c>
      <c r="K97" s="42">
        <f>IFERROR(INDEX('Output Utente'!$H$2:$H$492,MATCH(94,'Output Utente'!$Q$2:$Q$492,0)),"")</f>
        <v>25</v>
      </c>
      <c r="L97" s="5" t="str">
        <f>IFERROR(INDEX('Output Utente'!$E$2:$E$492,MATCH(94,'Output Utente'!$Q$2:$Q$492,0)),"")</f>
        <v>NO</v>
      </c>
      <c r="M97" s="5" t="str">
        <f>IFERROR(INDEX('Output Utente'!$U$2:$U$492,MATCH(94,'Output Utente'!$Q$2:$Q$492,0)),"")</f>
        <v>OK</v>
      </c>
      <c r="N97" s="5" t="str">
        <f>IFERROR(INDEX('Output Utente'!$AE$2:$AE$492,MATCH(94,'Output Utente'!$Q$2:$Q$492,0)),"")</f>
        <v>🟢 Puoi aspettare</v>
      </c>
    </row>
    <row r="98" spans="1:14" ht="15" customHeight="1" x14ac:dyDescent="0.25">
      <c r="A98" s="41">
        <v>95</v>
      </c>
      <c r="B98" s="5">
        <f>IFERROR(INDEX('Output Utente'!$A$2:$A$492,MATCH(95,'Output Utente'!$Q$2:$Q$492,0)),"")</f>
        <v>5514</v>
      </c>
      <c r="C98" s="5" t="str">
        <f>IFERROR(INDEX('Output Utente'!$B$2:$B$492,MATCH(95,'Output Utente'!$Q$2:$Q$492,0)),"")</f>
        <v>D</v>
      </c>
      <c r="D98" s="5" t="str">
        <f>IFERROR(INDEX('Output Utente'!$C$2:$C$492,MATCH(95,'Output Utente'!$Q$2:$Q$492,0)),"")</f>
        <v>Vasquez</v>
      </c>
      <c r="E98" s="5" t="str">
        <f>IFERROR(INDEX('Input Giocatori 2026_27'!$D$3:$D$493,MATCH($B98,'Input Giocatori 2026_27'!$A$3:$A$493,0)),"")</f>
        <v>Genoa</v>
      </c>
      <c r="F98" s="42">
        <f>IFERROR(INDEX('Output Utente'!$N$2:$N$492,MATCH(95,'Output Utente'!$Q$2:$Q$492,0)),"")</f>
        <v>9</v>
      </c>
      <c r="G98" s="42">
        <f>IFERROR(INDEX('Output Utente'!$O$2:$O$492,MATCH(95,'Output Utente'!$Q$2:$Q$492,0)),"")</f>
        <v>33</v>
      </c>
      <c r="H98" s="5" t="str">
        <f>IFERROR(INDEX('Output Utente'!$P$2:$P$492,MATCH(95,'Output Utente'!$Q$2:$Q$492,0)),"")</f>
        <v>Top</v>
      </c>
      <c r="I98" s="42">
        <f>IFERROR(INDEX('Output Utente'!$F$2:$F$492,MATCH(95,'Output Utente'!$Q$2:$Q$492,0)),"")</f>
        <v>23</v>
      </c>
      <c r="J98" s="42">
        <f>IFERROR(INDEX('Output Utente'!$G$2:$G$492,MATCH(95,'Output Utente'!$Q$2:$Q$492,0)),"")</f>
        <v>17</v>
      </c>
      <c r="K98" s="42">
        <f>IFERROR(INDEX('Output Utente'!$H$2:$H$492,MATCH(95,'Output Utente'!$Q$2:$Q$492,0)),"")</f>
        <v>25</v>
      </c>
      <c r="L98" s="5" t="str">
        <f>IFERROR(INDEX('Output Utente'!$E$2:$E$492,MATCH(95,'Output Utente'!$Q$2:$Q$492,0)),"")</f>
        <v>NO</v>
      </c>
      <c r="M98" s="5" t="str">
        <f>IFERROR(INDEX('Output Utente'!$U$2:$U$492,MATCH(95,'Output Utente'!$Q$2:$Q$492,0)),"")</f>
        <v>OK</v>
      </c>
      <c r="N98" s="5" t="str">
        <f>IFERROR(INDEX('Output Utente'!$AE$2:$AE$492,MATCH(95,'Output Utente'!$Q$2:$Q$492,0)),"")</f>
        <v>🟢 Puoi aspettare</v>
      </c>
    </row>
    <row r="99" spans="1:14" ht="15" customHeight="1" x14ac:dyDescent="0.25">
      <c r="A99" s="41">
        <v>96</v>
      </c>
      <c r="B99" s="5">
        <f>IFERROR(INDEX('Output Utente'!$A$2:$A$492,MATCH(96,'Output Utente'!$Q$2:$Q$492,0)),"")</f>
        <v>2155</v>
      </c>
      <c r="C99" s="5" t="str">
        <f>IFERROR(INDEX('Output Utente'!$B$2:$B$492,MATCH(96,'Output Utente'!$Q$2:$Q$492,0)),"")</f>
        <v>A</v>
      </c>
      <c r="D99" s="5" t="str">
        <f>IFERROR(INDEX('Output Utente'!$C$2:$C$492,MATCH(96,'Output Utente'!$Q$2:$Q$492,0)),"")</f>
        <v>Cutrone</v>
      </c>
      <c r="E99" s="5" t="str">
        <f>IFERROR(INDEX('Input Giocatori 2026_27'!$D$3:$D$493,MATCH($B99,'Input Giocatori 2026_27'!$A$3:$A$493,0)),"")</f>
        <v>Monza</v>
      </c>
      <c r="F99" s="42">
        <f>IFERROR(INDEX('Output Utente'!$N$2:$N$492,MATCH(96,'Output Utente'!$Q$2:$Q$492,0)),"")</f>
        <v>9</v>
      </c>
      <c r="G99" s="42">
        <f>IFERROR(INDEX('Output Utente'!$O$2:$O$492,MATCH(96,'Output Utente'!$Q$2:$Q$492,0)),"")</f>
        <v>33</v>
      </c>
      <c r="H99" s="5" t="str">
        <f>IFERROR(INDEX('Output Utente'!$P$2:$P$492,MATCH(96,'Output Utente'!$Q$2:$Q$492,0)),"")</f>
        <v>Nella Media</v>
      </c>
      <c r="I99" s="42">
        <f>IFERROR(INDEX('Output Utente'!$F$2:$F$492,MATCH(96,'Output Utente'!$Q$2:$Q$492,0)),"")</f>
        <v>10</v>
      </c>
      <c r="J99" s="42">
        <f>IFERROR(INDEX('Output Utente'!$G$2:$G$492,MATCH(96,'Output Utente'!$Q$2:$Q$492,0)),"")</f>
        <v>6</v>
      </c>
      <c r="K99" s="42">
        <f>IFERROR(INDEX('Output Utente'!$H$2:$H$492,MATCH(96,'Output Utente'!$Q$2:$Q$492,0)),"")</f>
        <v>12</v>
      </c>
      <c r="L99" s="5" t="str">
        <f>IFERROR(INDEX('Output Utente'!$E$2:$E$492,MATCH(96,'Output Utente'!$Q$2:$Q$492,0)),"")</f>
        <v>NO</v>
      </c>
      <c r="M99" s="5" t="str">
        <f>IFERROR(INDEX('Output Utente'!$U$2:$U$492,MATCH(96,'Output Utente'!$Q$2:$Q$492,0)),"")</f>
        <v>OK</v>
      </c>
      <c r="N99" s="5" t="str">
        <f>IFERROR(INDEX('Output Utente'!$AE$2:$AE$492,MATCH(96,'Output Utente'!$Q$2:$Q$492,0)),"")</f>
        <v>🟢 Riserve abbondanti</v>
      </c>
    </row>
    <row r="100" spans="1:14" ht="15" customHeight="1" x14ac:dyDescent="0.25">
      <c r="A100" s="41">
        <v>97</v>
      </c>
      <c r="B100" s="5">
        <f>IFERROR(INDEX('Output Utente'!$A$2:$A$492,MATCH(97,'Output Utente'!$Q$2:$Q$492,0)),"")</f>
        <v>6869</v>
      </c>
      <c r="C100" s="5" t="str">
        <f>IFERROR(INDEX('Output Utente'!$B$2:$B$492,MATCH(97,'Output Utente'!$Q$2:$Q$492,0)),"")</f>
        <v>D</v>
      </c>
      <c r="D100" s="5" t="str">
        <f>IFERROR(INDEX('Output Utente'!$C$2:$C$492,MATCH(97,'Output Utente'!$Q$2:$Q$492,0)),"")</f>
        <v>Ramon</v>
      </c>
      <c r="E100" s="5" t="str">
        <f>IFERROR(INDEX('Input Giocatori 2026_27'!$D$3:$D$493,MATCH($B100,'Input Giocatori 2026_27'!$A$3:$A$493,0)),"")</f>
        <v>Como</v>
      </c>
      <c r="F100" s="42">
        <f>IFERROR(INDEX('Output Utente'!$N$2:$N$492,MATCH(97,'Output Utente'!$Q$2:$Q$492,0)),"")</f>
        <v>10</v>
      </c>
      <c r="G100" s="42">
        <f>IFERROR(INDEX('Output Utente'!$O$2:$O$492,MATCH(97,'Output Utente'!$Q$2:$Q$492,0)),"")</f>
        <v>32</v>
      </c>
      <c r="H100" s="5" t="str">
        <f>IFERROR(INDEX('Output Utente'!$P$2:$P$492,MATCH(97,'Output Utente'!$Q$2:$Q$492,0)),"")</f>
        <v>Top</v>
      </c>
      <c r="I100" s="42">
        <f>IFERROR(INDEX('Output Utente'!$F$2:$F$492,MATCH(97,'Output Utente'!$Q$2:$Q$492,0)),"")</f>
        <v>22</v>
      </c>
      <c r="J100" s="42">
        <f>IFERROR(INDEX('Output Utente'!$G$2:$G$492,MATCH(97,'Output Utente'!$Q$2:$Q$492,0)),"")</f>
        <v>16</v>
      </c>
      <c r="K100" s="42">
        <f>IFERROR(INDEX('Output Utente'!$H$2:$H$492,MATCH(97,'Output Utente'!$Q$2:$Q$492,0)),"")</f>
        <v>24</v>
      </c>
      <c r="L100" s="5" t="str">
        <f>IFERROR(INDEX('Output Utente'!$E$2:$E$492,MATCH(97,'Output Utente'!$Q$2:$Q$492,0)),"")</f>
        <v>NO</v>
      </c>
      <c r="M100" s="5" t="str">
        <f>IFERROR(INDEX('Output Utente'!$U$2:$U$492,MATCH(97,'Output Utente'!$Q$2:$Q$492,0)),"")</f>
        <v>OK</v>
      </c>
      <c r="N100" s="5" t="str">
        <f>IFERROR(INDEX('Output Utente'!$AE$2:$AE$492,MATCH(97,'Output Utente'!$Q$2:$Q$492,0)),"")</f>
        <v>🟢 Puoi aspettare</v>
      </c>
    </row>
    <row r="101" spans="1:14" ht="15" customHeight="1" x14ac:dyDescent="0.25">
      <c r="A101" s="41">
        <v>98</v>
      </c>
      <c r="B101" s="5">
        <f>IFERROR(INDEX('Output Utente'!$A$2:$A$492,MATCH(98,'Output Utente'!$Q$2:$Q$492,0)),"")</f>
        <v>7129</v>
      </c>
      <c r="C101" s="5" t="str">
        <f>IFERROR(INDEX('Output Utente'!$B$2:$B$492,MATCH(98,'Output Utente'!$Q$2:$Q$492,0)),"")</f>
        <v>C</v>
      </c>
      <c r="D101" s="5" t="str">
        <f>IFERROR(INDEX('Output Utente'!$C$2:$C$492,MATCH(98,'Output Utente'!$Q$2:$Q$492,0)),"")</f>
        <v>Rodriguez Je.</v>
      </c>
      <c r="E101" s="5" t="str">
        <f>IFERROR(INDEX('Input Giocatori 2026_27'!$D$3:$D$493,MATCH($B101,'Input Giocatori 2026_27'!$A$3:$A$493,0)),"")</f>
        <v>Como</v>
      </c>
      <c r="F101" s="42">
        <f>IFERROR(INDEX('Output Utente'!$N$2:$N$492,MATCH(98,'Output Utente'!$Q$2:$Q$492,0)),"")</f>
        <v>12</v>
      </c>
      <c r="G101" s="42">
        <f>IFERROR(INDEX('Output Utente'!$O$2:$O$492,MATCH(98,'Output Utente'!$Q$2:$Q$492,0)),"")</f>
        <v>32</v>
      </c>
      <c r="H101" s="5" t="str">
        <f>IFERROR(INDEX('Output Utente'!$P$2:$P$492,MATCH(98,'Output Utente'!$Q$2:$Q$492,0)),"")</f>
        <v>Buono</v>
      </c>
      <c r="I101" s="42">
        <f>IFERROR(INDEX('Output Utente'!$F$2:$F$492,MATCH(98,'Output Utente'!$Q$2:$Q$492,0)),"")</f>
        <v>4</v>
      </c>
      <c r="J101" s="42">
        <f>IFERROR(INDEX('Output Utente'!$G$2:$G$492,MATCH(98,'Output Utente'!$Q$2:$Q$492,0)),"")</f>
        <v>3</v>
      </c>
      <c r="K101" s="42">
        <f>IFERROR(INDEX('Output Utente'!$H$2:$H$492,MATCH(98,'Output Utente'!$Q$2:$Q$492,0)),"")</f>
        <v>5</v>
      </c>
      <c r="L101" s="5" t="str">
        <f>IFERROR(INDEX('Output Utente'!$E$2:$E$492,MATCH(98,'Output Utente'!$Q$2:$Q$492,0)),"")</f>
        <v>NO</v>
      </c>
      <c r="M101" s="5" t="str">
        <f>IFERROR(INDEX('Output Utente'!$U$2:$U$492,MATCH(98,'Output Utente'!$Q$2:$Q$492,0)),"")</f>
        <v>OK</v>
      </c>
      <c r="N101" s="5" t="str">
        <f>IFERROR(INDEX('Output Utente'!$AE$2:$AE$492,MATCH(98,'Output Utente'!$Q$2:$Q$492,0)),"")</f>
        <v>🟢 Riserve abbondanti</v>
      </c>
    </row>
    <row r="102" spans="1:14" ht="15" customHeight="1" x14ac:dyDescent="0.25">
      <c r="A102" s="41">
        <v>99</v>
      </c>
      <c r="B102" s="5">
        <f>IFERROR(INDEX('Output Utente'!$A$2:$A$492,MATCH(99,'Output Utente'!$Q$2:$Q$492,0)),"")</f>
        <v>2077</v>
      </c>
      <c r="C102" s="5" t="str">
        <f>IFERROR(INDEX('Output Utente'!$B$2:$B$492,MATCH(99,'Output Utente'!$Q$2:$Q$492,0)),"")</f>
        <v>C</v>
      </c>
      <c r="D102" s="5" t="str">
        <f>IFERROR(INDEX('Output Utente'!$C$2:$C$492,MATCH(99,'Output Utente'!$Q$2:$Q$492,0)),"")</f>
        <v>Pasalic</v>
      </c>
      <c r="E102" s="5" t="str">
        <f>IFERROR(INDEX('Input Giocatori 2026_27'!$D$3:$D$493,MATCH($B102,'Input Giocatori 2026_27'!$A$3:$A$493,0)),"")</f>
        <v>Atalanta</v>
      </c>
      <c r="F102" s="42">
        <f>IFERROR(INDEX('Output Utente'!$N$2:$N$492,MATCH(99,'Output Utente'!$Q$2:$Q$492,0)),"")</f>
        <v>9</v>
      </c>
      <c r="G102" s="42">
        <f>IFERROR(INDEX('Output Utente'!$O$2:$O$492,MATCH(99,'Output Utente'!$Q$2:$Q$492,0)),"")</f>
        <v>32</v>
      </c>
      <c r="H102" s="5" t="str">
        <f>IFERROR(INDEX('Output Utente'!$P$2:$P$492,MATCH(99,'Output Utente'!$Q$2:$Q$492,0)),"")</f>
        <v>Buono</v>
      </c>
      <c r="I102" s="42">
        <f>IFERROR(INDEX('Output Utente'!$F$2:$F$492,MATCH(99,'Output Utente'!$Q$2:$Q$492,0)),"")</f>
        <v>4</v>
      </c>
      <c r="J102" s="42">
        <f>IFERROR(INDEX('Output Utente'!$G$2:$G$492,MATCH(99,'Output Utente'!$Q$2:$Q$492,0)),"")</f>
        <v>3</v>
      </c>
      <c r="K102" s="42">
        <f>IFERROR(INDEX('Output Utente'!$H$2:$H$492,MATCH(99,'Output Utente'!$Q$2:$Q$492,0)),"")</f>
        <v>5</v>
      </c>
      <c r="L102" s="5" t="str">
        <f>IFERROR(INDEX('Output Utente'!$E$2:$E$492,MATCH(99,'Output Utente'!$Q$2:$Q$492,0)),"")</f>
        <v>NO</v>
      </c>
      <c r="M102" s="5" t="str">
        <f>IFERROR(INDEX('Output Utente'!$U$2:$U$492,MATCH(99,'Output Utente'!$Q$2:$Q$492,0)),"")</f>
        <v>OK</v>
      </c>
      <c r="N102" s="5" t="str">
        <f>IFERROR(INDEX('Output Utente'!$AE$2:$AE$492,MATCH(99,'Output Utente'!$Q$2:$Q$492,0)),"")</f>
        <v>🟢 Riserve abbondanti</v>
      </c>
    </row>
    <row r="103" spans="1:14" ht="15" customHeight="1" x14ac:dyDescent="0.25">
      <c r="A103" s="41">
        <v>100</v>
      </c>
      <c r="B103" s="5">
        <f>IFERROR(INDEX('Output Utente'!$A$2:$A$492,MATCH(100,'Output Utente'!$Q$2:$Q$492,0)),"")</f>
        <v>827</v>
      </c>
      <c r="C103" s="5" t="str">
        <f>IFERROR(INDEX('Output Utente'!$B$2:$B$492,MATCH(100,'Output Utente'!$Q$2:$Q$492,0)),"")</f>
        <v>C</v>
      </c>
      <c r="D103" s="5" t="str">
        <f>IFERROR(INDEX('Output Utente'!$C$2:$C$492,MATCH(100,'Output Utente'!$Q$2:$Q$492,0)),"")</f>
        <v>Locatelli</v>
      </c>
      <c r="E103" s="5" t="str">
        <f>IFERROR(INDEX('Input Giocatori 2026_27'!$D$3:$D$493,MATCH($B103,'Input Giocatori 2026_27'!$A$3:$A$493,0)),"")</f>
        <v>Juventus</v>
      </c>
      <c r="F103" s="42">
        <f>IFERROR(INDEX('Output Utente'!$N$2:$N$492,MATCH(100,'Output Utente'!$Q$2:$Q$492,0)),"")</f>
        <v>8</v>
      </c>
      <c r="G103" s="42">
        <f>IFERROR(INDEX('Output Utente'!$O$2:$O$492,MATCH(100,'Output Utente'!$Q$2:$Q$492,0)),"")</f>
        <v>32</v>
      </c>
      <c r="H103" s="5" t="str">
        <f>IFERROR(INDEX('Output Utente'!$P$2:$P$492,MATCH(100,'Output Utente'!$Q$2:$Q$492,0)),"")</f>
        <v>Buono</v>
      </c>
      <c r="I103" s="42">
        <f>IFERROR(INDEX('Output Utente'!$F$2:$F$492,MATCH(100,'Output Utente'!$Q$2:$Q$492,0)),"")</f>
        <v>4</v>
      </c>
      <c r="J103" s="42">
        <f>IFERROR(INDEX('Output Utente'!$G$2:$G$492,MATCH(100,'Output Utente'!$Q$2:$Q$492,0)),"")</f>
        <v>3</v>
      </c>
      <c r="K103" s="42">
        <f>IFERROR(INDEX('Output Utente'!$H$2:$H$492,MATCH(100,'Output Utente'!$Q$2:$Q$492,0)),"")</f>
        <v>5</v>
      </c>
      <c r="L103" s="5" t="str">
        <f>IFERROR(INDEX('Output Utente'!$E$2:$E$492,MATCH(100,'Output Utente'!$Q$2:$Q$492,0)),"")</f>
        <v>NO</v>
      </c>
      <c r="M103" s="5" t="str">
        <f>IFERROR(INDEX('Output Utente'!$U$2:$U$492,MATCH(100,'Output Utente'!$Q$2:$Q$492,0)),"")</f>
        <v>OK</v>
      </c>
      <c r="N103" s="5" t="str">
        <f>IFERROR(INDEX('Output Utente'!$AE$2:$AE$492,MATCH(100,'Output Utente'!$Q$2:$Q$492,0)),"")</f>
        <v>🟢 Riserve abbondanti</v>
      </c>
    </row>
    <row r="104" spans="1:14" ht="15" customHeight="1" x14ac:dyDescent="0.25">
      <c r="A104" s="41">
        <v>101</v>
      </c>
      <c r="B104" s="5">
        <f>IFERROR(INDEX('Output Utente'!$A$2:$A$492,MATCH(101,'Output Utente'!$Q$2:$Q$492,0)),"")</f>
        <v>7313</v>
      </c>
      <c r="C104" s="5" t="str">
        <f>IFERROR(INDEX('Output Utente'!$B$2:$B$492,MATCH(101,'Output Utente'!$Q$2:$Q$492,0)),"")</f>
        <v>A</v>
      </c>
      <c r="D104" s="5" t="str">
        <f>IFERROR(INDEX('Output Utente'!$C$2:$C$492,MATCH(101,'Output Utente'!$Q$2:$Q$492,0)),"")</f>
        <v>Ratkov</v>
      </c>
      <c r="E104" s="5" t="str">
        <f>IFERROR(INDEX('Input Giocatori 2026_27'!$D$3:$D$493,MATCH($B104,'Input Giocatori 2026_27'!$A$3:$A$493,0)),"")</f>
        <v>Lazio</v>
      </c>
      <c r="F104" s="42">
        <f>IFERROR(INDEX('Output Utente'!$N$2:$N$492,MATCH(101,'Output Utente'!$Q$2:$Q$492,0)),"")</f>
        <v>10</v>
      </c>
      <c r="G104" s="42">
        <f>IFERROR(INDEX('Output Utente'!$O$2:$O$492,MATCH(101,'Output Utente'!$Q$2:$Q$492,0)),"")</f>
        <v>32</v>
      </c>
      <c r="H104" s="5" t="str">
        <f>IFERROR(INDEX('Output Utente'!$P$2:$P$492,MATCH(101,'Output Utente'!$Q$2:$Q$492,0)),"")</f>
        <v>Nella Media</v>
      </c>
      <c r="I104" s="42">
        <f>IFERROR(INDEX('Output Utente'!$F$2:$F$492,MATCH(101,'Output Utente'!$Q$2:$Q$492,0)),"")</f>
        <v>10</v>
      </c>
      <c r="J104" s="42">
        <f>IFERROR(INDEX('Output Utente'!$G$2:$G$492,MATCH(101,'Output Utente'!$Q$2:$Q$492,0)),"")</f>
        <v>6</v>
      </c>
      <c r="K104" s="42">
        <f>IFERROR(INDEX('Output Utente'!$H$2:$H$492,MATCH(101,'Output Utente'!$Q$2:$Q$492,0)),"")</f>
        <v>12</v>
      </c>
      <c r="L104" s="5" t="str">
        <f>IFERROR(INDEX('Output Utente'!$E$2:$E$492,MATCH(101,'Output Utente'!$Q$2:$Q$492,0)),"")</f>
        <v>NO</v>
      </c>
      <c r="M104" s="5" t="str">
        <f>IFERROR(INDEX('Output Utente'!$U$2:$U$492,MATCH(101,'Output Utente'!$Q$2:$Q$492,0)),"")</f>
        <v>OK</v>
      </c>
      <c r="N104" s="5" t="str">
        <f>IFERROR(INDEX('Output Utente'!$AE$2:$AE$492,MATCH(101,'Output Utente'!$Q$2:$Q$492,0)),"")</f>
        <v>🟢 Riserve abbondanti</v>
      </c>
    </row>
    <row r="105" spans="1:14" ht="15" customHeight="1" x14ac:dyDescent="0.25">
      <c r="A105" s="41">
        <v>102</v>
      </c>
      <c r="B105" s="5">
        <f>IFERROR(INDEX('Output Utente'!$A$2:$A$492,MATCH(102,'Output Utente'!$Q$2:$Q$492,0)),"")</f>
        <v>6646</v>
      </c>
      <c r="C105" s="5" t="str">
        <f>IFERROR(INDEX('Output Utente'!$B$2:$B$492,MATCH(102,'Output Utente'!$Q$2:$Q$492,0)),"")</f>
        <v>A</v>
      </c>
      <c r="D105" s="5" t="str">
        <f>IFERROR(INDEX('Output Utente'!$C$2:$C$492,MATCH(102,'Output Utente'!$Q$2:$Q$492,0)),"")</f>
        <v>Adams C.</v>
      </c>
      <c r="E105" s="5" t="str">
        <f>IFERROR(INDEX('Input Giocatori 2026_27'!$D$3:$D$493,MATCH($B105,'Input Giocatori 2026_27'!$A$3:$A$493,0)),"")</f>
        <v>Torino</v>
      </c>
      <c r="F105" s="42">
        <f>IFERROR(INDEX('Output Utente'!$N$2:$N$492,MATCH(102,'Output Utente'!$Q$2:$Q$492,0)),"")</f>
        <v>9</v>
      </c>
      <c r="G105" s="42">
        <f>IFERROR(INDEX('Output Utente'!$O$2:$O$492,MATCH(102,'Output Utente'!$Q$2:$Q$492,0)),"")</f>
        <v>32</v>
      </c>
      <c r="H105" s="5" t="str">
        <f>IFERROR(INDEX('Output Utente'!$P$2:$P$492,MATCH(102,'Output Utente'!$Q$2:$Q$492,0)),"")</f>
        <v>Nella Media</v>
      </c>
      <c r="I105" s="42">
        <f>IFERROR(INDEX('Output Utente'!$F$2:$F$492,MATCH(102,'Output Utente'!$Q$2:$Q$492,0)),"")</f>
        <v>10</v>
      </c>
      <c r="J105" s="42">
        <f>IFERROR(INDEX('Output Utente'!$G$2:$G$492,MATCH(102,'Output Utente'!$Q$2:$Q$492,0)),"")</f>
        <v>6</v>
      </c>
      <c r="K105" s="42">
        <f>IFERROR(INDEX('Output Utente'!$H$2:$H$492,MATCH(102,'Output Utente'!$Q$2:$Q$492,0)),"")</f>
        <v>12</v>
      </c>
      <c r="L105" s="5" t="str">
        <f>IFERROR(INDEX('Output Utente'!$E$2:$E$492,MATCH(102,'Output Utente'!$Q$2:$Q$492,0)),"")</f>
        <v>NO</v>
      </c>
      <c r="M105" s="5" t="str">
        <f>IFERROR(INDEX('Output Utente'!$U$2:$U$492,MATCH(102,'Output Utente'!$Q$2:$Q$492,0)),"")</f>
        <v>OK</v>
      </c>
      <c r="N105" s="5" t="str">
        <f>IFERROR(INDEX('Output Utente'!$AE$2:$AE$492,MATCH(102,'Output Utente'!$Q$2:$Q$492,0)),"")</f>
        <v>🟢 Riserve abbondanti</v>
      </c>
    </row>
    <row r="106" spans="1:14" ht="15" customHeight="1" x14ac:dyDescent="0.25">
      <c r="A106" s="41">
        <v>103</v>
      </c>
      <c r="B106" s="5">
        <f>IFERROR(INDEX('Output Utente'!$A$2:$A$492,MATCH(103,'Output Utente'!$Q$2:$Q$492,0)),"")</f>
        <v>5833</v>
      </c>
      <c r="C106" s="5" t="str">
        <f>IFERROR(INDEX('Output Utente'!$B$2:$B$492,MATCH(103,'Output Utente'!$Q$2:$Q$492,0)),"")</f>
        <v>D</v>
      </c>
      <c r="D106" s="5" t="str">
        <f>IFERROR(INDEX('Output Utente'!$C$2:$C$492,MATCH(103,'Output Utente'!$Q$2:$Q$492,0)),"")</f>
        <v>Gila</v>
      </c>
      <c r="E106" s="5" t="str">
        <f>IFERROR(INDEX('Input Giocatori 2026_27'!$D$3:$D$493,MATCH($B106,'Input Giocatori 2026_27'!$A$3:$A$493,0)),"")</f>
        <v>Milan</v>
      </c>
      <c r="F106" s="42">
        <f>IFERROR(INDEX('Output Utente'!$N$2:$N$492,MATCH(103,'Output Utente'!$Q$2:$Q$492,0)),"")</f>
        <v>12</v>
      </c>
      <c r="G106" s="42">
        <f>IFERROR(INDEX('Output Utente'!$O$2:$O$492,MATCH(103,'Output Utente'!$Q$2:$Q$492,0)),"")</f>
        <v>31</v>
      </c>
      <c r="H106" s="5" t="str">
        <f>IFERROR(INDEX('Output Utente'!$P$2:$P$492,MATCH(103,'Output Utente'!$Q$2:$Q$492,0)),"")</f>
        <v>Top</v>
      </c>
      <c r="I106" s="42">
        <f>IFERROR(INDEX('Output Utente'!$F$2:$F$492,MATCH(103,'Output Utente'!$Q$2:$Q$492,0)),"")</f>
        <v>21</v>
      </c>
      <c r="J106" s="42">
        <f>IFERROR(INDEX('Output Utente'!$G$2:$G$492,MATCH(103,'Output Utente'!$Q$2:$Q$492,0)),"")</f>
        <v>16</v>
      </c>
      <c r="K106" s="42">
        <f>IFERROR(INDEX('Output Utente'!$H$2:$H$492,MATCH(103,'Output Utente'!$Q$2:$Q$492,0)),"")</f>
        <v>23</v>
      </c>
      <c r="L106" s="5" t="str">
        <f>IFERROR(INDEX('Output Utente'!$E$2:$E$492,MATCH(103,'Output Utente'!$Q$2:$Q$492,0)),"")</f>
        <v>NO</v>
      </c>
      <c r="M106" s="5" t="str">
        <f>IFERROR(INDEX('Output Utente'!$U$2:$U$492,MATCH(103,'Output Utente'!$Q$2:$Q$492,0)),"")</f>
        <v>OK</v>
      </c>
      <c r="N106" s="5" t="str">
        <f>IFERROR(INDEX('Output Utente'!$AE$2:$AE$492,MATCH(103,'Output Utente'!$Q$2:$Q$492,0)),"")</f>
        <v>🟢 Puoi aspettare</v>
      </c>
    </row>
    <row r="107" spans="1:14" ht="15" customHeight="1" x14ac:dyDescent="0.25">
      <c r="A107" s="41">
        <v>104</v>
      </c>
      <c r="B107" s="5">
        <f>IFERROR(INDEX('Output Utente'!$A$2:$A$492,MATCH(104,'Output Utente'!$Q$2:$Q$492,0)),"")</f>
        <v>5672</v>
      </c>
      <c r="C107" s="5" t="str">
        <f>IFERROR(INDEX('Output Utente'!$B$2:$B$492,MATCH(104,'Output Utente'!$Q$2:$Q$492,0)),"")</f>
        <v>A</v>
      </c>
      <c r="D107" s="5" t="str">
        <f>IFERROR(INDEX('Output Utente'!$C$2:$C$492,MATCH(104,'Output Utente'!$Q$2:$Q$492,0)),"")</f>
        <v>Dia</v>
      </c>
      <c r="E107" s="5" t="str">
        <f>IFERROR(INDEX('Input Giocatori 2026_27'!$D$3:$D$493,MATCH($B107,'Input Giocatori 2026_27'!$A$3:$A$493,0)),"")</f>
        <v>Lazio</v>
      </c>
      <c r="F107" s="42">
        <f>IFERROR(INDEX('Output Utente'!$N$2:$N$492,MATCH(104,'Output Utente'!$Q$2:$Q$492,0)),"")</f>
        <v>10</v>
      </c>
      <c r="G107" s="42">
        <f>IFERROR(INDEX('Output Utente'!$O$2:$O$492,MATCH(104,'Output Utente'!$Q$2:$Q$492,0)),"")</f>
        <v>31</v>
      </c>
      <c r="H107" s="5" t="str">
        <f>IFERROR(INDEX('Output Utente'!$P$2:$P$492,MATCH(104,'Output Utente'!$Q$2:$Q$492,0)),"")</f>
        <v>Nella Media</v>
      </c>
      <c r="I107" s="42">
        <f>IFERROR(INDEX('Output Utente'!$F$2:$F$492,MATCH(104,'Output Utente'!$Q$2:$Q$492,0)),"")</f>
        <v>10</v>
      </c>
      <c r="J107" s="42">
        <f>IFERROR(INDEX('Output Utente'!$G$2:$G$492,MATCH(104,'Output Utente'!$Q$2:$Q$492,0)),"")</f>
        <v>6</v>
      </c>
      <c r="K107" s="42">
        <f>IFERROR(INDEX('Output Utente'!$H$2:$H$492,MATCH(104,'Output Utente'!$Q$2:$Q$492,0)),"")</f>
        <v>11</v>
      </c>
      <c r="L107" s="5" t="str">
        <f>IFERROR(INDEX('Output Utente'!$E$2:$E$492,MATCH(104,'Output Utente'!$Q$2:$Q$492,0)),"")</f>
        <v>NO</v>
      </c>
      <c r="M107" s="5" t="str">
        <f>IFERROR(INDEX('Output Utente'!$U$2:$U$492,MATCH(104,'Output Utente'!$Q$2:$Q$492,0)),"")</f>
        <v>OK</v>
      </c>
      <c r="N107" s="5" t="str">
        <f>IFERROR(INDEX('Output Utente'!$AE$2:$AE$492,MATCH(104,'Output Utente'!$Q$2:$Q$492,0)),"")</f>
        <v>🟢 Riserve abbondanti</v>
      </c>
    </row>
    <row r="108" spans="1:14" ht="15" customHeight="1" x14ac:dyDescent="0.25">
      <c r="A108" s="41">
        <v>105</v>
      </c>
      <c r="B108" s="5">
        <f>IFERROR(INDEX('Output Utente'!$A$2:$A$492,MATCH(105,'Output Utente'!$Q$2:$Q$492,0)),"")</f>
        <v>6482</v>
      </c>
      <c r="C108" s="5" t="str">
        <f>IFERROR(INDEX('Output Utente'!$B$2:$B$492,MATCH(105,'Output Utente'!$Q$2:$Q$492,0)),"")</f>
        <v>P</v>
      </c>
      <c r="D108" s="5" t="str">
        <f>IFERROR(INDEX('Output Utente'!$C$2:$C$492,MATCH(105,'Output Utente'!$Q$2:$Q$492,0)),"")</f>
        <v>Mandas</v>
      </c>
      <c r="E108" s="5" t="str">
        <f>IFERROR(INDEX('Input Giocatori 2026_27'!$D$3:$D$493,MATCH($B108,'Input Giocatori 2026_27'!$A$3:$A$493,0)),"")</f>
        <v>Lazio</v>
      </c>
      <c r="F108" s="42">
        <f>IFERROR(INDEX('Output Utente'!$N$2:$N$492,MATCH(105,'Output Utente'!$Q$2:$Q$492,0)),"")</f>
        <v>9</v>
      </c>
      <c r="G108" s="42">
        <f>IFERROR(INDEX('Output Utente'!$O$2:$O$492,MATCH(105,'Output Utente'!$Q$2:$Q$492,0)),"")</f>
        <v>30</v>
      </c>
      <c r="H108" s="5" t="str">
        <f>IFERROR(INDEX('Output Utente'!$P$2:$P$492,MATCH(105,'Output Utente'!$Q$2:$Q$492,0)),"")</f>
        <v>Buono</v>
      </c>
      <c r="I108" s="42">
        <f>IFERROR(INDEX('Output Utente'!$F$2:$F$492,MATCH(105,'Output Utente'!$Q$2:$Q$492,0)),"")</f>
        <v>10</v>
      </c>
      <c r="J108" s="42">
        <f>IFERROR(INDEX('Output Utente'!$G$2:$G$492,MATCH(105,'Output Utente'!$Q$2:$Q$492,0)),"")</f>
        <v>8</v>
      </c>
      <c r="K108" s="42">
        <f>IFERROR(INDEX('Output Utente'!$H$2:$H$492,MATCH(105,'Output Utente'!$Q$2:$Q$492,0)),"")</f>
        <v>11</v>
      </c>
      <c r="L108" s="5" t="str">
        <f>IFERROR(INDEX('Output Utente'!$E$2:$E$492,MATCH(105,'Output Utente'!$Q$2:$Q$492,0)),"")</f>
        <v>NO</v>
      </c>
      <c r="M108" s="5" t="str">
        <f>IFERROR(INDEX('Output Utente'!$U$2:$U$492,MATCH(105,'Output Utente'!$Q$2:$Q$492,0)),"")</f>
        <v>OK</v>
      </c>
      <c r="N108" s="5" t="str">
        <f>IFERROR(INDEX('Output Utente'!$AE$2:$AE$492,MATCH(105,'Output Utente'!$Q$2:$Q$492,0)),"")</f>
        <v>🔴 Riserve scarse</v>
      </c>
    </row>
    <row r="109" spans="1:14" ht="15" customHeight="1" x14ac:dyDescent="0.25">
      <c r="A109" s="41">
        <v>106</v>
      </c>
      <c r="B109" s="5">
        <f>IFERROR(INDEX('Output Utente'!$A$2:$A$492,MATCH(106,'Output Utente'!$Q$2:$Q$492,0)),"")</f>
        <v>5885</v>
      </c>
      <c r="C109" s="5" t="str">
        <f>IFERROR(INDEX('Output Utente'!$B$2:$B$492,MATCH(106,'Output Utente'!$Q$2:$Q$492,0)),"")</f>
        <v>D</v>
      </c>
      <c r="D109" s="5" t="str">
        <f>IFERROR(INDEX('Output Utente'!$C$2:$C$492,MATCH(106,'Output Utente'!$Q$2:$Q$492,0)),"")</f>
        <v>Dodò</v>
      </c>
      <c r="E109" s="5" t="str">
        <f>IFERROR(INDEX('Input Giocatori 2026_27'!$D$3:$D$493,MATCH($B109,'Input Giocatori 2026_27'!$A$3:$A$493,0)),"")</f>
        <v>Fiorentina</v>
      </c>
      <c r="F109" s="42">
        <f>IFERROR(INDEX('Output Utente'!$N$2:$N$492,MATCH(106,'Output Utente'!$Q$2:$Q$492,0)),"")</f>
        <v>10</v>
      </c>
      <c r="G109" s="42">
        <f>IFERROR(INDEX('Output Utente'!$O$2:$O$492,MATCH(106,'Output Utente'!$Q$2:$Q$492,0)),"")</f>
        <v>30</v>
      </c>
      <c r="H109" s="5" t="str">
        <f>IFERROR(INDEX('Output Utente'!$P$2:$P$492,MATCH(106,'Output Utente'!$Q$2:$Q$492,0)),"")</f>
        <v>Buono</v>
      </c>
      <c r="I109" s="42">
        <f>IFERROR(INDEX('Output Utente'!$F$2:$F$492,MATCH(106,'Output Utente'!$Q$2:$Q$492,0)),"")</f>
        <v>21</v>
      </c>
      <c r="J109" s="42">
        <f>IFERROR(INDEX('Output Utente'!$G$2:$G$492,MATCH(106,'Output Utente'!$Q$2:$Q$492,0)),"")</f>
        <v>15</v>
      </c>
      <c r="K109" s="42">
        <f>IFERROR(INDEX('Output Utente'!$H$2:$H$492,MATCH(106,'Output Utente'!$Q$2:$Q$492,0)),"")</f>
        <v>23</v>
      </c>
      <c r="L109" s="5" t="str">
        <f>IFERROR(INDEX('Output Utente'!$E$2:$E$492,MATCH(106,'Output Utente'!$Q$2:$Q$492,0)),"")</f>
        <v>NO</v>
      </c>
      <c r="M109" s="5" t="str">
        <f>IFERROR(INDEX('Output Utente'!$U$2:$U$492,MATCH(106,'Output Utente'!$Q$2:$Q$492,0)),"")</f>
        <v>OK</v>
      </c>
      <c r="N109" s="5" t="str">
        <f>IFERROR(INDEX('Output Utente'!$AE$2:$AE$492,MATCH(106,'Output Utente'!$Q$2:$Q$492,0)),"")</f>
        <v>🟢 Puoi aspettare</v>
      </c>
    </row>
    <row r="110" spans="1:14" ht="15" customHeight="1" x14ac:dyDescent="0.25">
      <c r="A110" s="41">
        <v>107</v>
      </c>
      <c r="B110" s="5">
        <f>IFERROR(INDEX('Output Utente'!$A$2:$A$492,MATCH(107,'Output Utente'!$Q$2:$Q$492,0)),"")</f>
        <v>5823</v>
      </c>
      <c r="C110" s="5" t="str">
        <f>IFERROR(INDEX('Output Utente'!$B$2:$B$492,MATCH(107,'Output Utente'!$Q$2:$Q$492,0)),"")</f>
        <v>C</v>
      </c>
      <c r="D110" s="5" t="str">
        <f>IFERROR(INDEX('Output Utente'!$C$2:$C$492,MATCH(107,'Output Utente'!$Q$2:$Q$492,0)),"")</f>
        <v>Baldanzi</v>
      </c>
      <c r="E110" s="5" t="str">
        <f>IFERROR(INDEX('Input Giocatori 2026_27'!$D$3:$D$493,MATCH($B110,'Input Giocatori 2026_27'!$A$3:$A$493,0)),"")</f>
        <v>Genoa</v>
      </c>
      <c r="F110" s="42">
        <f>IFERROR(INDEX('Output Utente'!$N$2:$N$492,MATCH(107,'Output Utente'!$Q$2:$Q$492,0)),"")</f>
        <v>11</v>
      </c>
      <c r="G110" s="42">
        <f>IFERROR(INDEX('Output Utente'!$O$2:$O$492,MATCH(107,'Output Utente'!$Q$2:$Q$492,0)),"")</f>
        <v>30</v>
      </c>
      <c r="H110" s="5" t="str">
        <f>IFERROR(INDEX('Output Utente'!$P$2:$P$492,MATCH(107,'Output Utente'!$Q$2:$Q$492,0)),"")</f>
        <v>Buono</v>
      </c>
      <c r="I110" s="42">
        <f>IFERROR(INDEX('Output Utente'!$F$2:$F$492,MATCH(107,'Output Utente'!$Q$2:$Q$492,0)),"")</f>
        <v>4</v>
      </c>
      <c r="J110" s="42">
        <f>IFERROR(INDEX('Output Utente'!$G$2:$G$492,MATCH(107,'Output Utente'!$Q$2:$Q$492,0)),"")</f>
        <v>3</v>
      </c>
      <c r="K110" s="42">
        <f>IFERROR(INDEX('Output Utente'!$H$2:$H$492,MATCH(107,'Output Utente'!$Q$2:$Q$492,0)),"")</f>
        <v>4</v>
      </c>
      <c r="L110" s="5" t="str">
        <f>IFERROR(INDEX('Output Utente'!$E$2:$E$492,MATCH(107,'Output Utente'!$Q$2:$Q$492,0)),"")</f>
        <v>NO</v>
      </c>
      <c r="M110" s="5" t="str">
        <f>IFERROR(INDEX('Output Utente'!$U$2:$U$492,MATCH(107,'Output Utente'!$Q$2:$Q$492,0)),"")</f>
        <v>OK</v>
      </c>
      <c r="N110" s="5" t="str">
        <f>IFERROR(INDEX('Output Utente'!$AE$2:$AE$492,MATCH(107,'Output Utente'!$Q$2:$Q$492,0)),"")</f>
        <v>🟢 Riserve abbondanti</v>
      </c>
    </row>
    <row r="111" spans="1:14" ht="15" customHeight="1" x14ac:dyDescent="0.25">
      <c r="A111" s="41">
        <v>108</v>
      </c>
      <c r="B111" s="5">
        <f>IFERROR(INDEX('Output Utente'!$A$2:$A$492,MATCH(108,'Output Utente'!$Q$2:$Q$492,0)),"")</f>
        <v>6530</v>
      </c>
      <c r="C111" s="5" t="str">
        <f>IFERROR(INDEX('Output Utente'!$B$2:$B$492,MATCH(108,'Output Utente'!$Q$2:$Q$492,0)),"")</f>
        <v>A</v>
      </c>
      <c r="D111" s="5" t="str">
        <f>IFERROR(INDEX('Output Utente'!$C$2:$C$492,MATCH(108,'Output Utente'!$Q$2:$Q$492,0)),"")</f>
        <v>Ghedjemis</v>
      </c>
      <c r="E111" s="5" t="str">
        <f>IFERROR(INDEX('Input Giocatori 2026_27'!$D$3:$D$493,MATCH($B111,'Input Giocatori 2026_27'!$A$3:$A$493,0)),"")</f>
        <v>Frosinone</v>
      </c>
      <c r="F111" s="42">
        <f>IFERROR(INDEX('Output Utente'!$N$2:$N$492,MATCH(108,'Output Utente'!$Q$2:$Q$492,0)),"")</f>
        <v>9</v>
      </c>
      <c r="G111" s="42">
        <f>IFERROR(INDEX('Output Utente'!$O$2:$O$492,MATCH(108,'Output Utente'!$Q$2:$Q$492,0)),"")</f>
        <v>30</v>
      </c>
      <c r="H111" s="5" t="str">
        <f>IFERROR(INDEX('Output Utente'!$P$2:$P$492,MATCH(108,'Output Utente'!$Q$2:$Q$492,0)),"")</f>
        <v>Nella Media</v>
      </c>
      <c r="I111" s="42">
        <f>IFERROR(INDEX('Output Utente'!$F$2:$F$492,MATCH(108,'Output Utente'!$Q$2:$Q$492,0)),"")</f>
        <v>10</v>
      </c>
      <c r="J111" s="42">
        <f>IFERROR(INDEX('Output Utente'!$G$2:$G$492,MATCH(108,'Output Utente'!$Q$2:$Q$492,0)),"")</f>
        <v>6</v>
      </c>
      <c r="K111" s="42">
        <f>IFERROR(INDEX('Output Utente'!$H$2:$H$492,MATCH(108,'Output Utente'!$Q$2:$Q$492,0)),"")</f>
        <v>11</v>
      </c>
      <c r="L111" s="5" t="str">
        <f>IFERROR(INDEX('Output Utente'!$E$2:$E$492,MATCH(108,'Output Utente'!$Q$2:$Q$492,0)),"")</f>
        <v>NO</v>
      </c>
      <c r="M111" s="5" t="str">
        <f>IFERROR(INDEX('Output Utente'!$U$2:$U$492,MATCH(108,'Output Utente'!$Q$2:$Q$492,0)),"")</f>
        <v>OK</v>
      </c>
      <c r="N111" s="5" t="str">
        <f>IFERROR(INDEX('Output Utente'!$AE$2:$AE$492,MATCH(108,'Output Utente'!$Q$2:$Q$492,0)),"")</f>
        <v>🟢 Riserve abbondanti</v>
      </c>
    </row>
    <row r="112" spans="1:14" ht="15" customHeight="1" x14ac:dyDescent="0.25">
      <c r="A112" s="41">
        <v>109</v>
      </c>
      <c r="B112" s="5">
        <f>IFERROR(INDEX('Output Utente'!$A$2:$A$492,MATCH(109,'Output Utente'!$Q$2:$Q$492,0)),"")</f>
        <v>6462</v>
      </c>
      <c r="C112" s="5" t="str">
        <f>IFERROR(INDEX('Output Utente'!$B$2:$B$492,MATCH(109,'Output Utente'!$Q$2:$Q$492,0)),"")</f>
        <v>P</v>
      </c>
      <c r="D112" s="5" t="str">
        <f>IFERROR(INDEX('Output Utente'!$C$2:$C$492,MATCH(109,'Output Utente'!$Q$2:$Q$492,0)),"")</f>
        <v>Okoye</v>
      </c>
      <c r="E112" s="5" t="str">
        <f>IFERROR(INDEX('Input Giocatori 2026_27'!$D$3:$D$493,MATCH($B112,'Input Giocatori 2026_27'!$A$3:$A$493,0)),"")</f>
        <v>Udinese</v>
      </c>
      <c r="F112" s="42">
        <f>IFERROR(INDEX('Output Utente'!$N$2:$N$492,MATCH(109,'Output Utente'!$Q$2:$Q$492,0)),"")</f>
        <v>9</v>
      </c>
      <c r="G112" s="42">
        <f>IFERROR(INDEX('Output Utente'!$O$2:$O$492,MATCH(109,'Output Utente'!$Q$2:$Q$492,0)),"")</f>
        <v>29</v>
      </c>
      <c r="H112" s="5" t="str">
        <f>IFERROR(INDEX('Output Utente'!$P$2:$P$492,MATCH(109,'Output Utente'!$Q$2:$Q$492,0)),"")</f>
        <v>Buono</v>
      </c>
      <c r="I112" s="42">
        <f>IFERROR(INDEX('Output Utente'!$F$2:$F$492,MATCH(109,'Output Utente'!$Q$2:$Q$492,0)),"")</f>
        <v>10</v>
      </c>
      <c r="J112" s="42">
        <f>IFERROR(INDEX('Output Utente'!$G$2:$G$492,MATCH(109,'Output Utente'!$Q$2:$Q$492,0)),"")</f>
        <v>8</v>
      </c>
      <c r="K112" s="42">
        <f>IFERROR(INDEX('Output Utente'!$H$2:$H$492,MATCH(109,'Output Utente'!$Q$2:$Q$492,0)),"")</f>
        <v>11</v>
      </c>
      <c r="L112" s="5" t="str">
        <f>IFERROR(INDEX('Output Utente'!$E$2:$E$492,MATCH(109,'Output Utente'!$Q$2:$Q$492,0)),"")</f>
        <v>NO</v>
      </c>
      <c r="M112" s="5" t="str">
        <f>IFERROR(INDEX('Output Utente'!$U$2:$U$492,MATCH(109,'Output Utente'!$Q$2:$Q$492,0)),"")</f>
        <v>OK</v>
      </c>
      <c r="N112" s="5" t="str">
        <f>IFERROR(INDEX('Output Utente'!$AE$2:$AE$492,MATCH(109,'Output Utente'!$Q$2:$Q$492,0)),"")</f>
        <v>🔴 Riserve scarse</v>
      </c>
    </row>
    <row r="113" spans="1:14" ht="15" customHeight="1" x14ac:dyDescent="0.25">
      <c r="A113" s="41">
        <v>110</v>
      </c>
      <c r="B113" s="5">
        <f>IFERROR(INDEX('Output Utente'!$A$2:$A$492,MATCH(110,'Output Utente'!$Q$2:$Q$492,0)),"")</f>
        <v>779</v>
      </c>
      <c r="C113" s="5" t="str">
        <f>IFERROR(INDEX('Output Utente'!$B$2:$B$492,MATCH(110,'Output Utente'!$Q$2:$Q$492,0)),"")</f>
        <v>C</v>
      </c>
      <c r="D113" s="5" t="str">
        <f>IFERROR(INDEX('Output Utente'!$C$2:$C$492,MATCH(110,'Output Utente'!$Q$2:$Q$492,0)),"")</f>
        <v>Cristante</v>
      </c>
      <c r="E113" s="5" t="str">
        <f>IFERROR(INDEX('Input Giocatori 2026_27'!$D$3:$D$493,MATCH($B113,'Input Giocatori 2026_27'!$A$3:$A$493,0)),"")</f>
        <v>Roma</v>
      </c>
      <c r="F113" s="42">
        <f>IFERROR(INDEX('Output Utente'!$N$2:$N$492,MATCH(110,'Output Utente'!$Q$2:$Q$492,0)),"")</f>
        <v>8</v>
      </c>
      <c r="G113" s="42">
        <f>IFERROR(INDEX('Output Utente'!$O$2:$O$492,MATCH(110,'Output Utente'!$Q$2:$Q$492,0)),"")</f>
        <v>29</v>
      </c>
      <c r="H113" s="5" t="str">
        <f>IFERROR(INDEX('Output Utente'!$P$2:$P$492,MATCH(110,'Output Utente'!$Q$2:$Q$492,0)),"")</f>
        <v>Buono</v>
      </c>
      <c r="I113" s="42">
        <f>IFERROR(INDEX('Output Utente'!$F$2:$F$492,MATCH(110,'Output Utente'!$Q$2:$Q$492,0)),"")</f>
        <v>4</v>
      </c>
      <c r="J113" s="42">
        <f>IFERROR(INDEX('Output Utente'!$G$2:$G$492,MATCH(110,'Output Utente'!$Q$2:$Q$492,0)),"")</f>
        <v>3</v>
      </c>
      <c r="K113" s="42">
        <f>IFERROR(INDEX('Output Utente'!$H$2:$H$492,MATCH(110,'Output Utente'!$Q$2:$Q$492,0)),"")</f>
        <v>4</v>
      </c>
      <c r="L113" s="5" t="str">
        <f>IFERROR(INDEX('Output Utente'!$E$2:$E$492,MATCH(110,'Output Utente'!$Q$2:$Q$492,0)),"")</f>
        <v>NO</v>
      </c>
      <c r="M113" s="5" t="str">
        <f>IFERROR(INDEX('Output Utente'!$U$2:$U$492,MATCH(110,'Output Utente'!$Q$2:$Q$492,0)),"")</f>
        <v>OK</v>
      </c>
      <c r="N113" s="5" t="str">
        <f>IFERROR(INDEX('Output Utente'!$AE$2:$AE$492,MATCH(110,'Output Utente'!$Q$2:$Q$492,0)),"")</f>
        <v>🟢 Riserve abbondanti</v>
      </c>
    </row>
    <row r="114" spans="1:14" ht="15" customHeight="1" x14ac:dyDescent="0.25">
      <c r="A114" s="41">
        <v>111</v>
      </c>
      <c r="B114" s="5">
        <f>IFERROR(INDEX('Output Utente'!$A$2:$A$492,MATCH(111,'Output Utente'!$Q$2:$Q$492,0)),"")</f>
        <v>5526</v>
      </c>
      <c r="C114" s="5" t="str">
        <f>IFERROR(INDEX('Output Utente'!$B$2:$B$492,MATCH(111,'Output Utente'!$Q$2:$Q$492,0)),"")</f>
        <v>D</v>
      </c>
      <c r="D114" s="5" t="str">
        <f>IFERROR(INDEX('Output Utente'!$C$2:$C$492,MATCH(111,'Output Utente'!$Q$2:$Q$492,0)),"")</f>
        <v>Scalvini</v>
      </c>
      <c r="E114" s="5" t="str">
        <f>IFERROR(INDEX('Input Giocatori 2026_27'!$D$3:$D$493,MATCH($B114,'Input Giocatori 2026_27'!$A$3:$A$493,0)),"")</f>
        <v>Atalanta</v>
      </c>
      <c r="F114" s="42">
        <f>IFERROR(INDEX('Output Utente'!$N$2:$N$492,MATCH(111,'Output Utente'!$Q$2:$Q$492,0)),"")</f>
        <v>10</v>
      </c>
      <c r="G114" s="42">
        <f>IFERROR(INDEX('Output Utente'!$O$2:$O$492,MATCH(111,'Output Utente'!$Q$2:$Q$492,0)),"")</f>
        <v>28</v>
      </c>
      <c r="H114" s="5" t="str">
        <f>IFERROR(INDEX('Output Utente'!$P$2:$P$492,MATCH(111,'Output Utente'!$Q$2:$Q$492,0)),"")</f>
        <v>Buono</v>
      </c>
      <c r="I114" s="42">
        <f>IFERROR(INDEX('Output Utente'!$F$2:$F$492,MATCH(111,'Output Utente'!$Q$2:$Q$492,0)),"")</f>
        <v>19</v>
      </c>
      <c r="J114" s="42">
        <f>IFERROR(INDEX('Output Utente'!$G$2:$G$492,MATCH(111,'Output Utente'!$Q$2:$Q$492,0)),"")</f>
        <v>14</v>
      </c>
      <c r="K114" s="42">
        <f>IFERROR(INDEX('Output Utente'!$H$2:$H$492,MATCH(111,'Output Utente'!$Q$2:$Q$492,0)),"")</f>
        <v>21</v>
      </c>
      <c r="L114" s="5" t="str">
        <f>IFERROR(INDEX('Output Utente'!$E$2:$E$492,MATCH(111,'Output Utente'!$Q$2:$Q$492,0)),"")</f>
        <v>NO</v>
      </c>
      <c r="M114" s="5" t="str">
        <f>IFERROR(INDEX('Output Utente'!$U$2:$U$492,MATCH(111,'Output Utente'!$Q$2:$Q$492,0)),"")</f>
        <v>OK</v>
      </c>
      <c r="N114" s="5" t="str">
        <f>IFERROR(INDEX('Output Utente'!$AE$2:$AE$492,MATCH(111,'Output Utente'!$Q$2:$Q$492,0)),"")</f>
        <v>🟢 Puoi aspettare</v>
      </c>
    </row>
    <row r="115" spans="1:14" ht="15" customHeight="1" x14ac:dyDescent="0.25">
      <c r="A115" s="41">
        <v>112</v>
      </c>
      <c r="B115" s="5">
        <f>IFERROR(INDEX('Output Utente'!$A$2:$A$492,MATCH(112,'Output Utente'!$Q$2:$Q$492,0)),"")</f>
        <v>1933</v>
      </c>
      <c r="C115" s="5" t="str">
        <f>IFERROR(INDEX('Output Utente'!$B$2:$B$492,MATCH(112,'Output Utente'!$Q$2:$Q$492,0)),"")</f>
        <v>C</v>
      </c>
      <c r="D115" s="5" t="str">
        <f>IFERROR(INDEX('Output Utente'!$C$2:$C$492,MATCH(112,'Output Utente'!$Q$2:$Q$492,0)),"")</f>
        <v>Mandragora</v>
      </c>
      <c r="E115" s="5" t="str">
        <f>IFERROR(INDEX('Input Giocatori 2026_27'!$D$3:$D$493,MATCH($B115,'Input Giocatori 2026_27'!$A$3:$A$493,0)),"")</f>
        <v>Fiorentina</v>
      </c>
      <c r="F115" s="42">
        <f>IFERROR(INDEX('Output Utente'!$N$2:$N$492,MATCH(112,'Output Utente'!$Q$2:$Q$492,0)),"")</f>
        <v>9</v>
      </c>
      <c r="G115" s="42">
        <f>IFERROR(INDEX('Output Utente'!$O$2:$O$492,MATCH(112,'Output Utente'!$Q$2:$Q$492,0)),"")</f>
        <v>28</v>
      </c>
      <c r="H115" s="5" t="str">
        <f>IFERROR(INDEX('Output Utente'!$P$2:$P$492,MATCH(112,'Output Utente'!$Q$2:$Q$492,0)),"")</f>
        <v>Buono</v>
      </c>
      <c r="I115" s="42">
        <f>IFERROR(INDEX('Output Utente'!$F$2:$F$492,MATCH(112,'Output Utente'!$Q$2:$Q$492,0)),"")</f>
        <v>3</v>
      </c>
      <c r="J115" s="42">
        <f>IFERROR(INDEX('Output Utente'!$G$2:$G$492,MATCH(112,'Output Utente'!$Q$2:$Q$492,0)),"")</f>
        <v>2</v>
      </c>
      <c r="K115" s="42">
        <f>IFERROR(INDEX('Output Utente'!$H$2:$H$492,MATCH(112,'Output Utente'!$Q$2:$Q$492,0)),"")</f>
        <v>4</v>
      </c>
      <c r="L115" s="5" t="str">
        <f>IFERROR(INDEX('Output Utente'!$E$2:$E$492,MATCH(112,'Output Utente'!$Q$2:$Q$492,0)),"")</f>
        <v>NO</v>
      </c>
      <c r="M115" s="5" t="str">
        <f>IFERROR(INDEX('Output Utente'!$U$2:$U$492,MATCH(112,'Output Utente'!$Q$2:$Q$492,0)),"")</f>
        <v>OK</v>
      </c>
      <c r="N115" s="5" t="str">
        <f>IFERROR(INDEX('Output Utente'!$AE$2:$AE$492,MATCH(112,'Output Utente'!$Q$2:$Q$492,0)),"")</f>
        <v>🟢 Riserve abbondanti</v>
      </c>
    </row>
    <row r="116" spans="1:14" ht="15" customHeight="1" x14ac:dyDescent="0.25">
      <c r="A116" s="41">
        <v>113</v>
      </c>
      <c r="B116" s="5">
        <f>IFERROR(INDEX('Output Utente'!$A$2:$A$492,MATCH(113,'Output Utente'!$Q$2:$Q$492,0)),"")</f>
        <v>5500</v>
      </c>
      <c r="C116" s="5" t="str">
        <f>IFERROR(INDEX('Output Utente'!$B$2:$B$492,MATCH(113,'Output Utente'!$Q$2:$Q$492,0)),"")</f>
        <v>C</v>
      </c>
      <c r="D116" s="5" t="str">
        <f>IFERROR(INDEX('Output Utente'!$C$2:$C$492,MATCH(113,'Output Utente'!$Q$2:$Q$492,0)),"")</f>
        <v>Cancellieri</v>
      </c>
      <c r="E116" s="5" t="str">
        <f>IFERROR(INDEX('Input Giocatori 2026_27'!$D$3:$D$493,MATCH($B116,'Input Giocatori 2026_27'!$A$3:$A$493,0)),"")</f>
        <v>Lazio</v>
      </c>
      <c r="F116" s="42">
        <f>IFERROR(INDEX('Output Utente'!$N$2:$N$492,MATCH(113,'Output Utente'!$Q$2:$Q$492,0)),"")</f>
        <v>9</v>
      </c>
      <c r="G116" s="42">
        <f>IFERROR(INDEX('Output Utente'!$O$2:$O$492,MATCH(113,'Output Utente'!$Q$2:$Q$492,0)),"")</f>
        <v>28</v>
      </c>
      <c r="H116" s="5" t="str">
        <f>IFERROR(INDEX('Output Utente'!$P$2:$P$492,MATCH(113,'Output Utente'!$Q$2:$Q$492,0)),"")</f>
        <v>Buono</v>
      </c>
      <c r="I116" s="42">
        <f>IFERROR(INDEX('Output Utente'!$F$2:$F$492,MATCH(113,'Output Utente'!$Q$2:$Q$492,0)),"")</f>
        <v>3</v>
      </c>
      <c r="J116" s="42">
        <f>IFERROR(INDEX('Output Utente'!$G$2:$G$492,MATCH(113,'Output Utente'!$Q$2:$Q$492,0)),"")</f>
        <v>2</v>
      </c>
      <c r="K116" s="42">
        <f>IFERROR(INDEX('Output Utente'!$H$2:$H$492,MATCH(113,'Output Utente'!$Q$2:$Q$492,0)),"")</f>
        <v>4</v>
      </c>
      <c r="L116" s="5" t="str">
        <f>IFERROR(INDEX('Output Utente'!$E$2:$E$492,MATCH(113,'Output Utente'!$Q$2:$Q$492,0)),"")</f>
        <v>NO</v>
      </c>
      <c r="M116" s="5" t="str">
        <f>IFERROR(INDEX('Output Utente'!$U$2:$U$492,MATCH(113,'Output Utente'!$Q$2:$Q$492,0)),"")</f>
        <v>OK</v>
      </c>
      <c r="N116" s="5" t="str">
        <f>IFERROR(INDEX('Output Utente'!$AE$2:$AE$492,MATCH(113,'Output Utente'!$Q$2:$Q$492,0)),"")</f>
        <v>🟢 Riserve abbondanti</v>
      </c>
    </row>
    <row r="117" spans="1:14" ht="15" customHeight="1" x14ac:dyDescent="0.25">
      <c r="A117" s="41">
        <v>114</v>
      </c>
      <c r="B117" s="5">
        <f>IFERROR(INDEX('Output Utente'!$A$2:$A$492,MATCH(114,'Output Utente'!$Q$2:$Q$492,0)),"")</f>
        <v>6904</v>
      </c>
      <c r="C117" s="5" t="str">
        <f>IFERROR(INDEX('Output Utente'!$B$2:$B$492,MATCH(114,'Output Utente'!$Q$2:$Q$492,0)),"")</f>
        <v>A</v>
      </c>
      <c r="D117" s="5" t="str">
        <f>IFERROR(INDEX('Output Utente'!$C$2:$C$492,MATCH(114,'Output Utente'!$Q$2:$Q$492,0)),"")</f>
        <v>Yeboah J.</v>
      </c>
      <c r="E117" s="5" t="str">
        <f>IFERROR(INDEX('Input Giocatori 2026_27'!$D$3:$D$493,MATCH($B117,'Input Giocatori 2026_27'!$A$3:$A$493,0)),"")</f>
        <v>Venezia</v>
      </c>
      <c r="F117" s="42">
        <f>IFERROR(INDEX('Output Utente'!$N$2:$N$492,MATCH(114,'Output Utente'!$Q$2:$Q$492,0)),"")</f>
        <v>8</v>
      </c>
      <c r="G117" s="42">
        <f>IFERROR(INDEX('Output Utente'!$O$2:$O$492,MATCH(114,'Output Utente'!$Q$2:$Q$492,0)),"")</f>
        <v>28</v>
      </c>
      <c r="H117" s="5" t="str">
        <f>IFERROR(INDEX('Output Utente'!$P$2:$P$492,MATCH(114,'Output Utente'!$Q$2:$Q$492,0)),"")</f>
        <v>Nella Media</v>
      </c>
      <c r="I117" s="42">
        <f>IFERROR(INDEX('Output Utente'!$F$2:$F$492,MATCH(114,'Output Utente'!$Q$2:$Q$492,0)),"")</f>
        <v>9</v>
      </c>
      <c r="J117" s="42">
        <f>IFERROR(INDEX('Output Utente'!$G$2:$G$492,MATCH(114,'Output Utente'!$Q$2:$Q$492,0)),"")</f>
        <v>6</v>
      </c>
      <c r="K117" s="42">
        <f>IFERROR(INDEX('Output Utente'!$H$2:$H$492,MATCH(114,'Output Utente'!$Q$2:$Q$492,0)),"")</f>
        <v>10</v>
      </c>
      <c r="L117" s="5" t="str">
        <f>IFERROR(INDEX('Output Utente'!$E$2:$E$492,MATCH(114,'Output Utente'!$Q$2:$Q$492,0)),"")</f>
        <v>NO</v>
      </c>
      <c r="M117" s="5" t="str">
        <f>IFERROR(INDEX('Output Utente'!$U$2:$U$492,MATCH(114,'Output Utente'!$Q$2:$Q$492,0)),"")</f>
        <v>OK</v>
      </c>
      <c r="N117" s="5" t="str">
        <f>IFERROR(INDEX('Output Utente'!$AE$2:$AE$492,MATCH(114,'Output Utente'!$Q$2:$Q$492,0)),"")</f>
        <v>🟢 Riserve abbondanti</v>
      </c>
    </row>
    <row r="118" spans="1:14" ht="15" customHeight="1" x14ac:dyDescent="0.25">
      <c r="A118" s="41">
        <v>115</v>
      </c>
      <c r="B118" s="5">
        <f>IFERROR(INDEX('Output Utente'!$A$2:$A$492,MATCH(115,'Output Utente'!$Q$2:$Q$492,0)),"")</f>
        <v>4360</v>
      </c>
      <c r="C118" s="5" t="str">
        <f>IFERROR(INDEX('Output Utente'!$B$2:$B$492,MATCH(115,'Output Utente'!$Q$2:$Q$492,0)),"")</f>
        <v>P</v>
      </c>
      <c r="D118" s="5" t="str">
        <f>IFERROR(INDEX('Output Utente'!$C$2:$C$492,MATCH(115,'Output Utente'!$Q$2:$Q$492,0)),"")</f>
        <v>Caprile</v>
      </c>
      <c r="E118" s="5" t="str">
        <f>IFERROR(INDEX('Input Giocatori 2026_27'!$D$3:$D$493,MATCH($B118,'Input Giocatori 2026_27'!$A$3:$A$493,0)),"")</f>
        <v>Cagliari</v>
      </c>
      <c r="F118" s="42">
        <f>IFERROR(INDEX('Output Utente'!$N$2:$N$492,MATCH(115,'Output Utente'!$Q$2:$Q$492,0)),"")</f>
        <v>9</v>
      </c>
      <c r="G118" s="42">
        <f>IFERROR(INDEX('Output Utente'!$O$2:$O$492,MATCH(115,'Output Utente'!$Q$2:$Q$492,0)),"")</f>
        <v>27</v>
      </c>
      <c r="H118" s="5" t="str">
        <f>IFERROR(INDEX('Output Utente'!$P$2:$P$492,MATCH(115,'Output Utente'!$Q$2:$Q$492,0)),"")</f>
        <v>Buono</v>
      </c>
      <c r="I118" s="42">
        <f>IFERROR(INDEX('Output Utente'!$F$2:$F$492,MATCH(115,'Output Utente'!$Q$2:$Q$492,0)),"")</f>
        <v>9</v>
      </c>
      <c r="J118" s="42">
        <f>IFERROR(INDEX('Output Utente'!$G$2:$G$492,MATCH(115,'Output Utente'!$Q$2:$Q$492,0)),"")</f>
        <v>7</v>
      </c>
      <c r="K118" s="42">
        <f>IFERROR(INDEX('Output Utente'!$H$2:$H$492,MATCH(115,'Output Utente'!$Q$2:$Q$492,0)),"")</f>
        <v>10</v>
      </c>
      <c r="L118" s="5" t="str">
        <f>IFERROR(INDEX('Output Utente'!$E$2:$E$492,MATCH(115,'Output Utente'!$Q$2:$Q$492,0)),"")</f>
        <v>NO</v>
      </c>
      <c r="M118" s="5" t="str">
        <f>IFERROR(INDEX('Output Utente'!$U$2:$U$492,MATCH(115,'Output Utente'!$Q$2:$Q$492,0)),"")</f>
        <v>OK</v>
      </c>
      <c r="N118" s="5" t="str">
        <f>IFERROR(INDEX('Output Utente'!$AE$2:$AE$492,MATCH(115,'Output Utente'!$Q$2:$Q$492,0)),"")</f>
        <v>🔴 Riserve scarse</v>
      </c>
    </row>
    <row r="119" spans="1:14" ht="15" customHeight="1" x14ac:dyDescent="0.25">
      <c r="A119" s="41">
        <v>116</v>
      </c>
      <c r="B119" s="5">
        <f>IFERROR(INDEX('Output Utente'!$A$2:$A$492,MATCH(116,'Output Utente'!$Q$2:$Q$492,0)),"")</f>
        <v>5520</v>
      </c>
      <c r="C119" s="5" t="str">
        <f>IFERROR(INDEX('Output Utente'!$B$2:$B$492,MATCH(116,'Output Utente'!$Q$2:$Q$492,0)),"")</f>
        <v>D</v>
      </c>
      <c r="D119" s="5" t="str">
        <f>IFERROR(INDEX('Output Utente'!$C$2:$C$492,MATCH(116,'Output Utente'!$Q$2:$Q$492,0)),"")</f>
        <v>Cambiaso</v>
      </c>
      <c r="E119" s="5" t="str">
        <f>IFERROR(INDEX('Input Giocatori 2026_27'!$D$3:$D$493,MATCH($B119,'Input Giocatori 2026_27'!$A$3:$A$493,0)),"")</f>
        <v>Juventus</v>
      </c>
      <c r="F119" s="42">
        <f>IFERROR(INDEX('Output Utente'!$N$2:$N$492,MATCH(116,'Output Utente'!$Q$2:$Q$492,0)),"")</f>
        <v>9</v>
      </c>
      <c r="G119" s="42">
        <f>IFERROR(INDEX('Output Utente'!$O$2:$O$492,MATCH(116,'Output Utente'!$Q$2:$Q$492,0)),"")</f>
        <v>27</v>
      </c>
      <c r="H119" s="5" t="str">
        <f>IFERROR(INDEX('Output Utente'!$P$2:$P$492,MATCH(116,'Output Utente'!$Q$2:$Q$492,0)),"")</f>
        <v>Buono</v>
      </c>
      <c r="I119" s="42">
        <f>IFERROR(INDEX('Output Utente'!$F$2:$F$492,MATCH(116,'Output Utente'!$Q$2:$Q$492,0)),"")</f>
        <v>18</v>
      </c>
      <c r="J119" s="42">
        <f>IFERROR(INDEX('Output Utente'!$G$2:$G$492,MATCH(116,'Output Utente'!$Q$2:$Q$492,0)),"")</f>
        <v>14</v>
      </c>
      <c r="K119" s="42">
        <f>IFERROR(INDEX('Output Utente'!$H$2:$H$492,MATCH(116,'Output Utente'!$Q$2:$Q$492,0)),"")</f>
        <v>20</v>
      </c>
      <c r="L119" s="5" t="str">
        <f>IFERROR(INDEX('Output Utente'!$E$2:$E$492,MATCH(116,'Output Utente'!$Q$2:$Q$492,0)),"")</f>
        <v>NO</v>
      </c>
      <c r="M119" s="5" t="str">
        <f>IFERROR(INDEX('Output Utente'!$U$2:$U$492,MATCH(116,'Output Utente'!$Q$2:$Q$492,0)),"")</f>
        <v>OK</v>
      </c>
      <c r="N119" s="5" t="str">
        <f>IFERROR(INDEX('Output Utente'!$AE$2:$AE$492,MATCH(116,'Output Utente'!$Q$2:$Q$492,0)),"")</f>
        <v>🟢 Puoi aspettare</v>
      </c>
    </row>
    <row r="120" spans="1:14" ht="15" customHeight="1" x14ac:dyDescent="0.25">
      <c r="A120" s="41">
        <v>117</v>
      </c>
      <c r="B120" s="5">
        <f>IFERROR(INDEX('Output Utente'!$A$2:$A$492,MATCH(117,'Output Utente'!$Q$2:$Q$492,0)),"")</f>
        <v>5365</v>
      </c>
      <c r="C120" s="5" t="str">
        <f>IFERROR(INDEX('Output Utente'!$B$2:$B$492,MATCH(117,'Output Utente'!$Q$2:$Q$492,0)),"")</f>
        <v>D</v>
      </c>
      <c r="D120" s="5" t="str">
        <f>IFERROR(INDEX('Output Utente'!$C$2:$C$492,MATCH(117,'Output Utente'!$Q$2:$Q$492,0)),"")</f>
        <v>Dragusin</v>
      </c>
      <c r="E120" s="5" t="str">
        <f>IFERROR(INDEX('Input Giocatori 2026_27'!$D$3:$D$493,MATCH($B120,'Input Giocatori 2026_27'!$A$3:$A$493,0)),"")</f>
        <v>Fiorentina</v>
      </c>
      <c r="F120" s="42">
        <f>IFERROR(INDEX('Output Utente'!$N$2:$N$492,MATCH(117,'Output Utente'!$Q$2:$Q$492,0)),"")</f>
        <v>8</v>
      </c>
      <c r="G120" s="42">
        <f>IFERROR(INDEX('Output Utente'!$O$2:$O$492,MATCH(117,'Output Utente'!$Q$2:$Q$492,0)),"")</f>
        <v>27</v>
      </c>
      <c r="H120" s="5" t="str">
        <f>IFERROR(INDEX('Output Utente'!$P$2:$P$492,MATCH(117,'Output Utente'!$Q$2:$Q$492,0)),"")</f>
        <v>Buono</v>
      </c>
      <c r="I120" s="42">
        <f>IFERROR(INDEX('Output Utente'!$F$2:$F$492,MATCH(117,'Output Utente'!$Q$2:$Q$492,0)),"")</f>
        <v>18</v>
      </c>
      <c r="J120" s="42">
        <f>IFERROR(INDEX('Output Utente'!$G$2:$G$492,MATCH(117,'Output Utente'!$Q$2:$Q$492,0)),"")</f>
        <v>14</v>
      </c>
      <c r="K120" s="42">
        <f>IFERROR(INDEX('Output Utente'!$H$2:$H$492,MATCH(117,'Output Utente'!$Q$2:$Q$492,0)),"")</f>
        <v>20</v>
      </c>
      <c r="L120" s="5" t="str">
        <f>IFERROR(INDEX('Output Utente'!$E$2:$E$492,MATCH(117,'Output Utente'!$Q$2:$Q$492,0)),"")</f>
        <v>NO</v>
      </c>
      <c r="M120" s="5" t="str">
        <f>IFERROR(INDEX('Output Utente'!$U$2:$U$492,MATCH(117,'Output Utente'!$Q$2:$Q$492,0)),"")</f>
        <v>OK</v>
      </c>
      <c r="N120" s="5" t="str">
        <f>IFERROR(INDEX('Output Utente'!$AE$2:$AE$492,MATCH(117,'Output Utente'!$Q$2:$Q$492,0)),"")</f>
        <v>🟢 Puoi aspettare</v>
      </c>
    </row>
    <row r="121" spans="1:14" ht="15" customHeight="1" x14ac:dyDescent="0.25">
      <c r="A121" s="41">
        <v>118</v>
      </c>
      <c r="B121" s="5">
        <f>IFERROR(INDEX('Output Utente'!$A$2:$A$492,MATCH(118,'Output Utente'!$Q$2:$Q$492,0)),"")</f>
        <v>5877</v>
      </c>
      <c r="C121" s="5" t="str">
        <f>IFERROR(INDEX('Output Utente'!$B$2:$B$492,MATCH(118,'Output Utente'!$Q$2:$Q$492,0)),"")</f>
        <v>D</v>
      </c>
      <c r="D121" s="5" t="str">
        <f>IFERROR(INDEX('Output Utente'!$C$2:$C$492,MATCH(118,'Output Utente'!$Q$2:$Q$492,0)),"")</f>
        <v>Carlos Augusto</v>
      </c>
      <c r="E121" s="5" t="str">
        <f>IFERROR(INDEX('Input Giocatori 2026_27'!$D$3:$D$493,MATCH($B121,'Input Giocatori 2026_27'!$A$3:$A$493,0)),"")</f>
        <v>Inter</v>
      </c>
      <c r="F121" s="42">
        <f>IFERROR(INDEX('Output Utente'!$N$2:$N$492,MATCH(118,'Output Utente'!$Q$2:$Q$492,0)),"")</f>
        <v>7</v>
      </c>
      <c r="G121" s="42">
        <f>IFERROR(INDEX('Output Utente'!$O$2:$O$492,MATCH(118,'Output Utente'!$Q$2:$Q$492,0)),"")</f>
        <v>27</v>
      </c>
      <c r="H121" s="5" t="str">
        <f>IFERROR(INDEX('Output Utente'!$P$2:$P$492,MATCH(118,'Output Utente'!$Q$2:$Q$492,0)),"")</f>
        <v>Buono</v>
      </c>
      <c r="I121" s="42">
        <f>IFERROR(INDEX('Output Utente'!$F$2:$F$492,MATCH(118,'Output Utente'!$Q$2:$Q$492,0)),"")</f>
        <v>18</v>
      </c>
      <c r="J121" s="42">
        <f>IFERROR(INDEX('Output Utente'!$G$2:$G$492,MATCH(118,'Output Utente'!$Q$2:$Q$492,0)),"")</f>
        <v>14</v>
      </c>
      <c r="K121" s="42">
        <f>IFERROR(INDEX('Output Utente'!$H$2:$H$492,MATCH(118,'Output Utente'!$Q$2:$Q$492,0)),"")</f>
        <v>20</v>
      </c>
      <c r="L121" s="5" t="str">
        <f>IFERROR(INDEX('Output Utente'!$E$2:$E$492,MATCH(118,'Output Utente'!$Q$2:$Q$492,0)),"")</f>
        <v>NO</v>
      </c>
      <c r="M121" s="5" t="str">
        <f>IFERROR(INDEX('Output Utente'!$U$2:$U$492,MATCH(118,'Output Utente'!$Q$2:$Q$492,0)),"")</f>
        <v>OK</v>
      </c>
      <c r="N121" s="5" t="str">
        <f>IFERROR(INDEX('Output Utente'!$AE$2:$AE$492,MATCH(118,'Output Utente'!$Q$2:$Q$492,0)),"")</f>
        <v>🟢 Puoi aspettare</v>
      </c>
    </row>
    <row r="122" spans="1:14" ht="15" customHeight="1" x14ac:dyDescent="0.25">
      <c r="A122" s="41">
        <v>119</v>
      </c>
      <c r="B122" s="5">
        <f>IFERROR(INDEX('Output Utente'!$A$2:$A$492,MATCH(119,'Output Utente'!$Q$2:$Q$492,0)),"")</f>
        <v>6218</v>
      </c>
      <c r="C122" s="5" t="str">
        <f>IFERROR(INDEX('Output Utente'!$B$2:$B$492,MATCH(119,'Output Utente'!$Q$2:$Q$492,0)),"")</f>
        <v>C</v>
      </c>
      <c r="D122" s="5" t="str">
        <f>IFERROR(INDEX('Output Utente'!$C$2:$C$492,MATCH(119,'Output Utente'!$Q$2:$Q$492,0)),"")</f>
        <v>Oristanio</v>
      </c>
      <c r="E122" s="5" t="str">
        <f>IFERROR(INDEX('Input Giocatori 2026_27'!$D$3:$D$493,MATCH($B122,'Input Giocatori 2026_27'!$A$3:$A$493,0)),"")</f>
        <v>Torino</v>
      </c>
      <c r="F122" s="42">
        <f>IFERROR(INDEX('Output Utente'!$N$2:$N$492,MATCH(119,'Output Utente'!$Q$2:$Q$492,0)),"")</f>
        <v>7</v>
      </c>
      <c r="G122" s="42">
        <f>IFERROR(INDEX('Output Utente'!$O$2:$O$492,MATCH(119,'Output Utente'!$Q$2:$Q$492,0)),"")</f>
        <v>27</v>
      </c>
      <c r="H122" s="5" t="str">
        <f>IFERROR(INDEX('Output Utente'!$P$2:$P$492,MATCH(119,'Output Utente'!$Q$2:$Q$492,0)),"")</f>
        <v>Buono</v>
      </c>
      <c r="I122" s="42">
        <f>IFERROR(INDEX('Output Utente'!$F$2:$F$492,MATCH(119,'Output Utente'!$Q$2:$Q$492,0)),"")</f>
        <v>3</v>
      </c>
      <c r="J122" s="42">
        <f>IFERROR(INDEX('Output Utente'!$G$2:$G$492,MATCH(119,'Output Utente'!$Q$2:$Q$492,0)),"")</f>
        <v>2</v>
      </c>
      <c r="K122" s="42">
        <f>IFERROR(INDEX('Output Utente'!$H$2:$H$492,MATCH(119,'Output Utente'!$Q$2:$Q$492,0)),"")</f>
        <v>4</v>
      </c>
      <c r="L122" s="5" t="str">
        <f>IFERROR(INDEX('Output Utente'!$E$2:$E$492,MATCH(119,'Output Utente'!$Q$2:$Q$492,0)),"")</f>
        <v>NO</v>
      </c>
      <c r="M122" s="5" t="str">
        <f>IFERROR(INDEX('Output Utente'!$U$2:$U$492,MATCH(119,'Output Utente'!$Q$2:$Q$492,0)),"")</f>
        <v>OK</v>
      </c>
      <c r="N122" s="5" t="str">
        <f>IFERROR(INDEX('Output Utente'!$AE$2:$AE$492,MATCH(119,'Output Utente'!$Q$2:$Q$492,0)),"")</f>
        <v>🟢 Riserve abbondanti</v>
      </c>
    </row>
    <row r="123" spans="1:14" ht="15" customHeight="1" x14ac:dyDescent="0.25">
      <c r="A123" s="41">
        <v>120</v>
      </c>
      <c r="B123" s="5">
        <f>IFERROR(INDEX('Output Utente'!$A$2:$A$492,MATCH(120,'Output Utente'!$Q$2:$Q$492,0)),"")</f>
        <v>4807</v>
      </c>
      <c r="C123" s="5" t="str">
        <f>IFERROR(INDEX('Output Utente'!$B$2:$B$492,MATCH(120,'Output Utente'!$Q$2:$Q$492,0)),"")</f>
        <v>D</v>
      </c>
      <c r="D123" s="5" t="str">
        <f>IFERROR(INDEX('Output Utente'!$C$2:$C$492,MATCH(120,'Output Utente'!$Q$2:$Q$492,0)),"")</f>
        <v>Hermoso</v>
      </c>
      <c r="E123" s="5" t="str">
        <f>IFERROR(INDEX('Input Giocatori 2026_27'!$D$3:$D$493,MATCH($B123,'Input Giocatori 2026_27'!$A$3:$A$493,0)),"")</f>
        <v>Roma</v>
      </c>
      <c r="F123" s="42">
        <f>IFERROR(INDEX('Output Utente'!$N$2:$N$492,MATCH(120,'Output Utente'!$Q$2:$Q$492,0)),"")</f>
        <v>10</v>
      </c>
      <c r="G123" s="42">
        <f>IFERROR(INDEX('Output Utente'!$O$2:$O$492,MATCH(120,'Output Utente'!$Q$2:$Q$492,0)),"")</f>
        <v>26</v>
      </c>
      <c r="H123" s="5" t="str">
        <f>IFERROR(INDEX('Output Utente'!$P$2:$P$492,MATCH(120,'Output Utente'!$Q$2:$Q$492,0)),"")</f>
        <v>Buono</v>
      </c>
      <c r="I123" s="42">
        <f>IFERROR(INDEX('Output Utente'!$F$2:$F$492,MATCH(120,'Output Utente'!$Q$2:$Q$492,0)),"")</f>
        <v>18</v>
      </c>
      <c r="J123" s="42">
        <f>IFERROR(INDEX('Output Utente'!$G$2:$G$492,MATCH(120,'Output Utente'!$Q$2:$Q$492,0)),"")</f>
        <v>13</v>
      </c>
      <c r="K123" s="42">
        <f>IFERROR(INDEX('Output Utente'!$H$2:$H$492,MATCH(120,'Output Utente'!$Q$2:$Q$492,0)),"")</f>
        <v>20</v>
      </c>
      <c r="L123" s="5" t="str">
        <f>IFERROR(INDEX('Output Utente'!$E$2:$E$492,MATCH(120,'Output Utente'!$Q$2:$Q$492,0)),"")</f>
        <v>NO</v>
      </c>
      <c r="M123" s="5" t="str">
        <f>IFERROR(INDEX('Output Utente'!$U$2:$U$492,MATCH(120,'Output Utente'!$Q$2:$Q$492,0)),"")</f>
        <v>OK</v>
      </c>
      <c r="N123" s="5" t="str">
        <f>IFERROR(INDEX('Output Utente'!$AE$2:$AE$492,MATCH(120,'Output Utente'!$Q$2:$Q$492,0)),"")</f>
        <v>🟢 Puoi aspettare</v>
      </c>
    </row>
    <row r="124" spans="1:14" ht="15" customHeight="1" x14ac:dyDescent="0.25">
      <c r="A124" s="41">
        <v>121</v>
      </c>
      <c r="B124" s="5">
        <f>IFERROR(INDEX('Output Utente'!$A$2:$A$492,MATCH(121,'Output Utente'!$Q$2:$Q$492,0)),"")</f>
        <v>7070</v>
      </c>
      <c r="C124" s="5" t="str">
        <f>IFERROR(INDEX('Output Utente'!$B$2:$B$492,MATCH(121,'Output Utente'!$Q$2:$Q$492,0)),"")</f>
        <v>C</v>
      </c>
      <c r="D124" s="5" t="str">
        <f>IFERROR(INDEX('Output Utente'!$C$2:$C$492,MATCH(121,'Output Utente'!$Q$2:$Q$492,0)),"")</f>
        <v>Sucic P.</v>
      </c>
      <c r="E124" s="5" t="str">
        <f>IFERROR(INDEX('Input Giocatori 2026_27'!$D$3:$D$493,MATCH($B124,'Input Giocatori 2026_27'!$A$3:$A$493,0)),"")</f>
        <v>Inter</v>
      </c>
      <c r="F124" s="42">
        <f>IFERROR(INDEX('Output Utente'!$N$2:$N$492,MATCH(121,'Output Utente'!$Q$2:$Q$492,0)),"")</f>
        <v>8</v>
      </c>
      <c r="G124" s="42">
        <f>IFERROR(INDEX('Output Utente'!$O$2:$O$492,MATCH(121,'Output Utente'!$Q$2:$Q$492,0)),"")</f>
        <v>26</v>
      </c>
      <c r="H124" s="5" t="str">
        <f>IFERROR(INDEX('Output Utente'!$P$2:$P$492,MATCH(121,'Output Utente'!$Q$2:$Q$492,0)),"")</f>
        <v>Buono</v>
      </c>
      <c r="I124" s="42">
        <f>IFERROR(INDEX('Output Utente'!$F$2:$F$492,MATCH(121,'Output Utente'!$Q$2:$Q$492,0)),"")</f>
        <v>3</v>
      </c>
      <c r="J124" s="42">
        <f>IFERROR(INDEX('Output Utente'!$G$2:$G$492,MATCH(121,'Output Utente'!$Q$2:$Q$492,0)),"")</f>
        <v>2</v>
      </c>
      <c r="K124" s="42">
        <f>IFERROR(INDEX('Output Utente'!$H$2:$H$492,MATCH(121,'Output Utente'!$Q$2:$Q$492,0)),"")</f>
        <v>4</v>
      </c>
      <c r="L124" s="5" t="str">
        <f>IFERROR(INDEX('Output Utente'!$E$2:$E$492,MATCH(121,'Output Utente'!$Q$2:$Q$492,0)),"")</f>
        <v>NO</v>
      </c>
      <c r="M124" s="5" t="str">
        <f>IFERROR(INDEX('Output Utente'!$U$2:$U$492,MATCH(121,'Output Utente'!$Q$2:$Q$492,0)),"")</f>
        <v>OK</v>
      </c>
      <c r="N124" s="5" t="str">
        <f>IFERROR(INDEX('Output Utente'!$AE$2:$AE$492,MATCH(121,'Output Utente'!$Q$2:$Q$492,0)),"")</f>
        <v>🟢 Riserve abbondanti</v>
      </c>
    </row>
    <row r="125" spans="1:14" ht="15" customHeight="1" x14ac:dyDescent="0.25">
      <c r="A125" s="41">
        <v>122</v>
      </c>
      <c r="B125" s="5">
        <f>IFERROR(INDEX('Output Utente'!$A$2:$A$492,MATCH(122,'Output Utente'!$Q$2:$Q$492,0)),"")</f>
        <v>2134</v>
      </c>
      <c r="C125" s="5" t="str">
        <f>IFERROR(INDEX('Output Utente'!$B$2:$B$492,MATCH(122,'Output Utente'!$Q$2:$Q$492,0)),"")</f>
        <v>P</v>
      </c>
      <c r="D125" s="5" t="str">
        <f>IFERROR(INDEX('Output Utente'!$C$2:$C$492,MATCH(122,'Output Utente'!$Q$2:$Q$492,0)),"")</f>
        <v>Falcone</v>
      </c>
      <c r="E125" s="5" t="str">
        <f>IFERROR(INDEX('Input Giocatori 2026_27'!$D$3:$D$493,MATCH($B125,'Input Giocatori 2026_27'!$A$3:$A$493,0)),"")</f>
        <v>Lecce</v>
      </c>
      <c r="F125" s="42">
        <f>IFERROR(INDEX('Output Utente'!$N$2:$N$492,MATCH(122,'Output Utente'!$Q$2:$Q$492,0)),"")</f>
        <v>8</v>
      </c>
      <c r="G125" s="42">
        <f>IFERROR(INDEX('Output Utente'!$O$2:$O$492,MATCH(122,'Output Utente'!$Q$2:$Q$492,0)),"")</f>
        <v>25</v>
      </c>
      <c r="H125" s="5" t="str">
        <f>IFERROR(INDEX('Output Utente'!$P$2:$P$492,MATCH(122,'Output Utente'!$Q$2:$Q$492,0)),"")</f>
        <v>Buono</v>
      </c>
      <c r="I125" s="42">
        <f>IFERROR(INDEX('Output Utente'!$F$2:$F$492,MATCH(122,'Output Utente'!$Q$2:$Q$492,0)),"")</f>
        <v>8</v>
      </c>
      <c r="J125" s="42">
        <f>IFERROR(INDEX('Output Utente'!$G$2:$G$492,MATCH(122,'Output Utente'!$Q$2:$Q$492,0)),"")</f>
        <v>7</v>
      </c>
      <c r="K125" s="42">
        <f>IFERROR(INDEX('Output Utente'!$H$2:$H$492,MATCH(122,'Output Utente'!$Q$2:$Q$492,0)),"")</f>
        <v>9</v>
      </c>
      <c r="L125" s="5" t="str">
        <f>IFERROR(INDEX('Output Utente'!$E$2:$E$492,MATCH(122,'Output Utente'!$Q$2:$Q$492,0)),"")</f>
        <v>NO</v>
      </c>
      <c r="M125" s="5" t="str">
        <f>IFERROR(INDEX('Output Utente'!$U$2:$U$492,MATCH(122,'Output Utente'!$Q$2:$Q$492,0)),"")</f>
        <v>OK</v>
      </c>
      <c r="N125" s="5" t="str">
        <f>IFERROR(INDEX('Output Utente'!$AE$2:$AE$492,MATCH(122,'Output Utente'!$Q$2:$Q$492,0)),"")</f>
        <v>🔴 Riserve scarse</v>
      </c>
    </row>
    <row r="126" spans="1:14" ht="15" customHeight="1" x14ac:dyDescent="0.25">
      <c r="A126" s="41">
        <v>123</v>
      </c>
      <c r="B126" s="5">
        <f>IFERROR(INDEX('Output Utente'!$A$2:$A$492,MATCH(123,'Output Utente'!$Q$2:$Q$492,0)),"")</f>
        <v>6496</v>
      </c>
      <c r="C126" s="5" t="str">
        <f>IFERROR(INDEX('Output Utente'!$B$2:$B$492,MATCH(123,'Output Utente'!$Q$2:$Q$492,0)),"")</f>
        <v>D</v>
      </c>
      <c r="D126" s="5" t="str">
        <f>IFERROR(INDEX('Output Utente'!$C$2:$C$492,MATCH(123,'Output Utente'!$Q$2:$Q$492,0)),"")</f>
        <v>Bartesaghi</v>
      </c>
      <c r="E126" s="5" t="str">
        <f>IFERROR(INDEX('Input Giocatori 2026_27'!$D$3:$D$493,MATCH($B126,'Input Giocatori 2026_27'!$A$3:$A$493,0)),"")</f>
        <v>Milan</v>
      </c>
      <c r="F126" s="42">
        <f>IFERROR(INDEX('Output Utente'!$N$2:$N$492,MATCH(123,'Output Utente'!$Q$2:$Q$492,0)),"")</f>
        <v>8</v>
      </c>
      <c r="G126" s="42">
        <f>IFERROR(INDEX('Output Utente'!$O$2:$O$492,MATCH(123,'Output Utente'!$Q$2:$Q$492,0)),"")</f>
        <v>25</v>
      </c>
      <c r="H126" s="5" t="str">
        <f>IFERROR(INDEX('Output Utente'!$P$2:$P$492,MATCH(123,'Output Utente'!$Q$2:$Q$492,0)),"")</f>
        <v>Buono</v>
      </c>
      <c r="I126" s="42">
        <f>IFERROR(INDEX('Output Utente'!$F$2:$F$492,MATCH(123,'Output Utente'!$Q$2:$Q$492,0)),"")</f>
        <v>4</v>
      </c>
      <c r="J126" s="42">
        <f>IFERROR(INDEX('Output Utente'!$G$2:$G$492,MATCH(123,'Output Utente'!$Q$2:$Q$492,0)),"")</f>
        <v>3</v>
      </c>
      <c r="K126" s="42">
        <f>IFERROR(INDEX('Output Utente'!$H$2:$H$492,MATCH(123,'Output Utente'!$Q$2:$Q$492,0)),"")</f>
        <v>5</v>
      </c>
      <c r="L126" s="5" t="str">
        <f>IFERROR(INDEX('Output Utente'!$E$2:$E$492,MATCH(123,'Output Utente'!$Q$2:$Q$492,0)),"")</f>
        <v>NO</v>
      </c>
      <c r="M126" s="5" t="str">
        <f>IFERROR(INDEX('Output Utente'!$U$2:$U$492,MATCH(123,'Output Utente'!$Q$2:$Q$492,0)),"")</f>
        <v>OK</v>
      </c>
      <c r="N126" s="5" t="str">
        <f>IFERROR(INDEX('Output Utente'!$AE$2:$AE$492,MATCH(123,'Output Utente'!$Q$2:$Q$492,0)),"")</f>
        <v>🟢 Riserve abbondanti</v>
      </c>
    </row>
    <row r="127" spans="1:14" ht="15" customHeight="1" x14ac:dyDescent="0.25">
      <c r="A127" s="41">
        <v>124</v>
      </c>
      <c r="B127" s="5">
        <f>IFERROR(INDEX('Output Utente'!$A$2:$A$492,MATCH(124,'Output Utente'!$Q$2:$Q$492,0)),"")</f>
        <v>6398</v>
      </c>
      <c r="C127" s="5" t="str">
        <f>IFERROR(INDEX('Output Utente'!$B$2:$B$492,MATCH(124,'Output Utente'!$Q$2:$Q$492,0)),"")</f>
        <v>C</v>
      </c>
      <c r="D127" s="5" t="str">
        <f>IFERROR(INDEX('Output Utente'!$C$2:$C$492,MATCH(124,'Output Utente'!$Q$2:$Q$492,0)),"")</f>
        <v>Isaksen</v>
      </c>
      <c r="E127" s="5" t="str">
        <f>IFERROR(INDEX('Input Giocatori 2026_27'!$D$3:$D$493,MATCH($B127,'Input Giocatori 2026_27'!$A$3:$A$493,0)),"")</f>
        <v>Lazio</v>
      </c>
      <c r="F127" s="42">
        <f>IFERROR(INDEX('Output Utente'!$N$2:$N$492,MATCH(124,'Output Utente'!$Q$2:$Q$492,0)),"")</f>
        <v>9</v>
      </c>
      <c r="G127" s="42">
        <f>IFERROR(INDEX('Output Utente'!$O$2:$O$492,MATCH(124,'Output Utente'!$Q$2:$Q$492,0)),"")</f>
        <v>25</v>
      </c>
      <c r="H127" s="5" t="str">
        <f>IFERROR(INDEX('Output Utente'!$P$2:$P$492,MATCH(124,'Output Utente'!$Q$2:$Q$492,0)),"")</f>
        <v>Buono</v>
      </c>
      <c r="I127" s="42">
        <f>IFERROR(INDEX('Output Utente'!$F$2:$F$492,MATCH(124,'Output Utente'!$Q$2:$Q$492,0)),"")</f>
        <v>3</v>
      </c>
      <c r="J127" s="42">
        <f>IFERROR(INDEX('Output Utente'!$G$2:$G$492,MATCH(124,'Output Utente'!$Q$2:$Q$492,0)),"")</f>
        <v>2</v>
      </c>
      <c r="K127" s="42">
        <f>IFERROR(INDEX('Output Utente'!$H$2:$H$492,MATCH(124,'Output Utente'!$Q$2:$Q$492,0)),"")</f>
        <v>4</v>
      </c>
      <c r="L127" s="5" t="str">
        <f>IFERROR(INDEX('Output Utente'!$E$2:$E$492,MATCH(124,'Output Utente'!$Q$2:$Q$492,0)),"")</f>
        <v>NO</v>
      </c>
      <c r="M127" s="5" t="str">
        <f>IFERROR(INDEX('Output Utente'!$U$2:$U$492,MATCH(124,'Output Utente'!$Q$2:$Q$492,0)),"")</f>
        <v>OK</v>
      </c>
      <c r="N127" s="5" t="str">
        <f>IFERROR(INDEX('Output Utente'!$AE$2:$AE$492,MATCH(124,'Output Utente'!$Q$2:$Q$492,0)),"")</f>
        <v>🟢 Riserve abbondanti</v>
      </c>
    </row>
    <row r="128" spans="1:14" ht="15" customHeight="1" x14ac:dyDescent="0.25">
      <c r="A128" s="41">
        <v>125</v>
      </c>
      <c r="B128" s="5">
        <f>IFERROR(INDEX('Output Utente'!$A$2:$A$492,MATCH(125,'Output Utente'!$Q$2:$Q$492,0)),"")</f>
        <v>4436</v>
      </c>
      <c r="C128" s="5" t="str">
        <f>IFERROR(INDEX('Output Utente'!$B$2:$B$492,MATCH(125,'Output Utente'!$Q$2:$Q$492,0)),"")</f>
        <v>C</v>
      </c>
      <c r="D128" s="5" t="str">
        <f>IFERROR(INDEX('Output Utente'!$C$2:$C$492,MATCH(125,'Output Utente'!$Q$2:$Q$492,0)),"")</f>
        <v>Cambiaghi</v>
      </c>
      <c r="E128" s="5" t="str">
        <f>IFERROR(INDEX('Input Giocatori 2026_27'!$D$3:$D$493,MATCH($B128,'Input Giocatori 2026_27'!$A$3:$A$493,0)),"")</f>
        <v>Bologna</v>
      </c>
      <c r="F128" s="42">
        <f>IFERROR(INDEX('Output Utente'!$N$2:$N$492,MATCH(125,'Output Utente'!$Q$2:$Q$492,0)),"")</f>
        <v>8</v>
      </c>
      <c r="G128" s="42">
        <f>IFERROR(INDEX('Output Utente'!$O$2:$O$492,MATCH(125,'Output Utente'!$Q$2:$Q$492,0)),"")</f>
        <v>25</v>
      </c>
      <c r="H128" s="5" t="str">
        <f>IFERROR(INDEX('Output Utente'!$P$2:$P$492,MATCH(125,'Output Utente'!$Q$2:$Q$492,0)),"")</f>
        <v>Buono</v>
      </c>
      <c r="I128" s="42">
        <f>IFERROR(INDEX('Output Utente'!$F$2:$F$492,MATCH(125,'Output Utente'!$Q$2:$Q$492,0)),"")</f>
        <v>3</v>
      </c>
      <c r="J128" s="42">
        <f>IFERROR(INDEX('Output Utente'!$G$2:$G$492,MATCH(125,'Output Utente'!$Q$2:$Q$492,0)),"")</f>
        <v>2</v>
      </c>
      <c r="K128" s="42">
        <f>IFERROR(INDEX('Output Utente'!$H$2:$H$492,MATCH(125,'Output Utente'!$Q$2:$Q$492,0)),"")</f>
        <v>4</v>
      </c>
      <c r="L128" s="5" t="str">
        <f>IFERROR(INDEX('Output Utente'!$E$2:$E$492,MATCH(125,'Output Utente'!$Q$2:$Q$492,0)),"")</f>
        <v>NO</v>
      </c>
      <c r="M128" s="5" t="str">
        <f>IFERROR(INDEX('Output Utente'!$U$2:$U$492,MATCH(125,'Output Utente'!$Q$2:$Q$492,0)),"")</f>
        <v>OK</v>
      </c>
      <c r="N128" s="5" t="str">
        <f>IFERROR(INDEX('Output Utente'!$AE$2:$AE$492,MATCH(125,'Output Utente'!$Q$2:$Q$492,0)),"")</f>
        <v>🟢 Riserve abbondanti</v>
      </c>
    </row>
    <row r="129" spans="1:14" ht="15" customHeight="1" x14ac:dyDescent="0.25">
      <c r="A129" s="41">
        <v>126</v>
      </c>
      <c r="B129" s="5">
        <f>IFERROR(INDEX('Output Utente'!$A$2:$A$492,MATCH(126,'Output Utente'!$Q$2:$Q$492,0)),"")</f>
        <v>6294</v>
      </c>
      <c r="C129" s="5" t="str">
        <f>IFERROR(INDEX('Output Utente'!$B$2:$B$492,MATCH(126,'Output Utente'!$Q$2:$Q$492,0)),"")</f>
        <v>C</v>
      </c>
      <c r="D129" s="5" t="str">
        <f>IFERROR(INDEX('Output Utente'!$C$2:$C$492,MATCH(126,'Output Utente'!$Q$2:$Q$492,0)),"")</f>
        <v>Ndour</v>
      </c>
      <c r="E129" s="5" t="str">
        <f>IFERROR(INDEX('Input Giocatori 2026_27'!$D$3:$D$493,MATCH($B129,'Input Giocatori 2026_27'!$A$3:$A$493,0)),"")</f>
        <v>Fiorentina</v>
      </c>
      <c r="F129" s="42">
        <f>IFERROR(INDEX('Output Utente'!$N$2:$N$492,MATCH(126,'Output Utente'!$Q$2:$Q$492,0)),"")</f>
        <v>8</v>
      </c>
      <c r="G129" s="42">
        <f>IFERROR(INDEX('Output Utente'!$O$2:$O$492,MATCH(126,'Output Utente'!$Q$2:$Q$492,0)),"")</f>
        <v>25</v>
      </c>
      <c r="H129" s="5" t="str">
        <f>IFERROR(INDEX('Output Utente'!$P$2:$P$492,MATCH(126,'Output Utente'!$Q$2:$Q$492,0)),"")</f>
        <v>Buono</v>
      </c>
      <c r="I129" s="42">
        <f>IFERROR(INDEX('Output Utente'!$F$2:$F$492,MATCH(126,'Output Utente'!$Q$2:$Q$492,0)),"")</f>
        <v>3</v>
      </c>
      <c r="J129" s="42">
        <f>IFERROR(INDEX('Output Utente'!$G$2:$G$492,MATCH(126,'Output Utente'!$Q$2:$Q$492,0)),"")</f>
        <v>2</v>
      </c>
      <c r="K129" s="42">
        <f>IFERROR(INDEX('Output Utente'!$H$2:$H$492,MATCH(126,'Output Utente'!$Q$2:$Q$492,0)),"")</f>
        <v>4</v>
      </c>
      <c r="L129" s="5" t="str">
        <f>IFERROR(INDEX('Output Utente'!$E$2:$E$492,MATCH(126,'Output Utente'!$Q$2:$Q$492,0)),"")</f>
        <v>NO</v>
      </c>
      <c r="M129" s="5" t="str">
        <f>IFERROR(INDEX('Output Utente'!$U$2:$U$492,MATCH(126,'Output Utente'!$Q$2:$Q$492,0)),"")</f>
        <v>OK</v>
      </c>
      <c r="N129" s="5" t="str">
        <f>IFERROR(INDEX('Output Utente'!$AE$2:$AE$492,MATCH(126,'Output Utente'!$Q$2:$Q$492,0)),"")</f>
        <v>🟢 Riserve abbondanti</v>
      </c>
    </row>
    <row r="130" spans="1:14" ht="15" customHeight="1" x14ac:dyDescent="0.25">
      <c r="A130" s="41">
        <v>127</v>
      </c>
      <c r="B130" s="5">
        <f>IFERROR(INDEX('Output Utente'!$A$2:$A$492,MATCH(127,'Output Utente'!$Q$2:$Q$492,0)),"")</f>
        <v>5878</v>
      </c>
      <c r="C130" s="5" t="str">
        <f>IFERROR(INDEX('Output Utente'!$B$2:$B$492,MATCH(127,'Output Utente'!$Q$2:$Q$492,0)),"")</f>
        <v>C</v>
      </c>
      <c r="D130" s="5" t="str">
        <f>IFERROR(INDEX('Output Utente'!$C$2:$C$492,MATCH(127,'Output Utente'!$Q$2:$Q$492,0)),"")</f>
        <v>Colpani</v>
      </c>
      <c r="E130" s="5" t="str">
        <f>IFERROR(INDEX('Input Giocatori 2026_27'!$D$3:$D$493,MATCH($B130,'Input Giocatori 2026_27'!$A$3:$A$493,0)),"")</f>
        <v>Monza</v>
      </c>
      <c r="F130" s="42">
        <f>IFERROR(INDEX('Output Utente'!$N$2:$N$492,MATCH(127,'Output Utente'!$Q$2:$Q$492,0)),"")</f>
        <v>8</v>
      </c>
      <c r="G130" s="42">
        <f>IFERROR(INDEX('Output Utente'!$O$2:$O$492,MATCH(127,'Output Utente'!$Q$2:$Q$492,0)),"")</f>
        <v>25</v>
      </c>
      <c r="H130" s="5" t="str">
        <f>IFERROR(INDEX('Output Utente'!$P$2:$P$492,MATCH(127,'Output Utente'!$Q$2:$Q$492,0)),"")</f>
        <v>Buono</v>
      </c>
      <c r="I130" s="42">
        <f>IFERROR(INDEX('Output Utente'!$F$2:$F$492,MATCH(127,'Output Utente'!$Q$2:$Q$492,0)),"")</f>
        <v>3</v>
      </c>
      <c r="J130" s="42">
        <f>IFERROR(INDEX('Output Utente'!$G$2:$G$492,MATCH(127,'Output Utente'!$Q$2:$Q$492,0)),"")</f>
        <v>2</v>
      </c>
      <c r="K130" s="42">
        <f>IFERROR(INDEX('Output Utente'!$H$2:$H$492,MATCH(127,'Output Utente'!$Q$2:$Q$492,0)),"")</f>
        <v>4</v>
      </c>
      <c r="L130" s="5" t="str">
        <f>IFERROR(INDEX('Output Utente'!$E$2:$E$492,MATCH(127,'Output Utente'!$Q$2:$Q$492,0)),"")</f>
        <v>NO</v>
      </c>
      <c r="M130" s="5" t="str">
        <f>IFERROR(INDEX('Output Utente'!$U$2:$U$492,MATCH(127,'Output Utente'!$Q$2:$Q$492,0)),"")</f>
        <v>OK</v>
      </c>
      <c r="N130" s="5" t="str">
        <f>IFERROR(INDEX('Output Utente'!$AE$2:$AE$492,MATCH(127,'Output Utente'!$Q$2:$Q$492,0)),"")</f>
        <v>🟢 Riserve abbondanti</v>
      </c>
    </row>
    <row r="131" spans="1:14" ht="15" customHeight="1" x14ac:dyDescent="0.25">
      <c r="A131" s="41">
        <v>128</v>
      </c>
      <c r="B131" s="5">
        <f>IFERROR(INDEX('Output Utente'!$A$2:$A$492,MATCH(128,'Output Utente'!$Q$2:$Q$492,0)),"")</f>
        <v>7472</v>
      </c>
      <c r="C131" s="5" t="str">
        <f>IFERROR(INDEX('Output Utente'!$B$2:$B$492,MATCH(128,'Output Utente'!$Q$2:$Q$492,0)),"")</f>
        <v>C</v>
      </c>
      <c r="D131" s="5" t="str">
        <f>IFERROR(INDEX('Output Utente'!$C$2:$C$492,MATCH(128,'Output Utente'!$Q$2:$Q$492,0)),"")</f>
        <v>Calò</v>
      </c>
      <c r="E131" s="5" t="str">
        <f>IFERROR(INDEX('Input Giocatori 2026_27'!$D$3:$D$493,MATCH($B131,'Input Giocatori 2026_27'!$A$3:$A$493,0)),"")</f>
        <v>Frosinone</v>
      </c>
      <c r="F131" s="42">
        <f>IFERROR(INDEX('Output Utente'!$N$2:$N$492,MATCH(128,'Output Utente'!$Q$2:$Q$492,0)),"")</f>
        <v>7</v>
      </c>
      <c r="G131" s="42">
        <f>IFERROR(INDEX('Output Utente'!$O$2:$O$492,MATCH(128,'Output Utente'!$Q$2:$Q$492,0)),"")</f>
        <v>25</v>
      </c>
      <c r="H131" s="5" t="str">
        <f>IFERROR(INDEX('Output Utente'!$P$2:$P$492,MATCH(128,'Output Utente'!$Q$2:$Q$492,0)),"")</f>
        <v>Buono</v>
      </c>
      <c r="I131" s="42">
        <f>IFERROR(INDEX('Output Utente'!$F$2:$F$492,MATCH(128,'Output Utente'!$Q$2:$Q$492,0)),"")</f>
        <v>3</v>
      </c>
      <c r="J131" s="42">
        <f>IFERROR(INDEX('Output Utente'!$G$2:$G$492,MATCH(128,'Output Utente'!$Q$2:$Q$492,0)),"")</f>
        <v>2</v>
      </c>
      <c r="K131" s="42">
        <f>IFERROR(INDEX('Output Utente'!$H$2:$H$492,MATCH(128,'Output Utente'!$Q$2:$Q$492,0)),"")</f>
        <v>4</v>
      </c>
      <c r="L131" s="5" t="str">
        <f>IFERROR(INDEX('Output Utente'!$E$2:$E$492,MATCH(128,'Output Utente'!$Q$2:$Q$492,0)),"")</f>
        <v>NO</v>
      </c>
      <c r="M131" s="5" t="str">
        <f>IFERROR(INDEX('Output Utente'!$U$2:$U$492,MATCH(128,'Output Utente'!$Q$2:$Q$492,0)),"")</f>
        <v>OK</v>
      </c>
      <c r="N131" s="5" t="str">
        <f>IFERROR(INDEX('Output Utente'!$AE$2:$AE$492,MATCH(128,'Output Utente'!$Q$2:$Q$492,0)),"")</f>
        <v>🟢 Riserve abbondanti</v>
      </c>
    </row>
    <row r="132" spans="1:14" ht="15" customHeight="1" x14ac:dyDescent="0.25">
      <c r="A132" s="41">
        <v>129</v>
      </c>
      <c r="B132" s="5">
        <f>IFERROR(INDEX('Output Utente'!$A$2:$A$492,MATCH(129,'Output Utente'!$Q$2:$Q$492,0)),"")</f>
        <v>5029</v>
      </c>
      <c r="C132" s="5" t="str">
        <f>IFERROR(INDEX('Output Utente'!$B$2:$B$492,MATCH(129,'Output Utente'!$Q$2:$Q$492,0)),"")</f>
        <v>A</v>
      </c>
      <c r="D132" s="5" t="str">
        <f>IFERROR(INDEX('Output Utente'!$C$2:$C$492,MATCH(129,'Output Utente'!$Q$2:$Q$492,0)),"")</f>
        <v>Geubbels</v>
      </c>
      <c r="E132" s="5" t="str">
        <f>IFERROR(INDEX('Input Giocatori 2026_27'!$D$3:$D$493,MATCH($B132,'Input Giocatori 2026_27'!$A$3:$A$493,0)),"")</f>
        <v>Lecce</v>
      </c>
      <c r="F132" s="42">
        <f>IFERROR(INDEX('Output Utente'!$N$2:$N$492,MATCH(129,'Output Utente'!$Q$2:$Q$492,0)),"")</f>
        <v>9</v>
      </c>
      <c r="G132" s="42">
        <f>IFERROR(INDEX('Output Utente'!$O$2:$O$492,MATCH(129,'Output Utente'!$Q$2:$Q$492,0)),"")</f>
        <v>25</v>
      </c>
      <c r="H132" s="5" t="str">
        <f>IFERROR(INDEX('Output Utente'!$P$2:$P$492,MATCH(129,'Output Utente'!$Q$2:$Q$492,0)),"")</f>
        <v>Nella Media</v>
      </c>
      <c r="I132" s="42">
        <f>IFERROR(INDEX('Output Utente'!$F$2:$F$492,MATCH(129,'Output Utente'!$Q$2:$Q$492,0)),"")</f>
        <v>8</v>
      </c>
      <c r="J132" s="42">
        <f>IFERROR(INDEX('Output Utente'!$G$2:$G$492,MATCH(129,'Output Utente'!$Q$2:$Q$492,0)),"")</f>
        <v>5</v>
      </c>
      <c r="K132" s="42">
        <f>IFERROR(INDEX('Output Utente'!$H$2:$H$492,MATCH(129,'Output Utente'!$Q$2:$Q$492,0)),"")</f>
        <v>9</v>
      </c>
      <c r="L132" s="5" t="str">
        <f>IFERROR(INDEX('Output Utente'!$E$2:$E$492,MATCH(129,'Output Utente'!$Q$2:$Q$492,0)),"")</f>
        <v>NO</v>
      </c>
      <c r="M132" s="5" t="str">
        <f>IFERROR(INDEX('Output Utente'!$U$2:$U$492,MATCH(129,'Output Utente'!$Q$2:$Q$492,0)),"")</f>
        <v>OK</v>
      </c>
      <c r="N132" s="5" t="str">
        <f>IFERROR(INDEX('Output Utente'!$AE$2:$AE$492,MATCH(129,'Output Utente'!$Q$2:$Q$492,0)),"")</f>
        <v>🟢 Riserve abbondanti</v>
      </c>
    </row>
    <row r="133" spans="1:14" ht="15" customHeight="1" x14ac:dyDescent="0.25">
      <c r="A133" s="41">
        <v>130</v>
      </c>
      <c r="B133" s="5">
        <f>IFERROR(INDEX('Output Utente'!$A$2:$A$492,MATCH(130,'Output Utente'!$Q$2:$Q$492,0)),"")</f>
        <v>2832</v>
      </c>
      <c r="C133" s="5" t="str">
        <f>IFERROR(INDEX('Output Utente'!$B$2:$B$492,MATCH(130,'Output Utente'!$Q$2:$Q$492,0)),"")</f>
        <v>A</v>
      </c>
      <c r="D133" s="5" t="str">
        <f>IFERROR(INDEX('Output Utente'!$C$2:$C$492,MATCH(130,'Output Utente'!$Q$2:$Q$492,0)),"")</f>
        <v>Boga</v>
      </c>
      <c r="E133" s="5" t="str">
        <f>IFERROR(INDEX('Input Giocatori 2026_27'!$D$3:$D$493,MATCH($B133,'Input Giocatori 2026_27'!$A$3:$A$493,0)),"")</f>
        <v>Juventus</v>
      </c>
      <c r="F133" s="42">
        <f>IFERROR(INDEX('Output Utente'!$N$2:$N$492,MATCH(130,'Output Utente'!$Q$2:$Q$492,0)),"")</f>
        <v>6</v>
      </c>
      <c r="G133" s="42">
        <f>IFERROR(INDEX('Output Utente'!$O$2:$O$492,MATCH(130,'Output Utente'!$Q$2:$Q$492,0)),"")</f>
        <v>25</v>
      </c>
      <c r="H133" s="5" t="str">
        <f>IFERROR(INDEX('Output Utente'!$P$2:$P$492,MATCH(130,'Output Utente'!$Q$2:$Q$492,0)),"")</f>
        <v>Nella Media</v>
      </c>
      <c r="I133" s="42">
        <f>IFERROR(INDEX('Output Utente'!$F$2:$F$492,MATCH(130,'Output Utente'!$Q$2:$Q$492,0)),"")</f>
        <v>8</v>
      </c>
      <c r="J133" s="42">
        <f>IFERROR(INDEX('Output Utente'!$G$2:$G$492,MATCH(130,'Output Utente'!$Q$2:$Q$492,0)),"")</f>
        <v>5</v>
      </c>
      <c r="K133" s="42">
        <f>IFERROR(INDEX('Output Utente'!$H$2:$H$492,MATCH(130,'Output Utente'!$Q$2:$Q$492,0)),"")</f>
        <v>9</v>
      </c>
      <c r="L133" s="5" t="str">
        <f>IFERROR(INDEX('Output Utente'!$E$2:$E$492,MATCH(130,'Output Utente'!$Q$2:$Q$492,0)),"")</f>
        <v>NO</v>
      </c>
      <c r="M133" s="5" t="str">
        <f>IFERROR(INDEX('Output Utente'!$U$2:$U$492,MATCH(130,'Output Utente'!$Q$2:$Q$492,0)),"")</f>
        <v>OK</v>
      </c>
      <c r="N133" s="5" t="str">
        <f>IFERROR(INDEX('Output Utente'!$AE$2:$AE$492,MATCH(130,'Output Utente'!$Q$2:$Q$492,0)),"")</f>
        <v>🟢 Riserve abbondanti</v>
      </c>
    </row>
    <row r="134" spans="1:14" ht="15" customHeight="1" x14ac:dyDescent="0.25">
      <c r="A134" s="41">
        <v>131</v>
      </c>
      <c r="B134" s="5">
        <f>IFERROR(INDEX('Output Utente'!$A$2:$A$492,MATCH(131,'Output Utente'!$Q$2:$Q$492,0)),"")</f>
        <v>554</v>
      </c>
      <c r="C134" s="5" t="str">
        <f>IFERROR(INDEX('Output Utente'!$B$2:$B$492,MATCH(131,'Output Utente'!$Q$2:$Q$492,0)),"")</f>
        <v>D</v>
      </c>
      <c r="D134" s="5" t="str">
        <f>IFERROR(INDEX('Output Utente'!$C$2:$C$492,MATCH(131,'Output Utente'!$Q$2:$Q$492,0)),"")</f>
        <v>Zappacosta</v>
      </c>
      <c r="E134" s="5" t="str">
        <f>IFERROR(INDEX('Input Giocatori 2026_27'!$D$3:$D$493,MATCH($B134,'Input Giocatori 2026_27'!$A$3:$A$493,0)),"")</f>
        <v>Atalanta</v>
      </c>
      <c r="F134" s="42">
        <f>IFERROR(INDEX('Output Utente'!$N$2:$N$492,MATCH(131,'Output Utente'!$Q$2:$Q$492,0)),"")</f>
        <v>8</v>
      </c>
      <c r="G134" s="42">
        <f>IFERROR(INDEX('Output Utente'!$O$2:$O$492,MATCH(131,'Output Utente'!$Q$2:$Q$492,0)),"")</f>
        <v>24</v>
      </c>
      <c r="H134" s="5" t="str">
        <f>IFERROR(INDEX('Output Utente'!$P$2:$P$492,MATCH(131,'Output Utente'!$Q$2:$Q$492,0)),"")</f>
        <v>Buono</v>
      </c>
      <c r="I134" s="42">
        <f>IFERROR(INDEX('Output Utente'!$F$2:$F$492,MATCH(131,'Output Utente'!$Q$2:$Q$492,0)),"")</f>
        <v>4</v>
      </c>
      <c r="J134" s="42">
        <f>IFERROR(INDEX('Output Utente'!$G$2:$G$492,MATCH(131,'Output Utente'!$Q$2:$Q$492,0)),"")</f>
        <v>3</v>
      </c>
      <c r="K134" s="42">
        <f>IFERROR(INDEX('Output Utente'!$H$2:$H$492,MATCH(131,'Output Utente'!$Q$2:$Q$492,0)),"")</f>
        <v>5</v>
      </c>
      <c r="L134" s="5" t="str">
        <f>IFERROR(INDEX('Output Utente'!$E$2:$E$492,MATCH(131,'Output Utente'!$Q$2:$Q$492,0)),"")</f>
        <v>NO</v>
      </c>
      <c r="M134" s="5" t="str">
        <f>IFERROR(INDEX('Output Utente'!$U$2:$U$492,MATCH(131,'Output Utente'!$Q$2:$Q$492,0)),"")</f>
        <v>OK</v>
      </c>
      <c r="N134" s="5" t="str">
        <f>IFERROR(INDEX('Output Utente'!$AE$2:$AE$492,MATCH(131,'Output Utente'!$Q$2:$Q$492,0)),"")</f>
        <v>🟢 Riserve abbondanti</v>
      </c>
    </row>
    <row r="135" spans="1:14" ht="15" customHeight="1" x14ac:dyDescent="0.25">
      <c r="A135" s="41">
        <v>132</v>
      </c>
      <c r="B135" s="5">
        <f>IFERROR(INDEX('Output Utente'!$A$2:$A$492,MATCH(132,'Output Utente'!$Q$2:$Q$492,0)),"")</f>
        <v>4734</v>
      </c>
      <c r="C135" s="5" t="str">
        <f>IFERROR(INDEX('Output Utente'!$B$2:$B$492,MATCH(132,'Output Utente'!$Q$2:$Q$492,0)),"")</f>
        <v>D</v>
      </c>
      <c r="D135" s="5" t="str">
        <f>IFERROR(INDEX('Output Utente'!$C$2:$C$492,MATCH(132,'Output Utente'!$Q$2:$Q$492,0)),"")</f>
        <v>Miranda J.</v>
      </c>
      <c r="E135" s="5" t="str">
        <f>IFERROR(INDEX('Input Giocatori 2026_27'!$D$3:$D$493,MATCH($B135,'Input Giocatori 2026_27'!$A$3:$A$493,0)),"")</f>
        <v>Bologna</v>
      </c>
      <c r="F135" s="42">
        <f>IFERROR(INDEX('Output Utente'!$N$2:$N$492,MATCH(132,'Output Utente'!$Q$2:$Q$492,0)),"")</f>
        <v>8</v>
      </c>
      <c r="G135" s="42">
        <f>IFERROR(INDEX('Output Utente'!$O$2:$O$492,MATCH(132,'Output Utente'!$Q$2:$Q$492,0)),"")</f>
        <v>24</v>
      </c>
      <c r="H135" s="5" t="str">
        <f>IFERROR(INDEX('Output Utente'!$P$2:$P$492,MATCH(132,'Output Utente'!$Q$2:$Q$492,0)),"")</f>
        <v>Buono</v>
      </c>
      <c r="I135" s="42">
        <f>IFERROR(INDEX('Output Utente'!$F$2:$F$492,MATCH(132,'Output Utente'!$Q$2:$Q$492,0)),"")</f>
        <v>4</v>
      </c>
      <c r="J135" s="42">
        <f>IFERROR(INDEX('Output Utente'!$G$2:$G$492,MATCH(132,'Output Utente'!$Q$2:$Q$492,0)),"")</f>
        <v>3</v>
      </c>
      <c r="K135" s="42">
        <f>IFERROR(INDEX('Output Utente'!$H$2:$H$492,MATCH(132,'Output Utente'!$Q$2:$Q$492,0)),"")</f>
        <v>5</v>
      </c>
      <c r="L135" s="5" t="str">
        <f>IFERROR(INDEX('Output Utente'!$E$2:$E$492,MATCH(132,'Output Utente'!$Q$2:$Q$492,0)),"")</f>
        <v>NO</v>
      </c>
      <c r="M135" s="5" t="str">
        <f>IFERROR(INDEX('Output Utente'!$U$2:$U$492,MATCH(132,'Output Utente'!$Q$2:$Q$492,0)),"")</f>
        <v>OK</v>
      </c>
      <c r="N135" s="5" t="str">
        <f>IFERROR(INDEX('Output Utente'!$AE$2:$AE$492,MATCH(132,'Output Utente'!$Q$2:$Q$492,0)),"")</f>
        <v>🟢 Riserve abbondanti</v>
      </c>
    </row>
    <row r="136" spans="1:14" ht="15" customHeight="1" x14ac:dyDescent="0.25">
      <c r="A136" s="41">
        <v>133</v>
      </c>
      <c r="B136" s="5">
        <f>IFERROR(INDEX('Output Utente'!$A$2:$A$492,MATCH(133,'Output Utente'!$Q$2:$Q$492,0)),"")</f>
        <v>1852</v>
      </c>
      <c r="C136" s="5" t="str">
        <f>IFERROR(INDEX('Output Utente'!$B$2:$B$492,MATCH(133,'Output Utente'!$Q$2:$Q$492,0)),"")</f>
        <v>D</v>
      </c>
      <c r="D136" s="5" t="str">
        <f>IFERROR(INDEX('Output Utente'!$C$2:$C$492,MATCH(133,'Output Utente'!$Q$2:$Q$492,0)),"")</f>
        <v>Spinazzola</v>
      </c>
      <c r="E136" s="5" t="str">
        <f>IFERROR(INDEX('Input Giocatori 2026_27'!$D$3:$D$493,MATCH($B136,'Input Giocatori 2026_27'!$A$3:$A$493,0)),"")</f>
        <v>Napoli</v>
      </c>
      <c r="F136" s="42">
        <f>IFERROR(INDEX('Output Utente'!$N$2:$N$492,MATCH(133,'Output Utente'!$Q$2:$Q$492,0)),"")</f>
        <v>8</v>
      </c>
      <c r="G136" s="42">
        <f>IFERROR(INDEX('Output Utente'!$O$2:$O$492,MATCH(133,'Output Utente'!$Q$2:$Q$492,0)),"")</f>
        <v>24</v>
      </c>
      <c r="H136" s="5" t="str">
        <f>IFERROR(INDEX('Output Utente'!$P$2:$P$492,MATCH(133,'Output Utente'!$Q$2:$Q$492,0)),"")</f>
        <v>Buono</v>
      </c>
      <c r="I136" s="42">
        <f>IFERROR(INDEX('Output Utente'!$F$2:$F$492,MATCH(133,'Output Utente'!$Q$2:$Q$492,0)),"")</f>
        <v>4</v>
      </c>
      <c r="J136" s="42">
        <f>IFERROR(INDEX('Output Utente'!$G$2:$G$492,MATCH(133,'Output Utente'!$Q$2:$Q$492,0)),"")</f>
        <v>3</v>
      </c>
      <c r="K136" s="42">
        <f>IFERROR(INDEX('Output Utente'!$H$2:$H$492,MATCH(133,'Output Utente'!$Q$2:$Q$492,0)),"")</f>
        <v>5</v>
      </c>
      <c r="L136" s="5" t="str">
        <f>IFERROR(INDEX('Output Utente'!$E$2:$E$492,MATCH(133,'Output Utente'!$Q$2:$Q$492,0)),"")</f>
        <v>NO</v>
      </c>
      <c r="M136" s="5" t="str">
        <f>IFERROR(INDEX('Output Utente'!$U$2:$U$492,MATCH(133,'Output Utente'!$Q$2:$Q$492,0)),"")</f>
        <v>OK</v>
      </c>
      <c r="N136" s="5" t="str">
        <f>IFERROR(INDEX('Output Utente'!$AE$2:$AE$492,MATCH(133,'Output Utente'!$Q$2:$Q$492,0)),"")</f>
        <v>🟢 Riserve abbondanti</v>
      </c>
    </row>
    <row r="137" spans="1:14" ht="15" customHeight="1" x14ac:dyDescent="0.25">
      <c r="A137" s="41">
        <v>134</v>
      </c>
      <c r="B137" s="5">
        <f>IFERROR(INDEX('Output Utente'!$A$2:$A$492,MATCH(134,'Output Utente'!$Q$2:$Q$492,0)),"")</f>
        <v>5862</v>
      </c>
      <c r="C137" s="5" t="str">
        <f>IFERROR(INDEX('Output Utente'!$B$2:$B$492,MATCH(134,'Output Utente'!$Q$2:$Q$492,0)),"")</f>
        <v>D</v>
      </c>
      <c r="D137" s="5" t="str">
        <f>IFERROR(INDEX('Output Utente'!$C$2:$C$492,MATCH(134,'Output Utente'!$Q$2:$Q$492,0)),"")</f>
        <v>Valeri</v>
      </c>
      <c r="E137" s="5" t="str">
        <f>IFERROR(INDEX('Input Giocatori 2026_27'!$D$3:$D$493,MATCH($B137,'Input Giocatori 2026_27'!$A$3:$A$493,0)),"")</f>
        <v>Parma</v>
      </c>
      <c r="F137" s="42">
        <f>IFERROR(INDEX('Output Utente'!$N$2:$N$492,MATCH(134,'Output Utente'!$Q$2:$Q$492,0)),"")</f>
        <v>8</v>
      </c>
      <c r="G137" s="42">
        <f>IFERROR(INDEX('Output Utente'!$O$2:$O$492,MATCH(134,'Output Utente'!$Q$2:$Q$492,0)),"")</f>
        <v>24</v>
      </c>
      <c r="H137" s="5" t="str">
        <f>IFERROR(INDEX('Output Utente'!$P$2:$P$492,MATCH(134,'Output Utente'!$Q$2:$Q$492,0)),"")</f>
        <v>Buono</v>
      </c>
      <c r="I137" s="42">
        <f>IFERROR(INDEX('Output Utente'!$F$2:$F$492,MATCH(134,'Output Utente'!$Q$2:$Q$492,0)),"")</f>
        <v>4</v>
      </c>
      <c r="J137" s="42">
        <f>IFERROR(INDEX('Output Utente'!$G$2:$G$492,MATCH(134,'Output Utente'!$Q$2:$Q$492,0)),"")</f>
        <v>3</v>
      </c>
      <c r="K137" s="42">
        <f>IFERROR(INDEX('Output Utente'!$H$2:$H$492,MATCH(134,'Output Utente'!$Q$2:$Q$492,0)),"")</f>
        <v>5</v>
      </c>
      <c r="L137" s="5" t="str">
        <f>IFERROR(INDEX('Output Utente'!$E$2:$E$492,MATCH(134,'Output Utente'!$Q$2:$Q$492,0)),"")</f>
        <v>NO</v>
      </c>
      <c r="M137" s="5" t="str">
        <f>IFERROR(INDEX('Output Utente'!$U$2:$U$492,MATCH(134,'Output Utente'!$Q$2:$Q$492,0)),"")</f>
        <v>OK</v>
      </c>
      <c r="N137" s="5" t="str">
        <f>IFERROR(INDEX('Output Utente'!$AE$2:$AE$492,MATCH(134,'Output Utente'!$Q$2:$Q$492,0)),"")</f>
        <v>🟢 Riserve abbondanti</v>
      </c>
    </row>
    <row r="138" spans="1:14" ht="15" customHeight="1" x14ac:dyDescent="0.25">
      <c r="A138" s="41">
        <v>135</v>
      </c>
      <c r="B138" s="5">
        <f>IFERROR(INDEX('Output Utente'!$A$2:$A$492,MATCH(135,'Output Utente'!$Q$2:$Q$492,0)),"")</f>
        <v>460</v>
      </c>
      <c r="C138" s="5" t="str">
        <f>IFERROR(INDEX('Output Utente'!$B$2:$B$492,MATCH(135,'Output Utente'!$Q$2:$Q$492,0)),"")</f>
        <v>D</v>
      </c>
      <c r="D138" s="5" t="str">
        <f>IFERROR(INDEX('Output Utente'!$C$2:$C$492,MATCH(135,'Output Utente'!$Q$2:$Q$492,0)),"")</f>
        <v>Romagnoli</v>
      </c>
      <c r="E138" s="5" t="str">
        <f>IFERROR(INDEX('Input Giocatori 2026_27'!$D$3:$D$493,MATCH($B138,'Input Giocatori 2026_27'!$A$3:$A$493,0)),"")</f>
        <v>Lazio</v>
      </c>
      <c r="F138" s="42">
        <f>IFERROR(INDEX('Output Utente'!$N$2:$N$492,MATCH(135,'Output Utente'!$Q$2:$Q$492,0)),"")</f>
        <v>7</v>
      </c>
      <c r="G138" s="42">
        <f>IFERROR(INDEX('Output Utente'!$O$2:$O$492,MATCH(135,'Output Utente'!$Q$2:$Q$492,0)),"")</f>
        <v>24</v>
      </c>
      <c r="H138" s="5" t="str">
        <f>IFERROR(INDEX('Output Utente'!$P$2:$P$492,MATCH(135,'Output Utente'!$Q$2:$Q$492,0)),"")</f>
        <v>Buono</v>
      </c>
      <c r="I138" s="42">
        <f>IFERROR(INDEX('Output Utente'!$F$2:$F$492,MATCH(135,'Output Utente'!$Q$2:$Q$492,0)),"")</f>
        <v>4</v>
      </c>
      <c r="J138" s="42">
        <f>IFERROR(INDEX('Output Utente'!$G$2:$G$492,MATCH(135,'Output Utente'!$Q$2:$Q$492,0)),"")</f>
        <v>3</v>
      </c>
      <c r="K138" s="42">
        <f>IFERROR(INDEX('Output Utente'!$H$2:$H$492,MATCH(135,'Output Utente'!$Q$2:$Q$492,0)),"")</f>
        <v>5</v>
      </c>
      <c r="L138" s="5" t="str">
        <f>IFERROR(INDEX('Output Utente'!$E$2:$E$492,MATCH(135,'Output Utente'!$Q$2:$Q$492,0)),"")</f>
        <v>NO</v>
      </c>
      <c r="M138" s="5" t="str">
        <f>IFERROR(INDEX('Output Utente'!$U$2:$U$492,MATCH(135,'Output Utente'!$Q$2:$Q$492,0)),"")</f>
        <v>OK</v>
      </c>
      <c r="N138" s="5" t="str">
        <f>IFERROR(INDEX('Output Utente'!$AE$2:$AE$492,MATCH(135,'Output Utente'!$Q$2:$Q$492,0)),"")</f>
        <v>🟢 Riserve abbondanti</v>
      </c>
    </row>
    <row r="139" spans="1:14" ht="15" customHeight="1" x14ac:dyDescent="0.25">
      <c r="A139" s="41">
        <v>136</v>
      </c>
      <c r="B139" s="5">
        <f>IFERROR(INDEX('Output Utente'!$A$2:$A$492,MATCH(136,'Output Utente'!$Q$2:$Q$492,0)),"")</f>
        <v>4364</v>
      </c>
      <c r="C139" s="5" t="str">
        <f>IFERROR(INDEX('Output Utente'!$B$2:$B$492,MATCH(136,'Output Utente'!$Q$2:$Q$492,0)),"")</f>
        <v>C</v>
      </c>
      <c r="D139" s="5" t="str">
        <f>IFERROR(INDEX('Output Utente'!$C$2:$C$492,MATCH(136,'Output Utente'!$Q$2:$Q$492,0)),"")</f>
        <v>Gaetano</v>
      </c>
      <c r="E139" s="5" t="str">
        <f>IFERROR(INDEX('Input Giocatori 2026_27'!$D$3:$D$493,MATCH($B139,'Input Giocatori 2026_27'!$A$3:$A$493,0)),"")</f>
        <v>Atalanta</v>
      </c>
      <c r="F139" s="42">
        <f>IFERROR(INDEX('Output Utente'!$N$2:$N$492,MATCH(136,'Output Utente'!$Q$2:$Q$492,0)),"")</f>
        <v>7</v>
      </c>
      <c r="G139" s="42">
        <f>IFERROR(INDEX('Output Utente'!$O$2:$O$492,MATCH(136,'Output Utente'!$Q$2:$Q$492,0)),"")</f>
        <v>24</v>
      </c>
      <c r="H139" s="5" t="str">
        <f>IFERROR(INDEX('Output Utente'!$P$2:$P$492,MATCH(136,'Output Utente'!$Q$2:$Q$492,0)),"")</f>
        <v>Buono</v>
      </c>
      <c r="I139" s="42">
        <f>IFERROR(INDEX('Output Utente'!$F$2:$F$492,MATCH(136,'Output Utente'!$Q$2:$Q$492,0)),"")</f>
        <v>3</v>
      </c>
      <c r="J139" s="42">
        <f>IFERROR(INDEX('Output Utente'!$G$2:$G$492,MATCH(136,'Output Utente'!$Q$2:$Q$492,0)),"")</f>
        <v>2</v>
      </c>
      <c r="K139" s="42">
        <f>IFERROR(INDEX('Output Utente'!$H$2:$H$492,MATCH(136,'Output Utente'!$Q$2:$Q$492,0)),"")</f>
        <v>4</v>
      </c>
      <c r="L139" s="5" t="str">
        <f>IFERROR(INDEX('Output Utente'!$E$2:$E$492,MATCH(136,'Output Utente'!$Q$2:$Q$492,0)),"")</f>
        <v>NO</v>
      </c>
      <c r="M139" s="5" t="str">
        <f>IFERROR(INDEX('Output Utente'!$U$2:$U$492,MATCH(136,'Output Utente'!$Q$2:$Q$492,0)),"")</f>
        <v>OK</v>
      </c>
      <c r="N139" s="5" t="str">
        <f>IFERROR(INDEX('Output Utente'!$AE$2:$AE$492,MATCH(136,'Output Utente'!$Q$2:$Q$492,0)),"")</f>
        <v>🟢 Riserve abbondanti</v>
      </c>
    </row>
    <row r="140" spans="1:14" ht="15" customHeight="1" x14ac:dyDescent="0.25">
      <c r="A140" s="41">
        <v>137</v>
      </c>
      <c r="B140" s="5">
        <f>IFERROR(INDEX('Output Utente'!$A$2:$A$492,MATCH(137,'Output Utente'!$Q$2:$Q$492,0)),"")</f>
        <v>4359</v>
      </c>
      <c r="C140" s="5" t="str">
        <f>IFERROR(INDEX('Output Utente'!$B$2:$B$492,MATCH(137,'Output Utente'!$Q$2:$Q$492,0)),"")</f>
        <v>A</v>
      </c>
      <c r="D140" s="5" t="str">
        <f>IFERROR(INDEX('Output Utente'!$C$2:$C$492,MATCH(137,'Output Utente'!$Q$2:$Q$492,0)),"")</f>
        <v>Piccoli</v>
      </c>
      <c r="E140" s="5" t="str">
        <f>IFERROR(INDEX('Input Giocatori 2026_27'!$D$3:$D$493,MATCH($B140,'Input Giocatori 2026_27'!$A$3:$A$493,0)),"")</f>
        <v>Fiorentina</v>
      </c>
      <c r="F140" s="42">
        <f>IFERROR(INDEX('Output Utente'!$N$2:$N$492,MATCH(137,'Output Utente'!$Q$2:$Q$492,0)),"")</f>
        <v>8</v>
      </c>
      <c r="G140" s="42">
        <f>IFERROR(INDEX('Output Utente'!$O$2:$O$492,MATCH(137,'Output Utente'!$Q$2:$Q$492,0)),"")</f>
        <v>24</v>
      </c>
      <c r="H140" s="5" t="str">
        <f>IFERROR(INDEX('Output Utente'!$P$2:$P$492,MATCH(137,'Output Utente'!$Q$2:$Q$492,0)),"")</f>
        <v>Nella Media</v>
      </c>
      <c r="I140" s="42">
        <f>IFERROR(INDEX('Output Utente'!$F$2:$F$492,MATCH(137,'Output Utente'!$Q$2:$Q$492,0)),"")</f>
        <v>8</v>
      </c>
      <c r="J140" s="42">
        <f>IFERROR(INDEX('Output Utente'!$G$2:$G$492,MATCH(137,'Output Utente'!$Q$2:$Q$492,0)),"")</f>
        <v>5</v>
      </c>
      <c r="K140" s="42">
        <f>IFERROR(INDEX('Output Utente'!$H$2:$H$492,MATCH(137,'Output Utente'!$Q$2:$Q$492,0)),"")</f>
        <v>9</v>
      </c>
      <c r="L140" s="5" t="str">
        <f>IFERROR(INDEX('Output Utente'!$E$2:$E$492,MATCH(137,'Output Utente'!$Q$2:$Q$492,0)),"")</f>
        <v>NO</v>
      </c>
      <c r="M140" s="5" t="str">
        <f>IFERROR(INDEX('Output Utente'!$U$2:$U$492,MATCH(137,'Output Utente'!$Q$2:$Q$492,0)),"")</f>
        <v>OK</v>
      </c>
      <c r="N140" s="5" t="str">
        <f>IFERROR(INDEX('Output Utente'!$AE$2:$AE$492,MATCH(137,'Output Utente'!$Q$2:$Q$492,0)),"")</f>
        <v>🟢 Riserve abbondanti</v>
      </c>
    </row>
    <row r="141" spans="1:14" ht="15" customHeight="1" x14ac:dyDescent="0.25">
      <c r="A141" s="41">
        <v>138</v>
      </c>
      <c r="B141" s="5">
        <f>IFERROR(INDEX('Output Utente'!$A$2:$A$492,MATCH(138,'Output Utente'!$Q$2:$Q$492,0)),"")</f>
        <v>5436</v>
      </c>
      <c r="C141" s="5" t="str">
        <f>IFERROR(INDEX('Output Utente'!$B$2:$B$492,MATCH(138,'Output Utente'!$Q$2:$Q$492,0)),"")</f>
        <v>A</v>
      </c>
      <c r="D141" s="5" t="str">
        <f>IFERROR(INDEX('Output Utente'!$C$2:$C$492,MATCH(138,'Output Utente'!$Q$2:$Q$492,0)),"")</f>
        <v>Raimondo</v>
      </c>
      <c r="E141" s="5" t="str">
        <f>IFERROR(INDEX('Input Giocatori 2026_27'!$D$3:$D$493,MATCH($B141,'Input Giocatori 2026_27'!$A$3:$A$493,0)),"")</f>
        <v>Frosinone</v>
      </c>
      <c r="F141" s="42">
        <f>IFERROR(INDEX('Output Utente'!$N$2:$N$492,MATCH(138,'Output Utente'!$Q$2:$Q$492,0)),"")</f>
        <v>7</v>
      </c>
      <c r="G141" s="42">
        <f>IFERROR(INDEX('Output Utente'!$O$2:$O$492,MATCH(138,'Output Utente'!$Q$2:$Q$492,0)),"")</f>
        <v>24</v>
      </c>
      <c r="H141" s="5" t="str">
        <f>IFERROR(INDEX('Output Utente'!$P$2:$P$492,MATCH(138,'Output Utente'!$Q$2:$Q$492,0)),"")</f>
        <v>Nella Media</v>
      </c>
      <c r="I141" s="42">
        <f>IFERROR(INDEX('Output Utente'!$F$2:$F$492,MATCH(138,'Output Utente'!$Q$2:$Q$492,0)),"")</f>
        <v>8</v>
      </c>
      <c r="J141" s="42">
        <f>IFERROR(INDEX('Output Utente'!$G$2:$G$492,MATCH(138,'Output Utente'!$Q$2:$Q$492,0)),"")</f>
        <v>5</v>
      </c>
      <c r="K141" s="42">
        <f>IFERROR(INDEX('Output Utente'!$H$2:$H$492,MATCH(138,'Output Utente'!$Q$2:$Q$492,0)),"")</f>
        <v>9</v>
      </c>
      <c r="L141" s="5" t="str">
        <f>IFERROR(INDEX('Output Utente'!$E$2:$E$492,MATCH(138,'Output Utente'!$Q$2:$Q$492,0)),"")</f>
        <v>NO</v>
      </c>
      <c r="M141" s="5" t="str">
        <f>IFERROR(INDEX('Output Utente'!$U$2:$U$492,MATCH(138,'Output Utente'!$Q$2:$Q$492,0)),"")</f>
        <v>OK</v>
      </c>
      <c r="N141" s="5" t="str">
        <f>IFERROR(INDEX('Output Utente'!$AE$2:$AE$492,MATCH(138,'Output Utente'!$Q$2:$Q$492,0)),"")</f>
        <v>🟢 Riserve abbondanti</v>
      </c>
    </row>
    <row r="142" spans="1:14" ht="15" customHeight="1" x14ac:dyDescent="0.25">
      <c r="A142" s="41">
        <v>139</v>
      </c>
      <c r="B142" s="5">
        <f>IFERROR(INDEX('Output Utente'!$A$2:$A$492,MATCH(139,'Output Utente'!$Q$2:$Q$492,0)),"")</f>
        <v>6531</v>
      </c>
      <c r="C142" s="5" t="str">
        <f>IFERROR(INDEX('Output Utente'!$B$2:$B$492,MATCH(139,'Output Utente'!$Q$2:$Q$492,0)),"")</f>
        <v>D</v>
      </c>
      <c r="D142" s="5" t="str">
        <f>IFERROR(INDEX('Output Utente'!$C$2:$C$492,MATCH(139,'Output Utente'!$Q$2:$Q$492,0)),"")</f>
        <v>Jimenez A.</v>
      </c>
      <c r="E142" s="5" t="str">
        <f>IFERROR(INDEX('Input Giocatori 2026_27'!$D$3:$D$493,MATCH($B142,'Input Giocatori 2026_27'!$A$3:$A$493,0)),"")</f>
        <v>Fiorentina</v>
      </c>
      <c r="F142" s="42">
        <f>IFERROR(INDEX('Output Utente'!$N$2:$N$492,MATCH(139,'Output Utente'!$Q$2:$Q$492,0)),"")</f>
        <v>8</v>
      </c>
      <c r="G142" s="42">
        <f>IFERROR(INDEX('Output Utente'!$O$2:$O$492,MATCH(139,'Output Utente'!$Q$2:$Q$492,0)),"")</f>
        <v>23</v>
      </c>
      <c r="H142" s="5" t="str">
        <f>IFERROR(INDEX('Output Utente'!$P$2:$P$492,MATCH(139,'Output Utente'!$Q$2:$Q$492,0)),"")</f>
        <v>Buono</v>
      </c>
      <c r="I142" s="42">
        <f>IFERROR(INDEX('Output Utente'!$F$2:$F$492,MATCH(139,'Output Utente'!$Q$2:$Q$492,0)),"")</f>
        <v>4</v>
      </c>
      <c r="J142" s="42">
        <f>IFERROR(INDEX('Output Utente'!$G$2:$G$492,MATCH(139,'Output Utente'!$Q$2:$Q$492,0)),"")</f>
        <v>3</v>
      </c>
      <c r="K142" s="42">
        <f>IFERROR(INDEX('Output Utente'!$H$2:$H$492,MATCH(139,'Output Utente'!$Q$2:$Q$492,0)),"")</f>
        <v>4</v>
      </c>
      <c r="L142" s="5" t="str">
        <f>IFERROR(INDEX('Output Utente'!$E$2:$E$492,MATCH(139,'Output Utente'!$Q$2:$Q$492,0)),"")</f>
        <v>NO</v>
      </c>
      <c r="M142" s="5" t="str">
        <f>IFERROR(INDEX('Output Utente'!$U$2:$U$492,MATCH(139,'Output Utente'!$Q$2:$Q$492,0)),"")</f>
        <v>OK</v>
      </c>
      <c r="N142" s="5" t="str">
        <f>IFERROR(INDEX('Output Utente'!$AE$2:$AE$492,MATCH(139,'Output Utente'!$Q$2:$Q$492,0)),"")</f>
        <v>🟢 Riserve abbondanti</v>
      </c>
    </row>
    <row r="143" spans="1:14" ht="15" customHeight="1" x14ac:dyDescent="0.25">
      <c r="A143" s="41">
        <v>140</v>
      </c>
      <c r="B143" s="5">
        <f>IFERROR(INDEX('Output Utente'!$A$2:$A$492,MATCH(140,'Output Utente'!$Q$2:$Q$492,0)),"")</f>
        <v>7414</v>
      </c>
      <c r="C143" s="5" t="str">
        <f>IFERROR(INDEX('Output Utente'!$B$2:$B$492,MATCH(140,'Output Utente'!$Q$2:$Q$492,0)),"")</f>
        <v>D</v>
      </c>
      <c r="D143" s="5" t="str">
        <f>IFERROR(INDEX('Output Utente'!$C$2:$C$492,MATCH(140,'Output Utente'!$Q$2:$Q$492,0)),"")</f>
        <v>Kaiki</v>
      </c>
      <c r="E143" s="5" t="str">
        <f>IFERROR(INDEX('Input Giocatori 2026_27'!$D$3:$D$493,MATCH($B143,'Input Giocatori 2026_27'!$A$3:$A$493,0)),"")</f>
        <v>Como</v>
      </c>
      <c r="F143" s="42">
        <f>IFERROR(INDEX('Output Utente'!$N$2:$N$492,MATCH(140,'Output Utente'!$Q$2:$Q$492,0)),"")</f>
        <v>7</v>
      </c>
      <c r="G143" s="42">
        <f>IFERROR(INDEX('Output Utente'!$O$2:$O$492,MATCH(140,'Output Utente'!$Q$2:$Q$492,0)),"")</f>
        <v>23</v>
      </c>
      <c r="H143" s="5" t="str">
        <f>IFERROR(INDEX('Output Utente'!$P$2:$P$492,MATCH(140,'Output Utente'!$Q$2:$Q$492,0)),"")</f>
        <v>Buono</v>
      </c>
      <c r="I143" s="42">
        <f>IFERROR(INDEX('Output Utente'!$F$2:$F$492,MATCH(140,'Output Utente'!$Q$2:$Q$492,0)),"")</f>
        <v>4</v>
      </c>
      <c r="J143" s="42">
        <f>IFERROR(INDEX('Output Utente'!$G$2:$G$492,MATCH(140,'Output Utente'!$Q$2:$Q$492,0)),"")</f>
        <v>3</v>
      </c>
      <c r="K143" s="42">
        <f>IFERROR(INDEX('Output Utente'!$H$2:$H$492,MATCH(140,'Output Utente'!$Q$2:$Q$492,0)),"")</f>
        <v>5</v>
      </c>
      <c r="L143" s="5" t="str">
        <f>IFERROR(INDEX('Output Utente'!$E$2:$E$492,MATCH(140,'Output Utente'!$Q$2:$Q$492,0)),"")</f>
        <v>NO</v>
      </c>
      <c r="M143" s="5" t="str">
        <f>IFERROR(INDEX('Output Utente'!$U$2:$U$492,MATCH(140,'Output Utente'!$Q$2:$Q$492,0)),"")</f>
        <v>OK</v>
      </c>
      <c r="N143" s="5" t="str">
        <f>IFERROR(INDEX('Output Utente'!$AE$2:$AE$492,MATCH(140,'Output Utente'!$Q$2:$Q$492,0)),"")</f>
        <v>🟢 Riserve abbondanti</v>
      </c>
    </row>
    <row r="144" spans="1:14" ht="15" customHeight="1" x14ac:dyDescent="0.25">
      <c r="A144" s="41">
        <v>141</v>
      </c>
      <c r="B144" s="5">
        <f>IFERROR(INDEX('Output Utente'!$A$2:$A$492,MATCH(141,'Output Utente'!$Q$2:$Q$492,0)),"")</f>
        <v>4401</v>
      </c>
      <c r="C144" s="5" t="str">
        <f>IFERROR(INDEX('Output Utente'!$B$2:$B$492,MATCH(141,'Output Utente'!$Q$2:$Q$492,0)),"")</f>
        <v>D</v>
      </c>
      <c r="D144" s="5" t="str">
        <f>IFERROR(INDEX('Output Utente'!$C$2:$C$492,MATCH(141,'Output Utente'!$Q$2:$Q$492,0)),"")</f>
        <v>Gabbia</v>
      </c>
      <c r="E144" s="5" t="str">
        <f>IFERROR(INDEX('Input Giocatori 2026_27'!$D$3:$D$493,MATCH($B144,'Input Giocatori 2026_27'!$A$3:$A$493,0)),"")</f>
        <v>Milan</v>
      </c>
      <c r="F144" s="42">
        <f>IFERROR(INDEX('Output Utente'!$N$2:$N$492,MATCH(141,'Output Utente'!$Q$2:$Q$492,0)),"")</f>
        <v>7</v>
      </c>
      <c r="G144" s="42">
        <f>IFERROR(INDEX('Output Utente'!$O$2:$O$492,MATCH(141,'Output Utente'!$Q$2:$Q$492,0)),"")</f>
        <v>23</v>
      </c>
      <c r="H144" s="5" t="str">
        <f>IFERROR(INDEX('Output Utente'!$P$2:$P$492,MATCH(141,'Output Utente'!$Q$2:$Q$492,0)),"")</f>
        <v>Buono</v>
      </c>
      <c r="I144" s="42">
        <f>IFERROR(INDEX('Output Utente'!$F$2:$F$492,MATCH(141,'Output Utente'!$Q$2:$Q$492,0)),"")</f>
        <v>4</v>
      </c>
      <c r="J144" s="42">
        <f>IFERROR(INDEX('Output Utente'!$G$2:$G$492,MATCH(141,'Output Utente'!$Q$2:$Q$492,0)),"")</f>
        <v>3</v>
      </c>
      <c r="K144" s="42">
        <f>IFERROR(INDEX('Output Utente'!$H$2:$H$492,MATCH(141,'Output Utente'!$Q$2:$Q$492,0)),"")</f>
        <v>5</v>
      </c>
      <c r="L144" s="5" t="str">
        <f>IFERROR(INDEX('Output Utente'!$E$2:$E$492,MATCH(141,'Output Utente'!$Q$2:$Q$492,0)),"")</f>
        <v>NO</v>
      </c>
      <c r="M144" s="5" t="str">
        <f>IFERROR(INDEX('Output Utente'!$U$2:$U$492,MATCH(141,'Output Utente'!$Q$2:$Q$492,0)),"")</f>
        <v>OK</v>
      </c>
      <c r="N144" s="5" t="str">
        <f>IFERROR(INDEX('Output Utente'!$AE$2:$AE$492,MATCH(141,'Output Utente'!$Q$2:$Q$492,0)),"")</f>
        <v>🟢 Riserve abbondanti</v>
      </c>
    </row>
    <row r="145" spans="1:14" ht="15" customHeight="1" x14ac:dyDescent="0.25">
      <c r="A145" s="41">
        <v>142</v>
      </c>
      <c r="B145" s="5">
        <f>IFERROR(INDEX('Output Utente'!$A$2:$A$492,MATCH(142,'Output Utente'!$Q$2:$Q$492,0)),"")</f>
        <v>4465</v>
      </c>
      <c r="C145" s="5" t="str">
        <f>IFERROR(INDEX('Output Utente'!$B$2:$B$492,MATCH(142,'Output Utente'!$Q$2:$Q$492,0)),"")</f>
        <v>C</v>
      </c>
      <c r="D145" s="5" t="str">
        <f>IFERROR(INDEX('Output Utente'!$C$2:$C$492,MATCH(142,'Output Utente'!$Q$2:$Q$492,0)),"")</f>
        <v>Fagioli</v>
      </c>
      <c r="E145" s="5" t="str">
        <f>IFERROR(INDEX('Input Giocatori 2026_27'!$D$3:$D$493,MATCH($B145,'Input Giocatori 2026_27'!$A$3:$A$493,0)),"")</f>
        <v>Fiorentina</v>
      </c>
      <c r="F145" s="42">
        <f>IFERROR(INDEX('Output Utente'!$N$2:$N$492,MATCH(142,'Output Utente'!$Q$2:$Q$492,0)),"")</f>
        <v>8</v>
      </c>
      <c r="G145" s="42">
        <f>IFERROR(INDEX('Output Utente'!$O$2:$O$492,MATCH(142,'Output Utente'!$Q$2:$Q$492,0)),"")</f>
        <v>23</v>
      </c>
      <c r="H145" s="5" t="str">
        <f>IFERROR(INDEX('Output Utente'!$P$2:$P$492,MATCH(142,'Output Utente'!$Q$2:$Q$492,0)),"")</f>
        <v>Buono</v>
      </c>
      <c r="I145" s="42">
        <f>IFERROR(INDEX('Output Utente'!$F$2:$F$492,MATCH(142,'Output Utente'!$Q$2:$Q$492,0)),"")</f>
        <v>3</v>
      </c>
      <c r="J145" s="42">
        <f>IFERROR(INDEX('Output Utente'!$G$2:$G$492,MATCH(142,'Output Utente'!$Q$2:$Q$492,0)),"")</f>
        <v>2</v>
      </c>
      <c r="K145" s="42">
        <f>IFERROR(INDEX('Output Utente'!$H$2:$H$492,MATCH(142,'Output Utente'!$Q$2:$Q$492,0)),"")</f>
        <v>3</v>
      </c>
      <c r="L145" s="5" t="str">
        <f>IFERROR(INDEX('Output Utente'!$E$2:$E$492,MATCH(142,'Output Utente'!$Q$2:$Q$492,0)),"")</f>
        <v>NO</v>
      </c>
      <c r="M145" s="5" t="str">
        <f>IFERROR(INDEX('Output Utente'!$U$2:$U$492,MATCH(142,'Output Utente'!$Q$2:$Q$492,0)),"")</f>
        <v>OK</v>
      </c>
      <c r="N145" s="5" t="str">
        <f>IFERROR(INDEX('Output Utente'!$AE$2:$AE$492,MATCH(142,'Output Utente'!$Q$2:$Q$492,0)),"")</f>
        <v>🟢 Riserve abbondanti</v>
      </c>
    </row>
    <row r="146" spans="1:14" ht="15" customHeight="1" x14ac:dyDescent="0.25">
      <c r="A146" s="41">
        <v>143</v>
      </c>
      <c r="B146" s="5">
        <f>IFERROR(INDEX('Output Utente'!$A$2:$A$492,MATCH(143,'Output Utente'!$Q$2:$Q$492,0)),"")</f>
        <v>5735</v>
      </c>
      <c r="C146" s="5" t="str">
        <f>IFERROR(INDEX('Output Utente'!$B$2:$B$492,MATCH(143,'Output Utente'!$Q$2:$Q$492,0)),"")</f>
        <v>C</v>
      </c>
      <c r="D146" s="5" t="str">
        <f>IFERROR(INDEX('Output Utente'!$C$2:$C$492,MATCH(143,'Output Utente'!$Q$2:$Q$492,0)),"")</f>
        <v>Volpato</v>
      </c>
      <c r="E146" s="5" t="str">
        <f>IFERROR(INDEX('Input Giocatori 2026_27'!$D$3:$D$493,MATCH($B146,'Input Giocatori 2026_27'!$A$3:$A$493,0)),"")</f>
        <v>Sassuolo</v>
      </c>
      <c r="F146" s="42">
        <f>IFERROR(INDEX('Output Utente'!$N$2:$N$492,MATCH(143,'Output Utente'!$Q$2:$Q$492,0)),"")</f>
        <v>7</v>
      </c>
      <c r="G146" s="42">
        <f>IFERROR(INDEX('Output Utente'!$O$2:$O$492,MATCH(143,'Output Utente'!$Q$2:$Q$492,0)),"")</f>
        <v>23</v>
      </c>
      <c r="H146" s="5" t="str">
        <f>IFERROR(INDEX('Output Utente'!$P$2:$P$492,MATCH(143,'Output Utente'!$Q$2:$Q$492,0)),"")</f>
        <v>Buono</v>
      </c>
      <c r="I146" s="42">
        <f>IFERROR(INDEX('Output Utente'!$F$2:$F$492,MATCH(143,'Output Utente'!$Q$2:$Q$492,0)),"")</f>
        <v>3</v>
      </c>
      <c r="J146" s="42">
        <f>IFERROR(INDEX('Output Utente'!$G$2:$G$492,MATCH(143,'Output Utente'!$Q$2:$Q$492,0)),"")</f>
        <v>2</v>
      </c>
      <c r="K146" s="42">
        <f>IFERROR(INDEX('Output Utente'!$H$2:$H$492,MATCH(143,'Output Utente'!$Q$2:$Q$492,0)),"")</f>
        <v>3</v>
      </c>
      <c r="L146" s="5" t="str">
        <f>IFERROR(INDEX('Output Utente'!$E$2:$E$492,MATCH(143,'Output Utente'!$Q$2:$Q$492,0)),"")</f>
        <v>NO</v>
      </c>
      <c r="M146" s="5" t="str">
        <f>IFERROR(INDEX('Output Utente'!$U$2:$U$492,MATCH(143,'Output Utente'!$Q$2:$Q$492,0)),"")</f>
        <v>OK</v>
      </c>
      <c r="N146" s="5" t="str">
        <f>IFERROR(INDEX('Output Utente'!$AE$2:$AE$492,MATCH(143,'Output Utente'!$Q$2:$Q$492,0)),"")</f>
        <v>🟢 Riserve abbondanti</v>
      </c>
    </row>
    <row r="147" spans="1:14" ht="15" customHeight="1" x14ac:dyDescent="0.25">
      <c r="A147" s="41">
        <v>144</v>
      </c>
      <c r="B147" s="5">
        <f>IFERROR(INDEX('Output Utente'!$A$2:$A$492,MATCH(144,'Output Utente'!$Q$2:$Q$492,0)),"")</f>
        <v>6783</v>
      </c>
      <c r="C147" s="5" t="str">
        <f>IFERROR(INDEX('Output Utente'!$B$2:$B$492,MATCH(144,'Output Utente'!$Q$2:$Q$492,0)),"")</f>
        <v>C</v>
      </c>
      <c r="D147" s="5" t="str">
        <f>IFERROR(INDEX('Output Utente'!$C$2:$C$492,MATCH(144,'Output Utente'!$Q$2:$Q$492,0)),"")</f>
        <v>Unai Gomez</v>
      </c>
      <c r="E147" s="5" t="str">
        <f>IFERROR(INDEX('Input Giocatori 2026_27'!$D$3:$D$493,MATCH($B147,'Input Giocatori 2026_27'!$A$3:$A$493,0)),"")</f>
        <v>Udinese</v>
      </c>
      <c r="F147" s="42">
        <f>IFERROR(INDEX('Output Utente'!$N$2:$N$492,MATCH(144,'Output Utente'!$Q$2:$Q$492,0)),"")</f>
        <v>7</v>
      </c>
      <c r="G147" s="42">
        <f>IFERROR(INDEX('Output Utente'!$O$2:$O$492,MATCH(144,'Output Utente'!$Q$2:$Q$492,0)),"")</f>
        <v>23</v>
      </c>
      <c r="H147" s="5" t="str">
        <f>IFERROR(INDEX('Output Utente'!$P$2:$P$492,MATCH(144,'Output Utente'!$Q$2:$Q$492,0)),"")</f>
        <v>Buono</v>
      </c>
      <c r="I147" s="42">
        <f>IFERROR(INDEX('Output Utente'!$F$2:$F$492,MATCH(144,'Output Utente'!$Q$2:$Q$492,0)),"")</f>
        <v>3</v>
      </c>
      <c r="J147" s="42">
        <f>IFERROR(INDEX('Output Utente'!$G$2:$G$492,MATCH(144,'Output Utente'!$Q$2:$Q$492,0)),"")</f>
        <v>2</v>
      </c>
      <c r="K147" s="42">
        <f>IFERROR(INDEX('Output Utente'!$H$2:$H$492,MATCH(144,'Output Utente'!$Q$2:$Q$492,0)),"")</f>
        <v>3</v>
      </c>
      <c r="L147" s="5" t="str">
        <f>IFERROR(INDEX('Output Utente'!$E$2:$E$492,MATCH(144,'Output Utente'!$Q$2:$Q$492,0)),"")</f>
        <v>NO</v>
      </c>
      <c r="M147" s="5" t="str">
        <f>IFERROR(INDEX('Output Utente'!$U$2:$U$492,MATCH(144,'Output Utente'!$Q$2:$Q$492,0)),"")</f>
        <v>OK</v>
      </c>
      <c r="N147" s="5" t="str">
        <f>IFERROR(INDEX('Output Utente'!$AE$2:$AE$492,MATCH(144,'Output Utente'!$Q$2:$Q$492,0)),"")</f>
        <v>🟢 Riserve abbondanti</v>
      </c>
    </row>
    <row r="148" spans="1:14" ht="15" customHeight="1" x14ac:dyDescent="0.25">
      <c r="A148" s="41">
        <v>145</v>
      </c>
      <c r="B148" s="5">
        <f>IFERROR(INDEX('Output Utente'!$A$2:$A$492,MATCH(145,'Output Utente'!$Q$2:$Q$492,0)),"")</f>
        <v>4686</v>
      </c>
      <c r="C148" s="5" t="str">
        <f>IFERROR(INDEX('Output Utente'!$B$2:$B$492,MATCH(145,'Output Utente'!$Q$2:$Q$492,0)),"")</f>
        <v>C</v>
      </c>
      <c r="D148" s="5" t="str">
        <f>IFERROR(INDEX('Output Utente'!$C$2:$C$492,MATCH(145,'Output Utente'!$Q$2:$Q$492,0)),"")</f>
        <v>Fofana Y.</v>
      </c>
      <c r="E148" s="5" t="str">
        <f>IFERROR(INDEX('Input Giocatori 2026_27'!$D$3:$D$493,MATCH($B148,'Input Giocatori 2026_27'!$A$3:$A$493,0)),"")</f>
        <v>Milan</v>
      </c>
      <c r="F148" s="42">
        <f>IFERROR(INDEX('Output Utente'!$N$2:$N$492,MATCH(145,'Output Utente'!$Q$2:$Q$492,0)),"")</f>
        <v>5</v>
      </c>
      <c r="G148" s="42">
        <f>IFERROR(INDEX('Output Utente'!$O$2:$O$492,MATCH(145,'Output Utente'!$Q$2:$Q$492,0)),"")</f>
        <v>23</v>
      </c>
      <c r="H148" s="5" t="str">
        <f>IFERROR(INDEX('Output Utente'!$P$2:$P$492,MATCH(145,'Output Utente'!$Q$2:$Q$492,0)),"")</f>
        <v>Buono</v>
      </c>
      <c r="I148" s="42">
        <f>IFERROR(INDEX('Output Utente'!$F$2:$F$492,MATCH(145,'Output Utente'!$Q$2:$Q$492,0)),"")</f>
        <v>3</v>
      </c>
      <c r="J148" s="42">
        <f>IFERROR(INDEX('Output Utente'!$G$2:$G$492,MATCH(145,'Output Utente'!$Q$2:$Q$492,0)),"")</f>
        <v>2</v>
      </c>
      <c r="K148" s="42">
        <f>IFERROR(INDEX('Output Utente'!$H$2:$H$492,MATCH(145,'Output Utente'!$Q$2:$Q$492,0)),"")</f>
        <v>3</v>
      </c>
      <c r="L148" s="5" t="str">
        <f>IFERROR(INDEX('Output Utente'!$E$2:$E$492,MATCH(145,'Output Utente'!$Q$2:$Q$492,0)),"")</f>
        <v>NO</v>
      </c>
      <c r="M148" s="5" t="str">
        <f>IFERROR(INDEX('Output Utente'!$U$2:$U$492,MATCH(145,'Output Utente'!$Q$2:$Q$492,0)),"")</f>
        <v>OK</v>
      </c>
      <c r="N148" s="5" t="str">
        <f>IFERROR(INDEX('Output Utente'!$AE$2:$AE$492,MATCH(145,'Output Utente'!$Q$2:$Q$492,0)),"")</f>
        <v>🟢 Riserve abbondanti</v>
      </c>
    </row>
    <row r="149" spans="1:14" ht="15" customHeight="1" x14ac:dyDescent="0.25">
      <c r="A149" s="41">
        <v>146</v>
      </c>
      <c r="B149" s="5">
        <f>IFERROR(INDEX('Output Utente'!$A$2:$A$492,MATCH(146,'Output Utente'!$Q$2:$Q$492,0)),"")</f>
        <v>6643</v>
      </c>
      <c r="C149" s="5" t="str">
        <f>IFERROR(INDEX('Output Utente'!$B$2:$B$492,MATCH(146,'Output Utente'!$Q$2:$Q$492,0)),"")</f>
        <v>A</v>
      </c>
      <c r="D149" s="5" t="str">
        <f>IFERROR(INDEX('Output Utente'!$C$2:$C$492,MATCH(146,'Output Utente'!$Q$2:$Q$492,0)),"")</f>
        <v>Dallinga</v>
      </c>
      <c r="E149" s="5" t="str">
        <f>IFERROR(INDEX('Input Giocatori 2026_27'!$D$3:$D$493,MATCH($B149,'Input Giocatori 2026_27'!$A$3:$A$493,0)),"")</f>
        <v>Bologna</v>
      </c>
      <c r="F149" s="42">
        <f>IFERROR(INDEX('Output Utente'!$N$2:$N$492,MATCH(146,'Output Utente'!$Q$2:$Q$492,0)),"")</f>
        <v>8</v>
      </c>
      <c r="G149" s="42">
        <f>IFERROR(INDEX('Output Utente'!$O$2:$O$492,MATCH(146,'Output Utente'!$Q$2:$Q$492,0)),"")</f>
        <v>23</v>
      </c>
      <c r="H149" s="5" t="str">
        <f>IFERROR(INDEX('Output Utente'!$P$2:$P$492,MATCH(146,'Output Utente'!$Q$2:$Q$492,0)),"")</f>
        <v>Nella Media</v>
      </c>
      <c r="I149" s="42">
        <f>IFERROR(INDEX('Output Utente'!$F$2:$F$492,MATCH(146,'Output Utente'!$Q$2:$Q$492,0)),"")</f>
        <v>7</v>
      </c>
      <c r="J149" s="42">
        <f>IFERROR(INDEX('Output Utente'!$G$2:$G$492,MATCH(146,'Output Utente'!$Q$2:$Q$492,0)),"")</f>
        <v>5</v>
      </c>
      <c r="K149" s="42">
        <f>IFERROR(INDEX('Output Utente'!$H$2:$H$492,MATCH(146,'Output Utente'!$Q$2:$Q$492,0)),"")</f>
        <v>8</v>
      </c>
      <c r="L149" s="5" t="str">
        <f>IFERROR(INDEX('Output Utente'!$E$2:$E$492,MATCH(146,'Output Utente'!$Q$2:$Q$492,0)),"")</f>
        <v>NO</v>
      </c>
      <c r="M149" s="5" t="str">
        <f>IFERROR(INDEX('Output Utente'!$U$2:$U$492,MATCH(146,'Output Utente'!$Q$2:$Q$492,0)),"")</f>
        <v>OK</v>
      </c>
      <c r="N149" s="5" t="str">
        <f>IFERROR(INDEX('Output Utente'!$AE$2:$AE$492,MATCH(146,'Output Utente'!$Q$2:$Q$492,0)),"")</f>
        <v>🟢 Riserve abbondanti</v>
      </c>
    </row>
    <row r="150" spans="1:14" ht="15" customHeight="1" x14ac:dyDescent="0.25">
      <c r="A150" s="41">
        <v>147</v>
      </c>
      <c r="B150" s="5">
        <f>IFERROR(INDEX('Output Utente'!$A$2:$A$492,MATCH(147,'Output Utente'!$Q$2:$Q$492,0)),"")</f>
        <v>6814</v>
      </c>
      <c r="C150" s="5" t="str">
        <f>IFERROR(INDEX('Output Utente'!$B$2:$B$492,MATCH(147,'Output Utente'!$Q$2:$Q$492,0)),"")</f>
        <v>D</v>
      </c>
      <c r="D150" s="5" t="str">
        <f>IFERROR(INDEX('Output Utente'!$C$2:$C$492,MATCH(147,'Output Utente'!$Q$2:$Q$492,0)),"")</f>
        <v>Norton-Cuffy</v>
      </c>
      <c r="E150" s="5" t="str">
        <f>IFERROR(INDEX('Input Giocatori 2026_27'!$D$3:$D$493,MATCH($B150,'Input Giocatori 2026_27'!$A$3:$A$493,0)),"")</f>
        <v>Genoa</v>
      </c>
      <c r="F150" s="42">
        <f>IFERROR(INDEX('Output Utente'!$N$2:$N$492,MATCH(147,'Output Utente'!$Q$2:$Q$492,0)),"")</f>
        <v>8</v>
      </c>
      <c r="G150" s="42">
        <f>IFERROR(INDEX('Output Utente'!$O$2:$O$492,MATCH(147,'Output Utente'!$Q$2:$Q$492,0)),"")</f>
        <v>22</v>
      </c>
      <c r="H150" s="5" t="str">
        <f>IFERROR(INDEX('Output Utente'!$P$2:$P$492,MATCH(147,'Output Utente'!$Q$2:$Q$492,0)),"")</f>
        <v>Buono</v>
      </c>
      <c r="I150" s="42">
        <f>IFERROR(INDEX('Output Utente'!$F$2:$F$492,MATCH(147,'Output Utente'!$Q$2:$Q$492,0)),"")</f>
        <v>4</v>
      </c>
      <c r="J150" s="42">
        <f>IFERROR(INDEX('Output Utente'!$G$2:$G$492,MATCH(147,'Output Utente'!$Q$2:$Q$492,0)),"")</f>
        <v>3</v>
      </c>
      <c r="K150" s="42">
        <f>IFERROR(INDEX('Output Utente'!$H$2:$H$492,MATCH(147,'Output Utente'!$Q$2:$Q$492,0)),"")</f>
        <v>4</v>
      </c>
      <c r="L150" s="5" t="str">
        <f>IFERROR(INDEX('Output Utente'!$E$2:$E$492,MATCH(147,'Output Utente'!$Q$2:$Q$492,0)),"")</f>
        <v>NO</v>
      </c>
      <c r="M150" s="5" t="str">
        <f>IFERROR(INDEX('Output Utente'!$U$2:$U$492,MATCH(147,'Output Utente'!$Q$2:$Q$492,0)),"")</f>
        <v>OK</v>
      </c>
      <c r="N150" s="5" t="str">
        <f>IFERROR(INDEX('Output Utente'!$AE$2:$AE$492,MATCH(147,'Output Utente'!$Q$2:$Q$492,0)),"")</f>
        <v>🟢 Riserve abbondanti</v>
      </c>
    </row>
    <row r="151" spans="1:14" ht="15" customHeight="1" x14ac:dyDescent="0.25">
      <c r="A151" s="41">
        <v>148</v>
      </c>
      <c r="B151" s="5">
        <f>IFERROR(INDEX('Output Utente'!$A$2:$A$492,MATCH(148,'Output Utente'!$Q$2:$Q$492,0)),"")</f>
        <v>6320</v>
      </c>
      <c r="C151" s="5" t="str">
        <f>IFERROR(INDEX('Output Utente'!$B$2:$B$492,MATCH(148,'Output Utente'!$Q$2:$Q$492,0)),"")</f>
        <v>D</v>
      </c>
      <c r="D151" s="5" t="str">
        <f>IFERROR(INDEX('Output Utente'!$C$2:$C$492,MATCH(148,'Output Utente'!$Q$2:$Q$492,0)),"")</f>
        <v>Doekhi</v>
      </c>
      <c r="E151" s="5" t="str">
        <f>IFERROR(INDEX('Input Giocatori 2026_27'!$D$3:$D$493,MATCH($B151,'Input Giocatori 2026_27'!$A$3:$A$493,0)),"")</f>
        <v>Lazio</v>
      </c>
      <c r="F151" s="42">
        <f>IFERROR(INDEX('Output Utente'!$N$2:$N$492,MATCH(148,'Output Utente'!$Q$2:$Q$492,0)),"")</f>
        <v>7</v>
      </c>
      <c r="G151" s="42">
        <f>IFERROR(INDEX('Output Utente'!$O$2:$O$492,MATCH(148,'Output Utente'!$Q$2:$Q$492,0)),"")</f>
        <v>22</v>
      </c>
      <c r="H151" s="5" t="str">
        <f>IFERROR(INDEX('Output Utente'!$P$2:$P$492,MATCH(148,'Output Utente'!$Q$2:$Q$492,0)),"")</f>
        <v>Buono</v>
      </c>
      <c r="I151" s="42">
        <f>IFERROR(INDEX('Output Utente'!$F$2:$F$492,MATCH(148,'Output Utente'!$Q$2:$Q$492,0)),"")</f>
        <v>4</v>
      </c>
      <c r="J151" s="42">
        <f>IFERROR(INDEX('Output Utente'!$G$2:$G$492,MATCH(148,'Output Utente'!$Q$2:$Q$492,0)),"")</f>
        <v>3</v>
      </c>
      <c r="K151" s="42">
        <f>IFERROR(INDEX('Output Utente'!$H$2:$H$492,MATCH(148,'Output Utente'!$Q$2:$Q$492,0)),"")</f>
        <v>4</v>
      </c>
      <c r="L151" s="5" t="str">
        <f>IFERROR(INDEX('Output Utente'!$E$2:$E$492,MATCH(148,'Output Utente'!$Q$2:$Q$492,0)),"")</f>
        <v>NO</v>
      </c>
      <c r="M151" s="5" t="str">
        <f>IFERROR(INDEX('Output Utente'!$U$2:$U$492,MATCH(148,'Output Utente'!$Q$2:$Q$492,0)),"")</f>
        <v>OK</v>
      </c>
      <c r="N151" s="5" t="str">
        <f>IFERROR(INDEX('Output Utente'!$AE$2:$AE$492,MATCH(148,'Output Utente'!$Q$2:$Q$492,0)),"")</f>
        <v>🟢 Riserve abbondanti</v>
      </c>
    </row>
    <row r="152" spans="1:14" ht="15" customHeight="1" x14ac:dyDescent="0.25">
      <c r="A152" s="41">
        <v>149</v>
      </c>
      <c r="B152" s="5">
        <f>IFERROR(INDEX('Output Utente'!$A$2:$A$492,MATCH(149,'Output Utente'!$Q$2:$Q$492,0)),"")</f>
        <v>2765</v>
      </c>
      <c r="C152" s="5" t="str">
        <f>IFERROR(INDEX('Output Utente'!$B$2:$B$492,MATCH(149,'Output Utente'!$Q$2:$Q$492,0)),"")</f>
        <v>C</v>
      </c>
      <c r="D152" s="5" t="str">
        <f>IFERROR(INDEX('Output Utente'!$C$2:$C$492,MATCH(149,'Output Utente'!$Q$2:$Q$492,0)),"")</f>
        <v>Odgaard</v>
      </c>
      <c r="E152" s="5" t="str">
        <f>IFERROR(INDEX('Input Giocatori 2026_27'!$D$3:$D$493,MATCH($B152,'Input Giocatori 2026_27'!$A$3:$A$493,0)),"")</f>
        <v>Bologna</v>
      </c>
      <c r="F152" s="42">
        <f>IFERROR(INDEX('Output Utente'!$N$2:$N$492,MATCH(149,'Output Utente'!$Q$2:$Q$492,0)),"")</f>
        <v>8</v>
      </c>
      <c r="G152" s="42">
        <f>IFERROR(INDEX('Output Utente'!$O$2:$O$492,MATCH(149,'Output Utente'!$Q$2:$Q$492,0)),"")</f>
        <v>22</v>
      </c>
      <c r="H152" s="5" t="str">
        <f>IFERROR(INDEX('Output Utente'!$P$2:$P$492,MATCH(149,'Output Utente'!$Q$2:$Q$492,0)),"")</f>
        <v>Nella Media</v>
      </c>
      <c r="I152" s="42">
        <f>IFERROR(INDEX('Output Utente'!$F$2:$F$492,MATCH(149,'Output Utente'!$Q$2:$Q$492,0)),"")</f>
        <v>3</v>
      </c>
      <c r="J152" s="42">
        <f>IFERROR(INDEX('Output Utente'!$G$2:$G$492,MATCH(149,'Output Utente'!$Q$2:$Q$492,0)),"")</f>
        <v>2</v>
      </c>
      <c r="K152" s="42">
        <f>IFERROR(INDEX('Output Utente'!$H$2:$H$492,MATCH(149,'Output Utente'!$Q$2:$Q$492,0)),"")</f>
        <v>3</v>
      </c>
      <c r="L152" s="5" t="str">
        <f>IFERROR(INDEX('Output Utente'!$E$2:$E$492,MATCH(149,'Output Utente'!$Q$2:$Q$492,0)),"")</f>
        <v>NO</v>
      </c>
      <c r="M152" s="5" t="str">
        <f>IFERROR(INDEX('Output Utente'!$U$2:$U$492,MATCH(149,'Output Utente'!$Q$2:$Q$492,0)),"")</f>
        <v>OK</v>
      </c>
      <c r="N152" s="5" t="str">
        <f>IFERROR(INDEX('Output Utente'!$AE$2:$AE$492,MATCH(149,'Output Utente'!$Q$2:$Q$492,0)),"")</f>
        <v>🟢 Riserve abbondanti</v>
      </c>
    </row>
    <row r="153" spans="1:14" ht="15" customHeight="1" x14ac:dyDescent="0.25">
      <c r="A153" s="41">
        <v>150</v>
      </c>
      <c r="B153" s="5">
        <f>IFERROR(INDEX('Output Utente'!$A$2:$A$492,MATCH(150,'Output Utente'!$Q$2:$Q$492,0)),"")</f>
        <v>6678</v>
      </c>
      <c r="C153" s="5" t="str">
        <f>IFERROR(INDEX('Output Utente'!$B$2:$B$492,MATCH(150,'Output Utente'!$Q$2:$Q$492,0)),"")</f>
        <v>C</v>
      </c>
      <c r="D153" s="5" t="str">
        <f>IFERROR(INDEX('Output Utente'!$C$2:$C$492,MATCH(150,'Output Utente'!$Q$2:$Q$492,0)),"")</f>
        <v>Liberali</v>
      </c>
      <c r="E153" s="5" t="str">
        <f>IFERROR(INDEX('Input Giocatori 2026_27'!$D$3:$D$493,MATCH($B153,'Input Giocatori 2026_27'!$A$3:$A$493,0)),"")</f>
        <v>Como</v>
      </c>
      <c r="F153" s="42">
        <f>IFERROR(INDEX('Output Utente'!$N$2:$N$492,MATCH(150,'Output Utente'!$Q$2:$Q$492,0)),"")</f>
        <v>6</v>
      </c>
      <c r="G153" s="42">
        <f>IFERROR(INDEX('Output Utente'!$O$2:$O$492,MATCH(150,'Output Utente'!$Q$2:$Q$492,0)),"")</f>
        <v>22</v>
      </c>
      <c r="H153" s="5" t="str">
        <f>IFERROR(INDEX('Output Utente'!$P$2:$P$492,MATCH(150,'Output Utente'!$Q$2:$Q$492,0)),"")</f>
        <v>Nella Media</v>
      </c>
      <c r="I153" s="42">
        <f>IFERROR(INDEX('Output Utente'!$F$2:$F$492,MATCH(150,'Output Utente'!$Q$2:$Q$492,0)),"")</f>
        <v>3</v>
      </c>
      <c r="J153" s="42">
        <f>IFERROR(INDEX('Output Utente'!$G$2:$G$492,MATCH(150,'Output Utente'!$Q$2:$Q$492,0)),"")</f>
        <v>2</v>
      </c>
      <c r="K153" s="42">
        <f>IFERROR(INDEX('Output Utente'!$H$2:$H$492,MATCH(150,'Output Utente'!$Q$2:$Q$492,0)),"")</f>
        <v>3</v>
      </c>
      <c r="L153" s="5" t="str">
        <f>IFERROR(INDEX('Output Utente'!$E$2:$E$492,MATCH(150,'Output Utente'!$Q$2:$Q$492,0)),"")</f>
        <v>NO</v>
      </c>
      <c r="M153" s="5" t="str">
        <f>IFERROR(INDEX('Output Utente'!$U$2:$U$492,MATCH(150,'Output Utente'!$Q$2:$Q$492,0)),"")</f>
        <v>OK</v>
      </c>
      <c r="N153" s="5" t="str">
        <f>IFERROR(INDEX('Output Utente'!$AE$2:$AE$492,MATCH(150,'Output Utente'!$Q$2:$Q$492,0)),"")</f>
        <v>🟢 Riserve abbondanti</v>
      </c>
    </row>
    <row r="154" spans="1:14" ht="15" customHeight="1" x14ac:dyDescent="0.25">
      <c r="A154" s="41">
        <v>151</v>
      </c>
      <c r="B154" s="5">
        <f>IFERROR(INDEX('Output Utente'!$A$2:$A$492,MATCH(151,'Output Utente'!$Q$2:$Q$492,0)),"")</f>
        <v>6831</v>
      </c>
      <c r="C154" s="5" t="str">
        <f>IFERROR(INDEX('Output Utente'!$B$2:$B$492,MATCH(151,'Output Utente'!$Q$2:$Q$492,0)),"")</f>
        <v>A</v>
      </c>
      <c r="D154" s="5" t="str">
        <f>IFERROR(INDEX('Output Utente'!$C$2:$C$492,MATCH(151,'Output Utente'!$Q$2:$Q$492,0)),"")</f>
        <v>Neres</v>
      </c>
      <c r="E154" s="5" t="str">
        <f>IFERROR(INDEX('Input Giocatori 2026_27'!$D$3:$D$493,MATCH($B154,'Input Giocatori 2026_27'!$A$3:$A$493,0)),"")</f>
        <v>Napoli</v>
      </c>
      <c r="F154" s="42">
        <f>IFERROR(INDEX('Output Utente'!$N$2:$N$492,MATCH(151,'Output Utente'!$Q$2:$Q$492,0)),"")</f>
        <v>6</v>
      </c>
      <c r="G154" s="42">
        <f>IFERROR(INDEX('Output Utente'!$O$2:$O$492,MATCH(151,'Output Utente'!$Q$2:$Q$492,0)),"")</f>
        <v>22</v>
      </c>
      <c r="H154" s="5" t="str">
        <f>IFERROR(INDEX('Output Utente'!$P$2:$P$492,MATCH(151,'Output Utente'!$Q$2:$Q$492,0)),"")</f>
        <v>Nella Media</v>
      </c>
      <c r="I154" s="42">
        <f>IFERROR(INDEX('Output Utente'!$F$2:$F$492,MATCH(151,'Output Utente'!$Q$2:$Q$492,0)),"")</f>
        <v>7</v>
      </c>
      <c r="J154" s="42">
        <f>IFERROR(INDEX('Output Utente'!$G$2:$G$492,MATCH(151,'Output Utente'!$Q$2:$Q$492,0)),"")</f>
        <v>4</v>
      </c>
      <c r="K154" s="42">
        <f>IFERROR(INDEX('Output Utente'!$H$2:$H$492,MATCH(151,'Output Utente'!$Q$2:$Q$492,0)),"")</f>
        <v>8</v>
      </c>
      <c r="L154" s="5" t="str">
        <f>IFERROR(INDEX('Output Utente'!$E$2:$E$492,MATCH(151,'Output Utente'!$Q$2:$Q$492,0)),"")</f>
        <v>NO</v>
      </c>
      <c r="M154" s="5" t="str">
        <f>IFERROR(INDEX('Output Utente'!$U$2:$U$492,MATCH(151,'Output Utente'!$Q$2:$Q$492,0)),"")</f>
        <v>OK</v>
      </c>
      <c r="N154" s="5" t="str">
        <f>IFERROR(INDEX('Output Utente'!$AE$2:$AE$492,MATCH(151,'Output Utente'!$Q$2:$Q$492,0)),"")</f>
        <v>🟢 Riserve abbondanti</v>
      </c>
    </row>
    <row r="155" spans="1:14" ht="15" customHeight="1" x14ac:dyDescent="0.25">
      <c r="A155" s="41">
        <v>152</v>
      </c>
      <c r="B155" s="5">
        <f>IFERROR(INDEX('Output Utente'!$A$2:$A$492,MATCH(152,'Output Utente'!$Q$2:$Q$492,0)),"")</f>
        <v>4657</v>
      </c>
      <c r="C155" s="5" t="str">
        <f>IFERROR(INDEX('Output Utente'!$B$2:$B$492,MATCH(152,'Output Utente'!$Q$2:$Q$492,0)),"")</f>
        <v>D</v>
      </c>
      <c r="D155" s="5" t="str">
        <f>IFERROR(INDEX('Output Utente'!$C$2:$C$492,MATCH(152,'Output Utente'!$Q$2:$Q$492,0)),"")</f>
        <v>Celik</v>
      </c>
      <c r="E155" s="5" t="str">
        <f>IFERROR(INDEX('Input Giocatori 2026_27'!$D$3:$D$493,MATCH($B155,'Input Giocatori 2026_27'!$A$3:$A$493,0)),"")</f>
        <v>Juventus</v>
      </c>
      <c r="F155" s="42">
        <f>IFERROR(INDEX('Output Utente'!$N$2:$N$492,MATCH(152,'Output Utente'!$Q$2:$Q$492,0)),"")</f>
        <v>8</v>
      </c>
      <c r="G155" s="42">
        <f>IFERROR(INDEX('Output Utente'!$O$2:$O$492,MATCH(152,'Output Utente'!$Q$2:$Q$492,0)),"")</f>
        <v>21</v>
      </c>
      <c r="H155" s="5" t="str">
        <f>IFERROR(INDEX('Output Utente'!$P$2:$P$492,MATCH(152,'Output Utente'!$Q$2:$Q$492,0)),"")</f>
        <v>Buono</v>
      </c>
      <c r="I155" s="42">
        <f>IFERROR(INDEX('Output Utente'!$F$2:$F$492,MATCH(152,'Output Utente'!$Q$2:$Q$492,0)),"")</f>
        <v>4</v>
      </c>
      <c r="J155" s="42">
        <f>IFERROR(INDEX('Output Utente'!$G$2:$G$492,MATCH(152,'Output Utente'!$Q$2:$Q$492,0)),"")</f>
        <v>3</v>
      </c>
      <c r="K155" s="42">
        <f>IFERROR(INDEX('Output Utente'!$H$2:$H$492,MATCH(152,'Output Utente'!$Q$2:$Q$492,0)),"")</f>
        <v>4</v>
      </c>
      <c r="L155" s="5" t="str">
        <f>IFERROR(INDEX('Output Utente'!$E$2:$E$492,MATCH(152,'Output Utente'!$Q$2:$Q$492,0)),"")</f>
        <v>NO</v>
      </c>
      <c r="M155" s="5" t="str">
        <f>IFERROR(INDEX('Output Utente'!$U$2:$U$492,MATCH(152,'Output Utente'!$Q$2:$Q$492,0)),"")</f>
        <v>OK</v>
      </c>
      <c r="N155" s="5" t="str">
        <f>IFERROR(INDEX('Output Utente'!$AE$2:$AE$492,MATCH(152,'Output Utente'!$Q$2:$Q$492,0)),"")</f>
        <v>🟢 Riserve abbondanti</v>
      </c>
    </row>
    <row r="156" spans="1:14" ht="15" customHeight="1" x14ac:dyDescent="0.25">
      <c r="A156" s="41">
        <v>153</v>
      </c>
      <c r="B156" s="5">
        <f>IFERROR(INDEX('Output Utente'!$A$2:$A$492,MATCH(153,'Output Utente'!$Q$2:$Q$492,0)),"")</f>
        <v>6664</v>
      </c>
      <c r="C156" s="5" t="str">
        <f>IFERROR(INDEX('Output Utente'!$B$2:$B$492,MATCH(153,'Output Utente'!$Q$2:$Q$492,0)),"")</f>
        <v>D</v>
      </c>
      <c r="D156" s="5" t="str">
        <f>IFERROR(INDEX('Output Utente'!$C$2:$C$492,MATCH(153,'Output Utente'!$Q$2:$Q$492,0)),"")</f>
        <v>Delprato</v>
      </c>
      <c r="E156" s="5" t="str">
        <f>IFERROR(INDEX('Input Giocatori 2026_27'!$D$3:$D$493,MATCH($B156,'Input Giocatori 2026_27'!$A$3:$A$493,0)),"")</f>
        <v>Parma</v>
      </c>
      <c r="F156" s="42">
        <f>IFERROR(INDEX('Output Utente'!$N$2:$N$492,MATCH(153,'Output Utente'!$Q$2:$Q$492,0)),"")</f>
        <v>8</v>
      </c>
      <c r="G156" s="42">
        <f>IFERROR(INDEX('Output Utente'!$O$2:$O$492,MATCH(153,'Output Utente'!$Q$2:$Q$492,0)),"")</f>
        <v>21</v>
      </c>
      <c r="H156" s="5" t="str">
        <f>IFERROR(INDEX('Output Utente'!$P$2:$P$492,MATCH(153,'Output Utente'!$Q$2:$Q$492,0)),"")</f>
        <v>Buono</v>
      </c>
      <c r="I156" s="42">
        <f>IFERROR(INDEX('Output Utente'!$F$2:$F$492,MATCH(153,'Output Utente'!$Q$2:$Q$492,0)),"")</f>
        <v>4</v>
      </c>
      <c r="J156" s="42">
        <f>IFERROR(INDEX('Output Utente'!$G$2:$G$492,MATCH(153,'Output Utente'!$Q$2:$Q$492,0)),"")</f>
        <v>3</v>
      </c>
      <c r="K156" s="42">
        <f>IFERROR(INDEX('Output Utente'!$H$2:$H$492,MATCH(153,'Output Utente'!$Q$2:$Q$492,0)),"")</f>
        <v>4</v>
      </c>
      <c r="L156" s="5" t="str">
        <f>IFERROR(INDEX('Output Utente'!$E$2:$E$492,MATCH(153,'Output Utente'!$Q$2:$Q$492,0)),"")</f>
        <v>NO</v>
      </c>
      <c r="M156" s="5" t="str">
        <f>IFERROR(INDEX('Output Utente'!$U$2:$U$492,MATCH(153,'Output Utente'!$Q$2:$Q$492,0)),"")</f>
        <v>OK</v>
      </c>
      <c r="N156" s="5" t="str">
        <f>IFERROR(INDEX('Output Utente'!$AE$2:$AE$492,MATCH(153,'Output Utente'!$Q$2:$Q$492,0)),"")</f>
        <v>🟢 Riserve abbondanti</v>
      </c>
    </row>
    <row r="157" spans="1:14" ht="15" customHeight="1" x14ac:dyDescent="0.25">
      <c r="A157" s="41">
        <v>154</v>
      </c>
      <c r="B157" s="5">
        <f>IFERROR(INDEX('Output Utente'!$A$2:$A$492,MATCH(154,'Output Utente'!$Q$2:$Q$492,0)),"")</f>
        <v>184</v>
      </c>
      <c r="C157" s="5" t="str">
        <f>IFERROR(INDEX('Output Utente'!$B$2:$B$492,MATCH(154,'Output Utente'!$Q$2:$Q$492,0)),"")</f>
        <v>C</v>
      </c>
      <c r="D157" s="5" t="str">
        <f>IFERROR(INDEX('Output Utente'!$C$2:$C$492,MATCH(154,'Output Utente'!$Q$2:$Q$492,0)),"")</f>
        <v>Bernardeschi</v>
      </c>
      <c r="E157" s="5" t="str">
        <f>IFERROR(INDEX('Input Giocatori 2026_27'!$D$3:$D$493,MATCH($B157,'Input Giocatori 2026_27'!$A$3:$A$493,0)),"")</f>
        <v>Bologna</v>
      </c>
      <c r="F157" s="42">
        <f>IFERROR(INDEX('Output Utente'!$N$2:$N$492,MATCH(154,'Output Utente'!$Q$2:$Q$492,0)),"")</f>
        <v>9</v>
      </c>
      <c r="G157" s="42">
        <f>IFERROR(INDEX('Output Utente'!$O$2:$O$492,MATCH(154,'Output Utente'!$Q$2:$Q$492,0)),"")</f>
        <v>21</v>
      </c>
      <c r="H157" s="5" t="str">
        <f>IFERROR(INDEX('Output Utente'!$P$2:$P$492,MATCH(154,'Output Utente'!$Q$2:$Q$492,0)),"")</f>
        <v>Nella Media</v>
      </c>
      <c r="I157" s="42">
        <f>IFERROR(INDEX('Output Utente'!$F$2:$F$492,MATCH(154,'Output Utente'!$Q$2:$Q$492,0)),"")</f>
        <v>3</v>
      </c>
      <c r="J157" s="42">
        <f>IFERROR(INDEX('Output Utente'!$G$2:$G$492,MATCH(154,'Output Utente'!$Q$2:$Q$492,0)),"")</f>
        <v>2</v>
      </c>
      <c r="K157" s="42">
        <f>IFERROR(INDEX('Output Utente'!$H$2:$H$492,MATCH(154,'Output Utente'!$Q$2:$Q$492,0)),"")</f>
        <v>3</v>
      </c>
      <c r="L157" s="5" t="str">
        <f>IFERROR(INDEX('Output Utente'!$E$2:$E$492,MATCH(154,'Output Utente'!$Q$2:$Q$492,0)),"")</f>
        <v>NO</v>
      </c>
      <c r="M157" s="5" t="str">
        <f>IFERROR(INDEX('Output Utente'!$U$2:$U$492,MATCH(154,'Output Utente'!$Q$2:$Q$492,0)),"")</f>
        <v>OK</v>
      </c>
      <c r="N157" s="5" t="str">
        <f>IFERROR(INDEX('Output Utente'!$AE$2:$AE$492,MATCH(154,'Output Utente'!$Q$2:$Q$492,0)),"")</f>
        <v>🟢 Riserve abbondanti</v>
      </c>
    </row>
    <row r="158" spans="1:14" ht="15" customHeight="1" x14ac:dyDescent="0.25">
      <c r="A158" s="41">
        <v>155</v>
      </c>
      <c r="B158" s="5">
        <f>IFERROR(INDEX('Output Utente'!$A$2:$A$492,MATCH(155,'Output Utente'!$Q$2:$Q$492,0)),"")</f>
        <v>5422</v>
      </c>
      <c r="C158" s="5" t="str">
        <f>IFERROR(INDEX('Output Utente'!$B$2:$B$492,MATCH(155,'Output Utente'!$Q$2:$Q$492,0)),"")</f>
        <v>C</v>
      </c>
      <c r="D158" s="5" t="str">
        <f>IFERROR(INDEX('Output Utente'!$C$2:$C$492,MATCH(155,'Output Utente'!$Q$2:$Q$492,0)),"")</f>
        <v>Zalewski</v>
      </c>
      <c r="E158" s="5" t="str">
        <f>IFERROR(INDEX('Input Giocatori 2026_27'!$D$3:$D$493,MATCH($B158,'Input Giocatori 2026_27'!$A$3:$A$493,0)),"")</f>
        <v>Atalanta</v>
      </c>
      <c r="F158" s="42">
        <f>IFERROR(INDEX('Output Utente'!$N$2:$N$492,MATCH(155,'Output Utente'!$Q$2:$Q$492,0)),"")</f>
        <v>6</v>
      </c>
      <c r="G158" s="42">
        <f>IFERROR(INDEX('Output Utente'!$O$2:$O$492,MATCH(155,'Output Utente'!$Q$2:$Q$492,0)),"")</f>
        <v>21</v>
      </c>
      <c r="H158" s="5" t="str">
        <f>IFERROR(INDEX('Output Utente'!$P$2:$P$492,MATCH(155,'Output Utente'!$Q$2:$Q$492,0)),"")</f>
        <v>Nella Media</v>
      </c>
      <c r="I158" s="42">
        <f>IFERROR(INDEX('Output Utente'!$F$2:$F$492,MATCH(155,'Output Utente'!$Q$2:$Q$492,0)),"")</f>
        <v>3</v>
      </c>
      <c r="J158" s="42">
        <f>IFERROR(INDEX('Output Utente'!$G$2:$G$492,MATCH(155,'Output Utente'!$Q$2:$Q$492,0)),"")</f>
        <v>2</v>
      </c>
      <c r="K158" s="42">
        <f>IFERROR(INDEX('Output Utente'!$H$2:$H$492,MATCH(155,'Output Utente'!$Q$2:$Q$492,0)),"")</f>
        <v>3</v>
      </c>
      <c r="L158" s="5" t="str">
        <f>IFERROR(INDEX('Output Utente'!$E$2:$E$492,MATCH(155,'Output Utente'!$Q$2:$Q$492,0)),"")</f>
        <v>NO</v>
      </c>
      <c r="M158" s="5" t="str">
        <f>IFERROR(INDEX('Output Utente'!$U$2:$U$492,MATCH(155,'Output Utente'!$Q$2:$Q$492,0)),"")</f>
        <v>OK</v>
      </c>
      <c r="N158" s="5" t="str">
        <f>IFERROR(INDEX('Output Utente'!$AE$2:$AE$492,MATCH(155,'Output Utente'!$Q$2:$Q$492,0)),"")</f>
        <v>🟢 Riserve abbondanti</v>
      </c>
    </row>
    <row r="159" spans="1:14" ht="15" customHeight="1" x14ac:dyDescent="0.25">
      <c r="A159" s="41">
        <v>156</v>
      </c>
      <c r="B159" s="5">
        <f>IFERROR(INDEX('Output Utente'!$A$2:$A$492,MATCH(156,'Output Utente'!$Q$2:$Q$492,0)),"")</f>
        <v>6669</v>
      </c>
      <c r="C159" s="5" t="str">
        <f>IFERROR(INDEX('Output Utente'!$B$2:$B$492,MATCH(156,'Output Utente'!$Q$2:$Q$492,0)),"")</f>
        <v>A</v>
      </c>
      <c r="D159" s="5" t="str">
        <f>IFERROR(INDEX('Output Utente'!$C$2:$C$492,MATCH(156,'Output Utente'!$Q$2:$Q$492,0)),"")</f>
        <v>Bonny</v>
      </c>
      <c r="E159" s="5" t="str">
        <f>IFERROR(INDEX('Input Giocatori 2026_27'!$D$3:$D$493,MATCH($B159,'Input Giocatori 2026_27'!$A$3:$A$493,0)),"")</f>
        <v>Inter</v>
      </c>
      <c r="F159" s="42">
        <f>IFERROR(INDEX('Output Utente'!$N$2:$N$492,MATCH(156,'Output Utente'!$Q$2:$Q$492,0)),"")</f>
        <v>7</v>
      </c>
      <c r="G159" s="42">
        <f>IFERROR(INDEX('Output Utente'!$O$2:$O$492,MATCH(156,'Output Utente'!$Q$2:$Q$492,0)),"")</f>
        <v>21</v>
      </c>
      <c r="H159" s="5" t="str">
        <f>IFERROR(INDEX('Output Utente'!$P$2:$P$492,MATCH(156,'Output Utente'!$Q$2:$Q$492,0)),"")</f>
        <v>Nella Media</v>
      </c>
      <c r="I159" s="42">
        <f>IFERROR(INDEX('Output Utente'!$F$2:$F$492,MATCH(156,'Output Utente'!$Q$2:$Q$492,0)),"")</f>
        <v>7</v>
      </c>
      <c r="J159" s="42">
        <f>IFERROR(INDEX('Output Utente'!$G$2:$G$492,MATCH(156,'Output Utente'!$Q$2:$Q$492,0)),"")</f>
        <v>4</v>
      </c>
      <c r="K159" s="42">
        <f>IFERROR(INDEX('Output Utente'!$H$2:$H$492,MATCH(156,'Output Utente'!$Q$2:$Q$492,0)),"")</f>
        <v>8</v>
      </c>
      <c r="L159" s="5" t="str">
        <f>IFERROR(INDEX('Output Utente'!$E$2:$E$492,MATCH(156,'Output Utente'!$Q$2:$Q$492,0)),"")</f>
        <v>NO</v>
      </c>
      <c r="M159" s="5" t="str">
        <f>IFERROR(INDEX('Output Utente'!$U$2:$U$492,MATCH(156,'Output Utente'!$Q$2:$Q$492,0)),"")</f>
        <v>OK</v>
      </c>
      <c r="N159" s="5" t="str">
        <f>IFERROR(INDEX('Output Utente'!$AE$2:$AE$492,MATCH(156,'Output Utente'!$Q$2:$Q$492,0)),"")</f>
        <v>🟢 Riserve abbondanti</v>
      </c>
    </row>
    <row r="160" spans="1:14" ht="15" customHeight="1" x14ac:dyDescent="0.25">
      <c r="A160" s="41">
        <v>157</v>
      </c>
      <c r="B160" s="5">
        <f>IFERROR(INDEX('Output Utente'!$A$2:$A$492,MATCH(157,'Output Utente'!$Q$2:$Q$492,0)),"")</f>
        <v>6641</v>
      </c>
      <c r="C160" s="5" t="str">
        <f>IFERROR(INDEX('Output Utente'!$B$2:$B$492,MATCH(157,'Output Utente'!$Q$2:$Q$492,0)),"")</f>
        <v>P</v>
      </c>
      <c r="D160" s="5" t="str">
        <f>IFERROR(INDEX('Output Utente'!$C$2:$C$492,MATCH(157,'Output Utente'!$Q$2:$Q$492,0)),"")</f>
        <v>Suzuki</v>
      </c>
      <c r="E160" s="5" t="str">
        <f>IFERROR(INDEX('Input Giocatori 2026_27'!$D$3:$D$493,MATCH($B160,'Input Giocatori 2026_27'!$A$3:$A$493,0)),"")</f>
        <v>Parma</v>
      </c>
      <c r="F160" s="42">
        <f>IFERROR(INDEX('Output Utente'!$N$2:$N$492,MATCH(157,'Output Utente'!$Q$2:$Q$492,0)),"")</f>
        <v>7</v>
      </c>
      <c r="G160" s="42">
        <f>IFERROR(INDEX('Output Utente'!$O$2:$O$492,MATCH(157,'Output Utente'!$Q$2:$Q$492,0)),"")</f>
        <v>20</v>
      </c>
      <c r="H160" s="5" t="str">
        <f>IFERROR(INDEX('Output Utente'!$P$2:$P$492,MATCH(157,'Output Utente'!$Q$2:$Q$492,0)),"")</f>
        <v>Buono</v>
      </c>
      <c r="I160" s="42">
        <f>IFERROR(INDEX('Output Utente'!$F$2:$F$492,MATCH(157,'Output Utente'!$Q$2:$Q$492,0)),"")</f>
        <v>6</v>
      </c>
      <c r="J160" s="42">
        <f>IFERROR(INDEX('Output Utente'!$G$2:$G$492,MATCH(157,'Output Utente'!$Q$2:$Q$492,0)),"")</f>
        <v>5</v>
      </c>
      <c r="K160" s="42">
        <f>IFERROR(INDEX('Output Utente'!$H$2:$H$492,MATCH(157,'Output Utente'!$Q$2:$Q$492,0)),"")</f>
        <v>7</v>
      </c>
      <c r="L160" s="5" t="str">
        <f>IFERROR(INDEX('Output Utente'!$E$2:$E$492,MATCH(157,'Output Utente'!$Q$2:$Q$492,0)),"")</f>
        <v>NO</v>
      </c>
      <c r="M160" s="5" t="str">
        <f>IFERROR(INDEX('Output Utente'!$U$2:$U$492,MATCH(157,'Output Utente'!$Q$2:$Q$492,0)),"")</f>
        <v>OK</v>
      </c>
      <c r="N160" s="5" t="str">
        <f>IFERROR(INDEX('Output Utente'!$AE$2:$AE$492,MATCH(157,'Output Utente'!$Q$2:$Q$492,0)),"")</f>
        <v>🔴 Riserve scarse</v>
      </c>
    </row>
    <row r="161" spans="1:14" ht="15" customHeight="1" x14ac:dyDescent="0.25">
      <c r="A161" s="41">
        <v>158</v>
      </c>
      <c r="B161" s="5">
        <f>IFERROR(INDEX('Output Utente'!$A$2:$A$492,MATCH(158,'Output Utente'!$Q$2:$Q$492,0)),"")</f>
        <v>4210</v>
      </c>
      <c r="C161" s="5" t="str">
        <f>IFERROR(INDEX('Output Utente'!$B$2:$B$492,MATCH(158,'Output Utente'!$Q$2:$Q$492,0)),"")</f>
        <v>D</v>
      </c>
      <c r="D161" s="5" t="str">
        <f>IFERROR(INDEX('Output Utente'!$C$2:$C$492,MATCH(158,'Output Utente'!$Q$2:$Q$492,0)),"")</f>
        <v>Mina</v>
      </c>
      <c r="E161" s="5" t="str">
        <f>IFERROR(INDEX('Input Giocatori 2026_27'!$D$3:$D$493,MATCH($B161,'Input Giocatori 2026_27'!$A$3:$A$493,0)),"")</f>
        <v>Cagliari</v>
      </c>
      <c r="F161" s="42">
        <f>IFERROR(INDEX('Output Utente'!$N$2:$N$492,MATCH(158,'Output Utente'!$Q$2:$Q$492,0)),"")</f>
        <v>8</v>
      </c>
      <c r="G161" s="42">
        <f>IFERROR(INDEX('Output Utente'!$O$2:$O$492,MATCH(158,'Output Utente'!$Q$2:$Q$492,0)),"")</f>
        <v>20</v>
      </c>
      <c r="H161" s="5" t="str">
        <f>IFERROR(INDEX('Output Utente'!$P$2:$P$492,MATCH(158,'Output Utente'!$Q$2:$Q$492,0)),"")</f>
        <v>Buono</v>
      </c>
      <c r="I161" s="42">
        <f>IFERROR(INDEX('Output Utente'!$F$2:$F$492,MATCH(158,'Output Utente'!$Q$2:$Q$492,0)),"")</f>
        <v>4</v>
      </c>
      <c r="J161" s="42">
        <f>IFERROR(INDEX('Output Utente'!$G$2:$G$492,MATCH(158,'Output Utente'!$Q$2:$Q$492,0)),"")</f>
        <v>3</v>
      </c>
      <c r="K161" s="42">
        <f>IFERROR(INDEX('Output Utente'!$H$2:$H$492,MATCH(158,'Output Utente'!$Q$2:$Q$492,0)),"")</f>
        <v>4</v>
      </c>
      <c r="L161" s="5" t="str">
        <f>IFERROR(INDEX('Output Utente'!$E$2:$E$492,MATCH(158,'Output Utente'!$Q$2:$Q$492,0)),"")</f>
        <v>NO</v>
      </c>
      <c r="M161" s="5" t="str">
        <f>IFERROR(INDEX('Output Utente'!$U$2:$U$492,MATCH(158,'Output Utente'!$Q$2:$Q$492,0)),"")</f>
        <v>OK</v>
      </c>
      <c r="N161" s="5" t="str">
        <f>IFERROR(INDEX('Output Utente'!$AE$2:$AE$492,MATCH(158,'Output Utente'!$Q$2:$Q$492,0)),"")</f>
        <v>🟢 Riserve abbondanti</v>
      </c>
    </row>
    <row r="162" spans="1:14" ht="15" customHeight="1" x14ac:dyDescent="0.25">
      <c r="A162" s="41">
        <v>159</v>
      </c>
      <c r="B162" s="5">
        <f>IFERROR(INDEX('Output Utente'!$A$2:$A$492,MATCH(159,'Output Utente'!$Q$2:$Q$492,0)),"")</f>
        <v>7529</v>
      </c>
      <c r="C162" s="5" t="str">
        <f>IFERROR(INDEX('Output Utente'!$B$2:$B$492,MATCH(159,'Output Utente'!$Q$2:$Q$492,0)),"")</f>
        <v>D</v>
      </c>
      <c r="D162" s="5" t="str">
        <f>IFERROR(INDEX('Output Utente'!$C$2:$C$492,MATCH(159,'Output Utente'!$Q$2:$Q$492,0)),"")</f>
        <v>Koulierakis</v>
      </c>
      <c r="E162" s="5" t="str">
        <f>IFERROR(INDEX('Input Giocatori 2026_27'!$D$3:$D$493,MATCH($B162,'Input Giocatori 2026_27'!$A$3:$A$493,0)),"")</f>
        <v>Roma</v>
      </c>
      <c r="F162" s="42">
        <f>IFERROR(INDEX('Output Utente'!$N$2:$N$492,MATCH(159,'Output Utente'!$Q$2:$Q$492,0)),"")</f>
        <v>8</v>
      </c>
      <c r="G162" s="42">
        <f>IFERROR(INDEX('Output Utente'!$O$2:$O$492,MATCH(159,'Output Utente'!$Q$2:$Q$492,0)),"")</f>
        <v>20</v>
      </c>
      <c r="H162" s="5" t="str">
        <f>IFERROR(INDEX('Output Utente'!$P$2:$P$492,MATCH(159,'Output Utente'!$Q$2:$Q$492,0)),"")</f>
        <v>Buono</v>
      </c>
      <c r="I162" s="42">
        <f>IFERROR(INDEX('Output Utente'!$F$2:$F$492,MATCH(159,'Output Utente'!$Q$2:$Q$492,0)),"")</f>
        <v>4</v>
      </c>
      <c r="J162" s="42">
        <f>IFERROR(INDEX('Output Utente'!$G$2:$G$492,MATCH(159,'Output Utente'!$Q$2:$Q$492,0)),"")</f>
        <v>3</v>
      </c>
      <c r="K162" s="42">
        <f>IFERROR(INDEX('Output Utente'!$H$2:$H$492,MATCH(159,'Output Utente'!$Q$2:$Q$492,0)),"")</f>
        <v>4</v>
      </c>
      <c r="L162" s="5" t="str">
        <f>IFERROR(INDEX('Output Utente'!$E$2:$E$492,MATCH(159,'Output Utente'!$Q$2:$Q$492,0)),"")</f>
        <v>NO</v>
      </c>
      <c r="M162" s="5" t="str">
        <f>IFERROR(INDEX('Output Utente'!$U$2:$U$492,MATCH(159,'Output Utente'!$Q$2:$Q$492,0)),"")</f>
        <v>OK</v>
      </c>
      <c r="N162" s="5" t="str">
        <f>IFERROR(INDEX('Output Utente'!$AE$2:$AE$492,MATCH(159,'Output Utente'!$Q$2:$Q$492,0)),"")</f>
        <v>🟢 Riserve abbondanti</v>
      </c>
    </row>
    <row r="163" spans="1:14" ht="15" customHeight="1" x14ac:dyDescent="0.25">
      <c r="A163" s="41">
        <v>160</v>
      </c>
      <c r="B163" s="5">
        <f>IFERROR(INDEX('Output Utente'!$A$2:$A$492,MATCH(160,'Output Utente'!$Q$2:$Q$492,0)),"")</f>
        <v>4751</v>
      </c>
      <c r="C163" s="5" t="str">
        <f>IFERROR(INDEX('Output Utente'!$B$2:$B$492,MATCH(160,'Output Utente'!$Q$2:$Q$492,0)),"")</f>
        <v>D</v>
      </c>
      <c r="D163" s="5" t="str">
        <f>IFERROR(INDEX('Output Utente'!$C$2:$C$492,MATCH(160,'Output Utente'!$Q$2:$Q$492,0)),"")</f>
        <v>Tomori</v>
      </c>
      <c r="E163" s="5" t="str">
        <f>IFERROR(INDEX('Input Giocatori 2026_27'!$D$3:$D$493,MATCH($B163,'Input Giocatori 2026_27'!$A$3:$A$493,0)),"")</f>
        <v>Milan</v>
      </c>
      <c r="F163" s="42">
        <f>IFERROR(INDEX('Output Utente'!$N$2:$N$492,MATCH(160,'Output Utente'!$Q$2:$Q$492,0)),"")</f>
        <v>7</v>
      </c>
      <c r="G163" s="42">
        <f>IFERROR(INDEX('Output Utente'!$O$2:$O$492,MATCH(160,'Output Utente'!$Q$2:$Q$492,0)),"")</f>
        <v>20</v>
      </c>
      <c r="H163" s="5" t="str">
        <f>IFERROR(INDEX('Output Utente'!$P$2:$P$492,MATCH(160,'Output Utente'!$Q$2:$Q$492,0)),"")</f>
        <v>Buono</v>
      </c>
      <c r="I163" s="42">
        <f>IFERROR(INDEX('Output Utente'!$F$2:$F$492,MATCH(160,'Output Utente'!$Q$2:$Q$492,0)),"")</f>
        <v>4</v>
      </c>
      <c r="J163" s="42">
        <f>IFERROR(INDEX('Output Utente'!$G$2:$G$492,MATCH(160,'Output Utente'!$Q$2:$Q$492,0)),"")</f>
        <v>3</v>
      </c>
      <c r="K163" s="42">
        <f>IFERROR(INDEX('Output Utente'!$H$2:$H$492,MATCH(160,'Output Utente'!$Q$2:$Q$492,0)),"")</f>
        <v>4</v>
      </c>
      <c r="L163" s="5" t="str">
        <f>IFERROR(INDEX('Output Utente'!$E$2:$E$492,MATCH(160,'Output Utente'!$Q$2:$Q$492,0)),"")</f>
        <v>NO</v>
      </c>
      <c r="M163" s="5" t="str">
        <f>IFERROR(INDEX('Output Utente'!$U$2:$U$492,MATCH(160,'Output Utente'!$Q$2:$Q$492,0)),"")</f>
        <v>OK</v>
      </c>
      <c r="N163" s="5" t="str">
        <f>IFERROR(INDEX('Output Utente'!$AE$2:$AE$492,MATCH(160,'Output Utente'!$Q$2:$Q$492,0)),"")</f>
        <v>🟢 Riserve abbondanti</v>
      </c>
    </row>
    <row r="164" spans="1:14" ht="15" customHeight="1" x14ac:dyDescent="0.25">
      <c r="A164" s="41">
        <v>161</v>
      </c>
      <c r="B164" s="5">
        <f>IFERROR(INDEX('Output Utente'!$A$2:$A$492,MATCH(161,'Output Utente'!$Q$2:$Q$492,0)),"")</f>
        <v>2188</v>
      </c>
      <c r="C164" s="5" t="str">
        <f>IFERROR(INDEX('Output Utente'!$B$2:$B$492,MATCH(161,'Output Utente'!$Q$2:$Q$492,0)),"")</f>
        <v>D</v>
      </c>
      <c r="D164" s="5" t="str">
        <f>IFERROR(INDEX('Output Utente'!$C$2:$C$492,MATCH(161,'Output Utente'!$Q$2:$Q$492,0)),"")</f>
        <v>Marusic</v>
      </c>
      <c r="E164" s="5" t="str">
        <f>IFERROR(INDEX('Input Giocatori 2026_27'!$D$3:$D$493,MATCH($B164,'Input Giocatori 2026_27'!$A$3:$A$493,0)),"")</f>
        <v>Lazio</v>
      </c>
      <c r="F164" s="42">
        <f>IFERROR(INDEX('Output Utente'!$N$2:$N$492,MATCH(161,'Output Utente'!$Q$2:$Q$492,0)),"")</f>
        <v>6</v>
      </c>
      <c r="G164" s="42">
        <f>IFERROR(INDEX('Output Utente'!$O$2:$O$492,MATCH(161,'Output Utente'!$Q$2:$Q$492,0)),"")</f>
        <v>20</v>
      </c>
      <c r="H164" s="5" t="str">
        <f>IFERROR(INDEX('Output Utente'!$P$2:$P$492,MATCH(161,'Output Utente'!$Q$2:$Q$492,0)),"")</f>
        <v>Buono</v>
      </c>
      <c r="I164" s="42">
        <f>IFERROR(INDEX('Output Utente'!$F$2:$F$492,MATCH(161,'Output Utente'!$Q$2:$Q$492,0)),"")</f>
        <v>4</v>
      </c>
      <c r="J164" s="42">
        <f>IFERROR(INDEX('Output Utente'!$G$2:$G$492,MATCH(161,'Output Utente'!$Q$2:$Q$492,0)),"")</f>
        <v>3</v>
      </c>
      <c r="K164" s="42">
        <f>IFERROR(INDEX('Output Utente'!$H$2:$H$492,MATCH(161,'Output Utente'!$Q$2:$Q$492,0)),"")</f>
        <v>4</v>
      </c>
      <c r="L164" s="5" t="str">
        <f>IFERROR(INDEX('Output Utente'!$E$2:$E$492,MATCH(161,'Output Utente'!$Q$2:$Q$492,0)),"")</f>
        <v>NO</v>
      </c>
      <c r="M164" s="5" t="str">
        <f>IFERROR(INDEX('Output Utente'!$U$2:$U$492,MATCH(161,'Output Utente'!$Q$2:$Q$492,0)),"")</f>
        <v>OK</v>
      </c>
      <c r="N164" s="5" t="str">
        <f>IFERROR(INDEX('Output Utente'!$AE$2:$AE$492,MATCH(161,'Output Utente'!$Q$2:$Q$492,0)),"")</f>
        <v>🟢 Riserve abbondanti</v>
      </c>
    </row>
    <row r="165" spans="1:14" ht="15" customHeight="1" x14ac:dyDescent="0.25">
      <c r="A165" s="41">
        <v>162</v>
      </c>
      <c r="B165" s="5">
        <f>IFERROR(INDEX('Output Utente'!$A$2:$A$492,MATCH(162,'Output Utente'!$Q$2:$Q$492,0)),"")</f>
        <v>6717</v>
      </c>
      <c r="C165" s="5" t="str">
        <f>IFERROR(INDEX('Output Utente'!$B$2:$B$492,MATCH(162,'Output Utente'!$Q$2:$Q$492,0)),"")</f>
        <v>C</v>
      </c>
      <c r="D165" s="5" t="str">
        <f>IFERROR(INDEX('Output Utente'!$C$2:$C$492,MATCH(162,'Output Utente'!$Q$2:$Q$492,0)),"")</f>
        <v>Konè I.</v>
      </c>
      <c r="E165" s="5" t="str">
        <f>IFERROR(INDEX('Input Giocatori 2026_27'!$D$3:$D$493,MATCH($B165,'Input Giocatori 2026_27'!$A$3:$A$493,0)),"")</f>
        <v>Sassuolo</v>
      </c>
      <c r="F165" s="42">
        <f>IFERROR(INDEX('Output Utente'!$N$2:$N$492,MATCH(162,'Output Utente'!$Q$2:$Q$492,0)),"")</f>
        <v>9</v>
      </c>
      <c r="G165" s="42">
        <f>IFERROR(INDEX('Output Utente'!$O$2:$O$492,MATCH(162,'Output Utente'!$Q$2:$Q$492,0)),"")</f>
        <v>20</v>
      </c>
      <c r="H165" s="5" t="str">
        <f>IFERROR(INDEX('Output Utente'!$P$2:$P$492,MATCH(162,'Output Utente'!$Q$2:$Q$492,0)),"")</f>
        <v>Nella Media</v>
      </c>
      <c r="I165" s="42">
        <f>IFERROR(INDEX('Output Utente'!$F$2:$F$492,MATCH(162,'Output Utente'!$Q$2:$Q$492,0)),"")</f>
        <v>3</v>
      </c>
      <c r="J165" s="42">
        <f>IFERROR(INDEX('Output Utente'!$G$2:$G$492,MATCH(162,'Output Utente'!$Q$2:$Q$492,0)),"")</f>
        <v>2</v>
      </c>
      <c r="K165" s="42">
        <f>IFERROR(INDEX('Output Utente'!$H$2:$H$492,MATCH(162,'Output Utente'!$Q$2:$Q$492,0)),"")</f>
        <v>3</v>
      </c>
      <c r="L165" s="5" t="str">
        <f>IFERROR(INDEX('Output Utente'!$E$2:$E$492,MATCH(162,'Output Utente'!$Q$2:$Q$492,0)),"")</f>
        <v>NO</v>
      </c>
      <c r="M165" s="5" t="str">
        <f>IFERROR(INDEX('Output Utente'!$U$2:$U$492,MATCH(162,'Output Utente'!$Q$2:$Q$492,0)),"")</f>
        <v>OK</v>
      </c>
      <c r="N165" s="5" t="str">
        <f>IFERROR(INDEX('Output Utente'!$AE$2:$AE$492,MATCH(162,'Output Utente'!$Q$2:$Q$492,0)),"")</f>
        <v>🟢 Riserve abbondanti</v>
      </c>
    </row>
    <row r="166" spans="1:14" ht="15" customHeight="1" x14ac:dyDescent="0.25">
      <c r="A166" s="41">
        <v>163</v>
      </c>
      <c r="B166" s="5">
        <f>IFERROR(INDEX('Output Utente'!$A$2:$A$492,MATCH(163,'Output Utente'!$Q$2:$Q$492,0)),"")</f>
        <v>2741</v>
      </c>
      <c r="C166" s="5" t="str">
        <f>IFERROR(INDEX('Output Utente'!$B$2:$B$492,MATCH(163,'Output Utente'!$Q$2:$Q$492,0)),"")</f>
        <v>C</v>
      </c>
      <c r="D166" s="5" t="str">
        <f>IFERROR(INDEX('Output Utente'!$C$2:$C$492,MATCH(163,'Output Utente'!$Q$2:$Q$492,0)),"")</f>
        <v>Pessina</v>
      </c>
      <c r="E166" s="5" t="str">
        <f>IFERROR(INDEX('Input Giocatori 2026_27'!$D$3:$D$493,MATCH($B166,'Input Giocatori 2026_27'!$A$3:$A$493,0)),"")</f>
        <v>Monza</v>
      </c>
      <c r="F166" s="42">
        <f>IFERROR(INDEX('Output Utente'!$N$2:$N$492,MATCH(163,'Output Utente'!$Q$2:$Q$492,0)),"")</f>
        <v>7</v>
      </c>
      <c r="G166" s="42">
        <f>IFERROR(INDEX('Output Utente'!$O$2:$O$492,MATCH(163,'Output Utente'!$Q$2:$Q$492,0)),"")</f>
        <v>20</v>
      </c>
      <c r="H166" s="5" t="str">
        <f>IFERROR(INDEX('Output Utente'!$P$2:$P$492,MATCH(163,'Output Utente'!$Q$2:$Q$492,0)),"")</f>
        <v>Nella Media</v>
      </c>
      <c r="I166" s="42">
        <f>IFERROR(INDEX('Output Utente'!$F$2:$F$492,MATCH(163,'Output Utente'!$Q$2:$Q$492,0)),"")</f>
        <v>3</v>
      </c>
      <c r="J166" s="42">
        <f>IFERROR(INDEX('Output Utente'!$G$2:$G$492,MATCH(163,'Output Utente'!$Q$2:$Q$492,0)),"")</f>
        <v>2</v>
      </c>
      <c r="K166" s="42">
        <f>IFERROR(INDEX('Output Utente'!$H$2:$H$492,MATCH(163,'Output Utente'!$Q$2:$Q$492,0)),"")</f>
        <v>3</v>
      </c>
      <c r="L166" s="5" t="str">
        <f>IFERROR(INDEX('Output Utente'!$E$2:$E$492,MATCH(163,'Output Utente'!$Q$2:$Q$492,0)),"")</f>
        <v>NO</v>
      </c>
      <c r="M166" s="5" t="str">
        <f>IFERROR(INDEX('Output Utente'!$U$2:$U$492,MATCH(163,'Output Utente'!$Q$2:$Q$492,0)),"")</f>
        <v>OK</v>
      </c>
      <c r="N166" s="5" t="str">
        <f>IFERROR(INDEX('Output Utente'!$AE$2:$AE$492,MATCH(163,'Output Utente'!$Q$2:$Q$492,0)),"")</f>
        <v>🟢 Riserve abbondanti</v>
      </c>
    </row>
    <row r="167" spans="1:14" ht="15" customHeight="1" x14ac:dyDescent="0.25">
      <c r="A167" s="41">
        <v>164</v>
      </c>
      <c r="B167" s="5">
        <f>IFERROR(INDEX('Output Utente'!$A$2:$A$492,MATCH(164,'Output Utente'!$Q$2:$Q$492,0)),"")</f>
        <v>4287</v>
      </c>
      <c r="C167" s="5" t="str">
        <f>IFERROR(INDEX('Output Utente'!$B$2:$B$492,MATCH(164,'Output Utente'!$Q$2:$Q$492,0)),"")</f>
        <v>C</v>
      </c>
      <c r="D167" s="5" t="str">
        <f>IFERROR(INDEX('Output Utente'!$C$2:$C$492,MATCH(164,'Output Utente'!$Q$2:$Q$492,0)),"")</f>
        <v>Lobotka</v>
      </c>
      <c r="E167" s="5" t="str">
        <f>IFERROR(INDEX('Input Giocatori 2026_27'!$D$3:$D$493,MATCH($B167,'Input Giocatori 2026_27'!$A$3:$A$493,0)),"")</f>
        <v>Napoli</v>
      </c>
      <c r="F167" s="42">
        <f>IFERROR(INDEX('Output Utente'!$N$2:$N$492,MATCH(164,'Output Utente'!$Q$2:$Q$492,0)),"")</f>
        <v>7</v>
      </c>
      <c r="G167" s="42">
        <f>IFERROR(INDEX('Output Utente'!$O$2:$O$492,MATCH(164,'Output Utente'!$Q$2:$Q$492,0)),"")</f>
        <v>20</v>
      </c>
      <c r="H167" s="5" t="str">
        <f>IFERROR(INDEX('Output Utente'!$P$2:$P$492,MATCH(164,'Output Utente'!$Q$2:$Q$492,0)),"")</f>
        <v>Nella Media</v>
      </c>
      <c r="I167" s="42">
        <f>IFERROR(INDEX('Output Utente'!$F$2:$F$492,MATCH(164,'Output Utente'!$Q$2:$Q$492,0)),"")</f>
        <v>3</v>
      </c>
      <c r="J167" s="42">
        <f>IFERROR(INDEX('Output Utente'!$G$2:$G$492,MATCH(164,'Output Utente'!$Q$2:$Q$492,0)),"")</f>
        <v>2</v>
      </c>
      <c r="K167" s="42">
        <f>IFERROR(INDEX('Output Utente'!$H$2:$H$492,MATCH(164,'Output Utente'!$Q$2:$Q$492,0)),"")</f>
        <v>3</v>
      </c>
      <c r="L167" s="5" t="str">
        <f>IFERROR(INDEX('Output Utente'!$E$2:$E$492,MATCH(164,'Output Utente'!$Q$2:$Q$492,0)),"")</f>
        <v>NO</v>
      </c>
      <c r="M167" s="5" t="str">
        <f>IFERROR(INDEX('Output Utente'!$U$2:$U$492,MATCH(164,'Output Utente'!$Q$2:$Q$492,0)),"")</f>
        <v>OK</v>
      </c>
      <c r="N167" s="5" t="str">
        <f>IFERROR(INDEX('Output Utente'!$AE$2:$AE$492,MATCH(164,'Output Utente'!$Q$2:$Q$492,0)),"")</f>
        <v>🟢 Riserve abbondanti</v>
      </c>
    </row>
    <row r="168" spans="1:14" ht="15" customHeight="1" x14ac:dyDescent="0.25">
      <c r="A168" s="41">
        <v>165</v>
      </c>
      <c r="B168" s="5">
        <f>IFERROR(INDEX('Output Utente'!$A$2:$A$492,MATCH(165,'Output Utente'!$Q$2:$Q$492,0)),"")</f>
        <v>5036</v>
      </c>
      <c r="C168" s="5" t="str">
        <f>IFERROR(INDEX('Output Utente'!$B$2:$B$492,MATCH(165,'Output Utente'!$Q$2:$Q$492,0)),"")</f>
        <v>C</v>
      </c>
      <c r="D168" s="5" t="str">
        <f>IFERROR(INDEX('Output Utente'!$C$2:$C$492,MATCH(165,'Output Utente'!$Q$2:$Q$492,0)),"")</f>
        <v>Caqueret</v>
      </c>
      <c r="E168" s="5" t="str">
        <f>IFERROR(INDEX('Input Giocatori 2026_27'!$D$3:$D$493,MATCH($B168,'Input Giocatori 2026_27'!$A$3:$A$493,0)),"")</f>
        <v>Como</v>
      </c>
      <c r="F168" s="42">
        <f>IFERROR(INDEX('Output Utente'!$N$2:$N$492,MATCH(165,'Output Utente'!$Q$2:$Q$492,0)),"")</f>
        <v>6</v>
      </c>
      <c r="G168" s="42">
        <f>IFERROR(INDEX('Output Utente'!$O$2:$O$492,MATCH(165,'Output Utente'!$Q$2:$Q$492,0)),"")</f>
        <v>20</v>
      </c>
      <c r="H168" s="5" t="str">
        <f>IFERROR(INDEX('Output Utente'!$P$2:$P$492,MATCH(165,'Output Utente'!$Q$2:$Q$492,0)),"")</f>
        <v>Nella Media</v>
      </c>
      <c r="I168" s="42">
        <f>IFERROR(INDEX('Output Utente'!$F$2:$F$492,MATCH(165,'Output Utente'!$Q$2:$Q$492,0)),"")</f>
        <v>3</v>
      </c>
      <c r="J168" s="42">
        <f>IFERROR(INDEX('Output Utente'!$G$2:$G$492,MATCH(165,'Output Utente'!$Q$2:$Q$492,0)),"")</f>
        <v>2</v>
      </c>
      <c r="K168" s="42">
        <f>IFERROR(INDEX('Output Utente'!$H$2:$H$492,MATCH(165,'Output Utente'!$Q$2:$Q$492,0)),"")</f>
        <v>3</v>
      </c>
      <c r="L168" s="5" t="str">
        <f>IFERROR(INDEX('Output Utente'!$E$2:$E$492,MATCH(165,'Output Utente'!$Q$2:$Q$492,0)),"")</f>
        <v>NO</v>
      </c>
      <c r="M168" s="5" t="str">
        <f>IFERROR(INDEX('Output Utente'!$U$2:$U$492,MATCH(165,'Output Utente'!$Q$2:$Q$492,0)),"")</f>
        <v>OK</v>
      </c>
      <c r="N168" s="5" t="str">
        <f>IFERROR(INDEX('Output Utente'!$AE$2:$AE$492,MATCH(165,'Output Utente'!$Q$2:$Q$492,0)),"")</f>
        <v>🟢 Riserve abbondanti</v>
      </c>
    </row>
    <row r="169" spans="1:14" ht="15" customHeight="1" x14ac:dyDescent="0.25">
      <c r="A169" s="41">
        <v>166</v>
      </c>
      <c r="B169" s="5">
        <f>IFERROR(INDEX('Output Utente'!$A$2:$A$492,MATCH(166,'Output Utente'!$Q$2:$Q$492,0)),"")</f>
        <v>7464</v>
      </c>
      <c r="C169" s="5" t="str">
        <f>IFERROR(INDEX('Output Utente'!$B$2:$B$492,MATCH(166,'Output Utente'!$Q$2:$Q$492,0)),"")</f>
        <v>C</v>
      </c>
      <c r="D169" s="5" t="str">
        <f>IFERROR(INDEX('Output Utente'!$C$2:$C$492,MATCH(166,'Output Utente'!$Q$2:$Q$492,0)),"")</f>
        <v>Oulai</v>
      </c>
      <c r="E169" s="5" t="str">
        <f>IFERROR(INDEX('Input Giocatori 2026_27'!$D$3:$D$493,MATCH($B169,'Input Giocatori 2026_27'!$A$3:$A$493,0)),"")</f>
        <v>Fiorentina</v>
      </c>
      <c r="F169" s="42">
        <f>IFERROR(INDEX('Output Utente'!$N$2:$N$492,MATCH(166,'Output Utente'!$Q$2:$Q$492,0)),"")</f>
        <v>6</v>
      </c>
      <c r="G169" s="42">
        <f>IFERROR(INDEX('Output Utente'!$O$2:$O$492,MATCH(166,'Output Utente'!$Q$2:$Q$492,0)),"")</f>
        <v>20</v>
      </c>
      <c r="H169" s="5" t="str">
        <f>IFERROR(INDEX('Output Utente'!$P$2:$P$492,MATCH(166,'Output Utente'!$Q$2:$Q$492,0)),"")</f>
        <v>Nella Media</v>
      </c>
      <c r="I169" s="42">
        <f>IFERROR(INDEX('Output Utente'!$F$2:$F$492,MATCH(166,'Output Utente'!$Q$2:$Q$492,0)),"")</f>
        <v>3</v>
      </c>
      <c r="J169" s="42">
        <f>IFERROR(INDEX('Output Utente'!$G$2:$G$492,MATCH(166,'Output Utente'!$Q$2:$Q$492,0)),"")</f>
        <v>2</v>
      </c>
      <c r="K169" s="42">
        <f>IFERROR(INDEX('Output Utente'!$H$2:$H$492,MATCH(166,'Output Utente'!$Q$2:$Q$492,0)),"")</f>
        <v>3</v>
      </c>
      <c r="L169" s="5" t="str">
        <f>IFERROR(INDEX('Output Utente'!$E$2:$E$492,MATCH(166,'Output Utente'!$Q$2:$Q$492,0)),"")</f>
        <v>NO</v>
      </c>
      <c r="M169" s="5" t="str">
        <f>IFERROR(INDEX('Output Utente'!$U$2:$U$492,MATCH(166,'Output Utente'!$Q$2:$Q$492,0)),"")</f>
        <v>OK</v>
      </c>
      <c r="N169" s="5" t="str">
        <f>IFERROR(INDEX('Output Utente'!$AE$2:$AE$492,MATCH(166,'Output Utente'!$Q$2:$Q$492,0)),"")</f>
        <v>🟢 Riserve abbondanti</v>
      </c>
    </row>
    <row r="170" spans="1:14" ht="15" customHeight="1" x14ac:dyDescent="0.25">
      <c r="A170" s="41">
        <v>167</v>
      </c>
      <c r="B170" s="5">
        <f>IFERROR(INDEX('Output Utente'!$A$2:$A$492,MATCH(167,'Output Utente'!$Q$2:$Q$492,0)),"")</f>
        <v>6680</v>
      </c>
      <c r="C170" s="5" t="str">
        <f>IFERROR(INDEX('Output Utente'!$B$2:$B$492,MATCH(167,'Output Utente'!$Q$2:$Q$492,0)),"")</f>
        <v>C</v>
      </c>
      <c r="D170" s="5" t="str">
        <f>IFERROR(INDEX('Output Utente'!$C$2:$C$492,MATCH(167,'Output Utente'!$Q$2:$Q$492,0)),"")</f>
        <v>Karlstrom</v>
      </c>
      <c r="E170" s="5" t="str">
        <f>IFERROR(INDEX('Input Giocatori 2026_27'!$D$3:$D$493,MATCH($B170,'Input Giocatori 2026_27'!$A$3:$A$493,0)),"")</f>
        <v>Udinese</v>
      </c>
      <c r="F170" s="42">
        <f>IFERROR(INDEX('Output Utente'!$N$2:$N$492,MATCH(167,'Output Utente'!$Q$2:$Q$492,0)),"")</f>
        <v>6</v>
      </c>
      <c r="G170" s="42">
        <f>IFERROR(INDEX('Output Utente'!$O$2:$O$492,MATCH(167,'Output Utente'!$Q$2:$Q$492,0)),"")</f>
        <v>20</v>
      </c>
      <c r="H170" s="5" t="str">
        <f>IFERROR(INDEX('Output Utente'!$P$2:$P$492,MATCH(167,'Output Utente'!$Q$2:$Q$492,0)),"")</f>
        <v>Nella Media</v>
      </c>
      <c r="I170" s="42">
        <f>IFERROR(INDEX('Output Utente'!$F$2:$F$492,MATCH(167,'Output Utente'!$Q$2:$Q$492,0)),"")</f>
        <v>3</v>
      </c>
      <c r="J170" s="42">
        <f>IFERROR(INDEX('Output Utente'!$G$2:$G$492,MATCH(167,'Output Utente'!$Q$2:$Q$492,0)),"")</f>
        <v>2</v>
      </c>
      <c r="K170" s="42">
        <f>IFERROR(INDEX('Output Utente'!$H$2:$H$492,MATCH(167,'Output Utente'!$Q$2:$Q$492,0)),"")</f>
        <v>3</v>
      </c>
      <c r="L170" s="5" t="str">
        <f>IFERROR(INDEX('Output Utente'!$E$2:$E$492,MATCH(167,'Output Utente'!$Q$2:$Q$492,0)),"")</f>
        <v>NO</v>
      </c>
      <c r="M170" s="5" t="str">
        <f>IFERROR(INDEX('Output Utente'!$U$2:$U$492,MATCH(167,'Output Utente'!$Q$2:$Q$492,0)),"")</f>
        <v>OK</v>
      </c>
      <c r="N170" s="5" t="str">
        <f>IFERROR(INDEX('Output Utente'!$AE$2:$AE$492,MATCH(167,'Output Utente'!$Q$2:$Q$492,0)),"")</f>
        <v>🟢 Riserve abbondanti</v>
      </c>
    </row>
    <row r="171" spans="1:14" ht="15" customHeight="1" x14ac:dyDescent="0.25">
      <c r="A171" s="41">
        <v>168</v>
      </c>
      <c r="B171" s="5">
        <f>IFERROR(INDEX('Output Utente'!$A$2:$A$492,MATCH(168,'Output Utente'!$Q$2:$Q$492,0)),"")</f>
        <v>6164</v>
      </c>
      <c r="C171" s="5" t="str">
        <f>IFERROR(INDEX('Output Utente'!$B$2:$B$492,MATCH(168,'Output Utente'!$Q$2:$Q$492,0)),"")</f>
        <v>A</v>
      </c>
      <c r="D171" s="5" t="str">
        <f>IFERROR(INDEX('Output Utente'!$C$2:$C$492,MATCH(168,'Output Utente'!$Q$2:$Q$492,0)),"")</f>
        <v>Vitinha O.</v>
      </c>
      <c r="E171" s="5" t="str">
        <f>IFERROR(INDEX('Input Giocatori 2026_27'!$D$3:$D$493,MATCH($B171,'Input Giocatori 2026_27'!$A$3:$A$493,0)),"")</f>
        <v>Genoa</v>
      </c>
      <c r="F171" s="42">
        <f>IFERROR(INDEX('Output Utente'!$N$2:$N$492,MATCH(168,'Output Utente'!$Q$2:$Q$492,0)),"")</f>
        <v>8</v>
      </c>
      <c r="G171" s="42">
        <f>IFERROR(INDEX('Output Utente'!$O$2:$O$492,MATCH(168,'Output Utente'!$Q$2:$Q$492,0)),"")</f>
        <v>20</v>
      </c>
      <c r="H171" s="5" t="str">
        <f>IFERROR(INDEX('Output Utente'!$P$2:$P$492,MATCH(168,'Output Utente'!$Q$2:$Q$492,0)),"")</f>
        <v>Nella Media</v>
      </c>
      <c r="I171" s="42">
        <f>IFERROR(INDEX('Output Utente'!$F$2:$F$492,MATCH(168,'Output Utente'!$Q$2:$Q$492,0)),"")</f>
        <v>6</v>
      </c>
      <c r="J171" s="42">
        <f>IFERROR(INDEX('Output Utente'!$G$2:$G$492,MATCH(168,'Output Utente'!$Q$2:$Q$492,0)),"")</f>
        <v>4</v>
      </c>
      <c r="K171" s="42">
        <f>IFERROR(INDEX('Output Utente'!$H$2:$H$492,MATCH(168,'Output Utente'!$Q$2:$Q$492,0)),"")</f>
        <v>7</v>
      </c>
      <c r="L171" s="5" t="str">
        <f>IFERROR(INDEX('Output Utente'!$E$2:$E$492,MATCH(168,'Output Utente'!$Q$2:$Q$492,0)),"")</f>
        <v>NO</v>
      </c>
      <c r="M171" s="5" t="str">
        <f>IFERROR(INDEX('Output Utente'!$U$2:$U$492,MATCH(168,'Output Utente'!$Q$2:$Q$492,0)),"")</f>
        <v>OK</v>
      </c>
      <c r="N171" s="5" t="str">
        <f>IFERROR(INDEX('Output Utente'!$AE$2:$AE$492,MATCH(168,'Output Utente'!$Q$2:$Q$492,0)),"")</f>
        <v>🟢 Riserve abbondanti</v>
      </c>
    </row>
    <row r="172" spans="1:14" ht="15" customHeight="1" x14ac:dyDescent="0.25">
      <c r="A172" s="41">
        <v>169</v>
      </c>
      <c r="B172" s="5">
        <f>IFERROR(INDEX('Output Utente'!$A$2:$A$492,MATCH(169,'Output Utente'!$Q$2:$Q$492,0)),"")</f>
        <v>7449</v>
      </c>
      <c r="C172" s="5" t="str">
        <f>IFERROR(INDEX('Output Utente'!$B$2:$B$492,MATCH(169,'Output Utente'!$Q$2:$Q$492,0)),"")</f>
        <v>A</v>
      </c>
      <c r="D172" s="5" t="str">
        <f>IFERROR(INDEX('Output Utente'!$C$2:$C$492,MATCH(169,'Output Utente'!$Q$2:$Q$492,0)),"")</f>
        <v>Rrahmani Al.</v>
      </c>
      <c r="E172" s="5" t="str">
        <f>IFERROR(INDEX('Input Giocatori 2026_27'!$D$3:$D$493,MATCH($B172,'Input Giocatori 2026_27'!$A$3:$A$493,0)),"")</f>
        <v>Venezia</v>
      </c>
      <c r="F172" s="42">
        <f>IFERROR(INDEX('Output Utente'!$N$2:$N$492,MATCH(169,'Output Utente'!$Q$2:$Q$492,0)),"")</f>
        <v>8</v>
      </c>
      <c r="G172" s="42">
        <f>IFERROR(INDEX('Output Utente'!$O$2:$O$492,MATCH(169,'Output Utente'!$Q$2:$Q$492,0)),"")</f>
        <v>20</v>
      </c>
      <c r="H172" s="5" t="str">
        <f>IFERROR(INDEX('Output Utente'!$P$2:$P$492,MATCH(169,'Output Utente'!$Q$2:$Q$492,0)),"")</f>
        <v>Nella Media</v>
      </c>
      <c r="I172" s="42">
        <f>IFERROR(INDEX('Output Utente'!$F$2:$F$492,MATCH(169,'Output Utente'!$Q$2:$Q$492,0)),"")</f>
        <v>6</v>
      </c>
      <c r="J172" s="42">
        <f>IFERROR(INDEX('Output Utente'!$G$2:$G$492,MATCH(169,'Output Utente'!$Q$2:$Q$492,0)),"")</f>
        <v>4</v>
      </c>
      <c r="K172" s="42">
        <f>IFERROR(INDEX('Output Utente'!$H$2:$H$492,MATCH(169,'Output Utente'!$Q$2:$Q$492,0)),"")</f>
        <v>7</v>
      </c>
      <c r="L172" s="5" t="str">
        <f>IFERROR(INDEX('Output Utente'!$E$2:$E$492,MATCH(169,'Output Utente'!$Q$2:$Q$492,0)),"")</f>
        <v>NO</v>
      </c>
      <c r="M172" s="5" t="str">
        <f>IFERROR(INDEX('Output Utente'!$U$2:$U$492,MATCH(169,'Output Utente'!$Q$2:$Q$492,0)),"")</f>
        <v>OK</v>
      </c>
      <c r="N172" s="5" t="str">
        <f>IFERROR(INDEX('Output Utente'!$AE$2:$AE$492,MATCH(169,'Output Utente'!$Q$2:$Q$492,0)),"")</f>
        <v>🟢 Riserve abbondanti</v>
      </c>
    </row>
    <row r="173" spans="1:14" ht="15" customHeight="1" x14ac:dyDescent="0.25">
      <c r="A173" s="41">
        <v>170</v>
      </c>
      <c r="B173" s="5">
        <f>IFERROR(INDEX('Output Utente'!$A$2:$A$492,MATCH(170,'Output Utente'!$Q$2:$Q$492,0)),"")</f>
        <v>4994</v>
      </c>
      <c r="C173" s="5" t="str">
        <f>IFERROR(INDEX('Output Utente'!$B$2:$B$492,MATCH(170,'Output Utente'!$Q$2:$Q$492,0)),"")</f>
        <v>D</v>
      </c>
      <c r="D173" s="5" t="str">
        <f>IFERROR(INDEX('Output Utente'!$C$2:$C$492,MATCH(170,'Output Utente'!$Q$2:$Q$492,0)),"")</f>
        <v>Vojvoda</v>
      </c>
      <c r="E173" s="5" t="str">
        <f>IFERROR(INDEX('Input Giocatori 2026_27'!$D$3:$D$493,MATCH($B173,'Input Giocatori 2026_27'!$A$3:$A$493,0)),"")</f>
        <v>Udinese</v>
      </c>
      <c r="F173" s="42">
        <f>IFERROR(INDEX('Output Utente'!$N$2:$N$492,MATCH(170,'Output Utente'!$Q$2:$Q$492,0)),"")</f>
        <v>8</v>
      </c>
      <c r="G173" s="42">
        <f>IFERROR(INDEX('Output Utente'!$O$2:$O$492,MATCH(170,'Output Utente'!$Q$2:$Q$492,0)),"")</f>
        <v>19</v>
      </c>
      <c r="H173" s="5" t="str">
        <f>IFERROR(INDEX('Output Utente'!$P$2:$P$492,MATCH(170,'Output Utente'!$Q$2:$Q$492,0)),"")</f>
        <v>Buono</v>
      </c>
      <c r="I173" s="42">
        <f>IFERROR(INDEX('Output Utente'!$F$2:$F$492,MATCH(170,'Output Utente'!$Q$2:$Q$492,0)),"")</f>
        <v>4</v>
      </c>
      <c r="J173" s="42">
        <f>IFERROR(INDEX('Output Utente'!$G$2:$G$492,MATCH(170,'Output Utente'!$Q$2:$Q$492,0)),"")</f>
        <v>3</v>
      </c>
      <c r="K173" s="42">
        <f>IFERROR(INDEX('Output Utente'!$H$2:$H$492,MATCH(170,'Output Utente'!$Q$2:$Q$492,0)),"")</f>
        <v>4</v>
      </c>
      <c r="L173" s="5" t="str">
        <f>IFERROR(INDEX('Output Utente'!$E$2:$E$492,MATCH(170,'Output Utente'!$Q$2:$Q$492,0)),"")</f>
        <v>NO</v>
      </c>
      <c r="M173" s="5" t="str">
        <f>IFERROR(INDEX('Output Utente'!$U$2:$U$492,MATCH(170,'Output Utente'!$Q$2:$Q$492,0)),"")</f>
        <v>OK</v>
      </c>
      <c r="N173" s="5" t="str">
        <f>IFERROR(INDEX('Output Utente'!$AE$2:$AE$492,MATCH(170,'Output Utente'!$Q$2:$Q$492,0)),"")</f>
        <v>🟢 Riserve abbondanti</v>
      </c>
    </row>
    <row r="174" spans="1:14" ht="15" customHeight="1" x14ac:dyDescent="0.25">
      <c r="A174" s="41">
        <v>171</v>
      </c>
      <c r="B174" s="5">
        <f>IFERROR(INDEX('Output Utente'!$A$2:$A$492,MATCH(171,'Output Utente'!$Q$2:$Q$492,0)),"")</f>
        <v>4433</v>
      </c>
      <c r="C174" s="5" t="str">
        <f>IFERROR(INDEX('Output Utente'!$B$2:$B$492,MATCH(171,'Output Utente'!$Q$2:$Q$492,0)),"")</f>
        <v>D</v>
      </c>
      <c r="D174" s="5" t="str">
        <f>IFERROR(INDEX('Output Utente'!$C$2:$C$492,MATCH(171,'Output Utente'!$Q$2:$Q$492,0)),"")</f>
        <v>Zortea</v>
      </c>
      <c r="E174" s="5" t="str">
        <f>IFERROR(INDEX('Input Giocatori 2026_27'!$D$3:$D$493,MATCH($B174,'Input Giocatori 2026_27'!$A$3:$A$493,0)),"")</f>
        <v>Bologna</v>
      </c>
      <c r="F174" s="42">
        <f>IFERROR(INDEX('Output Utente'!$N$2:$N$492,MATCH(171,'Output Utente'!$Q$2:$Q$492,0)),"")</f>
        <v>6</v>
      </c>
      <c r="G174" s="42">
        <f>IFERROR(INDEX('Output Utente'!$O$2:$O$492,MATCH(171,'Output Utente'!$Q$2:$Q$492,0)),"")</f>
        <v>19</v>
      </c>
      <c r="H174" s="5" t="str">
        <f>IFERROR(INDEX('Output Utente'!$P$2:$P$492,MATCH(171,'Output Utente'!$Q$2:$Q$492,0)),"")</f>
        <v>Buono</v>
      </c>
      <c r="I174" s="42">
        <f>IFERROR(INDEX('Output Utente'!$F$2:$F$492,MATCH(171,'Output Utente'!$Q$2:$Q$492,0)),"")</f>
        <v>4</v>
      </c>
      <c r="J174" s="42">
        <f>IFERROR(INDEX('Output Utente'!$G$2:$G$492,MATCH(171,'Output Utente'!$Q$2:$Q$492,0)),"")</f>
        <v>3</v>
      </c>
      <c r="K174" s="42">
        <f>IFERROR(INDEX('Output Utente'!$H$2:$H$492,MATCH(171,'Output Utente'!$Q$2:$Q$492,0)),"")</f>
        <v>4</v>
      </c>
      <c r="L174" s="5" t="str">
        <f>IFERROR(INDEX('Output Utente'!$E$2:$E$492,MATCH(171,'Output Utente'!$Q$2:$Q$492,0)),"")</f>
        <v>NO</v>
      </c>
      <c r="M174" s="5" t="str">
        <f>IFERROR(INDEX('Output Utente'!$U$2:$U$492,MATCH(171,'Output Utente'!$Q$2:$Q$492,0)),"")</f>
        <v>OK</v>
      </c>
      <c r="N174" s="5" t="str">
        <f>IFERROR(INDEX('Output Utente'!$AE$2:$AE$492,MATCH(171,'Output Utente'!$Q$2:$Q$492,0)),"")</f>
        <v>🟢 Riserve abbondanti</v>
      </c>
    </row>
    <row r="175" spans="1:14" ht="15" customHeight="1" x14ac:dyDescent="0.25">
      <c r="A175" s="41">
        <v>172</v>
      </c>
      <c r="B175" s="5">
        <f>IFERROR(INDEX('Output Utente'!$A$2:$A$492,MATCH(172,'Output Utente'!$Q$2:$Q$492,0)),"")</f>
        <v>7410</v>
      </c>
      <c r="C175" s="5" t="str">
        <f>IFERROR(INDEX('Output Utente'!$B$2:$B$492,MATCH(172,'Output Utente'!$Q$2:$Q$492,0)),"")</f>
        <v>D</v>
      </c>
      <c r="D175" s="5" t="str">
        <f>IFERROR(INDEX('Output Utente'!$C$2:$C$492,MATCH(172,'Output Utente'!$Q$2:$Q$492,0)),"")</f>
        <v>Viery</v>
      </c>
      <c r="E175" s="5" t="str">
        <f>IFERROR(INDEX('Input Giocatori 2026_27'!$D$3:$D$493,MATCH($B175,'Input Giocatori 2026_27'!$A$3:$A$493,0)),"")</f>
        <v>Fiorentina</v>
      </c>
      <c r="F175" s="42">
        <f>IFERROR(INDEX('Output Utente'!$N$2:$N$492,MATCH(172,'Output Utente'!$Q$2:$Q$492,0)),"")</f>
        <v>6</v>
      </c>
      <c r="G175" s="42">
        <f>IFERROR(INDEX('Output Utente'!$O$2:$O$492,MATCH(172,'Output Utente'!$Q$2:$Q$492,0)),"")</f>
        <v>19</v>
      </c>
      <c r="H175" s="5" t="str">
        <f>IFERROR(INDEX('Output Utente'!$P$2:$P$492,MATCH(172,'Output Utente'!$Q$2:$Q$492,0)),"")</f>
        <v>Buono</v>
      </c>
      <c r="I175" s="42">
        <f>IFERROR(INDEX('Output Utente'!$F$2:$F$492,MATCH(172,'Output Utente'!$Q$2:$Q$492,0)),"")</f>
        <v>4</v>
      </c>
      <c r="J175" s="42">
        <f>IFERROR(INDEX('Output Utente'!$G$2:$G$492,MATCH(172,'Output Utente'!$Q$2:$Q$492,0)),"")</f>
        <v>3</v>
      </c>
      <c r="K175" s="42">
        <f>IFERROR(INDEX('Output Utente'!$H$2:$H$492,MATCH(172,'Output Utente'!$Q$2:$Q$492,0)),"")</f>
        <v>4</v>
      </c>
      <c r="L175" s="5" t="str">
        <f>IFERROR(INDEX('Output Utente'!$E$2:$E$492,MATCH(172,'Output Utente'!$Q$2:$Q$492,0)),"")</f>
        <v>NO</v>
      </c>
      <c r="M175" s="5" t="str">
        <f>IFERROR(INDEX('Output Utente'!$U$2:$U$492,MATCH(172,'Output Utente'!$Q$2:$Q$492,0)),"")</f>
        <v>OK</v>
      </c>
      <c r="N175" s="5" t="str">
        <f>IFERROR(INDEX('Output Utente'!$AE$2:$AE$492,MATCH(172,'Output Utente'!$Q$2:$Q$492,0)),"")</f>
        <v>🟢 Riserve abbondanti</v>
      </c>
    </row>
    <row r="176" spans="1:14" ht="15" customHeight="1" x14ac:dyDescent="0.25">
      <c r="A176" s="41">
        <v>173</v>
      </c>
      <c r="B176" s="5">
        <f>IFERROR(INDEX('Output Utente'!$A$2:$A$492,MATCH(173,'Output Utente'!$Q$2:$Q$492,0)),"")</f>
        <v>6010</v>
      </c>
      <c r="C176" s="5" t="str">
        <f>IFERROR(INDEX('Output Utente'!$B$2:$B$492,MATCH(173,'Output Utente'!$Q$2:$Q$492,0)),"")</f>
        <v>C</v>
      </c>
      <c r="D176" s="5" t="str">
        <f>IFERROR(INDEX('Output Utente'!$C$2:$C$492,MATCH(173,'Output Utente'!$Q$2:$Q$492,0)),"")</f>
        <v>Fazzini</v>
      </c>
      <c r="E176" s="5" t="str">
        <f>IFERROR(INDEX('Input Giocatori 2026_27'!$D$3:$D$493,MATCH($B176,'Input Giocatori 2026_27'!$A$3:$A$493,0)),"")</f>
        <v>Cagliari</v>
      </c>
      <c r="F176" s="42">
        <f>IFERROR(INDEX('Output Utente'!$N$2:$N$492,MATCH(173,'Output Utente'!$Q$2:$Q$492,0)),"")</f>
        <v>7</v>
      </c>
      <c r="G176" s="42">
        <f>IFERROR(INDEX('Output Utente'!$O$2:$O$492,MATCH(173,'Output Utente'!$Q$2:$Q$492,0)),"")</f>
        <v>19</v>
      </c>
      <c r="H176" s="5" t="str">
        <f>IFERROR(INDEX('Output Utente'!$P$2:$P$492,MATCH(173,'Output Utente'!$Q$2:$Q$492,0)),"")</f>
        <v>Nella Media</v>
      </c>
      <c r="I176" s="42">
        <f>IFERROR(INDEX('Output Utente'!$F$2:$F$492,MATCH(173,'Output Utente'!$Q$2:$Q$492,0)),"")</f>
        <v>3</v>
      </c>
      <c r="J176" s="42">
        <f>IFERROR(INDEX('Output Utente'!$G$2:$G$492,MATCH(173,'Output Utente'!$Q$2:$Q$492,0)),"")</f>
        <v>2</v>
      </c>
      <c r="K176" s="42">
        <f>IFERROR(INDEX('Output Utente'!$H$2:$H$492,MATCH(173,'Output Utente'!$Q$2:$Q$492,0)),"")</f>
        <v>3</v>
      </c>
      <c r="L176" s="5" t="str">
        <f>IFERROR(INDEX('Output Utente'!$E$2:$E$492,MATCH(173,'Output Utente'!$Q$2:$Q$492,0)),"")</f>
        <v>NO</v>
      </c>
      <c r="M176" s="5" t="str">
        <f>IFERROR(INDEX('Output Utente'!$U$2:$U$492,MATCH(173,'Output Utente'!$Q$2:$Q$492,0)),"")</f>
        <v>OK</v>
      </c>
      <c r="N176" s="5" t="str">
        <f>IFERROR(INDEX('Output Utente'!$AE$2:$AE$492,MATCH(173,'Output Utente'!$Q$2:$Q$492,0)),"")</f>
        <v>🟢 Riserve abbondanti</v>
      </c>
    </row>
    <row r="177" spans="1:14" ht="15" customHeight="1" x14ac:dyDescent="0.25">
      <c r="A177" s="41">
        <v>174</v>
      </c>
      <c r="B177" s="5">
        <f>IFERROR(INDEX('Output Utente'!$A$2:$A$492,MATCH(174,'Output Utente'!$Q$2:$Q$492,0)),"")</f>
        <v>5791</v>
      </c>
      <c r="C177" s="5" t="str">
        <f>IFERROR(INDEX('Output Utente'!$B$2:$B$492,MATCH(174,'Output Utente'!$Q$2:$Q$492,0)),"")</f>
        <v>C</v>
      </c>
      <c r="D177" s="5" t="str">
        <f>IFERROR(INDEX('Output Utente'!$C$2:$C$492,MATCH(174,'Output Utente'!$Q$2:$Q$492,0)),"")</f>
        <v>Frendrup</v>
      </c>
      <c r="E177" s="5" t="str">
        <f>IFERROR(INDEX('Input Giocatori 2026_27'!$D$3:$D$493,MATCH($B177,'Input Giocatori 2026_27'!$A$3:$A$493,0)),"")</f>
        <v>Genoa</v>
      </c>
      <c r="F177" s="42">
        <f>IFERROR(INDEX('Output Utente'!$N$2:$N$492,MATCH(174,'Output Utente'!$Q$2:$Q$492,0)),"")</f>
        <v>7</v>
      </c>
      <c r="G177" s="42">
        <f>IFERROR(INDEX('Output Utente'!$O$2:$O$492,MATCH(174,'Output Utente'!$Q$2:$Q$492,0)),"")</f>
        <v>19</v>
      </c>
      <c r="H177" s="5" t="str">
        <f>IFERROR(INDEX('Output Utente'!$P$2:$P$492,MATCH(174,'Output Utente'!$Q$2:$Q$492,0)),"")</f>
        <v>Nella Media</v>
      </c>
      <c r="I177" s="42">
        <f>IFERROR(INDEX('Output Utente'!$F$2:$F$492,MATCH(174,'Output Utente'!$Q$2:$Q$492,0)),"")</f>
        <v>3</v>
      </c>
      <c r="J177" s="42">
        <f>IFERROR(INDEX('Output Utente'!$G$2:$G$492,MATCH(174,'Output Utente'!$Q$2:$Q$492,0)),"")</f>
        <v>2</v>
      </c>
      <c r="K177" s="42">
        <f>IFERROR(INDEX('Output Utente'!$H$2:$H$492,MATCH(174,'Output Utente'!$Q$2:$Q$492,0)),"")</f>
        <v>3</v>
      </c>
      <c r="L177" s="5" t="str">
        <f>IFERROR(INDEX('Output Utente'!$E$2:$E$492,MATCH(174,'Output Utente'!$Q$2:$Q$492,0)),"")</f>
        <v>NO</v>
      </c>
      <c r="M177" s="5" t="str">
        <f>IFERROR(INDEX('Output Utente'!$U$2:$U$492,MATCH(174,'Output Utente'!$Q$2:$Q$492,0)),"")</f>
        <v>OK</v>
      </c>
      <c r="N177" s="5" t="str">
        <f>IFERROR(INDEX('Output Utente'!$AE$2:$AE$492,MATCH(174,'Output Utente'!$Q$2:$Q$492,0)),"")</f>
        <v>🟢 Riserve abbondanti</v>
      </c>
    </row>
    <row r="178" spans="1:14" ht="15" customHeight="1" x14ac:dyDescent="0.25">
      <c r="A178" s="41">
        <v>175</v>
      </c>
      <c r="B178" s="5">
        <f>IFERROR(INDEX('Output Utente'!$A$2:$A$492,MATCH(175,'Output Utente'!$Q$2:$Q$492,0)),"")</f>
        <v>6549</v>
      </c>
      <c r="C178" s="5" t="str">
        <f>IFERROR(INDEX('Output Utente'!$B$2:$B$492,MATCH(175,'Output Utente'!$Q$2:$Q$492,0)),"")</f>
        <v>C</v>
      </c>
      <c r="D178" s="5" t="str">
        <f>IFERROR(INDEX('Output Utente'!$C$2:$C$492,MATCH(175,'Output Utente'!$Q$2:$Q$492,0)),"")</f>
        <v>Pierotti</v>
      </c>
      <c r="E178" s="5" t="str">
        <f>IFERROR(INDEX('Input Giocatori 2026_27'!$D$3:$D$493,MATCH($B178,'Input Giocatori 2026_27'!$A$3:$A$493,0)),"")</f>
        <v>Lecce</v>
      </c>
      <c r="F178" s="42">
        <f>IFERROR(INDEX('Output Utente'!$N$2:$N$492,MATCH(175,'Output Utente'!$Q$2:$Q$492,0)),"")</f>
        <v>6</v>
      </c>
      <c r="G178" s="42">
        <f>IFERROR(INDEX('Output Utente'!$O$2:$O$492,MATCH(175,'Output Utente'!$Q$2:$Q$492,0)),"")</f>
        <v>19</v>
      </c>
      <c r="H178" s="5" t="str">
        <f>IFERROR(INDEX('Output Utente'!$P$2:$P$492,MATCH(175,'Output Utente'!$Q$2:$Q$492,0)),"")</f>
        <v>Nella Media</v>
      </c>
      <c r="I178" s="42">
        <f>IFERROR(INDEX('Output Utente'!$F$2:$F$492,MATCH(175,'Output Utente'!$Q$2:$Q$492,0)),"")</f>
        <v>3</v>
      </c>
      <c r="J178" s="42">
        <f>IFERROR(INDEX('Output Utente'!$G$2:$G$492,MATCH(175,'Output Utente'!$Q$2:$Q$492,0)),"")</f>
        <v>2</v>
      </c>
      <c r="K178" s="42">
        <f>IFERROR(INDEX('Output Utente'!$H$2:$H$492,MATCH(175,'Output Utente'!$Q$2:$Q$492,0)),"")</f>
        <v>3</v>
      </c>
      <c r="L178" s="5" t="str">
        <f>IFERROR(INDEX('Output Utente'!$E$2:$E$492,MATCH(175,'Output Utente'!$Q$2:$Q$492,0)),"")</f>
        <v>NO</v>
      </c>
      <c r="M178" s="5" t="str">
        <f>IFERROR(INDEX('Output Utente'!$U$2:$U$492,MATCH(175,'Output Utente'!$Q$2:$Q$492,0)),"")</f>
        <v>OK</v>
      </c>
      <c r="N178" s="5" t="str">
        <f>IFERROR(INDEX('Output Utente'!$AE$2:$AE$492,MATCH(175,'Output Utente'!$Q$2:$Q$492,0)),"")</f>
        <v>🟢 Riserve abbondanti</v>
      </c>
    </row>
    <row r="179" spans="1:14" ht="15" customHeight="1" x14ac:dyDescent="0.25">
      <c r="A179" s="41">
        <v>176</v>
      </c>
      <c r="B179" s="5">
        <f>IFERROR(INDEX('Output Utente'!$A$2:$A$492,MATCH(176,'Output Utente'!$Q$2:$Q$492,0)),"")</f>
        <v>5674</v>
      </c>
      <c r="C179" s="5" t="str">
        <f>IFERROR(INDEX('Output Utente'!$B$2:$B$492,MATCH(176,'Output Utente'!$Q$2:$Q$492,0)),"")</f>
        <v>C</v>
      </c>
      <c r="D179" s="5" t="str">
        <f>IFERROR(INDEX('Output Utente'!$C$2:$C$492,MATCH(176,'Output Utente'!$Q$2:$Q$492,0)),"")</f>
        <v>Basic</v>
      </c>
      <c r="E179" s="5" t="str">
        <f>IFERROR(INDEX('Input Giocatori 2026_27'!$D$3:$D$493,MATCH($B179,'Input Giocatori 2026_27'!$A$3:$A$493,0)),"")</f>
        <v>Venezia</v>
      </c>
      <c r="F179" s="42">
        <f>IFERROR(INDEX('Output Utente'!$N$2:$N$492,MATCH(176,'Output Utente'!$Q$2:$Q$492,0)),"")</f>
        <v>6</v>
      </c>
      <c r="G179" s="42">
        <f>IFERROR(INDEX('Output Utente'!$O$2:$O$492,MATCH(176,'Output Utente'!$Q$2:$Q$492,0)),"")</f>
        <v>19</v>
      </c>
      <c r="H179" s="5" t="str">
        <f>IFERROR(INDEX('Output Utente'!$P$2:$P$492,MATCH(176,'Output Utente'!$Q$2:$Q$492,0)),"")</f>
        <v>Nella Media</v>
      </c>
      <c r="I179" s="42">
        <f>IFERROR(INDEX('Output Utente'!$F$2:$F$492,MATCH(176,'Output Utente'!$Q$2:$Q$492,0)),"")</f>
        <v>3</v>
      </c>
      <c r="J179" s="42">
        <f>IFERROR(INDEX('Output Utente'!$G$2:$G$492,MATCH(176,'Output Utente'!$Q$2:$Q$492,0)),"")</f>
        <v>2</v>
      </c>
      <c r="K179" s="42">
        <f>IFERROR(INDEX('Output Utente'!$H$2:$H$492,MATCH(176,'Output Utente'!$Q$2:$Q$492,0)),"")</f>
        <v>3</v>
      </c>
      <c r="L179" s="5" t="str">
        <f>IFERROR(INDEX('Output Utente'!$E$2:$E$492,MATCH(176,'Output Utente'!$Q$2:$Q$492,0)),"")</f>
        <v>NO</v>
      </c>
      <c r="M179" s="5" t="str">
        <f>IFERROR(INDEX('Output Utente'!$U$2:$U$492,MATCH(176,'Output Utente'!$Q$2:$Q$492,0)),"")</f>
        <v>OK</v>
      </c>
      <c r="N179" s="5" t="str">
        <f>IFERROR(INDEX('Output Utente'!$AE$2:$AE$492,MATCH(176,'Output Utente'!$Q$2:$Q$492,0)),"")</f>
        <v>🟢 Riserve abbondanti</v>
      </c>
    </row>
    <row r="180" spans="1:14" ht="15" customHeight="1" x14ac:dyDescent="0.25">
      <c r="A180" s="41">
        <v>177</v>
      </c>
      <c r="B180" s="5">
        <f>IFERROR(INDEX('Output Utente'!$A$2:$A$492,MATCH(177,'Output Utente'!$Q$2:$Q$492,0)),"")</f>
        <v>2529</v>
      </c>
      <c r="C180" s="5" t="str">
        <f>IFERROR(INDEX('Output Utente'!$B$2:$B$492,MATCH(177,'Output Utente'!$Q$2:$Q$492,0)),"")</f>
        <v>C</v>
      </c>
      <c r="D180" s="5" t="str">
        <f>IFERROR(INDEX('Output Utente'!$C$2:$C$492,MATCH(177,'Output Utente'!$Q$2:$Q$492,0)),"")</f>
        <v>Mkhitaryan</v>
      </c>
      <c r="E180" s="5" t="str">
        <f>IFERROR(INDEX('Input Giocatori 2026_27'!$D$3:$D$493,MATCH($B180,'Input Giocatori 2026_27'!$A$3:$A$493,0)),"")</f>
        <v>Inter</v>
      </c>
      <c r="F180" s="42">
        <f>IFERROR(INDEX('Output Utente'!$N$2:$N$492,MATCH(177,'Output Utente'!$Q$2:$Q$492,0)),"")</f>
        <v>5</v>
      </c>
      <c r="G180" s="42">
        <f>IFERROR(INDEX('Output Utente'!$O$2:$O$492,MATCH(177,'Output Utente'!$Q$2:$Q$492,0)),"")</f>
        <v>19</v>
      </c>
      <c r="H180" s="5" t="str">
        <f>IFERROR(INDEX('Output Utente'!$P$2:$P$492,MATCH(177,'Output Utente'!$Q$2:$Q$492,0)),"")</f>
        <v>Nella Media</v>
      </c>
      <c r="I180" s="42">
        <f>IFERROR(INDEX('Output Utente'!$F$2:$F$492,MATCH(177,'Output Utente'!$Q$2:$Q$492,0)),"")</f>
        <v>3</v>
      </c>
      <c r="J180" s="42">
        <f>IFERROR(INDEX('Output Utente'!$G$2:$G$492,MATCH(177,'Output Utente'!$Q$2:$Q$492,0)),"")</f>
        <v>2</v>
      </c>
      <c r="K180" s="42">
        <f>IFERROR(INDEX('Output Utente'!$H$2:$H$492,MATCH(177,'Output Utente'!$Q$2:$Q$492,0)),"")</f>
        <v>3</v>
      </c>
      <c r="L180" s="5" t="str">
        <f>IFERROR(INDEX('Output Utente'!$E$2:$E$492,MATCH(177,'Output Utente'!$Q$2:$Q$492,0)),"")</f>
        <v>NO</v>
      </c>
      <c r="M180" s="5" t="str">
        <f>IFERROR(INDEX('Output Utente'!$U$2:$U$492,MATCH(177,'Output Utente'!$Q$2:$Q$492,0)),"")</f>
        <v>OK</v>
      </c>
      <c r="N180" s="5" t="str">
        <f>IFERROR(INDEX('Output Utente'!$AE$2:$AE$492,MATCH(177,'Output Utente'!$Q$2:$Q$492,0)),"")</f>
        <v>🟢 Riserve abbondanti</v>
      </c>
    </row>
    <row r="181" spans="1:14" ht="15" customHeight="1" x14ac:dyDescent="0.25">
      <c r="A181" s="41">
        <v>178</v>
      </c>
      <c r="B181" s="5">
        <f>IFERROR(INDEX('Output Utente'!$A$2:$A$492,MATCH(178,'Output Utente'!$Q$2:$Q$492,0)),"")</f>
        <v>6598</v>
      </c>
      <c r="C181" s="5" t="str">
        <f>IFERROR(INDEX('Output Utente'!$B$2:$B$492,MATCH(178,'Output Utente'!$Q$2:$Q$492,0)),"")</f>
        <v>A</v>
      </c>
      <c r="D181" s="5" t="str">
        <f>IFERROR(INDEX('Output Utente'!$C$2:$C$492,MATCH(178,'Output Utente'!$Q$2:$Q$492,0)),"")</f>
        <v>Mutandwa</v>
      </c>
      <c r="E181" s="5" t="str">
        <f>IFERROR(INDEX('Input Giocatori 2026_27'!$D$3:$D$493,MATCH($B181,'Input Giocatori 2026_27'!$A$3:$A$493,0)),"")</f>
        <v>Cagliari</v>
      </c>
      <c r="F181" s="42">
        <f>IFERROR(INDEX('Output Utente'!$N$2:$N$492,MATCH(178,'Output Utente'!$Q$2:$Q$492,0)),"")</f>
        <v>6</v>
      </c>
      <c r="G181" s="42">
        <f>IFERROR(INDEX('Output Utente'!$O$2:$O$492,MATCH(178,'Output Utente'!$Q$2:$Q$492,0)),"")</f>
        <v>19</v>
      </c>
      <c r="H181" s="5" t="str">
        <f>IFERROR(INDEX('Output Utente'!$P$2:$P$492,MATCH(178,'Output Utente'!$Q$2:$Q$492,0)),"")</f>
        <v>Nella Media</v>
      </c>
      <c r="I181" s="42">
        <f>IFERROR(INDEX('Output Utente'!$F$2:$F$492,MATCH(178,'Output Utente'!$Q$2:$Q$492,0)),"")</f>
        <v>6</v>
      </c>
      <c r="J181" s="42">
        <f>IFERROR(INDEX('Output Utente'!$G$2:$G$492,MATCH(178,'Output Utente'!$Q$2:$Q$492,0)),"")</f>
        <v>4</v>
      </c>
      <c r="K181" s="42">
        <f>IFERROR(INDEX('Output Utente'!$H$2:$H$492,MATCH(178,'Output Utente'!$Q$2:$Q$492,0)),"")</f>
        <v>7</v>
      </c>
      <c r="L181" s="5" t="str">
        <f>IFERROR(INDEX('Output Utente'!$E$2:$E$492,MATCH(178,'Output Utente'!$Q$2:$Q$492,0)),"")</f>
        <v>NO</v>
      </c>
      <c r="M181" s="5" t="str">
        <f>IFERROR(INDEX('Output Utente'!$U$2:$U$492,MATCH(178,'Output Utente'!$Q$2:$Q$492,0)),"")</f>
        <v>OK</v>
      </c>
      <c r="N181" s="5" t="str">
        <f>IFERROR(INDEX('Output Utente'!$AE$2:$AE$492,MATCH(178,'Output Utente'!$Q$2:$Q$492,0)),"")</f>
        <v>🟢 Riserve abbondanti</v>
      </c>
    </row>
    <row r="182" spans="1:14" ht="15" customHeight="1" x14ac:dyDescent="0.25">
      <c r="A182" s="41">
        <v>179</v>
      </c>
      <c r="B182" s="5">
        <f>IFERROR(INDEX('Output Utente'!$A$2:$A$492,MATCH(179,'Output Utente'!$Q$2:$Q$492,0)),"")</f>
        <v>7332</v>
      </c>
      <c r="C182" s="5" t="str">
        <f>IFERROR(INDEX('Output Utente'!$B$2:$B$492,MATCH(179,'Output Utente'!$Q$2:$Q$492,0)),"")</f>
        <v>P</v>
      </c>
      <c r="D182" s="5" t="str">
        <f>IFERROR(INDEX('Output Utente'!$C$2:$C$492,MATCH(179,'Output Utente'!$Q$2:$Q$492,0)),"")</f>
        <v>Bijlow</v>
      </c>
      <c r="E182" s="5" t="str">
        <f>IFERROR(INDEX('Input Giocatori 2026_27'!$D$3:$D$493,MATCH($B182,'Input Giocatori 2026_27'!$A$3:$A$493,0)),"")</f>
        <v>Genoa</v>
      </c>
      <c r="F182" s="42">
        <f>IFERROR(INDEX('Output Utente'!$N$2:$N$492,MATCH(179,'Output Utente'!$Q$2:$Q$492,0)),"")</f>
        <v>8</v>
      </c>
      <c r="G182" s="42">
        <f>IFERROR(INDEX('Output Utente'!$O$2:$O$492,MATCH(179,'Output Utente'!$Q$2:$Q$492,0)),"")</f>
        <v>18</v>
      </c>
      <c r="H182" s="5" t="str">
        <f>IFERROR(INDEX('Output Utente'!$P$2:$P$492,MATCH(179,'Output Utente'!$Q$2:$Q$492,0)),"")</f>
        <v>Buono</v>
      </c>
      <c r="I182" s="42">
        <f>IFERROR(INDEX('Output Utente'!$F$2:$F$492,MATCH(179,'Output Utente'!$Q$2:$Q$492,0)),"")</f>
        <v>6</v>
      </c>
      <c r="J182" s="42">
        <f>IFERROR(INDEX('Output Utente'!$G$2:$G$492,MATCH(179,'Output Utente'!$Q$2:$Q$492,0)),"")</f>
        <v>5</v>
      </c>
      <c r="K182" s="42">
        <f>IFERROR(INDEX('Output Utente'!$H$2:$H$492,MATCH(179,'Output Utente'!$Q$2:$Q$492,0)),"")</f>
        <v>7</v>
      </c>
      <c r="L182" s="5" t="str">
        <f>IFERROR(INDEX('Output Utente'!$E$2:$E$492,MATCH(179,'Output Utente'!$Q$2:$Q$492,0)),"")</f>
        <v>NO</v>
      </c>
      <c r="M182" s="5" t="str">
        <f>IFERROR(INDEX('Output Utente'!$U$2:$U$492,MATCH(179,'Output Utente'!$Q$2:$Q$492,0)),"")</f>
        <v>OK</v>
      </c>
      <c r="N182" s="5" t="str">
        <f>IFERROR(INDEX('Output Utente'!$AE$2:$AE$492,MATCH(179,'Output Utente'!$Q$2:$Q$492,0)),"")</f>
        <v>🔴 Riserve scarse</v>
      </c>
    </row>
    <row r="183" spans="1:14" ht="15" customHeight="1" x14ac:dyDescent="0.25">
      <c r="A183" s="41">
        <v>180</v>
      </c>
      <c r="B183" s="5">
        <f>IFERROR(INDEX('Output Utente'!$A$2:$A$492,MATCH(180,'Output Utente'!$Q$2:$Q$492,0)),"")</f>
        <v>6042</v>
      </c>
      <c r="C183" s="5" t="str">
        <f>IFERROR(INDEX('Output Utente'!$B$2:$B$492,MATCH(180,'Output Utente'!$Q$2:$Q$492,0)),"")</f>
        <v>D</v>
      </c>
      <c r="D183" s="5" t="str">
        <f>IFERROR(INDEX('Output Utente'!$C$2:$C$492,MATCH(180,'Output Utente'!$Q$2:$Q$492,0)),"")</f>
        <v>Lucumì</v>
      </c>
      <c r="E183" s="5" t="str">
        <f>IFERROR(INDEX('Input Giocatori 2026_27'!$D$3:$D$493,MATCH($B183,'Input Giocatori 2026_27'!$A$3:$A$493,0)),"")</f>
        <v>Bologna</v>
      </c>
      <c r="F183" s="42">
        <f>IFERROR(INDEX('Output Utente'!$N$2:$N$492,MATCH(180,'Output Utente'!$Q$2:$Q$492,0)),"")</f>
        <v>8</v>
      </c>
      <c r="G183" s="42">
        <f>IFERROR(INDEX('Output Utente'!$O$2:$O$492,MATCH(180,'Output Utente'!$Q$2:$Q$492,0)),"")</f>
        <v>18</v>
      </c>
      <c r="H183" s="5" t="str">
        <f>IFERROR(INDEX('Output Utente'!$P$2:$P$492,MATCH(180,'Output Utente'!$Q$2:$Q$492,0)),"")</f>
        <v>Buono</v>
      </c>
      <c r="I183" s="42">
        <f>IFERROR(INDEX('Output Utente'!$F$2:$F$492,MATCH(180,'Output Utente'!$Q$2:$Q$492,0)),"")</f>
        <v>3</v>
      </c>
      <c r="J183" s="42">
        <f>IFERROR(INDEX('Output Utente'!$G$2:$G$492,MATCH(180,'Output Utente'!$Q$2:$Q$492,0)),"")</f>
        <v>2</v>
      </c>
      <c r="K183" s="42">
        <f>IFERROR(INDEX('Output Utente'!$H$2:$H$492,MATCH(180,'Output Utente'!$Q$2:$Q$492,0)),"")</f>
        <v>4</v>
      </c>
      <c r="L183" s="5" t="str">
        <f>IFERROR(INDEX('Output Utente'!$E$2:$E$492,MATCH(180,'Output Utente'!$Q$2:$Q$492,0)),"")</f>
        <v>NO</v>
      </c>
      <c r="M183" s="5" t="str">
        <f>IFERROR(INDEX('Output Utente'!$U$2:$U$492,MATCH(180,'Output Utente'!$Q$2:$Q$492,0)),"")</f>
        <v>OK</v>
      </c>
      <c r="N183" s="5" t="str">
        <f>IFERROR(INDEX('Output Utente'!$AE$2:$AE$492,MATCH(180,'Output Utente'!$Q$2:$Q$492,0)),"")</f>
        <v>🟢 Riserve abbondanti</v>
      </c>
    </row>
    <row r="184" spans="1:14" ht="15" customHeight="1" x14ac:dyDescent="0.25">
      <c r="A184" s="41">
        <v>181</v>
      </c>
      <c r="B184" s="5">
        <f>IFERROR(INDEX('Output Utente'!$A$2:$A$492,MATCH(181,'Output Utente'!$Q$2:$Q$492,0)),"")</f>
        <v>2724</v>
      </c>
      <c r="C184" s="5" t="str">
        <f>IFERROR(INDEX('Output Utente'!$B$2:$B$492,MATCH(181,'Output Utente'!$Q$2:$Q$492,0)),"")</f>
        <v>D</v>
      </c>
      <c r="D184" s="5" t="str">
        <f>IFERROR(INDEX('Output Utente'!$C$2:$C$492,MATCH(181,'Output Utente'!$Q$2:$Q$492,0)),"")</f>
        <v>Buongiorno</v>
      </c>
      <c r="E184" s="5" t="str">
        <f>IFERROR(INDEX('Input Giocatori 2026_27'!$D$3:$D$493,MATCH($B184,'Input Giocatori 2026_27'!$A$3:$A$493,0)),"")</f>
        <v>Napoli</v>
      </c>
      <c r="F184" s="42">
        <f>IFERROR(INDEX('Output Utente'!$N$2:$N$492,MATCH(181,'Output Utente'!$Q$2:$Q$492,0)),"")</f>
        <v>7</v>
      </c>
      <c r="G184" s="42">
        <f>IFERROR(INDEX('Output Utente'!$O$2:$O$492,MATCH(181,'Output Utente'!$Q$2:$Q$492,0)),"")</f>
        <v>18</v>
      </c>
      <c r="H184" s="5" t="str">
        <f>IFERROR(INDEX('Output Utente'!$P$2:$P$492,MATCH(181,'Output Utente'!$Q$2:$Q$492,0)),"")</f>
        <v>Buono</v>
      </c>
      <c r="I184" s="42">
        <f>IFERROR(INDEX('Output Utente'!$F$2:$F$492,MATCH(181,'Output Utente'!$Q$2:$Q$492,0)),"")</f>
        <v>3</v>
      </c>
      <c r="J184" s="42">
        <f>IFERROR(INDEX('Output Utente'!$G$2:$G$492,MATCH(181,'Output Utente'!$Q$2:$Q$492,0)),"")</f>
        <v>2</v>
      </c>
      <c r="K184" s="42">
        <f>IFERROR(INDEX('Output Utente'!$H$2:$H$492,MATCH(181,'Output Utente'!$Q$2:$Q$492,0)),"")</f>
        <v>4</v>
      </c>
      <c r="L184" s="5" t="str">
        <f>IFERROR(INDEX('Output Utente'!$E$2:$E$492,MATCH(181,'Output Utente'!$Q$2:$Q$492,0)),"")</f>
        <v>NO</v>
      </c>
      <c r="M184" s="5" t="str">
        <f>IFERROR(INDEX('Output Utente'!$U$2:$U$492,MATCH(181,'Output Utente'!$Q$2:$Q$492,0)),"")</f>
        <v>OK</v>
      </c>
      <c r="N184" s="5" t="str">
        <f>IFERROR(INDEX('Output Utente'!$AE$2:$AE$492,MATCH(181,'Output Utente'!$Q$2:$Q$492,0)),"")</f>
        <v>🟢 Riserve abbondanti</v>
      </c>
    </row>
    <row r="185" spans="1:14" ht="15" customHeight="1" x14ac:dyDescent="0.25">
      <c r="A185" s="41">
        <v>182</v>
      </c>
      <c r="B185" s="5">
        <f>IFERROR(INDEX('Output Utente'!$A$2:$A$492,MATCH(182,'Output Utente'!$Q$2:$Q$492,0)),"")</f>
        <v>6642</v>
      </c>
      <c r="C185" s="5" t="str">
        <f>IFERROR(INDEX('Output Utente'!$B$2:$B$492,MATCH(182,'Output Utente'!$Q$2:$Q$492,0)),"")</f>
        <v>D</v>
      </c>
      <c r="D185" s="5" t="str">
        <f>IFERROR(INDEX('Output Utente'!$C$2:$C$492,MATCH(182,'Output Utente'!$Q$2:$Q$492,0)),"")</f>
        <v>Coco</v>
      </c>
      <c r="E185" s="5" t="str">
        <f>IFERROR(INDEX('Input Giocatori 2026_27'!$D$3:$D$493,MATCH($B185,'Input Giocatori 2026_27'!$A$3:$A$493,0)),"")</f>
        <v>Torino</v>
      </c>
      <c r="F185" s="42">
        <f>IFERROR(INDEX('Output Utente'!$N$2:$N$492,MATCH(182,'Output Utente'!$Q$2:$Q$492,0)),"")</f>
        <v>7</v>
      </c>
      <c r="G185" s="42">
        <f>IFERROR(INDEX('Output Utente'!$O$2:$O$492,MATCH(182,'Output Utente'!$Q$2:$Q$492,0)),"")</f>
        <v>18</v>
      </c>
      <c r="H185" s="5" t="str">
        <f>IFERROR(INDEX('Output Utente'!$P$2:$P$492,MATCH(182,'Output Utente'!$Q$2:$Q$492,0)),"")</f>
        <v>Buono</v>
      </c>
      <c r="I185" s="42">
        <f>IFERROR(INDEX('Output Utente'!$F$2:$F$492,MATCH(182,'Output Utente'!$Q$2:$Q$492,0)),"")</f>
        <v>3</v>
      </c>
      <c r="J185" s="42">
        <f>IFERROR(INDEX('Output Utente'!$G$2:$G$492,MATCH(182,'Output Utente'!$Q$2:$Q$492,0)),"")</f>
        <v>2</v>
      </c>
      <c r="K185" s="42">
        <f>IFERROR(INDEX('Output Utente'!$H$2:$H$492,MATCH(182,'Output Utente'!$Q$2:$Q$492,0)),"")</f>
        <v>4</v>
      </c>
      <c r="L185" s="5" t="str">
        <f>IFERROR(INDEX('Output Utente'!$E$2:$E$492,MATCH(182,'Output Utente'!$Q$2:$Q$492,0)),"")</f>
        <v>NO</v>
      </c>
      <c r="M185" s="5" t="str">
        <f>IFERROR(INDEX('Output Utente'!$U$2:$U$492,MATCH(182,'Output Utente'!$Q$2:$Q$492,0)),"")</f>
        <v>OK</v>
      </c>
      <c r="N185" s="5" t="str">
        <f>IFERROR(INDEX('Output Utente'!$AE$2:$AE$492,MATCH(182,'Output Utente'!$Q$2:$Q$492,0)),"")</f>
        <v>🟢 Riserve abbondanti</v>
      </c>
    </row>
    <row r="186" spans="1:14" ht="15" customHeight="1" x14ac:dyDescent="0.25">
      <c r="A186" s="41">
        <v>183</v>
      </c>
      <c r="B186" s="5">
        <f>IFERROR(INDEX('Output Utente'!$A$2:$A$492,MATCH(183,'Output Utente'!$Q$2:$Q$492,0)),"")</f>
        <v>5010</v>
      </c>
      <c r="C186" s="5" t="str">
        <f>IFERROR(INDEX('Output Utente'!$B$2:$B$492,MATCH(183,'Output Utente'!$Q$2:$Q$492,0)),"")</f>
        <v>D</v>
      </c>
      <c r="D186" s="5" t="str">
        <f>IFERROR(INDEX('Output Utente'!$C$2:$C$492,MATCH(183,'Output Utente'!$Q$2:$Q$492,0)),"")</f>
        <v>Ismajli</v>
      </c>
      <c r="E186" s="5" t="str">
        <f>IFERROR(INDEX('Input Giocatori 2026_27'!$D$3:$D$493,MATCH($B186,'Input Giocatori 2026_27'!$A$3:$A$493,0)),"")</f>
        <v>Torino</v>
      </c>
      <c r="F186" s="42">
        <f>IFERROR(INDEX('Output Utente'!$N$2:$N$492,MATCH(183,'Output Utente'!$Q$2:$Q$492,0)),"")</f>
        <v>7</v>
      </c>
      <c r="G186" s="42">
        <f>IFERROR(INDEX('Output Utente'!$O$2:$O$492,MATCH(183,'Output Utente'!$Q$2:$Q$492,0)),"")</f>
        <v>18</v>
      </c>
      <c r="H186" s="5" t="str">
        <f>IFERROR(INDEX('Output Utente'!$P$2:$P$492,MATCH(183,'Output Utente'!$Q$2:$Q$492,0)),"")</f>
        <v>Buono</v>
      </c>
      <c r="I186" s="42">
        <f>IFERROR(INDEX('Output Utente'!$F$2:$F$492,MATCH(183,'Output Utente'!$Q$2:$Q$492,0)),"")</f>
        <v>3</v>
      </c>
      <c r="J186" s="42">
        <f>IFERROR(INDEX('Output Utente'!$G$2:$G$492,MATCH(183,'Output Utente'!$Q$2:$Q$492,0)),"")</f>
        <v>2</v>
      </c>
      <c r="K186" s="42">
        <f>IFERROR(INDEX('Output Utente'!$H$2:$H$492,MATCH(183,'Output Utente'!$Q$2:$Q$492,0)),"")</f>
        <v>4</v>
      </c>
      <c r="L186" s="5" t="str">
        <f>IFERROR(INDEX('Output Utente'!$E$2:$E$492,MATCH(183,'Output Utente'!$Q$2:$Q$492,0)),"")</f>
        <v>NO</v>
      </c>
      <c r="M186" s="5" t="str">
        <f>IFERROR(INDEX('Output Utente'!$U$2:$U$492,MATCH(183,'Output Utente'!$Q$2:$Q$492,0)),"")</f>
        <v>OK</v>
      </c>
      <c r="N186" s="5" t="str">
        <f>IFERROR(INDEX('Output Utente'!$AE$2:$AE$492,MATCH(183,'Output Utente'!$Q$2:$Q$492,0)),"")</f>
        <v>🟢 Riserve abbondanti</v>
      </c>
    </row>
    <row r="187" spans="1:14" ht="15" customHeight="1" x14ac:dyDescent="0.25">
      <c r="A187" s="41">
        <v>184</v>
      </c>
      <c r="B187" s="5">
        <f>IFERROR(INDEX('Output Utente'!$A$2:$A$492,MATCH(184,'Output Utente'!$Q$2:$Q$492,0)),"")</f>
        <v>6867</v>
      </c>
      <c r="C187" s="5" t="str">
        <f>IFERROR(INDEX('Output Utente'!$B$2:$B$492,MATCH(184,'Output Utente'!$Q$2:$Q$492,0)),"")</f>
        <v>D</v>
      </c>
      <c r="D187" s="5" t="str">
        <f>IFERROR(INDEX('Output Utente'!$C$2:$C$492,MATCH(184,'Output Utente'!$Q$2:$Q$492,0)),"")</f>
        <v>Valle</v>
      </c>
      <c r="E187" s="5" t="str">
        <f>IFERROR(INDEX('Input Giocatori 2026_27'!$D$3:$D$493,MATCH($B187,'Input Giocatori 2026_27'!$A$3:$A$493,0)),"")</f>
        <v>Como</v>
      </c>
      <c r="F187" s="42">
        <f>IFERROR(INDEX('Output Utente'!$N$2:$N$492,MATCH(184,'Output Utente'!$Q$2:$Q$492,0)),"")</f>
        <v>6</v>
      </c>
      <c r="G187" s="42">
        <f>IFERROR(INDEX('Output Utente'!$O$2:$O$492,MATCH(184,'Output Utente'!$Q$2:$Q$492,0)),"")</f>
        <v>18</v>
      </c>
      <c r="H187" s="5" t="str">
        <f>IFERROR(INDEX('Output Utente'!$P$2:$P$492,MATCH(184,'Output Utente'!$Q$2:$Q$492,0)),"")</f>
        <v>Buono</v>
      </c>
      <c r="I187" s="42">
        <f>IFERROR(INDEX('Output Utente'!$F$2:$F$492,MATCH(184,'Output Utente'!$Q$2:$Q$492,0)),"")</f>
        <v>3</v>
      </c>
      <c r="J187" s="42">
        <f>IFERROR(INDEX('Output Utente'!$G$2:$G$492,MATCH(184,'Output Utente'!$Q$2:$Q$492,0)),"")</f>
        <v>2</v>
      </c>
      <c r="K187" s="42">
        <f>IFERROR(INDEX('Output Utente'!$H$2:$H$492,MATCH(184,'Output Utente'!$Q$2:$Q$492,0)),"")</f>
        <v>4</v>
      </c>
      <c r="L187" s="5" t="str">
        <f>IFERROR(INDEX('Output Utente'!$E$2:$E$492,MATCH(184,'Output Utente'!$Q$2:$Q$492,0)),"")</f>
        <v>NO</v>
      </c>
      <c r="M187" s="5" t="str">
        <f>IFERROR(INDEX('Output Utente'!$U$2:$U$492,MATCH(184,'Output Utente'!$Q$2:$Q$492,0)),"")</f>
        <v>OK</v>
      </c>
      <c r="N187" s="5" t="str">
        <f>IFERROR(INDEX('Output Utente'!$AE$2:$AE$492,MATCH(184,'Output Utente'!$Q$2:$Q$492,0)),"")</f>
        <v>🟢 Riserve abbondanti</v>
      </c>
    </row>
    <row r="188" spans="1:14" ht="15" customHeight="1" x14ac:dyDescent="0.25">
      <c r="A188" s="41">
        <v>185</v>
      </c>
      <c r="B188" s="5">
        <f>IFERROR(INDEX('Output Utente'!$A$2:$A$492,MATCH(185,'Output Utente'!$Q$2:$Q$492,0)),"")</f>
        <v>7294</v>
      </c>
      <c r="C188" s="5" t="str">
        <f>IFERROR(INDEX('Output Utente'!$B$2:$B$492,MATCH(185,'Output Utente'!$Q$2:$Q$492,0)),"")</f>
        <v>D</v>
      </c>
      <c r="D188" s="5" t="str">
        <f>IFERROR(INDEX('Output Utente'!$C$2:$C$492,MATCH(185,'Output Utente'!$Q$2:$Q$492,0)),"")</f>
        <v>Valdepenas</v>
      </c>
      <c r="E188" s="5" t="str">
        <f>IFERROR(INDEX('Input Giocatori 2026_27'!$D$3:$D$493,MATCH($B188,'Input Giocatori 2026_27'!$A$3:$A$493,0)),"")</f>
        <v>Fiorentina</v>
      </c>
      <c r="F188" s="42">
        <f>IFERROR(INDEX('Output Utente'!$N$2:$N$492,MATCH(185,'Output Utente'!$Q$2:$Q$492,0)),"")</f>
        <v>6</v>
      </c>
      <c r="G188" s="42">
        <f>IFERROR(INDEX('Output Utente'!$O$2:$O$492,MATCH(185,'Output Utente'!$Q$2:$Q$492,0)),"")</f>
        <v>18</v>
      </c>
      <c r="H188" s="5" t="str">
        <f>IFERROR(INDEX('Output Utente'!$P$2:$P$492,MATCH(185,'Output Utente'!$Q$2:$Q$492,0)),"")</f>
        <v>Buono</v>
      </c>
      <c r="I188" s="42">
        <f>IFERROR(INDEX('Output Utente'!$F$2:$F$492,MATCH(185,'Output Utente'!$Q$2:$Q$492,0)),"")</f>
        <v>3</v>
      </c>
      <c r="J188" s="42">
        <f>IFERROR(INDEX('Output Utente'!$G$2:$G$492,MATCH(185,'Output Utente'!$Q$2:$Q$492,0)),"")</f>
        <v>2</v>
      </c>
      <c r="K188" s="42">
        <f>IFERROR(INDEX('Output Utente'!$H$2:$H$492,MATCH(185,'Output Utente'!$Q$2:$Q$492,0)),"")</f>
        <v>4</v>
      </c>
      <c r="L188" s="5" t="str">
        <f>IFERROR(INDEX('Output Utente'!$E$2:$E$492,MATCH(185,'Output Utente'!$Q$2:$Q$492,0)),"")</f>
        <v>NO</v>
      </c>
      <c r="M188" s="5" t="str">
        <f>IFERROR(INDEX('Output Utente'!$U$2:$U$492,MATCH(185,'Output Utente'!$Q$2:$Q$492,0)),"")</f>
        <v>OK</v>
      </c>
      <c r="N188" s="5" t="str">
        <f>IFERROR(INDEX('Output Utente'!$AE$2:$AE$492,MATCH(185,'Output Utente'!$Q$2:$Q$492,0)),"")</f>
        <v>🟢 Riserve abbondanti</v>
      </c>
    </row>
    <row r="189" spans="1:14" ht="15" customHeight="1" x14ac:dyDescent="0.25">
      <c r="A189" s="41">
        <v>186</v>
      </c>
      <c r="B189" s="5">
        <f>IFERROR(INDEX('Output Utente'!$A$2:$A$492,MATCH(186,'Output Utente'!$Q$2:$Q$492,0)),"")</f>
        <v>4177</v>
      </c>
      <c r="C189" s="5" t="str">
        <f>IFERROR(INDEX('Output Utente'!$B$2:$B$492,MATCH(186,'Output Utente'!$Q$2:$Q$492,0)),"")</f>
        <v>D</v>
      </c>
      <c r="D189" s="5" t="str">
        <f>IFERROR(INDEX('Output Utente'!$C$2:$C$492,MATCH(186,'Output Utente'!$Q$2:$Q$492,0)),"")</f>
        <v>Pavard</v>
      </c>
      <c r="E189" s="5" t="str">
        <f>IFERROR(INDEX('Input Giocatori 2026_27'!$D$3:$D$493,MATCH($B189,'Input Giocatori 2026_27'!$A$3:$A$493,0)),"")</f>
        <v>Inter</v>
      </c>
      <c r="F189" s="42">
        <f>IFERROR(INDEX('Output Utente'!$N$2:$N$492,MATCH(186,'Output Utente'!$Q$2:$Q$492,0)),"")</f>
        <v>6</v>
      </c>
      <c r="G189" s="42">
        <f>IFERROR(INDEX('Output Utente'!$O$2:$O$492,MATCH(186,'Output Utente'!$Q$2:$Q$492,0)),"")</f>
        <v>18</v>
      </c>
      <c r="H189" s="5" t="str">
        <f>IFERROR(INDEX('Output Utente'!$P$2:$P$492,MATCH(186,'Output Utente'!$Q$2:$Q$492,0)),"")</f>
        <v>Buono</v>
      </c>
      <c r="I189" s="42">
        <f>IFERROR(INDEX('Output Utente'!$F$2:$F$492,MATCH(186,'Output Utente'!$Q$2:$Q$492,0)),"")</f>
        <v>3</v>
      </c>
      <c r="J189" s="42">
        <f>IFERROR(INDEX('Output Utente'!$G$2:$G$492,MATCH(186,'Output Utente'!$Q$2:$Q$492,0)),"")</f>
        <v>2</v>
      </c>
      <c r="K189" s="42">
        <f>IFERROR(INDEX('Output Utente'!$H$2:$H$492,MATCH(186,'Output Utente'!$Q$2:$Q$492,0)),"")</f>
        <v>4</v>
      </c>
      <c r="L189" s="5" t="str">
        <f>IFERROR(INDEX('Output Utente'!$E$2:$E$492,MATCH(186,'Output Utente'!$Q$2:$Q$492,0)),"")</f>
        <v>NO</v>
      </c>
      <c r="M189" s="5" t="str">
        <f>IFERROR(INDEX('Output Utente'!$U$2:$U$492,MATCH(186,'Output Utente'!$Q$2:$Q$492,0)),"")</f>
        <v>OK</v>
      </c>
      <c r="N189" s="5" t="str">
        <f>IFERROR(INDEX('Output Utente'!$AE$2:$AE$492,MATCH(186,'Output Utente'!$Q$2:$Q$492,0)),"")</f>
        <v>🟢 Riserve abbondanti</v>
      </c>
    </row>
    <row r="190" spans="1:14" ht="15" customHeight="1" x14ac:dyDescent="0.25">
      <c r="A190" s="41">
        <v>187</v>
      </c>
      <c r="B190" s="5">
        <f>IFERROR(INDEX('Output Utente'!$A$2:$A$492,MATCH(187,'Output Utente'!$Q$2:$Q$492,0)),"")</f>
        <v>6663</v>
      </c>
      <c r="C190" s="5" t="str">
        <f>IFERROR(INDEX('Output Utente'!$B$2:$B$492,MATCH(187,'Output Utente'!$Q$2:$Q$492,0)),"")</f>
        <v>D</v>
      </c>
      <c r="D190" s="5" t="str">
        <f>IFERROR(INDEX('Output Utente'!$C$2:$C$492,MATCH(187,'Output Utente'!$Q$2:$Q$492,0)),"")</f>
        <v>Circati</v>
      </c>
      <c r="E190" s="5" t="str">
        <f>IFERROR(INDEX('Input Giocatori 2026_27'!$D$3:$D$493,MATCH($B190,'Input Giocatori 2026_27'!$A$3:$A$493,0)),"")</f>
        <v>Parma</v>
      </c>
      <c r="F190" s="42">
        <f>IFERROR(INDEX('Output Utente'!$N$2:$N$492,MATCH(187,'Output Utente'!$Q$2:$Q$492,0)),"")</f>
        <v>6</v>
      </c>
      <c r="G190" s="42">
        <f>IFERROR(INDEX('Output Utente'!$O$2:$O$492,MATCH(187,'Output Utente'!$Q$2:$Q$492,0)),"")</f>
        <v>18</v>
      </c>
      <c r="H190" s="5" t="str">
        <f>IFERROR(INDEX('Output Utente'!$P$2:$P$492,MATCH(187,'Output Utente'!$Q$2:$Q$492,0)),"")</f>
        <v>Buono</v>
      </c>
      <c r="I190" s="42">
        <f>IFERROR(INDEX('Output Utente'!$F$2:$F$492,MATCH(187,'Output Utente'!$Q$2:$Q$492,0)),"")</f>
        <v>3</v>
      </c>
      <c r="J190" s="42">
        <f>IFERROR(INDEX('Output Utente'!$G$2:$G$492,MATCH(187,'Output Utente'!$Q$2:$Q$492,0)),"")</f>
        <v>2</v>
      </c>
      <c r="K190" s="42">
        <f>IFERROR(INDEX('Output Utente'!$H$2:$H$492,MATCH(187,'Output Utente'!$Q$2:$Q$492,0)),"")</f>
        <v>4</v>
      </c>
      <c r="L190" s="5" t="str">
        <f>IFERROR(INDEX('Output Utente'!$E$2:$E$492,MATCH(187,'Output Utente'!$Q$2:$Q$492,0)),"")</f>
        <v>NO</v>
      </c>
      <c r="M190" s="5" t="str">
        <f>IFERROR(INDEX('Output Utente'!$U$2:$U$492,MATCH(187,'Output Utente'!$Q$2:$Q$492,0)),"")</f>
        <v>OK</v>
      </c>
      <c r="N190" s="5" t="str">
        <f>IFERROR(INDEX('Output Utente'!$AE$2:$AE$492,MATCH(187,'Output Utente'!$Q$2:$Q$492,0)),"")</f>
        <v>🟢 Riserve abbondanti</v>
      </c>
    </row>
    <row r="191" spans="1:14" ht="15" customHeight="1" x14ac:dyDescent="0.25">
      <c r="A191" s="41">
        <v>188</v>
      </c>
      <c r="B191" s="5">
        <f>IFERROR(INDEX('Output Utente'!$A$2:$A$492,MATCH(188,'Output Utente'!$Q$2:$Q$492,0)),"")</f>
        <v>5858</v>
      </c>
      <c r="C191" s="5" t="str">
        <f>IFERROR(INDEX('Output Utente'!$B$2:$B$492,MATCH(188,'Output Utente'!$Q$2:$Q$492,0)),"")</f>
        <v>C</v>
      </c>
      <c r="D191" s="5" t="str">
        <f>IFERROR(INDEX('Output Utente'!$C$2:$C$492,MATCH(188,'Output Utente'!$Q$2:$Q$492,0)),"")</f>
        <v>Ferguson</v>
      </c>
      <c r="E191" s="5" t="str">
        <f>IFERROR(INDEX('Input Giocatori 2026_27'!$D$3:$D$493,MATCH($B191,'Input Giocatori 2026_27'!$A$3:$A$493,0)),"")</f>
        <v>Bologna</v>
      </c>
      <c r="F191" s="42">
        <f>IFERROR(INDEX('Output Utente'!$N$2:$N$492,MATCH(188,'Output Utente'!$Q$2:$Q$492,0)),"")</f>
        <v>7</v>
      </c>
      <c r="G191" s="42">
        <f>IFERROR(INDEX('Output Utente'!$O$2:$O$492,MATCH(188,'Output Utente'!$Q$2:$Q$492,0)),"")</f>
        <v>18</v>
      </c>
      <c r="H191" s="5" t="str">
        <f>IFERROR(INDEX('Output Utente'!$P$2:$P$492,MATCH(188,'Output Utente'!$Q$2:$Q$492,0)),"")</f>
        <v>Nella Media</v>
      </c>
      <c r="I191" s="42">
        <f>IFERROR(INDEX('Output Utente'!$F$2:$F$492,MATCH(188,'Output Utente'!$Q$2:$Q$492,0)),"")</f>
        <v>3</v>
      </c>
      <c r="J191" s="42">
        <f>IFERROR(INDEX('Output Utente'!$G$2:$G$492,MATCH(188,'Output Utente'!$Q$2:$Q$492,0)),"")</f>
        <v>2</v>
      </c>
      <c r="K191" s="42">
        <f>IFERROR(INDEX('Output Utente'!$H$2:$H$492,MATCH(188,'Output Utente'!$Q$2:$Q$492,0)),"")</f>
        <v>3</v>
      </c>
      <c r="L191" s="5" t="str">
        <f>IFERROR(INDEX('Output Utente'!$E$2:$E$492,MATCH(188,'Output Utente'!$Q$2:$Q$492,0)),"")</f>
        <v>NO</v>
      </c>
      <c r="M191" s="5" t="str">
        <f>IFERROR(INDEX('Output Utente'!$U$2:$U$492,MATCH(188,'Output Utente'!$Q$2:$Q$492,0)),"")</f>
        <v>OK</v>
      </c>
      <c r="N191" s="5" t="str">
        <f>IFERROR(INDEX('Output Utente'!$AE$2:$AE$492,MATCH(188,'Output Utente'!$Q$2:$Q$492,0)),"")</f>
        <v>🟢 Riserve abbondanti</v>
      </c>
    </row>
    <row r="192" spans="1:14" ht="15" customHeight="1" x14ac:dyDescent="0.25">
      <c r="A192" s="41">
        <v>189</v>
      </c>
      <c r="B192" s="5">
        <f>IFERROR(INDEX('Output Utente'!$A$2:$A$492,MATCH(189,'Output Utente'!$Q$2:$Q$492,0)),"")</f>
        <v>6020</v>
      </c>
      <c r="C192" s="5" t="str">
        <f>IFERROR(INDEX('Output Utente'!$B$2:$B$492,MATCH(189,'Output Utente'!$Q$2:$Q$492,0)),"")</f>
        <v>C</v>
      </c>
      <c r="D192" s="5" t="str">
        <f>IFERROR(INDEX('Output Utente'!$C$2:$C$492,MATCH(189,'Output Utente'!$Q$2:$Q$492,0)),"")</f>
        <v>Ellertsson</v>
      </c>
      <c r="E192" s="5" t="str">
        <f>IFERROR(INDEX('Input Giocatori 2026_27'!$D$3:$D$493,MATCH($B192,'Input Giocatori 2026_27'!$A$3:$A$493,0)),"")</f>
        <v>Genoa</v>
      </c>
      <c r="F192" s="42">
        <f>IFERROR(INDEX('Output Utente'!$N$2:$N$492,MATCH(189,'Output Utente'!$Q$2:$Q$492,0)),"")</f>
        <v>6</v>
      </c>
      <c r="G192" s="42">
        <f>IFERROR(INDEX('Output Utente'!$O$2:$O$492,MATCH(189,'Output Utente'!$Q$2:$Q$492,0)),"")</f>
        <v>18</v>
      </c>
      <c r="H192" s="5" t="str">
        <f>IFERROR(INDEX('Output Utente'!$P$2:$P$492,MATCH(189,'Output Utente'!$Q$2:$Q$492,0)),"")</f>
        <v>Nella Media</v>
      </c>
      <c r="I192" s="42">
        <f>IFERROR(INDEX('Output Utente'!$F$2:$F$492,MATCH(189,'Output Utente'!$Q$2:$Q$492,0)),"")</f>
        <v>3</v>
      </c>
      <c r="J192" s="42">
        <f>IFERROR(INDEX('Output Utente'!$G$2:$G$492,MATCH(189,'Output Utente'!$Q$2:$Q$492,0)),"")</f>
        <v>2</v>
      </c>
      <c r="K192" s="42">
        <f>IFERROR(INDEX('Output Utente'!$H$2:$H$492,MATCH(189,'Output Utente'!$Q$2:$Q$492,0)),"")</f>
        <v>3</v>
      </c>
      <c r="L192" s="5" t="str">
        <f>IFERROR(INDEX('Output Utente'!$E$2:$E$492,MATCH(189,'Output Utente'!$Q$2:$Q$492,0)),"")</f>
        <v>NO</v>
      </c>
      <c r="M192" s="5" t="str">
        <f>IFERROR(INDEX('Output Utente'!$U$2:$U$492,MATCH(189,'Output Utente'!$Q$2:$Q$492,0)),"")</f>
        <v>OK</v>
      </c>
      <c r="N192" s="5" t="str">
        <f>IFERROR(INDEX('Output Utente'!$AE$2:$AE$492,MATCH(189,'Output Utente'!$Q$2:$Q$492,0)),"")</f>
        <v>🟢 Riserve abbondanti</v>
      </c>
    </row>
    <row r="193" spans="1:14" ht="15" customHeight="1" x14ac:dyDescent="0.25">
      <c r="A193" s="41">
        <v>190</v>
      </c>
      <c r="B193" s="5">
        <f>IFERROR(INDEX('Output Utente'!$A$2:$A$492,MATCH(190,'Output Utente'!$Q$2:$Q$492,0)),"")</f>
        <v>5761</v>
      </c>
      <c r="C193" s="5" t="str">
        <f>IFERROR(INDEX('Output Utente'!$B$2:$B$492,MATCH(190,'Output Utente'!$Q$2:$Q$492,0)),"")</f>
        <v>C</v>
      </c>
      <c r="D193" s="5" t="str">
        <f>IFERROR(INDEX('Output Utente'!$C$2:$C$492,MATCH(190,'Output Utente'!$Q$2:$Q$492,0)),"")</f>
        <v>Zhegrova</v>
      </c>
      <c r="E193" s="5" t="str">
        <f>IFERROR(INDEX('Input Giocatori 2026_27'!$D$3:$D$493,MATCH($B193,'Input Giocatori 2026_27'!$A$3:$A$493,0)),"")</f>
        <v>Juventus</v>
      </c>
      <c r="F193" s="42">
        <f>IFERROR(INDEX('Output Utente'!$N$2:$N$492,MATCH(190,'Output Utente'!$Q$2:$Q$492,0)),"")</f>
        <v>6</v>
      </c>
      <c r="G193" s="42">
        <f>IFERROR(INDEX('Output Utente'!$O$2:$O$492,MATCH(190,'Output Utente'!$Q$2:$Q$492,0)),"")</f>
        <v>18</v>
      </c>
      <c r="H193" s="5" t="str">
        <f>IFERROR(INDEX('Output Utente'!$P$2:$P$492,MATCH(190,'Output Utente'!$Q$2:$Q$492,0)),"")</f>
        <v>Nella Media</v>
      </c>
      <c r="I193" s="42">
        <f>IFERROR(INDEX('Output Utente'!$F$2:$F$492,MATCH(190,'Output Utente'!$Q$2:$Q$492,0)),"")</f>
        <v>3</v>
      </c>
      <c r="J193" s="42">
        <f>IFERROR(INDEX('Output Utente'!$G$2:$G$492,MATCH(190,'Output Utente'!$Q$2:$Q$492,0)),"")</f>
        <v>2</v>
      </c>
      <c r="K193" s="42">
        <f>IFERROR(INDEX('Output Utente'!$H$2:$H$492,MATCH(190,'Output Utente'!$Q$2:$Q$492,0)),"")</f>
        <v>3</v>
      </c>
      <c r="L193" s="5" t="str">
        <f>IFERROR(INDEX('Output Utente'!$E$2:$E$492,MATCH(190,'Output Utente'!$Q$2:$Q$492,0)),"")</f>
        <v>NO</v>
      </c>
      <c r="M193" s="5" t="str">
        <f>IFERROR(INDEX('Output Utente'!$U$2:$U$492,MATCH(190,'Output Utente'!$Q$2:$Q$492,0)),"")</f>
        <v>OK</v>
      </c>
      <c r="N193" s="5" t="str">
        <f>IFERROR(INDEX('Output Utente'!$AE$2:$AE$492,MATCH(190,'Output Utente'!$Q$2:$Q$492,0)),"")</f>
        <v>🟢 Riserve abbondanti</v>
      </c>
    </row>
    <row r="194" spans="1:14" ht="15" customHeight="1" x14ac:dyDescent="0.25">
      <c r="A194" s="41">
        <v>191</v>
      </c>
      <c r="B194" s="5">
        <f>IFERROR(INDEX('Output Utente'!$A$2:$A$492,MATCH(191,'Output Utente'!$Q$2:$Q$492,0)),"")</f>
        <v>4349</v>
      </c>
      <c r="C194" s="5" t="str">
        <f>IFERROR(INDEX('Output Utente'!$B$2:$B$492,MATCH(191,'Output Utente'!$Q$2:$Q$492,0)),"")</f>
        <v>C</v>
      </c>
      <c r="D194" s="5" t="str">
        <f>IFERROR(INDEX('Output Utente'!$C$2:$C$492,MATCH(191,'Output Utente'!$Q$2:$Q$492,0)),"")</f>
        <v>Nicolussi Caviglia</v>
      </c>
      <c r="E194" s="5" t="str">
        <f>IFERROR(INDEX('Input Giocatori 2026_27'!$D$3:$D$493,MATCH($B194,'Input Giocatori 2026_27'!$A$3:$A$493,0)),"")</f>
        <v>Parma</v>
      </c>
      <c r="F194" s="42">
        <f>IFERROR(INDEX('Output Utente'!$N$2:$N$492,MATCH(191,'Output Utente'!$Q$2:$Q$492,0)),"")</f>
        <v>6</v>
      </c>
      <c r="G194" s="42">
        <f>IFERROR(INDEX('Output Utente'!$O$2:$O$492,MATCH(191,'Output Utente'!$Q$2:$Q$492,0)),"")</f>
        <v>18</v>
      </c>
      <c r="H194" s="5" t="str">
        <f>IFERROR(INDEX('Output Utente'!$P$2:$P$492,MATCH(191,'Output Utente'!$Q$2:$Q$492,0)),"")</f>
        <v>Nella Media</v>
      </c>
      <c r="I194" s="42">
        <f>IFERROR(INDEX('Output Utente'!$F$2:$F$492,MATCH(191,'Output Utente'!$Q$2:$Q$492,0)),"")</f>
        <v>3</v>
      </c>
      <c r="J194" s="42">
        <f>IFERROR(INDEX('Output Utente'!$G$2:$G$492,MATCH(191,'Output Utente'!$Q$2:$Q$492,0)),"")</f>
        <v>2</v>
      </c>
      <c r="K194" s="42">
        <f>IFERROR(INDEX('Output Utente'!$H$2:$H$492,MATCH(191,'Output Utente'!$Q$2:$Q$492,0)),"")</f>
        <v>3</v>
      </c>
      <c r="L194" s="5" t="str">
        <f>IFERROR(INDEX('Output Utente'!$E$2:$E$492,MATCH(191,'Output Utente'!$Q$2:$Q$492,0)),"")</f>
        <v>NO</v>
      </c>
      <c r="M194" s="5" t="str">
        <f>IFERROR(INDEX('Output Utente'!$U$2:$U$492,MATCH(191,'Output Utente'!$Q$2:$Q$492,0)),"")</f>
        <v>OK</v>
      </c>
      <c r="N194" s="5" t="str">
        <f>IFERROR(INDEX('Output Utente'!$AE$2:$AE$492,MATCH(191,'Output Utente'!$Q$2:$Q$492,0)),"")</f>
        <v>🟢 Riserve abbondanti</v>
      </c>
    </row>
    <row r="195" spans="1:14" ht="15" customHeight="1" x14ac:dyDescent="0.25">
      <c r="A195" s="41">
        <v>192</v>
      </c>
      <c r="B195" s="5">
        <f>IFERROR(INDEX('Output Utente'!$A$2:$A$492,MATCH(192,'Output Utente'!$Q$2:$Q$492,0)),"")</f>
        <v>6984</v>
      </c>
      <c r="C195" s="5" t="str">
        <f>IFERROR(INDEX('Output Utente'!$B$2:$B$492,MATCH(192,'Output Utente'!$Q$2:$Q$492,0)),"")</f>
        <v>C</v>
      </c>
      <c r="D195" s="5" t="str">
        <f>IFERROR(INDEX('Output Utente'!$C$2:$C$492,MATCH(192,'Output Utente'!$Q$2:$Q$492,0)),"")</f>
        <v>Ondrejka</v>
      </c>
      <c r="E195" s="5" t="str">
        <f>IFERROR(INDEX('Input Giocatori 2026_27'!$D$3:$D$493,MATCH($B195,'Input Giocatori 2026_27'!$A$3:$A$493,0)),"")</f>
        <v>Parma</v>
      </c>
      <c r="F195" s="42">
        <f>IFERROR(INDEX('Output Utente'!$N$2:$N$492,MATCH(192,'Output Utente'!$Q$2:$Q$492,0)),"")</f>
        <v>5</v>
      </c>
      <c r="G195" s="42">
        <f>IFERROR(INDEX('Output Utente'!$O$2:$O$492,MATCH(192,'Output Utente'!$Q$2:$Q$492,0)),"")</f>
        <v>18</v>
      </c>
      <c r="H195" s="5" t="str">
        <f>IFERROR(INDEX('Output Utente'!$P$2:$P$492,MATCH(192,'Output Utente'!$Q$2:$Q$492,0)),"")</f>
        <v>Nella Media</v>
      </c>
      <c r="I195" s="42">
        <f>IFERROR(INDEX('Output Utente'!$F$2:$F$492,MATCH(192,'Output Utente'!$Q$2:$Q$492,0)),"")</f>
        <v>3</v>
      </c>
      <c r="J195" s="42">
        <f>IFERROR(INDEX('Output Utente'!$G$2:$G$492,MATCH(192,'Output Utente'!$Q$2:$Q$492,0)),"")</f>
        <v>2</v>
      </c>
      <c r="K195" s="42">
        <f>IFERROR(INDEX('Output Utente'!$H$2:$H$492,MATCH(192,'Output Utente'!$Q$2:$Q$492,0)),"")</f>
        <v>3</v>
      </c>
      <c r="L195" s="5" t="str">
        <f>IFERROR(INDEX('Output Utente'!$E$2:$E$492,MATCH(192,'Output Utente'!$Q$2:$Q$492,0)),"")</f>
        <v>NO</v>
      </c>
      <c r="M195" s="5" t="str">
        <f>IFERROR(INDEX('Output Utente'!$U$2:$U$492,MATCH(192,'Output Utente'!$Q$2:$Q$492,0)),"")</f>
        <v>OK</v>
      </c>
      <c r="N195" s="5" t="str">
        <f>IFERROR(INDEX('Output Utente'!$AE$2:$AE$492,MATCH(192,'Output Utente'!$Q$2:$Q$492,0)),"")</f>
        <v>🟢 Riserve abbondanti</v>
      </c>
    </row>
    <row r="196" spans="1:14" ht="15" customHeight="1" x14ac:dyDescent="0.25">
      <c r="A196" s="41">
        <v>193</v>
      </c>
      <c r="B196" s="5">
        <f>IFERROR(INDEX('Output Utente'!$A$2:$A$492,MATCH(193,'Output Utente'!$Q$2:$Q$492,0)),"")</f>
        <v>7060</v>
      </c>
      <c r="C196" s="5" t="str">
        <f>IFERROR(INDEX('Output Utente'!$B$2:$B$492,MATCH(193,'Output Utente'!$Q$2:$Q$492,0)),"")</f>
        <v>C</v>
      </c>
      <c r="D196" s="5" t="str">
        <f>IFERROR(INDEX('Output Utente'!$C$2:$C$492,MATCH(193,'Output Utente'!$Q$2:$Q$492,0)),"")</f>
        <v>Cacciamani</v>
      </c>
      <c r="E196" s="5" t="str">
        <f>IFERROR(INDEX('Input Giocatori 2026_27'!$D$3:$D$493,MATCH($B196,'Input Giocatori 2026_27'!$A$3:$A$493,0)),"")</f>
        <v>Torino</v>
      </c>
      <c r="F196" s="42">
        <f>IFERROR(INDEX('Output Utente'!$N$2:$N$492,MATCH(193,'Output Utente'!$Q$2:$Q$492,0)),"")</f>
        <v>5</v>
      </c>
      <c r="G196" s="42">
        <f>IFERROR(INDEX('Output Utente'!$O$2:$O$492,MATCH(193,'Output Utente'!$Q$2:$Q$492,0)),"")</f>
        <v>18</v>
      </c>
      <c r="H196" s="5" t="str">
        <f>IFERROR(INDEX('Output Utente'!$P$2:$P$492,MATCH(193,'Output Utente'!$Q$2:$Q$492,0)),"")</f>
        <v>Nella Media</v>
      </c>
      <c r="I196" s="42">
        <f>IFERROR(INDEX('Output Utente'!$F$2:$F$492,MATCH(193,'Output Utente'!$Q$2:$Q$492,0)),"")</f>
        <v>3</v>
      </c>
      <c r="J196" s="42">
        <f>IFERROR(INDEX('Output Utente'!$G$2:$G$492,MATCH(193,'Output Utente'!$Q$2:$Q$492,0)),"")</f>
        <v>2</v>
      </c>
      <c r="K196" s="42">
        <f>IFERROR(INDEX('Output Utente'!$H$2:$H$492,MATCH(193,'Output Utente'!$Q$2:$Q$492,0)),"")</f>
        <v>3</v>
      </c>
      <c r="L196" s="5" t="str">
        <f>IFERROR(INDEX('Output Utente'!$E$2:$E$492,MATCH(193,'Output Utente'!$Q$2:$Q$492,0)),"")</f>
        <v>NO</v>
      </c>
      <c r="M196" s="5" t="str">
        <f>IFERROR(INDEX('Output Utente'!$U$2:$U$492,MATCH(193,'Output Utente'!$Q$2:$Q$492,0)),"")</f>
        <v>OK</v>
      </c>
      <c r="N196" s="5" t="str">
        <f>IFERROR(INDEX('Output Utente'!$AE$2:$AE$492,MATCH(193,'Output Utente'!$Q$2:$Q$492,0)),"")</f>
        <v>🟢 Riserve abbondanti</v>
      </c>
    </row>
    <row r="197" spans="1:14" ht="15" customHeight="1" x14ac:dyDescent="0.25">
      <c r="A197" s="41">
        <v>194</v>
      </c>
      <c r="B197" s="5">
        <f>IFERROR(INDEX('Output Utente'!$A$2:$A$492,MATCH(194,'Output Utente'!$Q$2:$Q$492,0)),"")</f>
        <v>6271</v>
      </c>
      <c r="C197" s="5" t="str">
        <f>IFERROR(INDEX('Output Utente'!$B$2:$B$492,MATCH(194,'Output Utente'!$Q$2:$Q$492,0)),"")</f>
        <v>C</v>
      </c>
      <c r="D197" s="5" t="str">
        <f>IFERROR(INDEX('Output Utente'!$C$2:$C$492,MATCH(194,'Output Utente'!$Q$2:$Q$492,0)),"")</f>
        <v>El Aynaoui</v>
      </c>
      <c r="E197" s="5" t="str">
        <f>IFERROR(INDEX('Input Giocatori 2026_27'!$D$3:$D$493,MATCH($B197,'Input Giocatori 2026_27'!$A$3:$A$493,0)),"")</f>
        <v>Roma</v>
      </c>
      <c r="F197" s="42">
        <f>IFERROR(INDEX('Output Utente'!$N$2:$N$492,MATCH(194,'Output Utente'!$Q$2:$Q$492,0)),"")</f>
        <v>4</v>
      </c>
      <c r="G197" s="42">
        <f>IFERROR(INDEX('Output Utente'!$O$2:$O$492,MATCH(194,'Output Utente'!$Q$2:$Q$492,0)),"")</f>
        <v>18</v>
      </c>
      <c r="H197" s="5" t="str">
        <f>IFERROR(INDEX('Output Utente'!$P$2:$P$492,MATCH(194,'Output Utente'!$Q$2:$Q$492,0)),"")</f>
        <v>Nella Media</v>
      </c>
      <c r="I197" s="42">
        <f>IFERROR(INDEX('Output Utente'!$F$2:$F$492,MATCH(194,'Output Utente'!$Q$2:$Q$492,0)),"")</f>
        <v>3</v>
      </c>
      <c r="J197" s="42">
        <f>IFERROR(INDEX('Output Utente'!$G$2:$G$492,MATCH(194,'Output Utente'!$Q$2:$Q$492,0)),"")</f>
        <v>2</v>
      </c>
      <c r="K197" s="42">
        <f>IFERROR(INDEX('Output Utente'!$H$2:$H$492,MATCH(194,'Output Utente'!$Q$2:$Q$492,0)),"")</f>
        <v>3</v>
      </c>
      <c r="L197" s="5" t="str">
        <f>IFERROR(INDEX('Output Utente'!$E$2:$E$492,MATCH(194,'Output Utente'!$Q$2:$Q$492,0)),"")</f>
        <v>NO</v>
      </c>
      <c r="M197" s="5" t="str">
        <f>IFERROR(INDEX('Output Utente'!$U$2:$U$492,MATCH(194,'Output Utente'!$Q$2:$Q$492,0)),"")</f>
        <v>OK</v>
      </c>
      <c r="N197" s="5" t="str">
        <f>IFERROR(INDEX('Output Utente'!$AE$2:$AE$492,MATCH(194,'Output Utente'!$Q$2:$Q$492,0)),"")</f>
        <v>🟢 Riserve abbondanti</v>
      </c>
    </row>
    <row r="198" spans="1:14" ht="15" customHeight="1" x14ac:dyDescent="0.25">
      <c r="A198" s="41">
        <v>195</v>
      </c>
      <c r="B198" s="5">
        <f>IFERROR(INDEX('Output Utente'!$A$2:$A$492,MATCH(195,'Output Utente'!$Q$2:$Q$492,0)),"")</f>
        <v>7252</v>
      </c>
      <c r="C198" s="5" t="str">
        <f>IFERROR(INDEX('Output Utente'!$B$2:$B$492,MATCH(195,'Output Utente'!$Q$2:$Q$492,0)),"")</f>
        <v>A</v>
      </c>
      <c r="D198" s="5" t="str">
        <f>IFERROR(INDEX('Output Utente'!$C$2:$C$492,MATCH(195,'Output Utente'!$Q$2:$Q$492,0)),"")</f>
        <v>Stulic</v>
      </c>
      <c r="E198" s="5" t="str">
        <f>IFERROR(INDEX('Input Giocatori 2026_27'!$D$3:$D$493,MATCH($B198,'Input Giocatori 2026_27'!$A$3:$A$493,0)),"")</f>
        <v>Lecce</v>
      </c>
      <c r="F198" s="42">
        <f>IFERROR(INDEX('Output Utente'!$N$2:$N$492,MATCH(195,'Output Utente'!$Q$2:$Q$492,0)),"")</f>
        <v>7</v>
      </c>
      <c r="G198" s="42">
        <f>IFERROR(INDEX('Output Utente'!$O$2:$O$492,MATCH(195,'Output Utente'!$Q$2:$Q$492,0)),"")</f>
        <v>18</v>
      </c>
      <c r="H198" s="5" t="str">
        <f>IFERROR(INDEX('Output Utente'!$P$2:$P$492,MATCH(195,'Output Utente'!$Q$2:$Q$492,0)),"")</f>
        <v>Nella Media</v>
      </c>
      <c r="I198" s="42">
        <f>IFERROR(INDEX('Output Utente'!$F$2:$F$492,MATCH(195,'Output Utente'!$Q$2:$Q$492,0)),"")</f>
        <v>6</v>
      </c>
      <c r="J198" s="42">
        <f>IFERROR(INDEX('Output Utente'!$G$2:$G$492,MATCH(195,'Output Utente'!$Q$2:$Q$492,0)),"")</f>
        <v>4</v>
      </c>
      <c r="K198" s="42">
        <f>IFERROR(INDEX('Output Utente'!$H$2:$H$492,MATCH(195,'Output Utente'!$Q$2:$Q$492,0)),"")</f>
        <v>7</v>
      </c>
      <c r="L198" s="5" t="str">
        <f>IFERROR(INDEX('Output Utente'!$E$2:$E$492,MATCH(195,'Output Utente'!$Q$2:$Q$492,0)),"")</f>
        <v>NO</v>
      </c>
      <c r="M198" s="5" t="str">
        <f>IFERROR(INDEX('Output Utente'!$U$2:$U$492,MATCH(195,'Output Utente'!$Q$2:$Q$492,0)),"")</f>
        <v>OK</v>
      </c>
      <c r="N198" s="5" t="str">
        <f>IFERROR(INDEX('Output Utente'!$AE$2:$AE$492,MATCH(195,'Output Utente'!$Q$2:$Q$492,0)),"")</f>
        <v>🟢 Riserve abbondanti</v>
      </c>
    </row>
    <row r="199" spans="1:14" ht="15" customHeight="1" x14ac:dyDescent="0.25">
      <c r="A199" s="41">
        <v>196</v>
      </c>
      <c r="B199" s="5">
        <f>IFERROR(INDEX('Output Utente'!$A$2:$A$492,MATCH(196,'Output Utente'!$Q$2:$Q$492,0)),"")</f>
        <v>608</v>
      </c>
      <c r="C199" s="5" t="str">
        <f>IFERROR(INDEX('Output Utente'!$B$2:$B$492,MATCH(196,'Output Utente'!$Q$2:$Q$492,0)),"")</f>
        <v>A</v>
      </c>
      <c r="D199" s="5" t="str">
        <f>IFERROR(INDEX('Output Utente'!$C$2:$C$492,MATCH(196,'Output Utente'!$Q$2:$Q$492,0)),"")</f>
        <v>Zapata D.</v>
      </c>
      <c r="E199" s="5" t="str">
        <f>IFERROR(INDEX('Input Giocatori 2026_27'!$D$3:$D$493,MATCH($B199,'Input Giocatori 2026_27'!$A$3:$A$493,0)),"")</f>
        <v>Torino</v>
      </c>
      <c r="F199" s="42">
        <f>IFERROR(INDEX('Output Utente'!$N$2:$N$492,MATCH(196,'Output Utente'!$Q$2:$Q$492,0)),"")</f>
        <v>7</v>
      </c>
      <c r="G199" s="42">
        <f>IFERROR(INDEX('Output Utente'!$O$2:$O$492,MATCH(196,'Output Utente'!$Q$2:$Q$492,0)),"")</f>
        <v>18</v>
      </c>
      <c r="H199" s="5" t="str">
        <f>IFERROR(INDEX('Output Utente'!$P$2:$P$492,MATCH(196,'Output Utente'!$Q$2:$Q$492,0)),"")</f>
        <v>Nella Media</v>
      </c>
      <c r="I199" s="42">
        <f>IFERROR(INDEX('Output Utente'!$F$2:$F$492,MATCH(196,'Output Utente'!$Q$2:$Q$492,0)),"")</f>
        <v>6</v>
      </c>
      <c r="J199" s="42">
        <f>IFERROR(INDEX('Output Utente'!$G$2:$G$492,MATCH(196,'Output Utente'!$Q$2:$Q$492,0)),"")</f>
        <v>4</v>
      </c>
      <c r="K199" s="42">
        <f>IFERROR(INDEX('Output Utente'!$H$2:$H$492,MATCH(196,'Output Utente'!$Q$2:$Q$492,0)),"")</f>
        <v>7</v>
      </c>
      <c r="L199" s="5" t="str">
        <f>IFERROR(INDEX('Output Utente'!$E$2:$E$492,MATCH(196,'Output Utente'!$Q$2:$Q$492,0)),"")</f>
        <v>NO</v>
      </c>
      <c r="M199" s="5" t="str">
        <f>IFERROR(INDEX('Output Utente'!$U$2:$U$492,MATCH(196,'Output Utente'!$Q$2:$Q$492,0)),"")</f>
        <v>OK</v>
      </c>
      <c r="N199" s="5" t="str">
        <f>IFERROR(INDEX('Output Utente'!$AE$2:$AE$492,MATCH(196,'Output Utente'!$Q$2:$Q$492,0)),"")</f>
        <v>🟢 Riserve abbondanti</v>
      </c>
    </row>
    <row r="200" spans="1:14" ht="15" customHeight="1" x14ac:dyDescent="0.25">
      <c r="A200" s="41">
        <v>197</v>
      </c>
      <c r="B200" s="5">
        <f>IFERROR(INDEX('Output Utente'!$A$2:$A$492,MATCH(197,'Output Utente'!$Q$2:$Q$492,0)),"")</f>
        <v>6519</v>
      </c>
      <c r="C200" s="5" t="str">
        <f>IFERROR(INDEX('Output Utente'!$B$2:$B$492,MATCH(197,'Output Utente'!$Q$2:$Q$492,0)),"")</f>
        <v>A</v>
      </c>
      <c r="D200" s="5" t="str">
        <f>IFERROR(INDEX('Output Utente'!$C$2:$C$492,MATCH(197,'Output Utente'!$Q$2:$Q$492,0)),"")</f>
        <v>Camarda</v>
      </c>
      <c r="E200" s="5" t="str">
        <f>IFERROR(INDEX('Input Giocatori 2026_27'!$D$3:$D$493,MATCH($B200,'Input Giocatori 2026_27'!$A$3:$A$493,0)),"")</f>
        <v>Milan</v>
      </c>
      <c r="F200" s="42">
        <f>IFERROR(INDEX('Output Utente'!$N$2:$N$492,MATCH(197,'Output Utente'!$Q$2:$Q$492,0)),"")</f>
        <v>5</v>
      </c>
      <c r="G200" s="42">
        <f>IFERROR(INDEX('Output Utente'!$O$2:$O$492,MATCH(197,'Output Utente'!$Q$2:$Q$492,0)),"")</f>
        <v>18</v>
      </c>
      <c r="H200" s="5" t="str">
        <f>IFERROR(INDEX('Output Utente'!$P$2:$P$492,MATCH(197,'Output Utente'!$Q$2:$Q$492,0)),"")</f>
        <v>Nella Media</v>
      </c>
      <c r="I200" s="42">
        <f>IFERROR(INDEX('Output Utente'!$F$2:$F$492,MATCH(197,'Output Utente'!$Q$2:$Q$492,0)),"")</f>
        <v>6</v>
      </c>
      <c r="J200" s="42">
        <f>IFERROR(INDEX('Output Utente'!$G$2:$G$492,MATCH(197,'Output Utente'!$Q$2:$Q$492,0)),"")</f>
        <v>4</v>
      </c>
      <c r="K200" s="42">
        <f>IFERROR(INDEX('Output Utente'!$H$2:$H$492,MATCH(197,'Output Utente'!$Q$2:$Q$492,0)),"")</f>
        <v>7</v>
      </c>
      <c r="L200" s="5" t="str">
        <f>IFERROR(INDEX('Output Utente'!$E$2:$E$492,MATCH(197,'Output Utente'!$Q$2:$Q$492,0)),"")</f>
        <v>NO</v>
      </c>
      <c r="M200" s="5" t="str">
        <f>IFERROR(INDEX('Output Utente'!$U$2:$U$492,MATCH(197,'Output Utente'!$Q$2:$Q$492,0)),"")</f>
        <v>OK</v>
      </c>
      <c r="N200" s="5" t="str">
        <f>IFERROR(INDEX('Output Utente'!$AE$2:$AE$492,MATCH(197,'Output Utente'!$Q$2:$Q$492,0)),"")</f>
        <v>🟢 Riserve abbondanti</v>
      </c>
    </row>
    <row r="201" spans="1:14" ht="15" customHeight="1" x14ac:dyDescent="0.25">
      <c r="A201" s="41">
        <v>198</v>
      </c>
      <c r="B201" s="5">
        <f>IFERROR(INDEX('Output Utente'!$A$2:$A$492,MATCH(198,'Output Utente'!$Q$2:$Q$492,0)),"")</f>
        <v>5882</v>
      </c>
      <c r="C201" s="5" t="str">
        <f>IFERROR(INDEX('Output Utente'!$B$2:$B$492,MATCH(198,'Output Utente'!$Q$2:$Q$492,0)),"")</f>
        <v>A</v>
      </c>
      <c r="D201" s="5" t="str">
        <f>IFERROR(INDEX('Output Utente'!$C$2:$C$492,MATCH(198,'Output Utente'!$Q$2:$Q$492,0)),"")</f>
        <v>Mota</v>
      </c>
      <c r="E201" s="5" t="str">
        <f>IFERROR(INDEX('Input Giocatori 2026_27'!$D$3:$D$493,MATCH($B201,'Input Giocatori 2026_27'!$A$3:$A$493,0)),"")</f>
        <v>Monza</v>
      </c>
      <c r="F201" s="42">
        <f>IFERROR(INDEX('Output Utente'!$N$2:$N$492,MATCH(198,'Output Utente'!$Q$2:$Q$492,0)),"")</f>
        <v>5</v>
      </c>
      <c r="G201" s="42">
        <f>IFERROR(INDEX('Output Utente'!$O$2:$O$492,MATCH(198,'Output Utente'!$Q$2:$Q$492,0)),"")</f>
        <v>18</v>
      </c>
      <c r="H201" s="5" t="str">
        <f>IFERROR(INDEX('Output Utente'!$P$2:$P$492,MATCH(198,'Output Utente'!$Q$2:$Q$492,0)),"")</f>
        <v>Nella Media</v>
      </c>
      <c r="I201" s="42">
        <f>IFERROR(INDEX('Output Utente'!$F$2:$F$492,MATCH(198,'Output Utente'!$Q$2:$Q$492,0)),"")</f>
        <v>6</v>
      </c>
      <c r="J201" s="42">
        <f>IFERROR(INDEX('Output Utente'!$G$2:$G$492,MATCH(198,'Output Utente'!$Q$2:$Q$492,0)),"")</f>
        <v>4</v>
      </c>
      <c r="K201" s="42">
        <f>IFERROR(INDEX('Output Utente'!$H$2:$H$492,MATCH(198,'Output Utente'!$Q$2:$Q$492,0)),"")</f>
        <v>7</v>
      </c>
      <c r="L201" s="5" t="str">
        <f>IFERROR(INDEX('Output Utente'!$E$2:$E$492,MATCH(198,'Output Utente'!$Q$2:$Q$492,0)),"")</f>
        <v>NO</v>
      </c>
      <c r="M201" s="5" t="str">
        <f>IFERROR(INDEX('Output Utente'!$U$2:$U$492,MATCH(198,'Output Utente'!$Q$2:$Q$492,0)),"")</f>
        <v>OK</v>
      </c>
      <c r="N201" s="5" t="str">
        <f>IFERROR(INDEX('Output Utente'!$AE$2:$AE$492,MATCH(198,'Output Utente'!$Q$2:$Q$492,0)),"")</f>
        <v>🟢 Riserve abbondanti</v>
      </c>
    </row>
    <row r="202" spans="1:14" ht="15" customHeight="1" x14ac:dyDescent="0.25">
      <c r="A202" s="41">
        <v>199</v>
      </c>
      <c r="B202" s="5">
        <f>IFERROR(INDEX('Output Utente'!$A$2:$A$492,MATCH(199,'Output Utente'!$Q$2:$Q$492,0)),"")</f>
        <v>6989</v>
      </c>
      <c r="C202" s="5" t="str">
        <f>IFERROR(INDEX('Output Utente'!$B$2:$B$492,MATCH(199,'Output Utente'!$Q$2:$Q$492,0)),"")</f>
        <v>D</v>
      </c>
      <c r="D202" s="5" t="str">
        <f>IFERROR(INDEX('Output Utente'!$C$2:$C$492,MATCH(199,'Output Utente'!$Q$2:$Q$492,0)),"")</f>
        <v>Tiago Gabriel</v>
      </c>
      <c r="E202" s="5" t="str">
        <f>IFERROR(INDEX('Input Giocatori 2026_27'!$D$3:$D$493,MATCH($B202,'Input Giocatori 2026_27'!$A$3:$A$493,0)),"")</f>
        <v>Lecce</v>
      </c>
      <c r="F202" s="42">
        <f>IFERROR(INDEX('Output Utente'!$N$2:$N$492,MATCH(199,'Output Utente'!$Q$2:$Q$492,0)),"")</f>
        <v>7</v>
      </c>
      <c r="G202" s="42">
        <f>IFERROR(INDEX('Output Utente'!$O$2:$O$492,MATCH(199,'Output Utente'!$Q$2:$Q$492,0)),"")</f>
        <v>17</v>
      </c>
      <c r="H202" s="5" t="str">
        <f>IFERROR(INDEX('Output Utente'!$P$2:$P$492,MATCH(199,'Output Utente'!$Q$2:$Q$492,0)),"")</f>
        <v>Buono</v>
      </c>
      <c r="I202" s="42">
        <f>IFERROR(INDEX('Output Utente'!$F$2:$F$492,MATCH(199,'Output Utente'!$Q$2:$Q$492,0)),"")</f>
        <v>3</v>
      </c>
      <c r="J202" s="42">
        <f>IFERROR(INDEX('Output Utente'!$G$2:$G$492,MATCH(199,'Output Utente'!$Q$2:$Q$492,0)),"")</f>
        <v>2</v>
      </c>
      <c r="K202" s="42">
        <f>IFERROR(INDEX('Output Utente'!$H$2:$H$492,MATCH(199,'Output Utente'!$Q$2:$Q$492,0)),"")</f>
        <v>3</v>
      </c>
      <c r="L202" s="5" t="str">
        <f>IFERROR(INDEX('Output Utente'!$E$2:$E$492,MATCH(199,'Output Utente'!$Q$2:$Q$492,0)),"")</f>
        <v>NO</v>
      </c>
      <c r="M202" s="5" t="str">
        <f>IFERROR(INDEX('Output Utente'!$U$2:$U$492,MATCH(199,'Output Utente'!$Q$2:$Q$492,0)),"")</f>
        <v>OK</v>
      </c>
      <c r="N202" s="5" t="str">
        <f>IFERROR(INDEX('Output Utente'!$AE$2:$AE$492,MATCH(199,'Output Utente'!$Q$2:$Q$492,0)),"")</f>
        <v>🟢 Riserve abbondanti</v>
      </c>
    </row>
    <row r="203" spans="1:14" ht="15" customHeight="1" x14ac:dyDescent="0.25">
      <c r="A203" s="41">
        <v>200</v>
      </c>
      <c r="B203" s="5">
        <f>IFERROR(INDEX('Output Utente'!$A$2:$A$492,MATCH(200,'Output Utente'!$Q$2:$Q$492,0)),"")</f>
        <v>7219</v>
      </c>
      <c r="C203" s="5" t="str">
        <f>IFERROR(INDEX('Output Utente'!$B$2:$B$492,MATCH(200,'Output Utente'!$Q$2:$Q$492,0)),"")</f>
        <v>D</v>
      </c>
      <c r="D203" s="5" t="str">
        <f>IFERROR(INDEX('Output Utente'!$C$2:$C$492,MATCH(200,'Output Utente'!$Q$2:$Q$492,0)),"")</f>
        <v>Bernasconi</v>
      </c>
      <c r="E203" s="5" t="str">
        <f>IFERROR(INDEX('Input Giocatori 2026_27'!$D$3:$D$493,MATCH($B203,'Input Giocatori 2026_27'!$A$3:$A$493,0)),"")</f>
        <v>Atalanta</v>
      </c>
      <c r="F203" s="42">
        <f>IFERROR(INDEX('Output Utente'!$N$2:$N$492,MATCH(200,'Output Utente'!$Q$2:$Q$492,0)),"")</f>
        <v>6</v>
      </c>
      <c r="G203" s="42">
        <f>IFERROR(INDEX('Output Utente'!$O$2:$O$492,MATCH(200,'Output Utente'!$Q$2:$Q$492,0)),"")</f>
        <v>17</v>
      </c>
      <c r="H203" s="5" t="str">
        <f>IFERROR(INDEX('Output Utente'!$P$2:$P$492,MATCH(200,'Output Utente'!$Q$2:$Q$492,0)),"")</f>
        <v>Buono</v>
      </c>
      <c r="I203" s="42">
        <f>IFERROR(INDEX('Output Utente'!$F$2:$F$492,MATCH(200,'Output Utente'!$Q$2:$Q$492,0)),"")</f>
        <v>3</v>
      </c>
      <c r="J203" s="42">
        <f>IFERROR(INDEX('Output Utente'!$G$2:$G$492,MATCH(200,'Output Utente'!$Q$2:$Q$492,0)),"")</f>
        <v>2</v>
      </c>
      <c r="K203" s="42">
        <f>IFERROR(INDEX('Output Utente'!$H$2:$H$492,MATCH(200,'Output Utente'!$Q$2:$Q$492,0)),"")</f>
        <v>3</v>
      </c>
      <c r="L203" s="5" t="str">
        <f>IFERROR(INDEX('Output Utente'!$E$2:$E$492,MATCH(200,'Output Utente'!$Q$2:$Q$492,0)),"")</f>
        <v>NO</v>
      </c>
      <c r="M203" s="5" t="str">
        <f>IFERROR(INDEX('Output Utente'!$U$2:$U$492,MATCH(200,'Output Utente'!$Q$2:$Q$492,0)),"")</f>
        <v>OK</v>
      </c>
      <c r="N203" s="5" t="str">
        <f>IFERROR(INDEX('Output Utente'!$AE$2:$AE$492,MATCH(200,'Output Utente'!$Q$2:$Q$492,0)),"")</f>
        <v>🟢 Riserve abbondanti</v>
      </c>
    </row>
    <row r="204" spans="1:14" ht="15" customHeight="1" x14ac:dyDescent="0.25">
      <c r="A204" s="41">
        <v>201</v>
      </c>
      <c r="B204" s="5">
        <f>IFERROR(INDEX('Output Utente'!$A$2:$A$492,MATCH(201,'Output Utente'!$Q$2:$Q$492,0)),"")</f>
        <v>5620</v>
      </c>
      <c r="C204" s="5" t="str">
        <f>IFERROR(INDEX('Output Utente'!$B$2:$B$492,MATCH(201,'Output Utente'!$Q$2:$Q$492,0)),"")</f>
        <v>D</v>
      </c>
      <c r="D204" s="5" t="str">
        <f>IFERROR(INDEX('Output Utente'!$C$2:$C$492,MATCH(201,'Output Utente'!$Q$2:$Q$492,0)),"")</f>
        <v>Tavares N.</v>
      </c>
      <c r="E204" s="5" t="str">
        <f>IFERROR(INDEX('Input Giocatori 2026_27'!$D$3:$D$493,MATCH($B204,'Input Giocatori 2026_27'!$A$3:$A$493,0)),"")</f>
        <v>Lazio</v>
      </c>
      <c r="F204" s="42">
        <f>IFERROR(INDEX('Output Utente'!$N$2:$N$492,MATCH(201,'Output Utente'!$Q$2:$Q$492,0)),"")</f>
        <v>6</v>
      </c>
      <c r="G204" s="42">
        <f>IFERROR(INDEX('Output Utente'!$O$2:$O$492,MATCH(201,'Output Utente'!$Q$2:$Q$492,0)),"")</f>
        <v>17</v>
      </c>
      <c r="H204" s="5" t="str">
        <f>IFERROR(INDEX('Output Utente'!$P$2:$P$492,MATCH(201,'Output Utente'!$Q$2:$Q$492,0)),"")</f>
        <v>Buono</v>
      </c>
      <c r="I204" s="42">
        <f>IFERROR(INDEX('Output Utente'!$F$2:$F$492,MATCH(201,'Output Utente'!$Q$2:$Q$492,0)),"")</f>
        <v>3</v>
      </c>
      <c r="J204" s="42">
        <f>IFERROR(INDEX('Output Utente'!$G$2:$G$492,MATCH(201,'Output Utente'!$Q$2:$Q$492,0)),"")</f>
        <v>2</v>
      </c>
      <c r="K204" s="42">
        <f>IFERROR(INDEX('Output Utente'!$H$2:$H$492,MATCH(201,'Output Utente'!$Q$2:$Q$492,0)),"")</f>
        <v>3</v>
      </c>
      <c r="L204" s="5" t="str">
        <f>IFERROR(INDEX('Output Utente'!$E$2:$E$492,MATCH(201,'Output Utente'!$Q$2:$Q$492,0)),"")</f>
        <v>NO</v>
      </c>
      <c r="M204" s="5" t="str">
        <f>IFERROR(INDEX('Output Utente'!$U$2:$U$492,MATCH(201,'Output Utente'!$Q$2:$Q$492,0)),"")</f>
        <v>OK</v>
      </c>
      <c r="N204" s="5" t="str">
        <f>IFERROR(INDEX('Output Utente'!$AE$2:$AE$492,MATCH(201,'Output Utente'!$Q$2:$Q$492,0)),"")</f>
        <v>🟢 Riserve abbondanti</v>
      </c>
    </row>
    <row r="205" spans="1:14" ht="15" customHeight="1" x14ac:dyDescent="0.25">
      <c r="A205" s="41">
        <v>202</v>
      </c>
      <c r="B205" s="5">
        <f>IFERROR(INDEX('Output Utente'!$A$2:$A$492,MATCH(202,'Output Utente'!$Q$2:$Q$492,0)),"")</f>
        <v>6190</v>
      </c>
      <c r="C205" s="5" t="str">
        <f>IFERROR(INDEX('Output Utente'!$B$2:$B$492,MATCH(202,'Output Utente'!$Q$2:$Q$492,0)),"")</f>
        <v>C</v>
      </c>
      <c r="D205" s="5" t="str">
        <f>IFERROR(INDEX('Output Utente'!$C$2:$C$492,MATCH(202,'Output Utente'!$Q$2:$Q$492,0)),"")</f>
        <v>Pisilli</v>
      </c>
      <c r="E205" s="5" t="str">
        <f>IFERROR(INDEX('Input Giocatori 2026_27'!$D$3:$D$493,MATCH($B205,'Input Giocatori 2026_27'!$A$3:$A$493,0)),"")</f>
        <v>Roma</v>
      </c>
      <c r="F205" s="42">
        <f>IFERROR(INDEX('Output Utente'!$N$2:$N$492,MATCH(202,'Output Utente'!$Q$2:$Q$492,0)),"")</f>
        <v>5</v>
      </c>
      <c r="G205" s="42">
        <f>IFERROR(INDEX('Output Utente'!$O$2:$O$492,MATCH(202,'Output Utente'!$Q$2:$Q$492,0)),"")</f>
        <v>17</v>
      </c>
      <c r="H205" s="5" t="str">
        <f>IFERROR(INDEX('Output Utente'!$P$2:$P$492,MATCH(202,'Output Utente'!$Q$2:$Q$492,0)),"")</f>
        <v>Nella Media</v>
      </c>
      <c r="I205" s="42">
        <f>IFERROR(INDEX('Output Utente'!$F$2:$F$492,MATCH(202,'Output Utente'!$Q$2:$Q$492,0)),"")</f>
        <v>3</v>
      </c>
      <c r="J205" s="42">
        <f>IFERROR(INDEX('Output Utente'!$G$2:$G$492,MATCH(202,'Output Utente'!$Q$2:$Q$492,0)),"")</f>
        <v>2</v>
      </c>
      <c r="K205" s="42">
        <f>IFERROR(INDEX('Output Utente'!$H$2:$H$492,MATCH(202,'Output Utente'!$Q$2:$Q$492,0)),"")</f>
        <v>3</v>
      </c>
      <c r="L205" s="5" t="str">
        <f>IFERROR(INDEX('Output Utente'!$E$2:$E$492,MATCH(202,'Output Utente'!$Q$2:$Q$492,0)),"")</f>
        <v>NO</v>
      </c>
      <c r="M205" s="5" t="str">
        <f>IFERROR(INDEX('Output Utente'!$U$2:$U$492,MATCH(202,'Output Utente'!$Q$2:$Q$492,0)),"")</f>
        <v>OK</v>
      </c>
      <c r="N205" s="5" t="str">
        <f>IFERROR(INDEX('Output Utente'!$AE$2:$AE$492,MATCH(202,'Output Utente'!$Q$2:$Q$492,0)),"")</f>
        <v>🟢 Riserve abbondanti</v>
      </c>
    </row>
    <row r="206" spans="1:14" ht="15" customHeight="1" x14ac:dyDescent="0.25">
      <c r="A206" s="41">
        <v>203</v>
      </c>
      <c r="B206" s="5">
        <f>IFERROR(INDEX('Output Utente'!$A$2:$A$492,MATCH(203,'Output Utente'!$Q$2:$Q$492,0)),"")</f>
        <v>6556</v>
      </c>
      <c r="C206" s="5" t="str">
        <f>IFERROR(INDEX('Output Utente'!$B$2:$B$492,MATCH(203,'Output Utente'!$Q$2:$Q$492,0)),"")</f>
        <v>A</v>
      </c>
      <c r="D206" s="5" t="str">
        <f>IFERROR(INDEX('Output Utente'!$C$2:$C$492,MATCH(203,'Output Utente'!$Q$2:$Q$492,0)),"")</f>
        <v>Noslin</v>
      </c>
      <c r="E206" s="5" t="str">
        <f>IFERROR(INDEX('Input Giocatori 2026_27'!$D$3:$D$493,MATCH($B206,'Input Giocatori 2026_27'!$A$3:$A$493,0)),"")</f>
        <v>Lazio</v>
      </c>
      <c r="F206" s="42">
        <f>IFERROR(INDEX('Output Utente'!$N$2:$N$492,MATCH(203,'Output Utente'!$Q$2:$Q$492,0)),"")</f>
        <v>6</v>
      </c>
      <c r="G206" s="42">
        <f>IFERROR(INDEX('Output Utente'!$O$2:$O$492,MATCH(203,'Output Utente'!$Q$2:$Q$492,0)),"")</f>
        <v>17</v>
      </c>
      <c r="H206" s="5" t="str">
        <f>IFERROR(INDEX('Output Utente'!$P$2:$P$492,MATCH(203,'Output Utente'!$Q$2:$Q$492,0)),"")</f>
        <v>Scommessa/Riserva</v>
      </c>
      <c r="I206" s="42">
        <f>IFERROR(INDEX('Output Utente'!$F$2:$F$492,MATCH(203,'Output Utente'!$Q$2:$Q$492,0)),"")</f>
        <v>5</v>
      </c>
      <c r="J206" s="42">
        <f>IFERROR(INDEX('Output Utente'!$G$2:$G$492,MATCH(203,'Output Utente'!$Q$2:$Q$492,0)),"")</f>
        <v>3</v>
      </c>
      <c r="K206" s="42">
        <f>IFERROR(INDEX('Output Utente'!$H$2:$H$492,MATCH(203,'Output Utente'!$Q$2:$Q$492,0)),"")</f>
        <v>6</v>
      </c>
      <c r="L206" s="5" t="str">
        <f>IFERROR(INDEX('Output Utente'!$E$2:$E$492,MATCH(203,'Output Utente'!$Q$2:$Q$492,0)),"")</f>
        <v>NO</v>
      </c>
      <c r="M206" s="5" t="str">
        <f>IFERROR(INDEX('Output Utente'!$U$2:$U$492,MATCH(203,'Output Utente'!$Q$2:$Q$492,0)),"")</f>
        <v>OK</v>
      </c>
      <c r="N206" s="5" t="str">
        <f>IFERROR(INDEX('Output Utente'!$AE$2:$AE$492,MATCH(203,'Output Utente'!$Q$2:$Q$492,0)),"")</f>
        <v>🟢 Riserve abbondanti</v>
      </c>
    </row>
    <row r="207" spans="1:14" ht="15" customHeight="1" x14ac:dyDescent="0.25">
      <c r="A207" s="41">
        <v>204</v>
      </c>
      <c r="B207" s="5">
        <f>IFERROR(INDEX('Output Utente'!$A$2:$A$492,MATCH(204,'Output Utente'!$Q$2:$Q$492,0)),"")</f>
        <v>6046</v>
      </c>
      <c r="C207" s="5" t="str">
        <f>IFERROR(INDEX('Output Utente'!$B$2:$B$492,MATCH(204,'Output Utente'!$Q$2:$Q$492,0)),"")</f>
        <v>D</v>
      </c>
      <c r="D207" s="5" t="str">
        <f>IFERROR(INDEX('Output Utente'!$C$2:$C$492,MATCH(204,'Output Utente'!$Q$2:$Q$492,0)),"")</f>
        <v>Hien</v>
      </c>
      <c r="E207" s="5" t="str">
        <f>IFERROR(INDEX('Input Giocatori 2026_27'!$D$3:$D$493,MATCH($B207,'Input Giocatori 2026_27'!$A$3:$A$493,0)),"")</f>
        <v>Atalanta</v>
      </c>
      <c r="F207" s="42">
        <f>IFERROR(INDEX('Output Utente'!$N$2:$N$492,MATCH(204,'Output Utente'!$Q$2:$Q$492,0)),"")</f>
        <v>8</v>
      </c>
      <c r="G207" s="42">
        <f>IFERROR(INDEX('Output Utente'!$O$2:$O$492,MATCH(204,'Output Utente'!$Q$2:$Q$492,0)),"")</f>
        <v>16</v>
      </c>
      <c r="H207" s="5" t="str">
        <f>IFERROR(INDEX('Output Utente'!$P$2:$P$492,MATCH(204,'Output Utente'!$Q$2:$Q$492,0)),"")</f>
        <v>Nella Media</v>
      </c>
      <c r="I207" s="42">
        <f>IFERROR(INDEX('Output Utente'!$F$2:$F$492,MATCH(204,'Output Utente'!$Q$2:$Q$492,0)),"")</f>
        <v>3</v>
      </c>
      <c r="J207" s="42">
        <f>IFERROR(INDEX('Output Utente'!$G$2:$G$492,MATCH(204,'Output Utente'!$Q$2:$Q$492,0)),"")</f>
        <v>2</v>
      </c>
      <c r="K207" s="42">
        <f>IFERROR(INDEX('Output Utente'!$H$2:$H$492,MATCH(204,'Output Utente'!$Q$2:$Q$492,0)),"")</f>
        <v>3</v>
      </c>
      <c r="L207" s="5" t="str">
        <f>IFERROR(INDEX('Output Utente'!$E$2:$E$492,MATCH(204,'Output Utente'!$Q$2:$Q$492,0)),"")</f>
        <v>NO</v>
      </c>
      <c r="M207" s="5" t="str">
        <f>IFERROR(INDEX('Output Utente'!$U$2:$U$492,MATCH(204,'Output Utente'!$Q$2:$Q$492,0)),"")</f>
        <v>OK</v>
      </c>
      <c r="N207" s="5" t="str">
        <f>IFERROR(INDEX('Output Utente'!$AE$2:$AE$492,MATCH(204,'Output Utente'!$Q$2:$Q$492,0)),"")</f>
        <v>🟢 Riserve abbondanti</v>
      </c>
    </row>
    <row r="208" spans="1:14" ht="15" customHeight="1" x14ac:dyDescent="0.25">
      <c r="A208" s="41">
        <v>205</v>
      </c>
      <c r="B208" s="5">
        <f>IFERROR(INDEX('Output Utente'!$A$2:$A$492,MATCH(205,'Output Utente'!$Q$2:$Q$492,0)),"")</f>
        <v>787</v>
      </c>
      <c r="C208" s="5" t="str">
        <f>IFERROR(INDEX('Output Utente'!$B$2:$B$492,MATCH(205,'Output Utente'!$Q$2:$Q$492,0)),"")</f>
        <v>D</v>
      </c>
      <c r="D208" s="5" t="str">
        <f>IFERROR(INDEX('Output Utente'!$C$2:$C$492,MATCH(205,'Output Utente'!$Q$2:$Q$492,0)),"")</f>
        <v>Djimsiti</v>
      </c>
      <c r="E208" s="5" t="str">
        <f>IFERROR(INDEX('Input Giocatori 2026_27'!$D$3:$D$493,MATCH($B208,'Input Giocatori 2026_27'!$A$3:$A$493,0)),"")</f>
        <v>Atalanta</v>
      </c>
      <c r="F208" s="42">
        <f>IFERROR(INDEX('Output Utente'!$N$2:$N$492,MATCH(205,'Output Utente'!$Q$2:$Q$492,0)),"")</f>
        <v>7</v>
      </c>
      <c r="G208" s="42">
        <f>IFERROR(INDEX('Output Utente'!$O$2:$O$492,MATCH(205,'Output Utente'!$Q$2:$Q$492,0)),"")</f>
        <v>16</v>
      </c>
      <c r="H208" s="5" t="str">
        <f>IFERROR(INDEX('Output Utente'!$P$2:$P$492,MATCH(205,'Output Utente'!$Q$2:$Q$492,0)),"")</f>
        <v>Nella Media</v>
      </c>
      <c r="I208" s="42">
        <f>IFERROR(INDEX('Output Utente'!$F$2:$F$492,MATCH(205,'Output Utente'!$Q$2:$Q$492,0)),"")</f>
        <v>3</v>
      </c>
      <c r="J208" s="42">
        <f>IFERROR(INDEX('Output Utente'!$G$2:$G$492,MATCH(205,'Output Utente'!$Q$2:$Q$492,0)),"")</f>
        <v>2</v>
      </c>
      <c r="K208" s="42">
        <f>IFERROR(INDEX('Output Utente'!$H$2:$H$492,MATCH(205,'Output Utente'!$Q$2:$Q$492,0)),"")</f>
        <v>3</v>
      </c>
      <c r="L208" s="5" t="str">
        <f>IFERROR(INDEX('Output Utente'!$E$2:$E$492,MATCH(205,'Output Utente'!$Q$2:$Q$492,0)),"")</f>
        <v>NO</v>
      </c>
      <c r="M208" s="5" t="str">
        <f>IFERROR(INDEX('Output Utente'!$U$2:$U$492,MATCH(205,'Output Utente'!$Q$2:$Q$492,0)),"")</f>
        <v>OK</v>
      </c>
      <c r="N208" s="5" t="str">
        <f>IFERROR(INDEX('Output Utente'!$AE$2:$AE$492,MATCH(205,'Output Utente'!$Q$2:$Q$492,0)),"")</f>
        <v>🟢 Riserve abbondanti</v>
      </c>
    </row>
    <row r="209" spans="1:14" ht="15" customHeight="1" x14ac:dyDescent="0.25">
      <c r="A209" s="41">
        <v>206</v>
      </c>
      <c r="B209" s="5">
        <f>IFERROR(INDEX('Output Utente'!$A$2:$A$492,MATCH(206,'Output Utente'!$Q$2:$Q$492,0)),"")</f>
        <v>6916</v>
      </c>
      <c r="C209" s="5" t="str">
        <f>IFERROR(INDEX('Output Utente'!$B$2:$B$492,MATCH(206,'Output Utente'!$Q$2:$Q$492,0)),"")</f>
        <v>D</v>
      </c>
      <c r="D209" s="5" t="str">
        <f>IFERROR(INDEX('Output Utente'!$C$2:$C$492,MATCH(206,'Output Utente'!$Q$2:$Q$492,0)),"")</f>
        <v>Ahanor</v>
      </c>
      <c r="E209" s="5" t="str">
        <f>IFERROR(INDEX('Input Giocatori 2026_27'!$D$3:$D$493,MATCH($B209,'Input Giocatori 2026_27'!$A$3:$A$493,0)),"")</f>
        <v>Atalanta</v>
      </c>
      <c r="F209" s="42">
        <f>IFERROR(INDEX('Output Utente'!$N$2:$N$492,MATCH(206,'Output Utente'!$Q$2:$Q$492,0)),"")</f>
        <v>6</v>
      </c>
      <c r="G209" s="42">
        <f>IFERROR(INDEX('Output Utente'!$O$2:$O$492,MATCH(206,'Output Utente'!$Q$2:$Q$492,0)),"")</f>
        <v>16</v>
      </c>
      <c r="H209" s="5" t="str">
        <f>IFERROR(INDEX('Output Utente'!$P$2:$P$492,MATCH(206,'Output Utente'!$Q$2:$Q$492,0)),"")</f>
        <v>Nella Media</v>
      </c>
      <c r="I209" s="42">
        <f>IFERROR(INDEX('Output Utente'!$F$2:$F$492,MATCH(206,'Output Utente'!$Q$2:$Q$492,0)),"")</f>
        <v>3</v>
      </c>
      <c r="J209" s="42">
        <f>IFERROR(INDEX('Output Utente'!$G$2:$G$492,MATCH(206,'Output Utente'!$Q$2:$Q$492,0)),"")</f>
        <v>2</v>
      </c>
      <c r="K209" s="42">
        <f>IFERROR(INDEX('Output Utente'!$H$2:$H$492,MATCH(206,'Output Utente'!$Q$2:$Q$492,0)),"")</f>
        <v>3</v>
      </c>
      <c r="L209" s="5" t="str">
        <f>IFERROR(INDEX('Output Utente'!$E$2:$E$492,MATCH(206,'Output Utente'!$Q$2:$Q$492,0)),"")</f>
        <v>NO</v>
      </c>
      <c r="M209" s="5" t="str">
        <f>IFERROR(INDEX('Output Utente'!$U$2:$U$492,MATCH(206,'Output Utente'!$Q$2:$Q$492,0)),"")</f>
        <v>OK</v>
      </c>
      <c r="N209" s="5" t="str">
        <f>IFERROR(INDEX('Output Utente'!$AE$2:$AE$492,MATCH(206,'Output Utente'!$Q$2:$Q$492,0)),"")</f>
        <v>🟢 Riserve abbondanti</v>
      </c>
    </row>
    <row r="210" spans="1:14" ht="15" customHeight="1" x14ac:dyDescent="0.25">
      <c r="A210" s="41">
        <v>207</v>
      </c>
      <c r="B210" s="5">
        <f>IFERROR(INDEX('Output Utente'!$A$2:$A$492,MATCH(207,'Output Utente'!$Q$2:$Q$492,0)),"")</f>
        <v>6202</v>
      </c>
      <c r="C210" s="5" t="str">
        <f>IFERROR(INDEX('Output Utente'!$B$2:$B$492,MATCH(207,'Output Utente'!$Q$2:$Q$492,0)),"")</f>
        <v>D</v>
      </c>
      <c r="D210" s="5" t="str">
        <f>IFERROR(INDEX('Output Utente'!$C$2:$C$492,MATCH(207,'Output Utente'!$Q$2:$Q$492,0)),"")</f>
        <v>Beukema</v>
      </c>
      <c r="E210" s="5" t="str">
        <f>IFERROR(INDEX('Input Giocatori 2026_27'!$D$3:$D$493,MATCH($B210,'Input Giocatori 2026_27'!$A$3:$A$493,0)),"")</f>
        <v>Napoli</v>
      </c>
      <c r="F210" s="42">
        <f>IFERROR(INDEX('Output Utente'!$N$2:$N$492,MATCH(207,'Output Utente'!$Q$2:$Q$492,0)),"")</f>
        <v>6</v>
      </c>
      <c r="G210" s="42">
        <f>IFERROR(INDEX('Output Utente'!$O$2:$O$492,MATCH(207,'Output Utente'!$Q$2:$Q$492,0)),"")</f>
        <v>16</v>
      </c>
      <c r="H210" s="5" t="str">
        <f>IFERROR(INDEX('Output Utente'!$P$2:$P$492,MATCH(207,'Output Utente'!$Q$2:$Q$492,0)),"")</f>
        <v>Nella Media</v>
      </c>
      <c r="I210" s="42">
        <f>IFERROR(INDEX('Output Utente'!$F$2:$F$492,MATCH(207,'Output Utente'!$Q$2:$Q$492,0)),"")</f>
        <v>3</v>
      </c>
      <c r="J210" s="42">
        <f>IFERROR(INDEX('Output Utente'!$G$2:$G$492,MATCH(207,'Output Utente'!$Q$2:$Q$492,0)),"")</f>
        <v>2</v>
      </c>
      <c r="K210" s="42">
        <f>IFERROR(INDEX('Output Utente'!$H$2:$H$492,MATCH(207,'Output Utente'!$Q$2:$Q$492,0)),"")</f>
        <v>3</v>
      </c>
      <c r="L210" s="5" t="str">
        <f>IFERROR(INDEX('Output Utente'!$E$2:$E$492,MATCH(207,'Output Utente'!$Q$2:$Q$492,0)),"")</f>
        <v>NO</v>
      </c>
      <c r="M210" s="5" t="str">
        <f>IFERROR(INDEX('Output Utente'!$U$2:$U$492,MATCH(207,'Output Utente'!$Q$2:$Q$492,0)),"")</f>
        <v>OK</v>
      </c>
      <c r="N210" s="5" t="str">
        <f>IFERROR(INDEX('Output Utente'!$AE$2:$AE$492,MATCH(207,'Output Utente'!$Q$2:$Q$492,0)),"")</f>
        <v>🟢 Riserve abbondanti</v>
      </c>
    </row>
    <row r="211" spans="1:14" ht="15" customHeight="1" x14ac:dyDescent="0.25">
      <c r="A211" s="41">
        <v>208</v>
      </c>
      <c r="B211" s="5">
        <f>IFERROR(INDEX('Output Utente'!$A$2:$A$492,MATCH(208,'Output Utente'!$Q$2:$Q$492,0)),"")</f>
        <v>6986</v>
      </c>
      <c r="C211" s="5" t="str">
        <f>IFERROR(INDEX('Output Utente'!$B$2:$B$492,MATCH(208,'Output Utente'!$Q$2:$Q$492,0)),"")</f>
        <v>D</v>
      </c>
      <c r="D211" s="5" t="str">
        <f>IFERROR(INDEX('Output Utente'!$C$2:$C$492,MATCH(208,'Output Utente'!$Q$2:$Q$492,0)),"")</f>
        <v>Rensch</v>
      </c>
      <c r="E211" s="5" t="str">
        <f>IFERROR(INDEX('Input Giocatori 2026_27'!$D$3:$D$493,MATCH($B211,'Input Giocatori 2026_27'!$A$3:$A$493,0)),"")</f>
        <v>Roma</v>
      </c>
      <c r="F211" s="42">
        <f>IFERROR(INDEX('Output Utente'!$N$2:$N$492,MATCH(208,'Output Utente'!$Q$2:$Q$492,0)),"")</f>
        <v>5</v>
      </c>
      <c r="G211" s="42">
        <f>IFERROR(INDEX('Output Utente'!$O$2:$O$492,MATCH(208,'Output Utente'!$Q$2:$Q$492,0)),"")</f>
        <v>16</v>
      </c>
      <c r="H211" s="5" t="str">
        <f>IFERROR(INDEX('Output Utente'!$P$2:$P$492,MATCH(208,'Output Utente'!$Q$2:$Q$492,0)),"")</f>
        <v>Nella Media</v>
      </c>
      <c r="I211" s="42">
        <f>IFERROR(INDEX('Output Utente'!$F$2:$F$492,MATCH(208,'Output Utente'!$Q$2:$Q$492,0)),"")</f>
        <v>3</v>
      </c>
      <c r="J211" s="42">
        <f>IFERROR(INDEX('Output Utente'!$G$2:$G$492,MATCH(208,'Output Utente'!$Q$2:$Q$492,0)),"")</f>
        <v>2</v>
      </c>
      <c r="K211" s="42">
        <f>IFERROR(INDEX('Output Utente'!$H$2:$H$492,MATCH(208,'Output Utente'!$Q$2:$Q$492,0)),"")</f>
        <v>3</v>
      </c>
      <c r="L211" s="5" t="str">
        <f>IFERROR(INDEX('Output Utente'!$E$2:$E$492,MATCH(208,'Output Utente'!$Q$2:$Q$492,0)),"")</f>
        <v>NO</v>
      </c>
      <c r="M211" s="5" t="str">
        <f>IFERROR(INDEX('Output Utente'!$U$2:$U$492,MATCH(208,'Output Utente'!$Q$2:$Q$492,0)),"")</f>
        <v>OK</v>
      </c>
      <c r="N211" s="5" t="str">
        <f>IFERROR(INDEX('Output Utente'!$AE$2:$AE$492,MATCH(208,'Output Utente'!$Q$2:$Q$492,0)),"")</f>
        <v>🟢 Riserve abbondanti</v>
      </c>
    </row>
    <row r="212" spans="1:14" ht="15" customHeight="1" x14ac:dyDescent="0.25">
      <c r="A212" s="41">
        <v>209</v>
      </c>
      <c r="B212" s="5">
        <f>IFERROR(INDEX('Output Utente'!$A$2:$A$492,MATCH(209,'Output Utente'!$Q$2:$Q$492,0)),"")</f>
        <v>4459</v>
      </c>
      <c r="C212" s="5" t="str">
        <f>IFERROR(INDEX('Output Utente'!$B$2:$B$492,MATCH(209,'Output Utente'!$Q$2:$Q$492,0)),"")</f>
        <v>C</v>
      </c>
      <c r="D212" s="5" t="str">
        <f>IFERROR(INDEX('Output Utente'!$C$2:$C$492,MATCH(209,'Output Utente'!$Q$2:$Q$492,0)),"")</f>
        <v>Rovella</v>
      </c>
      <c r="E212" s="5" t="str">
        <f>IFERROR(INDEX('Input Giocatori 2026_27'!$D$3:$D$493,MATCH($B212,'Input Giocatori 2026_27'!$A$3:$A$493,0)),"")</f>
        <v>Lazio</v>
      </c>
      <c r="F212" s="42">
        <f>IFERROR(INDEX('Output Utente'!$N$2:$N$492,MATCH(209,'Output Utente'!$Q$2:$Q$492,0)),"")</f>
        <v>6</v>
      </c>
      <c r="G212" s="42">
        <f>IFERROR(INDEX('Output Utente'!$O$2:$O$492,MATCH(209,'Output Utente'!$Q$2:$Q$492,0)),"")</f>
        <v>16</v>
      </c>
      <c r="H212" s="5" t="str">
        <f>IFERROR(INDEX('Output Utente'!$P$2:$P$492,MATCH(209,'Output Utente'!$Q$2:$Q$492,0)),"")</f>
        <v>Nella Media</v>
      </c>
      <c r="I212" s="42">
        <f>IFERROR(INDEX('Output Utente'!$F$2:$F$492,MATCH(209,'Output Utente'!$Q$2:$Q$492,0)),"")</f>
        <v>2</v>
      </c>
      <c r="J212" s="42">
        <f>IFERROR(INDEX('Output Utente'!$G$2:$G$492,MATCH(209,'Output Utente'!$Q$2:$Q$492,0)),"")</f>
        <v>1</v>
      </c>
      <c r="K212" s="42">
        <f>IFERROR(INDEX('Output Utente'!$H$2:$H$492,MATCH(209,'Output Utente'!$Q$2:$Q$492,0)),"")</f>
        <v>2</v>
      </c>
      <c r="L212" s="5" t="str">
        <f>IFERROR(INDEX('Output Utente'!$E$2:$E$492,MATCH(209,'Output Utente'!$Q$2:$Q$492,0)),"")</f>
        <v>NO</v>
      </c>
      <c r="M212" s="5" t="str">
        <f>IFERROR(INDEX('Output Utente'!$U$2:$U$492,MATCH(209,'Output Utente'!$Q$2:$Q$492,0)),"")</f>
        <v>OK</v>
      </c>
      <c r="N212" s="5" t="str">
        <f>IFERROR(INDEX('Output Utente'!$AE$2:$AE$492,MATCH(209,'Output Utente'!$Q$2:$Q$492,0)),"")</f>
        <v>🟢 Riserve abbondanti</v>
      </c>
    </row>
    <row r="213" spans="1:14" ht="15" customHeight="1" x14ac:dyDescent="0.25">
      <c r="A213" s="41">
        <v>210</v>
      </c>
      <c r="B213" s="5">
        <f>IFERROR(INDEX('Output Utente'!$A$2:$A$492,MATCH(210,'Output Utente'!$Q$2:$Q$492,0)),"")</f>
        <v>6593</v>
      </c>
      <c r="C213" s="5" t="str">
        <f>IFERROR(INDEX('Output Utente'!$B$2:$B$492,MATCH(210,'Output Utente'!$Q$2:$Q$492,0)),"")</f>
        <v>C</v>
      </c>
      <c r="D213" s="5" t="str">
        <f>IFERROR(INDEX('Output Utente'!$C$2:$C$492,MATCH(210,'Output Utente'!$Q$2:$Q$492,0)),"")</f>
        <v>Akinsanmiro</v>
      </c>
      <c r="E213" s="5" t="str">
        <f>IFERROR(INDEX('Input Giocatori 2026_27'!$D$3:$D$493,MATCH($B213,'Input Giocatori 2026_27'!$A$3:$A$493,0)),"")</f>
        <v>Monza</v>
      </c>
      <c r="F213" s="42">
        <f>IFERROR(INDEX('Output Utente'!$N$2:$N$492,MATCH(210,'Output Utente'!$Q$2:$Q$492,0)),"")</f>
        <v>6</v>
      </c>
      <c r="G213" s="42">
        <f>IFERROR(INDEX('Output Utente'!$O$2:$O$492,MATCH(210,'Output Utente'!$Q$2:$Q$492,0)),"")</f>
        <v>16</v>
      </c>
      <c r="H213" s="5" t="str">
        <f>IFERROR(INDEX('Output Utente'!$P$2:$P$492,MATCH(210,'Output Utente'!$Q$2:$Q$492,0)),"")</f>
        <v>Nella Media</v>
      </c>
      <c r="I213" s="42">
        <f>IFERROR(INDEX('Output Utente'!$F$2:$F$492,MATCH(210,'Output Utente'!$Q$2:$Q$492,0)),"")</f>
        <v>2</v>
      </c>
      <c r="J213" s="42">
        <f>IFERROR(INDEX('Output Utente'!$G$2:$G$492,MATCH(210,'Output Utente'!$Q$2:$Q$492,0)),"")</f>
        <v>1</v>
      </c>
      <c r="K213" s="42">
        <f>IFERROR(INDEX('Output Utente'!$H$2:$H$492,MATCH(210,'Output Utente'!$Q$2:$Q$492,0)),"")</f>
        <v>2</v>
      </c>
      <c r="L213" s="5" t="str">
        <f>IFERROR(INDEX('Output Utente'!$E$2:$E$492,MATCH(210,'Output Utente'!$Q$2:$Q$492,0)),"")</f>
        <v>NO</v>
      </c>
      <c r="M213" s="5" t="str">
        <f>IFERROR(INDEX('Output Utente'!$U$2:$U$492,MATCH(210,'Output Utente'!$Q$2:$Q$492,0)),"")</f>
        <v>OK</v>
      </c>
      <c r="N213" s="5" t="str">
        <f>IFERROR(INDEX('Output Utente'!$AE$2:$AE$492,MATCH(210,'Output Utente'!$Q$2:$Q$492,0)),"")</f>
        <v>🟢 Riserve abbondanti</v>
      </c>
    </row>
    <row r="214" spans="1:14" ht="15" customHeight="1" x14ac:dyDescent="0.25">
      <c r="A214" s="41">
        <v>211</v>
      </c>
      <c r="B214" s="5">
        <f>IFERROR(INDEX('Output Utente'!$A$2:$A$492,MATCH(211,'Output Utente'!$Q$2:$Q$492,0)),"")</f>
        <v>6015</v>
      </c>
      <c r="C214" s="5" t="str">
        <f>IFERROR(INDEX('Output Utente'!$B$2:$B$492,MATCH(211,'Output Utente'!$Q$2:$Q$492,0)),"")</f>
        <v>C</v>
      </c>
      <c r="D214" s="5" t="str">
        <f>IFERROR(INDEX('Output Utente'!$C$2:$C$492,MATCH(211,'Output Utente'!$Q$2:$Q$492,0)),"")</f>
        <v>Berisha M.</v>
      </c>
      <c r="E214" s="5" t="str">
        <f>IFERROR(INDEX('Input Giocatori 2026_27'!$D$3:$D$493,MATCH($B214,'Input Giocatori 2026_27'!$A$3:$A$493,0)),"")</f>
        <v>Lecce</v>
      </c>
      <c r="F214" s="42">
        <f>IFERROR(INDEX('Output Utente'!$N$2:$N$492,MATCH(211,'Output Utente'!$Q$2:$Q$492,0)),"")</f>
        <v>5</v>
      </c>
      <c r="G214" s="42">
        <f>IFERROR(INDEX('Output Utente'!$O$2:$O$492,MATCH(211,'Output Utente'!$Q$2:$Q$492,0)),"")</f>
        <v>16</v>
      </c>
      <c r="H214" s="5" t="str">
        <f>IFERROR(INDEX('Output Utente'!$P$2:$P$492,MATCH(211,'Output Utente'!$Q$2:$Q$492,0)),"")</f>
        <v>Nella Media</v>
      </c>
      <c r="I214" s="42">
        <f>IFERROR(INDEX('Output Utente'!$F$2:$F$492,MATCH(211,'Output Utente'!$Q$2:$Q$492,0)),"")</f>
        <v>2</v>
      </c>
      <c r="J214" s="42">
        <f>IFERROR(INDEX('Output Utente'!$G$2:$G$492,MATCH(211,'Output Utente'!$Q$2:$Q$492,0)),"")</f>
        <v>1</v>
      </c>
      <c r="K214" s="42">
        <f>IFERROR(INDEX('Output Utente'!$H$2:$H$492,MATCH(211,'Output Utente'!$Q$2:$Q$492,0)),"")</f>
        <v>2</v>
      </c>
      <c r="L214" s="5" t="str">
        <f>IFERROR(INDEX('Output Utente'!$E$2:$E$492,MATCH(211,'Output Utente'!$Q$2:$Q$492,0)),"")</f>
        <v>NO</v>
      </c>
      <c r="M214" s="5" t="str">
        <f>IFERROR(INDEX('Output Utente'!$U$2:$U$492,MATCH(211,'Output Utente'!$Q$2:$Q$492,0)),"")</f>
        <v>OK</v>
      </c>
      <c r="N214" s="5" t="str">
        <f>IFERROR(INDEX('Output Utente'!$AE$2:$AE$492,MATCH(211,'Output Utente'!$Q$2:$Q$492,0)),"")</f>
        <v>🟢 Riserve abbondanti</v>
      </c>
    </row>
    <row r="215" spans="1:14" ht="15" customHeight="1" x14ac:dyDescent="0.25">
      <c r="A215" s="41">
        <v>212</v>
      </c>
      <c r="B215" s="5">
        <f>IFERROR(INDEX('Output Utente'!$A$2:$A$492,MATCH(212,'Output Utente'!$Q$2:$Q$492,0)),"")</f>
        <v>7036</v>
      </c>
      <c r="C215" s="5" t="str">
        <f>IFERROR(INDEX('Output Utente'!$B$2:$B$492,MATCH(212,'Output Utente'!$Q$2:$Q$492,0)),"")</f>
        <v>C</v>
      </c>
      <c r="D215" s="5" t="str">
        <f>IFERROR(INDEX('Output Utente'!$C$2:$C$492,MATCH(212,'Output Utente'!$Q$2:$Q$492,0)),"")</f>
        <v>Bakola</v>
      </c>
      <c r="E215" s="5" t="str">
        <f>IFERROR(INDEX('Input Giocatori 2026_27'!$D$3:$D$493,MATCH($B215,'Input Giocatori 2026_27'!$A$3:$A$493,0)),"")</f>
        <v>Sassuolo</v>
      </c>
      <c r="F215" s="42">
        <f>IFERROR(INDEX('Output Utente'!$N$2:$N$492,MATCH(212,'Output Utente'!$Q$2:$Q$492,0)),"")</f>
        <v>5</v>
      </c>
      <c r="G215" s="42">
        <f>IFERROR(INDEX('Output Utente'!$O$2:$O$492,MATCH(212,'Output Utente'!$Q$2:$Q$492,0)),"")</f>
        <v>16</v>
      </c>
      <c r="H215" s="5" t="str">
        <f>IFERROR(INDEX('Output Utente'!$P$2:$P$492,MATCH(212,'Output Utente'!$Q$2:$Q$492,0)),"")</f>
        <v>Nella Media</v>
      </c>
      <c r="I215" s="42">
        <f>IFERROR(INDEX('Output Utente'!$F$2:$F$492,MATCH(212,'Output Utente'!$Q$2:$Q$492,0)),"")</f>
        <v>2</v>
      </c>
      <c r="J215" s="42">
        <f>IFERROR(INDEX('Output Utente'!$G$2:$G$492,MATCH(212,'Output Utente'!$Q$2:$Q$492,0)),"")</f>
        <v>1</v>
      </c>
      <c r="K215" s="42">
        <f>IFERROR(INDEX('Output Utente'!$H$2:$H$492,MATCH(212,'Output Utente'!$Q$2:$Q$492,0)),"")</f>
        <v>2</v>
      </c>
      <c r="L215" s="5" t="str">
        <f>IFERROR(INDEX('Output Utente'!$E$2:$E$492,MATCH(212,'Output Utente'!$Q$2:$Q$492,0)),"")</f>
        <v>NO</v>
      </c>
      <c r="M215" s="5" t="str">
        <f>IFERROR(INDEX('Output Utente'!$U$2:$U$492,MATCH(212,'Output Utente'!$Q$2:$Q$492,0)),"")</f>
        <v>OK</v>
      </c>
      <c r="N215" s="5" t="str">
        <f>IFERROR(INDEX('Output Utente'!$AE$2:$AE$492,MATCH(212,'Output Utente'!$Q$2:$Q$492,0)),"")</f>
        <v>🟢 Riserve abbondanti</v>
      </c>
    </row>
    <row r="216" spans="1:14" ht="15" customHeight="1" x14ac:dyDescent="0.25">
      <c r="A216" s="41">
        <v>213</v>
      </c>
      <c r="B216" s="5">
        <f>IFERROR(INDEX('Output Utente'!$A$2:$A$492,MATCH(213,'Output Utente'!$Q$2:$Q$492,0)),"")</f>
        <v>5918</v>
      </c>
      <c r="C216" s="5" t="str">
        <f>IFERROR(INDEX('Output Utente'!$B$2:$B$492,MATCH(213,'Output Utente'!$Q$2:$Q$492,0)),"")</f>
        <v>A</v>
      </c>
      <c r="D216" s="5" t="str">
        <f>IFERROR(INDEX('Output Utente'!$C$2:$C$492,MATCH(213,'Output Utente'!$Q$2:$Q$492,0)),"")</f>
        <v>Sulemana K.</v>
      </c>
      <c r="E216" s="5" t="str">
        <f>IFERROR(INDEX('Input Giocatori 2026_27'!$D$3:$D$493,MATCH($B216,'Input Giocatori 2026_27'!$A$3:$A$493,0)),"")</f>
        <v>Atalanta</v>
      </c>
      <c r="F216" s="42">
        <f>IFERROR(INDEX('Output Utente'!$N$2:$N$492,MATCH(213,'Output Utente'!$Q$2:$Q$492,0)),"")</f>
        <v>6</v>
      </c>
      <c r="G216" s="42">
        <f>IFERROR(INDEX('Output Utente'!$O$2:$O$492,MATCH(213,'Output Utente'!$Q$2:$Q$492,0)),"")</f>
        <v>16</v>
      </c>
      <c r="H216" s="5" t="str">
        <f>IFERROR(INDEX('Output Utente'!$P$2:$P$492,MATCH(213,'Output Utente'!$Q$2:$Q$492,0)),"")</f>
        <v>Scommessa/Riserva</v>
      </c>
      <c r="I216" s="42">
        <f>IFERROR(INDEX('Output Utente'!$F$2:$F$492,MATCH(213,'Output Utente'!$Q$2:$Q$492,0)),"")</f>
        <v>5</v>
      </c>
      <c r="J216" s="42">
        <f>IFERROR(INDEX('Output Utente'!$G$2:$G$492,MATCH(213,'Output Utente'!$Q$2:$Q$492,0)),"")</f>
        <v>3</v>
      </c>
      <c r="K216" s="42">
        <f>IFERROR(INDEX('Output Utente'!$H$2:$H$492,MATCH(213,'Output Utente'!$Q$2:$Q$492,0)),"")</f>
        <v>6</v>
      </c>
      <c r="L216" s="5" t="str">
        <f>IFERROR(INDEX('Output Utente'!$E$2:$E$492,MATCH(213,'Output Utente'!$Q$2:$Q$492,0)),"")</f>
        <v>NO</v>
      </c>
      <c r="M216" s="5" t="str">
        <f>IFERROR(INDEX('Output Utente'!$U$2:$U$492,MATCH(213,'Output Utente'!$Q$2:$Q$492,0)),"")</f>
        <v>OK</v>
      </c>
      <c r="N216" s="5" t="str">
        <f>IFERROR(INDEX('Output Utente'!$AE$2:$AE$492,MATCH(213,'Output Utente'!$Q$2:$Q$492,0)),"")</f>
        <v>🟢 Riserve abbondanti</v>
      </c>
    </row>
    <row r="217" spans="1:14" ht="15" customHeight="1" x14ac:dyDescent="0.25">
      <c r="A217" s="41">
        <v>214</v>
      </c>
      <c r="B217" s="5">
        <f>IFERROR(INDEX('Output Utente'!$A$2:$A$492,MATCH(214,'Output Utente'!$Q$2:$Q$492,0)),"")</f>
        <v>4236</v>
      </c>
      <c r="C217" s="5" t="str">
        <f>IFERROR(INDEX('Output Utente'!$B$2:$B$492,MATCH(214,'Output Utente'!$Q$2:$Q$492,0)),"")</f>
        <v>P</v>
      </c>
      <c r="D217" s="5" t="str">
        <f>IFERROR(INDEX('Output Utente'!$C$2:$C$492,MATCH(214,'Output Utente'!$Q$2:$Q$492,0)),"")</f>
        <v>Muric</v>
      </c>
      <c r="E217" s="5" t="str">
        <f>IFERROR(INDEX('Input Giocatori 2026_27'!$D$3:$D$493,MATCH($B217,'Input Giocatori 2026_27'!$A$3:$A$493,0)),"")</f>
        <v>Sassuolo</v>
      </c>
      <c r="F217" s="42">
        <f>IFERROR(INDEX('Output Utente'!$N$2:$N$492,MATCH(214,'Output Utente'!$Q$2:$Q$492,0)),"")</f>
        <v>7</v>
      </c>
      <c r="G217" s="42">
        <f>IFERROR(INDEX('Output Utente'!$O$2:$O$492,MATCH(214,'Output Utente'!$Q$2:$Q$492,0)),"")</f>
        <v>15</v>
      </c>
      <c r="H217" s="5" t="str">
        <f>IFERROR(INDEX('Output Utente'!$P$2:$P$492,MATCH(214,'Output Utente'!$Q$2:$Q$492,0)),"")</f>
        <v>Buono</v>
      </c>
      <c r="I217" s="42">
        <f>IFERROR(INDEX('Output Utente'!$F$2:$F$492,MATCH(214,'Output Utente'!$Q$2:$Q$492,0)),"")</f>
        <v>5</v>
      </c>
      <c r="J217" s="42">
        <f>IFERROR(INDEX('Output Utente'!$G$2:$G$492,MATCH(214,'Output Utente'!$Q$2:$Q$492,0)),"")</f>
        <v>4</v>
      </c>
      <c r="K217" s="42">
        <f>IFERROR(INDEX('Output Utente'!$H$2:$H$492,MATCH(214,'Output Utente'!$Q$2:$Q$492,0)),"")</f>
        <v>6</v>
      </c>
      <c r="L217" s="5" t="str">
        <f>IFERROR(INDEX('Output Utente'!$E$2:$E$492,MATCH(214,'Output Utente'!$Q$2:$Q$492,0)),"")</f>
        <v>NO</v>
      </c>
      <c r="M217" s="5" t="str">
        <f>IFERROR(INDEX('Output Utente'!$U$2:$U$492,MATCH(214,'Output Utente'!$Q$2:$Q$492,0)),"")</f>
        <v>OK</v>
      </c>
      <c r="N217" s="5" t="str">
        <f>IFERROR(INDEX('Output Utente'!$AE$2:$AE$492,MATCH(214,'Output Utente'!$Q$2:$Q$492,0)),"")</f>
        <v>🔴 Riserve scarse</v>
      </c>
    </row>
    <row r="218" spans="1:14" ht="15" customHeight="1" x14ac:dyDescent="0.25">
      <c r="A218" s="41">
        <v>215</v>
      </c>
      <c r="B218" s="5">
        <f>IFERROR(INDEX('Output Utente'!$A$2:$A$492,MATCH(215,'Output Utente'!$Q$2:$Q$492,0)),"")</f>
        <v>6485</v>
      </c>
      <c r="C218" s="5" t="str">
        <f>IFERROR(INDEX('Output Utente'!$B$2:$B$492,MATCH(215,'Output Utente'!$Q$2:$Q$492,0)),"")</f>
        <v>D</v>
      </c>
      <c r="D218" s="5" t="str">
        <f>IFERROR(INDEX('Output Utente'!$C$2:$C$492,MATCH(215,'Output Utente'!$Q$2:$Q$492,0)),"")</f>
        <v>Kristensen T.</v>
      </c>
      <c r="E218" s="5" t="str">
        <f>IFERROR(INDEX('Input Giocatori 2026_27'!$D$3:$D$493,MATCH($B218,'Input Giocatori 2026_27'!$A$3:$A$493,0)),"")</f>
        <v>Udinese</v>
      </c>
      <c r="F218" s="42">
        <f>IFERROR(INDEX('Output Utente'!$N$2:$N$492,MATCH(215,'Output Utente'!$Q$2:$Q$492,0)),"")</f>
        <v>7</v>
      </c>
      <c r="G218" s="42">
        <f>IFERROR(INDEX('Output Utente'!$O$2:$O$492,MATCH(215,'Output Utente'!$Q$2:$Q$492,0)),"")</f>
        <v>15</v>
      </c>
      <c r="H218" s="5" t="str">
        <f>IFERROR(INDEX('Output Utente'!$P$2:$P$492,MATCH(215,'Output Utente'!$Q$2:$Q$492,0)),"")</f>
        <v>Nella Media</v>
      </c>
      <c r="I218" s="42">
        <f>IFERROR(INDEX('Output Utente'!$F$2:$F$492,MATCH(215,'Output Utente'!$Q$2:$Q$492,0)),"")</f>
        <v>3</v>
      </c>
      <c r="J218" s="42">
        <f>IFERROR(INDEX('Output Utente'!$G$2:$G$492,MATCH(215,'Output Utente'!$Q$2:$Q$492,0)),"")</f>
        <v>2</v>
      </c>
      <c r="K218" s="42">
        <f>IFERROR(INDEX('Output Utente'!$H$2:$H$492,MATCH(215,'Output Utente'!$Q$2:$Q$492,0)),"")</f>
        <v>3</v>
      </c>
      <c r="L218" s="5" t="str">
        <f>IFERROR(INDEX('Output Utente'!$E$2:$E$492,MATCH(215,'Output Utente'!$Q$2:$Q$492,0)),"")</f>
        <v>NO</v>
      </c>
      <c r="M218" s="5" t="str">
        <f>IFERROR(INDEX('Output Utente'!$U$2:$U$492,MATCH(215,'Output Utente'!$Q$2:$Q$492,0)),"")</f>
        <v>OK</v>
      </c>
      <c r="N218" s="5" t="str">
        <f>IFERROR(INDEX('Output Utente'!$AE$2:$AE$492,MATCH(215,'Output Utente'!$Q$2:$Q$492,0)),"")</f>
        <v>🟢 Riserve abbondanti</v>
      </c>
    </row>
    <row r="219" spans="1:14" ht="15" customHeight="1" x14ac:dyDescent="0.25">
      <c r="A219" s="41">
        <v>216</v>
      </c>
      <c r="B219" s="5">
        <f>IFERROR(INDEX('Output Utente'!$A$2:$A$492,MATCH(216,'Output Utente'!$Q$2:$Q$492,0)),"")</f>
        <v>4887</v>
      </c>
      <c r="C219" s="5" t="str">
        <f>IFERROR(INDEX('Output Utente'!$B$2:$B$492,MATCH(216,'Output Utente'!$Q$2:$Q$492,0)),"")</f>
        <v>D</v>
      </c>
      <c r="D219" s="5" t="str">
        <f>IFERROR(INDEX('Output Utente'!$C$2:$C$492,MATCH(216,'Output Utente'!$Q$2:$Q$492,0)),"")</f>
        <v>Bellanova</v>
      </c>
      <c r="E219" s="5" t="str">
        <f>IFERROR(INDEX('Input Giocatori 2026_27'!$D$3:$D$493,MATCH($B219,'Input Giocatori 2026_27'!$A$3:$A$493,0)),"")</f>
        <v>Atalanta</v>
      </c>
      <c r="F219" s="42">
        <f>IFERROR(INDEX('Output Utente'!$N$2:$N$492,MATCH(216,'Output Utente'!$Q$2:$Q$492,0)),"")</f>
        <v>6</v>
      </c>
      <c r="G219" s="42">
        <f>IFERROR(INDEX('Output Utente'!$O$2:$O$492,MATCH(216,'Output Utente'!$Q$2:$Q$492,0)),"")</f>
        <v>15</v>
      </c>
      <c r="H219" s="5" t="str">
        <f>IFERROR(INDEX('Output Utente'!$P$2:$P$492,MATCH(216,'Output Utente'!$Q$2:$Q$492,0)),"")</f>
        <v>Nella Media</v>
      </c>
      <c r="I219" s="42">
        <f>IFERROR(INDEX('Output Utente'!$F$2:$F$492,MATCH(216,'Output Utente'!$Q$2:$Q$492,0)),"")</f>
        <v>3</v>
      </c>
      <c r="J219" s="42">
        <f>IFERROR(INDEX('Output Utente'!$G$2:$G$492,MATCH(216,'Output Utente'!$Q$2:$Q$492,0)),"")</f>
        <v>2</v>
      </c>
      <c r="K219" s="42">
        <f>IFERROR(INDEX('Output Utente'!$H$2:$H$492,MATCH(216,'Output Utente'!$Q$2:$Q$492,0)),"")</f>
        <v>3</v>
      </c>
      <c r="L219" s="5" t="str">
        <f>IFERROR(INDEX('Output Utente'!$E$2:$E$492,MATCH(216,'Output Utente'!$Q$2:$Q$492,0)),"")</f>
        <v>NO</v>
      </c>
      <c r="M219" s="5" t="str">
        <f>IFERROR(INDEX('Output Utente'!$U$2:$U$492,MATCH(216,'Output Utente'!$Q$2:$Q$492,0)),"")</f>
        <v>OK</v>
      </c>
      <c r="N219" s="5" t="str">
        <f>IFERROR(INDEX('Output Utente'!$AE$2:$AE$492,MATCH(216,'Output Utente'!$Q$2:$Q$492,0)),"")</f>
        <v>🟢 Riserve abbondanti</v>
      </c>
    </row>
    <row r="220" spans="1:14" ht="15" customHeight="1" x14ac:dyDescent="0.25">
      <c r="A220" s="41">
        <v>217</v>
      </c>
      <c r="B220" s="5">
        <f>IFERROR(INDEX('Output Utente'!$A$2:$A$492,MATCH(217,'Output Utente'!$Q$2:$Q$492,0)),"")</f>
        <v>7212</v>
      </c>
      <c r="C220" s="5" t="str">
        <f>IFERROR(INDEX('Output Utente'!$B$2:$B$492,MATCH(217,'Output Utente'!$Q$2:$Q$492,0)),"")</f>
        <v>D</v>
      </c>
      <c r="D220" s="5" t="str">
        <f>IFERROR(INDEX('Output Utente'!$C$2:$C$492,MATCH(217,'Output Utente'!$Q$2:$Q$492,0)),"")</f>
        <v>Heggem</v>
      </c>
      <c r="E220" s="5" t="str">
        <f>IFERROR(INDEX('Input Giocatori 2026_27'!$D$3:$D$493,MATCH($B220,'Input Giocatori 2026_27'!$A$3:$A$493,0)),"")</f>
        <v>Bologna</v>
      </c>
      <c r="F220" s="42">
        <f>IFERROR(INDEX('Output Utente'!$N$2:$N$492,MATCH(217,'Output Utente'!$Q$2:$Q$492,0)),"")</f>
        <v>6</v>
      </c>
      <c r="G220" s="42">
        <f>IFERROR(INDEX('Output Utente'!$O$2:$O$492,MATCH(217,'Output Utente'!$Q$2:$Q$492,0)),"")</f>
        <v>15</v>
      </c>
      <c r="H220" s="5" t="str">
        <f>IFERROR(INDEX('Output Utente'!$P$2:$P$492,MATCH(217,'Output Utente'!$Q$2:$Q$492,0)),"")</f>
        <v>Nella Media</v>
      </c>
      <c r="I220" s="42">
        <f>IFERROR(INDEX('Output Utente'!$F$2:$F$492,MATCH(217,'Output Utente'!$Q$2:$Q$492,0)),"")</f>
        <v>3</v>
      </c>
      <c r="J220" s="42">
        <f>IFERROR(INDEX('Output Utente'!$G$2:$G$492,MATCH(217,'Output Utente'!$Q$2:$Q$492,0)),"")</f>
        <v>2</v>
      </c>
      <c r="K220" s="42">
        <f>IFERROR(INDEX('Output Utente'!$H$2:$H$492,MATCH(217,'Output Utente'!$Q$2:$Q$492,0)),"")</f>
        <v>3</v>
      </c>
      <c r="L220" s="5" t="str">
        <f>IFERROR(INDEX('Output Utente'!$E$2:$E$492,MATCH(217,'Output Utente'!$Q$2:$Q$492,0)),"")</f>
        <v>NO</v>
      </c>
      <c r="M220" s="5" t="str">
        <f>IFERROR(INDEX('Output Utente'!$U$2:$U$492,MATCH(217,'Output Utente'!$Q$2:$Q$492,0)),"")</f>
        <v>OK</v>
      </c>
      <c r="N220" s="5" t="str">
        <f>IFERROR(INDEX('Output Utente'!$AE$2:$AE$492,MATCH(217,'Output Utente'!$Q$2:$Q$492,0)),"")</f>
        <v>🟢 Riserve abbondanti</v>
      </c>
    </row>
    <row r="221" spans="1:14" ht="15" customHeight="1" x14ac:dyDescent="0.25">
      <c r="A221" s="41">
        <v>218</v>
      </c>
      <c r="B221" s="5">
        <f>IFERROR(INDEX('Output Utente'!$A$2:$A$492,MATCH(218,'Output Utente'!$Q$2:$Q$492,0)),"")</f>
        <v>7485</v>
      </c>
      <c r="C221" s="5" t="str">
        <f>IFERROR(INDEX('Output Utente'!$B$2:$B$492,MATCH(218,'Output Utente'!$Q$2:$Q$492,0)),"")</f>
        <v>D</v>
      </c>
      <c r="D221" s="5" t="str">
        <f>IFERROR(INDEX('Output Utente'!$C$2:$C$492,MATCH(218,'Output Utente'!$Q$2:$Q$492,0)),"")</f>
        <v>Mangas</v>
      </c>
      <c r="E221" s="5" t="str">
        <f>IFERROR(INDEX('Input Giocatori 2026_27'!$D$3:$D$493,MATCH($B221,'Input Giocatori 2026_27'!$A$3:$A$493,0)),"")</f>
        <v>Monza</v>
      </c>
      <c r="F221" s="42">
        <f>IFERROR(INDEX('Output Utente'!$N$2:$N$492,MATCH(218,'Output Utente'!$Q$2:$Q$492,0)),"")</f>
        <v>6</v>
      </c>
      <c r="G221" s="42">
        <f>IFERROR(INDEX('Output Utente'!$O$2:$O$492,MATCH(218,'Output Utente'!$Q$2:$Q$492,0)),"")</f>
        <v>15</v>
      </c>
      <c r="H221" s="5" t="str">
        <f>IFERROR(INDEX('Output Utente'!$P$2:$P$492,MATCH(218,'Output Utente'!$Q$2:$Q$492,0)),"")</f>
        <v>Nella Media</v>
      </c>
      <c r="I221" s="42">
        <f>IFERROR(INDEX('Output Utente'!$F$2:$F$492,MATCH(218,'Output Utente'!$Q$2:$Q$492,0)),"")</f>
        <v>3</v>
      </c>
      <c r="J221" s="42">
        <f>IFERROR(INDEX('Output Utente'!$G$2:$G$492,MATCH(218,'Output Utente'!$Q$2:$Q$492,0)),"")</f>
        <v>2</v>
      </c>
      <c r="K221" s="42">
        <f>IFERROR(INDEX('Output Utente'!$H$2:$H$492,MATCH(218,'Output Utente'!$Q$2:$Q$492,0)),"")</f>
        <v>3</v>
      </c>
      <c r="L221" s="5" t="str">
        <f>IFERROR(INDEX('Output Utente'!$E$2:$E$492,MATCH(218,'Output Utente'!$Q$2:$Q$492,0)),"")</f>
        <v>NO</v>
      </c>
      <c r="M221" s="5" t="str">
        <f>IFERROR(INDEX('Output Utente'!$U$2:$U$492,MATCH(218,'Output Utente'!$Q$2:$Q$492,0)),"")</f>
        <v>OK</v>
      </c>
      <c r="N221" s="5" t="str">
        <f>IFERROR(INDEX('Output Utente'!$AE$2:$AE$492,MATCH(218,'Output Utente'!$Q$2:$Q$492,0)),"")</f>
        <v>🟢 Riserve abbondanti</v>
      </c>
    </row>
    <row r="222" spans="1:14" ht="15" customHeight="1" x14ac:dyDescent="0.25">
      <c r="A222" s="41">
        <v>219</v>
      </c>
      <c r="B222" s="5">
        <f>IFERROR(INDEX('Output Utente'!$A$2:$A$492,MATCH(219,'Output Utente'!$Q$2:$Q$492,0)),"")</f>
        <v>2593</v>
      </c>
      <c r="C222" s="5" t="str">
        <f>IFERROR(INDEX('Output Utente'!$B$2:$B$492,MATCH(219,'Output Utente'!$Q$2:$Q$492,0)),"")</f>
        <v>D</v>
      </c>
      <c r="D222" s="5" t="str">
        <f>IFERROR(INDEX('Output Utente'!$C$2:$C$492,MATCH(219,'Output Utente'!$Q$2:$Q$492,0)),"")</f>
        <v>Martin</v>
      </c>
      <c r="E222" s="5" t="str">
        <f>IFERROR(INDEX('Input Giocatori 2026_27'!$D$3:$D$493,MATCH($B222,'Input Giocatori 2026_27'!$A$3:$A$493,0)),"")</f>
        <v>Genoa</v>
      </c>
      <c r="F222" s="42">
        <f>IFERROR(INDEX('Output Utente'!$N$2:$N$492,MATCH(219,'Output Utente'!$Q$2:$Q$492,0)),"")</f>
        <v>5</v>
      </c>
      <c r="G222" s="42">
        <f>IFERROR(INDEX('Output Utente'!$O$2:$O$492,MATCH(219,'Output Utente'!$Q$2:$Q$492,0)),"")</f>
        <v>15</v>
      </c>
      <c r="H222" s="5" t="str">
        <f>IFERROR(INDEX('Output Utente'!$P$2:$P$492,MATCH(219,'Output Utente'!$Q$2:$Q$492,0)),"")</f>
        <v>Nella Media</v>
      </c>
      <c r="I222" s="42">
        <f>IFERROR(INDEX('Output Utente'!$F$2:$F$492,MATCH(219,'Output Utente'!$Q$2:$Q$492,0)),"")</f>
        <v>3</v>
      </c>
      <c r="J222" s="42">
        <f>IFERROR(INDEX('Output Utente'!$G$2:$G$492,MATCH(219,'Output Utente'!$Q$2:$Q$492,0)),"")</f>
        <v>2</v>
      </c>
      <c r="K222" s="42">
        <f>IFERROR(INDEX('Output Utente'!$H$2:$H$492,MATCH(219,'Output Utente'!$Q$2:$Q$492,0)),"")</f>
        <v>3</v>
      </c>
      <c r="L222" s="5" t="str">
        <f>IFERROR(INDEX('Output Utente'!$E$2:$E$492,MATCH(219,'Output Utente'!$Q$2:$Q$492,0)),"")</f>
        <v>NO</v>
      </c>
      <c r="M222" s="5" t="str">
        <f>IFERROR(INDEX('Output Utente'!$U$2:$U$492,MATCH(219,'Output Utente'!$Q$2:$Q$492,0)),"")</f>
        <v>OK</v>
      </c>
      <c r="N222" s="5" t="str">
        <f>IFERROR(INDEX('Output Utente'!$AE$2:$AE$492,MATCH(219,'Output Utente'!$Q$2:$Q$492,0)),"")</f>
        <v>🟢 Riserve abbondanti</v>
      </c>
    </row>
    <row r="223" spans="1:14" ht="15" customHeight="1" x14ac:dyDescent="0.25">
      <c r="A223" s="41">
        <v>220</v>
      </c>
      <c r="B223" s="5">
        <f>IFERROR(INDEX('Output Utente'!$A$2:$A$492,MATCH(220,'Output Utente'!$Q$2:$Q$492,0)),"")</f>
        <v>4817</v>
      </c>
      <c r="C223" s="5" t="str">
        <f>IFERROR(INDEX('Output Utente'!$B$2:$B$492,MATCH(220,'Output Utente'!$Q$2:$Q$492,0)),"")</f>
        <v>D</v>
      </c>
      <c r="D223" s="5" t="str">
        <f>IFERROR(INDEX('Output Utente'!$C$2:$C$492,MATCH(220,'Output Utente'!$Q$2:$Q$492,0)),"")</f>
        <v>Pedraza</v>
      </c>
      <c r="E223" s="5" t="str">
        <f>IFERROR(INDEX('Input Giocatori 2026_27'!$D$3:$D$493,MATCH($B223,'Input Giocatori 2026_27'!$A$3:$A$493,0)),"")</f>
        <v>Lazio</v>
      </c>
      <c r="F223" s="42">
        <f>IFERROR(INDEX('Output Utente'!$N$2:$N$492,MATCH(220,'Output Utente'!$Q$2:$Q$492,0)),"")</f>
        <v>5</v>
      </c>
      <c r="G223" s="42">
        <f>IFERROR(INDEX('Output Utente'!$O$2:$O$492,MATCH(220,'Output Utente'!$Q$2:$Q$492,0)),"")</f>
        <v>15</v>
      </c>
      <c r="H223" s="5" t="str">
        <f>IFERROR(INDEX('Output Utente'!$P$2:$P$492,MATCH(220,'Output Utente'!$Q$2:$Q$492,0)),"")</f>
        <v>Nella Media</v>
      </c>
      <c r="I223" s="42">
        <f>IFERROR(INDEX('Output Utente'!$F$2:$F$492,MATCH(220,'Output Utente'!$Q$2:$Q$492,0)),"")</f>
        <v>3</v>
      </c>
      <c r="J223" s="42">
        <f>IFERROR(INDEX('Output Utente'!$G$2:$G$492,MATCH(220,'Output Utente'!$Q$2:$Q$492,0)),"")</f>
        <v>2</v>
      </c>
      <c r="K223" s="42">
        <f>IFERROR(INDEX('Output Utente'!$H$2:$H$492,MATCH(220,'Output Utente'!$Q$2:$Q$492,0)),"")</f>
        <v>3</v>
      </c>
      <c r="L223" s="5" t="str">
        <f>IFERROR(INDEX('Output Utente'!$E$2:$E$492,MATCH(220,'Output Utente'!$Q$2:$Q$492,0)),"")</f>
        <v>NO</v>
      </c>
      <c r="M223" s="5" t="str">
        <f>IFERROR(INDEX('Output Utente'!$U$2:$U$492,MATCH(220,'Output Utente'!$Q$2:$Q$492,0)),"")</f>
        <v>OK</v>
      </c>
      <c r="N223" s="5" t="str">
        <f>IFERROR(INDEX('Output Utente'!$AE$2:$AE$492,MATCH(220,'Output Utente'!$Q$2:$Q$492,0)),"")</f>
        <v>🟢 Riserve abbondanti</v>
      </c>
    </row>
    <row r="224" spans="1:14" ht="15" customHeight="1" x14ac:dyDescent="0.25">
      <c r="A224" s="41">
        <v>221</v>
      </c>
      <c r="B224" s="5">
        <f>IFERROR(INDEX('Output Utente'!$A$2:$A$492,MATCH(221,'Output Utente'!$Q$2:$Q$492,0)),"")</f>
        <v>6898</v>
      </c>
      <c r="C224" s="5" t="str">
        <f>IFERROR(INDEX('Output Utente'!$B$2:$B$492,MATCH(221,'Output Utente'!$Q$2:$Q$492,0)),"")</f>
        <v>C</v>
      </c>
      <c r="D224" s="5" t="str">
        <f>IFERROR(INDEX('Output Utente'!$C$2:$C$492,MATCH(221,'Output Utente'!$Q$2:$Q$492,0)),"")</f>
        <v>Keita M.</v>
      </c>
      <c r="E224" s="5" t="str">
        <f>IFERROR(INDEX('Input Giocatori 2026_27'!$D$3:$D$493,MATCH($B224,'Input Giocatori 2026_27'!$A$3:$A$493,0)),"")</f>
        <v>Parma</v>
      </c>
      <c r="F224" s="42">
        <f>IFERROR(INDEX('Output Utente'!$N$2:$N$492,MATCH(221,'Output Utente'!$Q$2:$Q$492,0)),"")</f>
        <v>5</v>
      </c>
      <c r="G224" s="42">
        <f>IFERROR(INDEX('Output Utente'!$O$2:$O$492,MATCH(221,'Output Utente'!$Q$2:$Q$492,0)),"")</f>
        <v>15</v>
      </c>
      <c r="H224" s="5" t="str">
        <f>IFERROR(INDEX('Output Utente'!$P$2:$P$492,MATCH(221,'Output Utente'!$Q$2:$Q$492,0)),"")</f>
        <v>Nella Media</v>
      </c>
      <c r="I224" s="42">
        <f>IFERROR(INDEX('Output Utente'!$F$2:$F$492,MATCH(221,'Output Utente'!$Q$2:$Q$492,0)),"")</f>
        <v>2</v>
      </c>
      <c r="J224" s="42">
        <f>IFERROR(INDEX('Output Utente'!$G$2:$G$492,MATCH(221,'Output Utente'!$Q$2:$Q$492,0)),"")</f>
        <v>1</v>
      </c>
      <c r="K224" s="42">
        <f>IFERROR(INDEX('Output Utente'!$H$2:$H$492,MATCH(221,'Output Utente'!$Q$2:$Q$492,0)),"")</f>
        <v>2</v>
      </c>
      <c r="L224" s="5" t="str">
        <f>IFERROR(INDEX('Output Utente'!$E$2:$E$492,MATCH(221,'Output Utente'!$Q$2:$Q$492,0)),"")</f>
        <v>NO</v>
      </c>
      <c r="M224" s="5" t="str">
        <f>IFERROR(INDEX('Output Utente'!$U$2:$U$492,MATCH(221,'Output Utente'!$Q$2:$Q$492,0)),"")</f>
        <v>OK</v>
      </c>
      <c r="N224" s="5" t="str">
        <f>IFERROR(INDEX('Output Utente'!$AE$2:$AE$492,MATCH(221,'Output Utente'!$Q$2:$Q$492,0)),"")</f>
        <v>🟢 Riserve abbondanti</v>
      </c>
    </row>
    <row r="225" spans="1:14" ht="15" customHeight="1" x14ac:dyDescent="0.25">
      <c r="A225" s="41">
        <v>222</v>
      </c>
      <c r="B225" s="5">
        <f>IFERROR(INDEX('Output Utente'!$A$2:$A$492,MATCH(222,'Output Utente'!$Q$2:$Q$492,0)),"")</f>
        <v>2528</v>
      </c>
      <c r="C225" s="5" t="str">
        <f>IFERROR(INDEX('Output Utente'!$B$2:$B$492,MATCH(222,'Output Utente'!$Q$2:$Q$492,0)),"")</f>
        <v>C</v>
      </c>
      <c r="D225" s="5" t="str">
        <f>IFERROR(INDEX('Output Utente'!$C$2:$C$492,MATCH(222,'Output Utente'!$Q$2:$Q$492,0)),"")</f>
        <v>Matic</v>
      </c>
      <c r="E225" s="5" t="str">
        <f>IFERROR(INDEX('Input Giocatori 2026_27'!$D$3:$D$493,MATCH($B225,'Input Giocatori 2026_27'!$A$3:$A$493,0)),"")</f>
        <v>Sassuolo</v>
      </c>
      <c r="F225" s="42">
        <f>IFERROR(INDEX('Output Utente'!$N$2:$N$492,MATCH(222,'Output Utente'!$Q$2:$Q$492,0)),"")</f>
        <v>5</v>
      </c>
      <c r="G225" s="42">
        <f>IFERROR(INDEX('Output Utente'!$O$2:$O$492,MATCH(222,'Output Utente'!$Q$2:$Q$492,0)),"")</f>
        <v>15</v>
      </c>
      <c r="H225" s="5" t="str">
        <f>IFERROR(INDEX('Output Utente'!$P$2:$P$492,MATCH(222,'Output Utente'!$Q$2:$Q$492,0)),"")</f>
        <v>Nella Media</v>
      </c>
      <c r="I225" s="42">
        <f>IFERROR(INDEX('Output Utente'!$F$2:$F$492,MATCH(222,'Output Utente'!$Q$2:$Q$492,0)),"")</f>
        <v>2</v>
      </c>
      <c r="J225" s="42">
        <f>IFERROR(INDEX('Output Utente'!$G$2:$G$492,MATCH(222,'Output Utente'!$Q$2:$Q$492,0)),"")</f>
        <v>1</v>
      </c>
      <c r="K225" s="42">
        <f>IFERROR(INDEX('Output Utente'!$H$2:$H$492,MATCH(222,'Output Utente'!$Q$2:$Q$492,0)),"")</f>
        <v>2</v>
      </c>
      <c r="L225" s="5" t="str">
        <f>IFERROR(INDEX('Output Utente'!$E$2:$E$492,MATCH(222,'Output Utente'!$Q$2:$Q$492,0)),"")</f>
        <v>NO</v>
      </c>
      <c r="M225" s="5" t="str">
        <f>IFERROR(INDEX('Output Utente'!$U$2:$U$492,MATCH(222,'Output Utente'!$Q$2:$Q$492,0)),"")</f>
        <v>OK</v>
      </c>
      <c r="N225" s="5" t="str">
        <f>IFERROR(INDEX('Output Utente'!$AE$2:$AE$492,MATCH(222,'Output Utente'!$Q$2:$Q$492,0)),"")</f>
        <v>🟢 Riserve abbondanti</v>
      </c>
    </row>
    <row r="226" spans="1:14" ht="15" customHeight="1" x14ac:dyDescent="0.25">
      <c r="A226" s="41">
        <v>223</v>
      </c>
      <c r="B226" s="5">
        <f>IFERROR(INDEX('Output Utente'!$A$2:$A$492,MATCH(223,'Output Utente'!$Q$2:$Q$492,0)),"")</f>
        <v>7198</v>
      </c>
      <c r="C226" s="5" t="str">
        <f>IFERROR(INDEX('Output Utente'!$B$2:$B$492,MATCH(223,'Output Utente'!$Q$2:$Q$492,0)),"")</f>
        <v>C</v>
      </c>
      <c r="D226" s="5" t="str">
        <f>IFERROR(INDEX('Output Utente'!$C$2:$C$492,MATCH(223,'Output Utente'!$Q$2:$Q$492,0)),"")</f>
        <v>Piotrowski</v>
      </c>
      <c r="E226" s="5" t="str">
        <f>IFERROR(INDEX('Input Giocatori 2026_27'!$D$3:$D$493,MATCH($B226,'Input Giocatori 2026_27'!$A$3:$A$493,0)),"")</f>
        <v>Udinese</v>
      </c>
      <c r="F226" s="42">
        <f>IFERROR(INDEX('Output Utente'!$N$2:$N$492,MATCH(223,'Output Utente'!$Q$2:$Q$492,0)),"")</f>
        <v>5</v>
      </c>
      <c r="G226" s="42">
        <f>IFERROR(INDEX('Output Utente'!$O$2:$O$492,MATCH(223,'Output Utente'!$Q$2:$Q$492,0)),"")</f>
        <v>15</v>
      </c>
      <c r="H226" s="5" t="str">
        <f>IFERROR(INDEX('Output Utente'!$P$2:$P$492,MATCH(223,'Output Utente'!$Q$2:$Q$492,0)),"")</f>
        <v>Nella Media</v>
      </c>
      <c r="I226" s="42">
        <f>IFERROR(INDEX('Output Utente'!$F$2:$F$492,MATCH(223,'Output Utente'!$Q$2:$Q$492,0)),"")</f>
        <v>2</v>
      </c>
      <c r="J226" s="42">
        <f>IFERROR(INDEX('Output Utente'!$G$2:$G$492,MATCH(223,'Output Utente'!$Q$2:$Q$492,0)),"")</f>
        <v>1</v>
      </c>
      <c r="K226" s="42">
        <f>IFERROR(INDEX('Output Utente'!$H$2:$H$492,MATCH(223,'Output Utente'!$Q$2:$Q$492,0)),"")</f>
        <v>2</v>
      </c>
      <c r="L226" s="5" t="str">
        <f>IFERROR(INDEX('Output Utente'!$E$2:$E$492,MATCH(223,'Output Utente'!$Q$2:$Q$492,0)),"")</f>
        <v>NO</v>
      </c>
      <c r="M226" s="5" t="str">
        <f>IFERROR(INDEX('Output Utente'!$U$2:$U$492,MATCH(223,'Output Utente'!$Q$2:$Q$492,0)),"")</f>
        <v>OK</v>
      </c>
      <c r="N226" s="5" t="str">
        <f>IFERROR(INDEX('Output Utente'!$AE$2:$AE$492,MATCH(223,'Output Utente'!$Q$2:$Q$492,0)),"")</f>
        <v>🟢 Riserve abbondanti</v>
      </c>
    </row>
    <row r="227" spans="1:14" ht="15" customHeight="1" x14ac:dyDescent="0.25">
      <c r="A227" s="41">
        <v>224</v>
      </c>
      <c r="B227" s="5">
        <f>IFERROR(INDEX('Output Utente'!$A$2:$A$492,MATCH(224,'Output Utente'!$Q$2:$Q$492,0)),"")</f>
        <v>6204</v>
      </c>
      <c r="C227" s="5" t="str">
        <f>IFERROR(INDEX('Output Utente'!$B$2:$B$492,MATCH(224,'Output Utente'!$Q$2:$Q$492,0)),"")</f>
        <v>A</v>
      </c>
      <c r="D227" s="5" t="str">
        <f>IFERROR(INDEX('Output Utente'!$C$2:$C$492,MATCH(224,'Output Utente'!$Q$2:$Q$492,0)),"")</f>
        <v>Kvernadze</v>
      </c>
      <c r="E227" s="5" t="str">
        <f>IFERROR(INDEX('Input Giocatori 2026_27'!$D$3:$D$493,MATCH($B227,'Input Giocatori 2026_27'!$A$3:$A$493,0)),"")</f>
        <v>Frosinone</v>
      </c>
      <c r="F227" s="42">
        <f>IFERROR(INDEX('Output Utente'!$N$2:$N$492,MATCH(224,'Output Utente'!$Q$2:$Q$492,0)),"")</f>
        <v>4</v>
      </c>
      <c r="G227" s="42">
        <f>IFERROR(INDEX('Output Utente'!$O$2:$O$492,MATCH(224,'Output Utente'!$Q$2:$Q$492,0)),"")</f>
        <v>15</v>
      </c>
      <c r="H227" s="5" t="str">
        <f>IFERROR(INDEX('Output Utente'!$P$2:$P$492,MATCH(224,'Output Utente'!$Q$2:$Q$492,0)),"")</f>
        <v>Scommessa/Riserva</v>
      </c>
      <c r="I227" s="42">
        <f>IFERROR(INDEX('Output Utente'!$F$2:$F$492,MATCH(224,'Output Utente'!$Q$2:$Q$492,0)),"")</f>
        <v>5</v>
      </c>
      <c r="J227" s="42">
        <f>IFERROR(INDEX('Output Utente'!$G$2:$G$492,MATCH(224,'Output Utente'!$Q$2:$Q$492,0)),"")</f>
        <v>3</v>
      </c>
      <c r="K227" s="42">
        <f>IFERROR(INDEX('Output Utente'!$H$2:$H$492,MATCH(224,'Output Utente'!$Q$2:$Q$492,0)),"")</f>
        <v>6</v>
      </c>
      <c r="L227" s="5" t="str">
        <f>IFERROR(INDEX('Output Utente'!$E$2:$E$492,MATCH(224,'Output Utente'!$Q$2:$Q$492,0)),"")</f>
        <v>NO</v>
      </c>
      <c r="M227" s="5" t="str">
        <f>IFERROR(INDEX('Output Utente'!$U$2:$U$492,MATCH(224,'Output Utente'!$Q$2:$Q$492,0)),"")</f>
        <v>OK</v>
      </c>
      <c r="N227" s="5" t="str">
        <f>IFERROR(INDEX('Output Utente'!$AE$2:$AE$492,MATCH(224,'Output Utente'!$Q$2:$Q$492,0)),"")</f>
        <v>🟢 Riserve abbondanti</v>
      </c>
    </row>
    <row r="228" spans="1:14" ht="15" customHeight="1" x14ac:dyDescent="0.25">
      <c r="A228" s="41">
        <v>225</v>
      </c>
      <c r="B228" s="5">
        <f>IFERROR(INDEX('Output Utente'!$A$2:$A$492,MATCH(225,'Output Utente'!$Q$2:$Q$492,0)),"")</f>
        <v>6248</v>
      </c>
      <c r="C228" s="5" t="str">
        <f>IFERROR(INDEX('Output Utente'!$B$2:$B$492,MATCH(225,'Output Utente'!$Q$2:$Q$492,0)),"")</f>
        <v>P</v>
      </c>
      <c r="D228" s="5" t="str">
        <f>IFERROR(INDEX('Output Utente'!$C$2:$C$492,MATCH(225,'Output Utente'!$Q$2:$Q$492,0)),"")</f>
        <v>Stankovic F.</v>
      </c>
      <c r="E228" s="5" t="str">
        <f>IFERROR(INDEX('Input Giocatori 2026_27'!$D$3:$D$493,MATCH($B228,'Input Giocatori 2026_27'!$A$3:$A$493,0)),"")</f>
        <v>Venezia</v>
      </c>
      <c r="F228" s="42">
        <f>IFERROR(INDEX('Output Utente'!$N$2:$N$492,MATCH(225,'Output Utente'!$Q$2:$Q$492,0)),"")</f>
        <v>6</v>
      </c>
      <c r="G228" s="42">
        <f>IFERROR(INDEX('Output Utente'!$O$2:$O$492,MATCH(225,'Output Utente'!$Q$2:$Q$492,0)),"")</f>
        <v>14</v>
      </c>
      <c r="H228" s="5" t="str">
        <f>IFERROR(INDEX('Output Utente'!$P$2:$P$492,MATCH(225,'Output Utente'!$Q$2:$Q$492,0)),"")</f>
        <v>Buono</v>
      </c>
      <c r="I228" s="42">
        <f>IFERROR(INDEX('Output Utente'!$F$2:$F$492,MATCH(225,'Output Utente'!$Q$2:$Q$492,0)),"")</f>
        <v>5</v>
      </c>
      <c r="J228" s="42">
        <f>IFERROR(INDEX('Output Utente'!$G$2:$G$492,MATCH(225,'Output Utente'!$Q$2:$Q$492,0)),"")</f>
        <v>4</v>
      </c>
      <c r="K228" s="42">
        <f>IFERROR(INDEX('Output Utente'!$H$2:$H$492,MATCH(225,'Output Utente'!$Q$2:$Q$492,0)),"")</f>
        <v>5</v>
      </c>
      <c r="L228" s="5" t="str">
        <f>IFERROR(INDEX('Output Utente'!$E$2:$E$492,MATCH(225,'Output Utente'!$Q$2:$Q$492,0)),"")</f>
        <v>NO</v>
      </c>
      <c r="M228" s="5" t="str">
        <f>IFERROR(INDEX('Output Utente'!$U$2:$U$492,MATCH(225,'Output Utente'!$Q$2:$Q$492,0)),"")</f>
        <v>OK</v>
      </c>
      <c r="N228" s="5" t="str">
        <f>IFERROR(INDEX('Output Utente'!$AE$2:$AE$492,MATCH(225,'Output Utente'!$Q$2:$Q$492,0)),"")</f>
        <v>🔴 Riserve scarse</v>
      </c>
    </row>
    <row r="229" spans="1:14" ht="15" customHeight="1" x14ac:dyDescent="0.25">
      <c r="A229" s="41">
        <v>226</v>
      </c>
      <c r="B229" s="5">
        <f>IFERROR(INDEX('Output Utente'!$A$2:$A$492,MATCH(226,'Output Utente'!$Q$2:$Q$492,0)),"")</f>
        <v>5701</v>
      </c>
      <c r="C229" s="5" t="str">
        <f>IFERROR(INDEX('Output Utente'!$B$2:$B$492,MATCH(226,'Output Utente'!$Q$2:$Q$492,0)),"")</f>
        <v>D</v>
      </c>
      <c r="D229" s="5" t="str">
        <f>IFERROR(INDEX('Output Utente'!$C$2:$C$492,MATCH(226,'Output Utente'!$Q$2:$Q$492,0)),"")</f>
        <v>Obert</v>
      </c>
      <c r="E229" s="5" t="str">
        <f>IFERROR(INDEX('Input Giocatori 2026_27'!$D$3:$D$493,MATCH($B229,'Input Giocatori 2026_27'!$A$3:$A$493,0)),"")</f>
        <v>Cagliari</v>
      </c>
      <c r="F229" s="42">
        <f>IFERROR(INDEX('Output Utente'!$N$2:$N$492,MATCH(226,'Output Utente'!$Q$2:$Q$492,0)),"")</f>
        <v>7</v>
      </c>
      <c r="G229" s="42">
        <f>IFERROR(INDEX('Output Utente'!$O$2:$O$492,MATCH(226,'Output Utente'!$Q$2:$Q$492,0)),"")</f>
        <v>14</v>
      </c>
      <c r="H229" s="5" t="str">
        <f>IFERROR(INDEX('Output Utente'!$P$2:$P$492,MATCH(226,'Output Utente'!$Q$2:$Q$492,0)),"")</f>
        <v>Nella Media</v>
      </c>
      <c r="I229" s="42">
        <f>IFERROR(INDEX('Output Utente'!$F$2:$F$492,MATCH(226,'Output Utente'!$Q$2:$Q$492,0)),"")</f>
        <v>3</v>
      </c>
      <c r="J229" s="42">
        <f>IFERROR(INDEX('Output Utente'!$G$2:$G$492,MATCH(226,'Output Utente'!$Q$2:$Q$492,0)),"")</f>
        <v>2</v>
      </c>
      <c r="K229" s="42">
        <f>IFERROR(INDEX('Output Utente'!$H$2:$H$492,MATCH(226,'Output Utente'!$Q$2:$Q$492,0)),"")</f>
        <v>3</v>
      </c>
      <c r="L229" s="5" t="str">
        <f>IFERROR(INDEX('Output Utente'!$E$2:$E$492,MATCH(226,'Output Utente'!$Q$2:$Q$492,0)),"")</f>
        <v>NO</v>
      </c>
      <c r="M229" s="5" t="str">
        <f>IFERROR(INDEX('Output Utente'!$U$2:$U$492,MATCH(226,'Output Utente'!$Q$2:$Q$492,0)),"")</f>
        <v>OK</v>
      </c>
      <c r="N229" s="5" t="str">
        <f>IFERROR(INDEX('Output Utente'!$AE$2:$AE$492,MATCH(226,'Output Utente'!$Q$2:$Q$492,0)),"")</f>
        <v>🟢 Riserve abbondanti</v>
      </c>
    </row>
    <row r="230" spans="1:14" ht="15" customHeight="1" x14ac:dyDescent="0.25">
      <c r="A230" s="41">
        <v>227</v>
      </c>
      <c r="B230" s="5">
        <f>IFERROR(INDEX('Output Utente'!$A$2:$A$492,MATCH(227,'Output Utente'!$Q$2:$Q$492,0)),"")</f>
        <v>4952</v>
      </c>
      <c r="C230" s="5" t="str">
        <f>IFERROR(INDEX('Output Utente'!$B$2:$B$492,MATCH(227,'Output Utente'!$Q$2:$Q$492,0)),"")</f>
        <v>D</v>
      </c>
      <c r="D230" s="5" t="str">
        <f>IFERROR(INDEX('Output Utente'!$C$2:$C$492,MATCH(227,'Output Utente'!$Q$2:$Q$492,0)),"")</f>
        <v>Monterisi</v>
      </c>
      <c r="E230" s="5" t="str">
        <f>IFERROR(INDEX('Input Giocatori 2026_27'!$D$3:$D$493,MATCH($B230,'Input Giocatori 2026_27'!$A$3:$A$493,0)),"")</f>
        <v>Frosinone</v>
      </c>
      <c r="F230" s="42">
        <f>IFERROR(INDEX('Output Utente'!$N$2:$N$492,MATCH(227,'Output Utente'!$Q$2:$Q$492,0)),"")</f>
        <v>6</v>
      </c>
      <c r="G230" s="42">
        <f>IFERROR(INDEX('Output Utente'!$O$2:$O$492,MATCH(227,'Output Utente'!$Q$2:$Q$492,0)),"")</f>
        <v>14</v>
      </c>
      <c r="H230" s="5" t="str">
        <f>IFERROR(INDEX('Output Utente'!$P$2:$P$492,MATCH(227,'Output Utente'!$Q$2:$Q$492,0)),"")</f>
        <v>Nella Media</v>
      </c>
      <c r="I230" s="42">
        <f>IFERROR(INDEX('Output Utente'!$F$2:$F$492,MATCH(227,'Output Utente'!$Q$2:$Q$492,0)),"")</f>
        <v>3</v>
      </c>
      <c r="J230" s="42">
        <f>IFERROR(INDEX('Output Utente'!$G$2:$G$492,MATCH(227,'Output Utente'!$Q$2:$Q$492,0)),"")</f>
        <v>2</v>
      </c>
      <c r="K230" s="42">
        <f>IFERROR(INDEX('Output Utente'!$H$2:$H$492,MATCH(227,'Output Utente'!$Q$2:$Q$492,0)),"")</f>
        <v>3</v>
      </c>
      <c r="L230" s="5" t="str">
        <f>IFERROR(INDEX('Output Utente'!$E$2:$E$492,MATCH(227,'Output Utente'!$Q$2:$Q$492,0)),"")</f>
        <v>NO</v>
      </c>
      <c r="M230" s="5" t="str">
        <f>IFERROR(INDEX('Output Utente'!$U$2:$U$492,MATCH(227,'Output Utente'!$Q$2:$Q$492,0)),"")</f>
        <v>OK</v>
      </c>
      <c r="N230" s="5" t="str">
        <f>IFERROR(INDEX('Output Utente'!$AE$2:$AE$492,MATCH(227,'Output Utente'!$Q$2:$Q$492,0)),"")</f>
        <v>🟢 Riserve abbondanti</v>
      </c>
    </row>
    <row r="231" spans="1:14" ht="15" customHeight="1" x14ac:dyDescent="0.25">
      <c r="A231" s="41">
        <v>228</v>
      </c>
      <c r="B231" s="5">
        <f>IFERROR(INDEX('Output Utente'!$A$2:$A$492,MATCH(228,'Output Utente'!$Q$2:$Q$492,0)),"")</f>
        <v>5298</v>
      </c>
      <c r="C231" s="5" t="str">
        <f>IFERROR(INDEX('Output Utente'!$B$2:$B$492,MATCH(228,'Output Utente'!$Q$2:$Q$492,0)),"")</f>
        <v>C</v>
      </c>
      <c r="D231" s="5" t="str">
        <f>IFERROR(INDEX('Output Utente'!$C$2:$C$492,MATCH(228,'Output Utente'!$Q$2:$Q$492,0)),"")</f>
        <v>Pobega</v>
      </c>
      <c r="E231" s="5" t="str">
        <f>IFERROR(INDEX('Input Giocatori 2026_27'!$D$3:$D$493,MATCH($B231,'Input Giocatori 2026_27'!$A$3:$A$493,0)),"")</f>
        <v>Bologna</v>
      </c>
      <c r="F231" s="42">
        <f>IFERROR(INDEX('Output Utente'!$N$2:$N$492,MATCH(228,'Output Utente'!$Q$2:$Q$492,0)),"")</f>
        <v>6</v>
      </c>
      <c r="G231" s="42">
        <f>IFERROR(INDEX('Output Utente'!$O$2:$O$492,MATCH(228,'Output Utente'!$Q$2:$Q$492,0)),"")</f>
        <v>14</v>
      </c>
      <c r="H231" s="5" t="str">
        <f>IFERROR(INDEX('Output Utente'!$P$2:$P$492,MATCH(228,'Output Utente'!$Q$2:$Q$492,0)),"")</f>
        <v>Nella Media</v>
      </c>
      <c r="I231" s="42">
        <f>IFERROR(INDEX('Output Utente'!$F$2:$F$492,MATCH(228,'Output Utente'!$Q$2:$Q$492,0)),"")</f>
        <v>2</v>
      </c>
      <c r="J231" s="42">
        <f>IFERROR(INDEX('Output Utente'!$G$2:$G$492,MATCH(228,'Output Utente'!$Q$2:$Q$492,0)),"")</f>
        <v>1</v>
      </c>
      <c r="K231" s="42">
        <f>IFERROR(INDEX('Output Utente'!$H$2:$H$492,MATCH(228,'Output Utente'!$Q$2:$Q$492,0)),"")</f>
        <v>2</v>
      </c>
      <c r="L231" s="5" t="str">
        <f>IFERROR(INDEX('Output Utente'!$E$2:$E$492,MATCH(228,'Output Utente'!$Q$2:$Q$492,0)),"")</f>
        <v>NO</v>
      </c>
      <c r="M231" s="5" t="str">
        <f>IFERROR(INDEX('Output Utente'!$U$2:$U$492,MATCH(228,'Output Utente'!$Q$2:$Q$492,0)),"")</f>
        <v>OK</v>
      </c>
      <c r="N231" s="5" t="str">
        <f>IFERROR(INDEX('Output Utente'!$AE$2:$AE$492,MATCH(228,'Output Utente'!$Q$2:$Q$492,0)),"")</f>
        <v>🟢 Riserve abbondanti</v>
      </c>
    </row>
    <row r="232" spans="1:14" ht="15" customHeight="1" x14ac:dyDescent="0.25">
      <c r="A232" s="41">
        <v>229</v>
      </c>
      <c r="B232" s="5">
        <f>IFERROR(INDEX('Output Utente'!$A$2:$A$492,MATCH(229,'Output Utente'!$Q$2:$Q$492,0)),"")</f>
        <v>4260</v>
      </c>
      <c r="C232" s="5" t="str">
        <f>IFERROR(INDEX('Output Utente'!$B$2:$B$492,MATCH(229,'Output Utente'!$Q$2:$Q$492,0)),"")</f>
        <v>C</v>
      </c>
      <c r="D232" s="5" t="str">
        <f>IFERROR(INDEX('Output Utente'!$C$2:$C$492,MATCH(229,'Output Utente'!$Q$2:$Q$492,0)),"")</f>
        <v>Winks</v>
      </c>
      <c r="E232" s="5" t="str">
        <f>IFERROR(INDEX('Input Giocatori 2026_27'!$D$3:$D$493,MATCH($B232,'Input Giocatori 2026_27'!$A$3:$A$493,0)),"")</f>
        <v>Cagliari</v>
      </c>
      <c r="F232" s="42">
        <f>IFERROR(INDEX('Output Utente'!$N$2:$N$492,MATCH(229,'Output Utente'!$Q$2:$Q$492,0)),"")</f>
        <v>6</v>
      </c>
      <c r="G232" s="42">
        <f>IFERROR(INDEX('Output Utente'!$O$2:$O$492,MATCH(229,'Output Utente'!$Q$2:$Q$492,0)),"")</f>
        <v>14</v>
      </c>
      <c r="H232" s="5" t="str">
        <f>IFERROR(INDEX('Output Utente'!$P$2:$P$492,MATCH(229,'Output Utente'!$Q$2:$Q$492,0)),"")</f>
        <v>Nella Media</v>
      </c>
      <c r="I232" s="42">
        <f>IFERROR(INDEX('Output Utente'!$F$2:$F$492,MATCH(229,'Output Utente'!$Q$2:$Q$492,0)),"")</f>
        <v>2</v>
      </c>
      <c r="J232" s="42">
        <f>IFERROR(INDEX('Output Utente'!$G$2:$G$492,MATCH(229,'Output Utente'!$Q$2:$Q$492,0)),"")</f>
        <v>1</v>
      </c>
      <c r="K232" s="42">
        <f>IFERROR(INDEX('Output Utente'!$H$2:$H$492,MATCH(229,'Output Utente'!$Q$2:$Q$492,0)),"")</f>
        <v>2</v>
      </c>
      <c r="L232" s="5" t="str">
        <f>IFERROR(INDEX('Output Utente'!$E$2:$E$492,MATCH(229,'Output Utente'!$Q$2:$Q$492,0)),"")</f>
        <v>NO</v>
      </c>
      <c r="M232" s="5" t="str">
        <f>IFERROR(INDEX('Output Utente'!$U$2:$U$492,MATCH(229,'Output Utente'!$Q$2:$Q$492,0)),"")</f>
        <v>OK</v>
      </c>
      <c r="N232" s="5" t="str">
        <f>IFERROR(INDEX('Output Utente'!$AE$2:$AE$492,MATCH(229,'Output Utente'!$Q$2:$Q$492,0)),"")</f>
        <v>🟢 Riserve abbondanti</v>
      </c>
    </row>
    <row r="233" spans="1:14" ht="15" customHeight="1" x14ac:dyDescent="0.25">
      <c r="A233" s="41">
        <v>230</v>
      </c>
      <c r="B233" s="5">
        <f>IFERROR(INDEX('Output Utente'!$A$2:$A$492,MATCH(230,'Output Utente'!$Q$2:$Q$492,0)),"")</f>
        <v>5504</v>
      </c>
      <c r="C233" s="5" t="str">
        <f>IFERROR(INDEX('Output Utente'!$B$2:$B$492,MATCH(230,'Output Utente'!$Q$2:$Q$492,0)),"")</f>
        <v>C</v>
      </c>
      <c r="D233" s="5" t="str">
        <f>IFERROR(INDEX('Output Utente'!$C$2:$C$492,MATCH(230,'Output Utente'!$Q$2:$Q$492,0)),"")</f>
        <v>Coulibaly L.</v>
      </c>
      <c r="E233" s="5" t="str">
        <f>IFERROR(INDEX('Input Giocatori 2026_27'!$D$3:$D$493,MATCH($B233,'Input Giocatori 2026_27'!$A$3:$A$493,0)),"")</f>
        <v>Lecce</v>
      </c>
      <c r="F233" s="42">
        <f>IFERROR(INDEX('Output Utente'!$N$2:$N$492,MATCH(230,'Output Utente'!$Q$2:$Q$492,0)),"")</f>
        <v>6</v>
      </c>
      <c r="G233" s="42">
        <f>IFERROR(INDEX('Output Utente'!$O$2:$O$492,MATCH(230,'Output Utente'!$Q$2:$Q$492,0)),"")</f>
        <v>14</v>
      </c>
      <c r="H233" s="5" t="str">
        <f>IFERROR(INDEX('Output Utente'!$P$2:$P$492,MATCH(230,'Output Utente'!$Q$2:$Q$492,0)),"")</f>
        <v>Nella Media</v>
      </c>
      <c r="I233" s="42">
        <f>IFERROR(INDEX('Output Utente'!$F$2:$F$492,MATCH(230,'Output Utente'!$Q$2:$Q$492,0)),"")</f>
        <v>2</v>
      </c>
      <c r="J233" s="42">
        <f>IFERROR(INDEX('Output Utente'!$G$2:$G$492,MATCH(230,'Output Utente'!$Q$2:$Q$492,0)),"")</f>
        <v>1</v>
      </c>
      <c r="K233" s="42">
        <f>IFERROR(INDEX('Output Utente'!$H$2:$H$492,MATCH(230,'Output Utente'!$Q$2:$Q$492,0)),"")</f>
        <v>2</v>
      </c>
      <c r="L233" s="5" t="str">
        <f>IFERROR(INDEX('Output Utente'!$E$2:$E$492,MATCH(230,'Output Utente'!$Q$2:$Q$492,0)),"")</f>
        <v>NO</v>
      </c>
      <c r="M233" s="5" t="str">
        <f>IFERROR(INDEX('Output Utente'!$U$2:$U$492,MATCH(230,'Output Utente'!$Q$2:$Q$492,0)),"")</f>
        <v>OK</v>
      </c>
      <c r="N233" s="5" t="str">
        <f>IFERROR(INDEX('Output Utente'!$AE$2:$AE$492,MATCH(230,'Output Utente'!$Q$2:$Q$492,0)),"")</f>
        <v>🟢 Riserve abbondanti</v>
      </c>
    </row>
    <row r="234" spans="1:14" ht="15" customHeight="1" x14ac:dyDescent="0.25">
      <c r="A234" s="41">
        <v>231</v>
      </c>
      <c r="B234" s="5">
        <f>IFERROR(INDEX('Output Utente'!$A$2:$A$492,MATCH(231,'Output Utente'!$Q$2:$Q$492,0)),"")</f>
        <v>7412</v>
      </c>
      <c r="C234" s="5" t="str">
        <f>IFERROR(INDEX('Output Utente'!$B$2:$B$492,MATCH(231,'Output Utente'!$Q$2:$Q$492,0)),"")</f>
        <v>C</v>
      </c>
      <c r="D234" s="5" t="str">
        <f>IFERROR(INDEX('Output Utente'!$C$2:$C$492,MATCH(231,'Output Utente'!$Q$2:$Q$492,0)),"")</f>
        <v>Milla</v>
      </c>
      <c r="E234" s="5" t="str">
        <f>IFERROR(INDEX('Input Giocatori 2026_27'!$D$3:$D$493,MATCH($B234,'Input Giocatori 2026_27'!$A$3:$A$493,0)),"")</f>
        <v>Como</v>
      </c>
      <c r="F234" s="42">
        <f>IFERROR(INDEX('Output Utente'!$N$2:$N$492,MATCH(231,'Output Utente'!$Q$2:$Q$492,0)),"")</f>
        <v>5</v>
      </c>
      <c r="G234" s="42">
        <f>IFERROR(INDEX('Output Utente'!$O$2:$O$492,MATCH(231,'Output Utente'!$Q$2:$Q$492,0)),"")</f>
        <v>14</v>
      </c>
      <c r="H234" s="5" t="str">
        <f>IFERROR(INDEX('Output Utente'!$P$2:$P$492,MATCH(231,'Output Utente'!$Q$2:$Q$492,0)),"")</f>
        <v>Nella Media</v>
      </c>
      <c r="I234" s="42">
        <f>IFERROR(INDEX('Output Utente'!$F$2:$F$492,MATCH(231,'Output Utente'!$Q$2:$Q$492,0)),"")</f>
        <v>2</v>
      </c>
      <c r="J234" s="42">
        <f>IFERROR(INDEX('Output Utente'!$G$2:$G$492,MATCH(231,'Output Utente'!$Q$2:$Q$492,0)),"")</f>
        <v>1</v>
      </c>
      <c r="K234" s="42">
        <f>IFERROR(INDEX('Output Utente'!$H$2:$H$492,MATCH(231,'Output Utente'!$Q$2:$Q$492,0)),"")</f>
        <v>2</v>
      </c>
      <c r="L234" s="5" t="str">
        <f>IFERROR(INDEX('Output Utente'!$E$2:$E$492,MATCH(231,'Output Utente'!$Q$2:$Q$492,0)),"")</f>
        <v>NO</v>
      </c>
      <c r="M234" s="5" t="str">
        <f>IFERROR(INDEX('Output Utente'!$U$2:$U$492,MATCH(231,'Output Utente'!$Q$2:$Q$492,0)),"")</f>
        <v>OK</v>
      </c>
      <c r="N234" s="5" t="str">
        <f>IFERROR(INDEX('Output Utente'!$AE$2:$AE$492,MATCH(231,'Output Utente'!$Q$2:$Q$492,0)),"")</f>
        <v>🟢 Riserve abbondanti</v>
      </c>
    </row>
    <row r="235" spans="1:14" ht="15" customHeight="1" x14ac:dyDescent="0.25">
      <c r="A235" s="41">
        <v>232</v>
      </c>
      <c r="B235" s="5">
        <f>IFERROR(INDEX('Output Utente'!$A$2:$A$492,MATCH(232,'Output Utente'!$Q$2:$Q$492,0)),"")</f>
        <v>7409</v>
      </c>
      <c r="C235" s="5" t="str">
        <f>IFERROR(INDEX('Output Utente'!$B$2:$B$492,MATCH(232,'Output Utente'!$Q$2:$Q$492,0)),"")</f>
        <v>C</v>
      </c>
      <c r="D235" s="5" t="str">
        <f>IFERROR(INDEX('Output Utente'!$C$2:$C$492,MATCH(232,'Output Utente'!$Q$2:$Q$492,0)),"")</f>
        <v>Meichtry</v>
      </c>
      <c r="E235" s="5" t="str">
        <f>IFERROR(INDEX('Input Giocatori 2026_27'!$D$3:$D$493,MATCH($B235,'Input Giocatori 2026_27'!$A$3:$A$493,0)),"")</f>
        <v>Genoa</v>
      </c>
      <c r="F235" s="42">
        <f>IFERROR(INDEX('Output Utente'!$N$2:$N$492,MATCH(232,'Output Utente'!$Q$2:$Q$492,0)),"")</f>
        <v>5</v>
      </c>
      <c r="G235" s="42">
        <f>IFERROR(INDEX('Output Utente'!$O$2:$O$492,MATCH(232,'Output Utente'!$Q$2:$Q$492,0)),"")</f>
        <v>14</v>
      </c>
      <c r="H235" s="5" t="str">
        <f>IFERROR(INDEX('Output Utente'!$P$2:$P$492,MATCH(232,'Output Utente'!$Q$2:$Q$492,0)),"")</f>
        <v>Nella Media</v>
      </c>
      <c r="I235" s="42">
        <f>IFERROR(INDEX('Output Utente'!$F$2:$F$492,MATCH(232,'Output Utente'!$Q$2:$Q$492,0)),"")</f>
        <v>2</v>
      </c>
      <c r="J235" s="42">
        <f>IFERROR(INDEX('Output Utente'!$G$2:$G$492,MATCH(232,'Output Utente'!$Q$2:$Q$492,0)),"")</f>
        <v>1</v>
      </c>
      <c r="K235" s="42">
        <f>IFERROR(INDEX('Output Utente'!$H$2:$H$492,MATCH(232,'Output Utente'!$Q$2:$Q$492,0)),"")</f>
        <v>2</v>
      </c>
      <c r="L235" s="5" t="str">
        <f>IFERROR(INDEX('Output Utente'!$E$2:$E$492,MATCH(232,'Output Utente'!$Q$2:$Q$492,0)),"")</f>
        <v>NO</v>
      </c>
      <c r="M235" s="5" t="str">
        <f>IFERROR(INDEX('Output Utente'!$U$2:$U$492,MATCH(232,'Output Utente'!$Q$2:$Q$492,0)),"")</f>
        <v>OK</v>
      </c>
      <c r="N235" s="5" t="str">
        <f>IFERROR(INDEX('Output Utente'!$AE$2:$AE$492,MATCH(232,'Output Utente'!$Q$2:$Q$492,0)),"")</f>
        <v>🟢 Riserve abbondanti</v>
      </c>
    </row>
    <row r="236" spans="1:14" ht="15" customHeight="1" x14ac:dyDescent="0.25">
      <c r="A236" s="41">
        <v>233</v>
      </c>
      <c r="B236" s="5">
        <f>IFERROR(INDEX('Output Utente'!$A$2:$A$492,MATCH(233,'Output Utente'!$Q$2:$Q$492,0)),"")</f>
        <v>5685</v>
      </c>
      <c r="C236" s="5" t="str">
        <f>IFERROR(INDEX('Output Utente'!$B$2:$B$492,MATCH(233,'Output Utente'!$Q$2:$Q$492,0)),"")</f>
        <v>C</v>
      </c>
      <c r="D236" s="5" t="str">
        <f>IFERROR(INDEX('Output Utente'!$C$2:$C$492,MATCH(233,'Output Utente'!$Q$2:$Q$492,0)),"")</f>
        <v>Koopmeiners</v>
      </c>
      <c r="E236" s="5" t="str">
        <f>IFERROR(INDEX('Input Giocatori 2026_27'!$D$3:$D$493,MATCH($B236,'Input Giocatori 2026_27'!$A$3:$A$493,0)),"")</f>
        <v>Juventus</v>
      </c>
      <c r="F236" s="42">
        <f>IFERROR(INDEX('Output Utente'!$N$2:$N$492,MATCH(233,'Output Utente'!$Q$2:$Q$492,0)),"")</f>
        <v>5</v>
      </c>
      <c r="G236" s="42">
        <f>IFERROR(INDEX('Output Utente'!$O$2:$O$492,MATCH(233,'Output Utente'!$Q$2:$Q$492,0)),"")</f>
        <v>14</v>
      </c>
      <c r="H236" s="5" t="str">
        <f>IFERROR(INDEX('Output Utente'!$P$2:$P$492,MATCH(233,'Output Utente'!$Q$2:$Q$492,0)),"")</f>
        <v>Nella Media</v>
      </c>
      <c r="I236" s="42">
        <f>IFERROR(INDEX('Output Utente'!$F$2:$F$492,MATCH(233,'Output Utente'!$Q$2:$Q$492,0)),"")</f>
        <v>2</v>
      </c>
      <c r="J236" s="42">
        <f>IFERROR(INDEX('Output Utente'!$G$2:$G$492,MATCH(233,'Output Utente'!$Q$2:$Q$492,0)),"")</f>
        <v>1</v>
      </c>
      <c r="K236" s="42">
        <f>IFERROR(INDEX('Output Utente'!$H$2:$H$492,MATCH(233,'Output Utente'!$Q$2:$Q$492,0)),"")</f>
        <v>2</v>
      </c>
      <c r="L236" s="5" t="str">
        <f>IFERROR(INDEX('Output Utente'!$E$2:$E$492,MATCH(233,'Output Utente'!$Q$2:$Q$492,0)),"")</f>
        <v>NO</v>
      </c>
      <c r="M236" s="5" t="str">
        <f>IFERROR(INDEX('Output Utente'!$U$2:$U$492,MATCH(233,'Output Utente'!$Q$2:$Q$492,0)),"")</f>
        <v>OK</v>
      </c>
      <c r="N236" s="5" t="str">
        <f>IFERROR(INDEX('Output Utente'!$AE$2:$AE$492,MATCH(233,'Output Utente'!$Q$2:$Q$492,0)),"")</f>
        <v>🟢 Riserve abbondanti</v>
      </c>
    </row>
    <row r="237" spans="1:14" ht="15" customHeight="1" x14ac:dyDescent="0.25">
      <c r="A237" s="41">
        <v>234</v>
      </c>
      <c r="B237" s="5">
        <f>IFERROR(INDEX('Output Utente'!$A$2:$A$492,MATCH(234,'Output Utente'!$Q$2:$Q$492,0)),"")</f>
        <v>7318</v>
      </c>
      <c r="C237" s="5" t="str">
        <f>IFERROR(INDEX('Output Utente'!$B$2:$B$492,MATCH(234,'Output Utente'!$Q$2:$Q$492,0)),"")</f>
        <v>C</v>
      </c>
      <c r="D237" s="5" t="str">
        <f>IFERROR(INDEX('Output Utente'!$C$2:$C$492,MATCH(234,'Output Utente'!$Q$2:$Q$492,0)),"")</f>
        <v>Gandelman</v>
      </c>
      <c r="E237" s="5" t="str">
        <f>IFERROR(INDEX('Input Giocatori 2026_27'!$D$3:$D$493,MATCH($B237,'Input Giocatori 2026_27'!$A$3:$A$493,0)),"")</f>
        <v>Lecce</v>
      </c>
      <c r="F237" s="42">
        <f>IFERROR(INDEX('Output Utente'!$N$2:$N$492,MATCH(234,'Output Utente'!$Q$2:$Q$492,0)),"")</f>
        <v>5</v>
      </c>
      <c r="G237" s="42">
        <f>IFERROR(INDEX('Output Utente'!$O$2:$O$492,MATCH(234,'Output Utente'!$Q$2:$Q$492,0)),"")</f>
        <v>14</v>
      </c>
      <c r="H237" s="5" t="str">
        <f>IFERROR(INDEX('Output Utente'!$P$2:$P$492,MATCH(234,'Output Utente'!$Q$2:$Q$492,0)),"")</f>
        <v>Nella Media</v>
      </c>
      <c r="I237" s="42">
        <f>IFERROR(INDEX('Output Utente'!$F$2:$F$492,MATCH(234,'Output Utente'!$Q$2:$Q$492,0)),"")</f>
        <v>2</v>
      </c>
      <c r="J237" s="42">
        <f>IFERROR(INDEX('Output Utente'!$G$2:$G$492,MATCH(234,'Output Utente'!$Q$2:$Q$492,0)),"")</f>
        <v>1</v>
      </c>
      <c r="K237" s="42">
        <f>IFERROR(INDEX('Output Utente'!$H$2:$H$492,MATCH(234,'Output Utente'!$Q$2:$Q$492,0)),"")</f>
        <v>2</v>
      </c>
      <c r="L237" s="5" t="str">
        <f>IFERROR(INDEX('Output Utente'!$E$2:$E$492,MATCH(234,'Output Utente'!$Q$2:$Q$492,0)),"")</f>
        <v>NO</v>
      </c>
      <c r="M237" s="5" t="str">
        <f>IFERROR(INDEX('Output Utente'!$U$2:$U$492,MATCH(234,'Output Utente'!$Q$2:$Q$492,0)),"")</f>
        <v>OK</v>
      </c>
      <c r="N237" s="5" t="str">
        <f>IFERROR(INDEX('Output Utente'!$AE$2:$AE$492,MATCH(234,'Output Utente'!$Q$2:$Q$492,0)),"")</f>
        <v>🟢 Riserve abbondanti</v>
      </c>
    </row>
    <row r="238" spans="1:14" ht="15" customHeight="1" x14ac:dyDescent="0.25">
      <c r="A238" s="41">
        <v>235</v>
      </c>
      <c r="B238" s="5">
        <f>IFERROR(INDEX('Output Utente'!$A$2:$A$492,MATCH(235,'Output Utente'!$Q$2:$Q$492,0)),"")</f>
        <v>6677</v>
      </c>
      <c r="C238" s="5" t="str">
        <f>IFERROR(INDEX('Output Utente'!$B$2:$B$492,MATCH(235,'Output Utente'!$Q$2:$Q$492,0)),"")</f>
        <v>C</v>
      </c>
      <c r="D238" s="5" t="str">
        <f>IFERROR(INDEX('Output Utente'!$C$2:$C$492,MATCH(235,'Output Utente'!$Q$2:$Q$492,0)),"")</f>
        <v>Adzic</v>
      </c>
      <c r="E238" s="5" t="str">
        <f>IFERROR(INDEX('Input Giocatori 2026_27'!$D$3:$D$493,MATCH($B238,'Input Giocatori 2026_27'!$A$3:$A$493,0)),"")</f>
        <v>Sassuolo</v>
      </c>
      <c r="F238" s="42">
        <f>IFERROR(INDEX('Output Utente'!$N$2:$N$492,MATCH(235,'Output Utente'!$Q$2:$Q$492,0)),"")</f>
        <v>5</v>
      </c>
      <c r="G238" s="42">
        <f>IFERROR(INDEX('Output Utente'!$O$2:$O$492,MATCH(235,'Output Utente'!$Q$2:$Q$492,0)),"")</f>
        <v>14</v>
      </c>
      <c r="H238" s="5" t="str">
        <f>IFERROR(INDEX('Output Utente'!$P$2:$P$492,MATCH(235,'Output Utente'!$Q$2:$Q$492,0)),"")</f>
        <v>Nella Media</v>
      </c>
      <c r="I238" s="42">
        <f>IFERROR(INDEX('Output Utente'!$F$2:$F$492,MATCH(235,'Output Utente'!$Q$2:$Q$492,0)),"")</f>
        <v>2</v>
      </c>
      <c r="J238" s="42">
        <f>IFERROR(INDEX('Output Utente'!$G$2:$G$492,MATCH(235,'Output Utente'!$Q$2:$Q$492,0)),"")</f>
        <v>1</v>
      </c>
      <c r="K238" s="42">
        <f>IFERROR(INDEX('Output Utente'!$H$2:$H$492,MATCH(235,'Output Utente'!$Q$2:$Q$492,0)),"")</f>
        <v>2</v>
      </c>
      <c r="L238" s="5" t="str">
        <f>IFERROR(INDEX('Output Utente'!$E$2:$E$492,MATCH(235,'Output Utente'!$Q$2:$Q$492,0)),"")</f>
        <v>NO</v>
      </c>
      <c r="M238" s="5" t="str">
        <f>IFERROR(INDEX('Output Utente'!$U$2:$U$492,MATCH(235,'Output Utente'!$Q$2:$Q$492,0)),"")</f>
        <v>OK</v>
      </c>
      <c r="N238" s="5" t="str">
        <f>IFERROR(INDEX('Output Utente'!$AE$2:$AE$492,MATCH(235,'Output Utente'!$Q$2:$Q$492,0)),"")</f>
        <v>🟢 Riserve abbondanti</v>
      </c>
    </row>
    <row r="239" spans="1:14" ht="15" customHeight="1" x14ac:dyDescent="0.25">
      <c r="A239" s="41">
        <v>236</v>
      </c>
      <c r="B239" s="5">
        <f>IFERROR(INDEX('Output Utente'!$A$2:$A$492,MATCH(236,'Output Utente'!$Q$2:$Q$492,0)),"")</f>
        <v>5507</v>
      </c>
      <c r="C239" s="5" t="str">
        <f>IFERROR(INDEX('Output Utente'!$B$2:$B$492,MATCH(236,'Output Utente'!$Q$2:$Q$492,0)),"")</f>
        <v>C</v>
      </c>
      <c r="D239" s="5" t="str">
        <f>IFERROR(INDEX('Output Utente'!$C$2:$C$492,MATCH(236,'Output Utente'!$Q$2:$Q$492,0)),"")</f>
        <v>Busio</v>
      </c>
      <c r="E239" s="5" t="str">
        <f>IFERROR(INDEX('Input Giocatori 2026_27'!$D$3:$D$493,MATCH($B239,'Input Giocatori 2026_27'!$A$3:$A$493,0)),"")</f>
        <v>Venezia</v>
      </c>
      <c r="F239" s="42">
        <f>IFERROR(INDEX('Output Utente'!$N$2:$N$492,MATCH(236,'Output Utente'!$Q$2:$Q$492,0)),"")</f>
        <v>5</v>
      </c>
      <c r="G239" s="42">
        <f>IFERROR(INDEX('Output Utente'!$O$2:$O$492,MATCH(236,'Output Utente'!$Q$2:$Q$492,0)),"")</f>
        <v>14</v>
      </c>
      <c r="H239" s="5" t="str">
        <f>IFERROR(INDEX('Output Utente'!$P$2:$P$492,MATCH(236,'Output Utente'!$Q$2:$Q$492,0)),"")</f>
        <v>Nella Media</v>
      </c>
      <c r="I239" s="42">
        <f>IFERROR(INDEX('Output Utente'!$F$2:$F$492,MATCH(236,'Output Utente'!$Q$2:$Q$492,0)),"")</f>
        <v>2</v>
      </c>
      <c r="J239" s="42">
        <f>IFERROR(INDEX('Output Utente'!$G$2:$G$492,MATCH(236,'Output Utente'!$Q$2:$Q$492,0)),"")</f>
        <v>1</v>
      </c>
      <c r="K239" s="42">
        <f>IFERROR(INDEX('Output Utente'!$H$2:$H$492,MATCH(236,'Output Utente'!$Q$2:$Q$492,0)),"")</f>
        <v>2</v>
      </c>
      <c r="L239" s="5" t="str">
        <f>IFERROR(INDEX('Output Utente'!$E$2:$E$492,MATCH(236,'Output Utente'!$Q$2:$Q$492,0)),"")</f>
        <v>NO</v>
      </c>
      <c r="M239" s="5" t="str">
        <f>IFERROR(INDEX('Output Utente'!$U$2:$U$492,MATCH(236,'Output Utente'!$Q$2:$Q$492,0)),"")</f>
        <v>OK</v>
      </c>
      <c r="N239" s="5" t="str">
        <f>IFERROR(INDEX('Output Utente'!$AE$2:$AE$492,MATCH(236,'Output Utente'!$Q$2:$Q$492,0)),"")</f>
        <v>🟢 Riserve abbondanti</v>
      </c>
    </row>
    <row r="240" spans="1:14" ht="15" customHeight="1" x14ac:dyDescent="0.25">
      <c r="A240" s="41">
        <v>237</v>
      </c>
      <c r="B240" s="5">
        <f>IFERROR(INDEX('Output Utente'!$A$2:$A$492,MATCH(237,'Output Utente'!$Q$2:$Q$492,0)),"")</f>
        <v>5319</v>
      </c>
      <c r="C240" s="5" t="str">
        <f>IFERROR(INDEX('Output Utente'!$B$2:$B$492,MATCH(237,'Output Utente'!$Q$2:$Q$492,0)),"")</f>
        <v>C</v>
      </c>
      <c r="D240" s="5" t="str">
        <f>IFERROR(INDEX('Output Utente'!$C$2:$C$492,MATCH(237,'Output Utente'!$Q$2:$Q$492,0)),"")</f>
        <v>Sohm</v>
      </c>
      <c r="E240" s="5" t="str">
        <f>IFERROR(INDEX('Input Giocatori 2026_27'!$D$3:$D$493,MATCH($B240,'Input Giocatori 2026_27'!$A$3:$A$493,0)),"")</f>
        <v>Venezia</v>
      </c>
      <c r="F240" s="42">
        <f>IFERROR(INDEX('Output Utente'!$N$2:$N$492,MATCH(237,'Output Utente'!$Q$2:$Q$492,0)),"")</f>
        <v>5</v>
      </c>
      <c r="G240" s="42">
        <f>IFERROR(INDEX('Output Utente'!$O$2:$O$492,MATCH(237,'Output Utente'!$Q$2:$Q$492,0)),"")</f>
        <v>14</v>
      </c>
      <c r="H240" s="5" t="str">
        <f>IFERROR(INDEX('Output Utente'!$P$2:$P$492,MATCH(237,'Output Utente'!$Q$2:$Q$492,0)),"")</f>
        <v>Nella Media</v>
      </c>
      <c r="I240" s="42">
        <f>IFERROR(INDEX('Output Utente'!$F$2:$F$492,MATCH(237,'Output Utente'!$Q$2:$Q$492,0)),"")</f>
        <v>2</v>
      </c>
      <c r="J240" s="42">
        <f>IFERROR(INDEX('Output Utente'!$G$2:$G$492,MATCH(237,'Output Utente'!$Q$2:$Q$492,0)),"")</f>
        <v>1</v>
      </c>
      <c r="K240" s="42">
        <f>IFERROR(INDEX('Output Utente'!$H$2:$H$492,MATCH(237,'Output Utente'!$Q$2:$Q$492,0)),"")</f>
        <v>2</v>
      </c>
      <c r="L240" s="5" t="str">
        <f>IFERROR(INDEX('Output Utente'!$E$2:$E$492,MATCH(237,'Output Utente'!$Q$2:$Q$492,0)),"")</f>
        <v>NO</v>
      </c>
      <c r="M240" s="5" t="str">
        <f>IFERROR(INDEX('Output Utente'!$U$2:$U$492,MATCH(237,'Output Utente'!$Q$2:$Q$492,0)),"")</f>
        <v>OK</v>
      </c>
      <c r="N240" s="5" t="str">
        <f>IFERROR(INDEX('Output Utente'!$AE$2:$AE$492,MATCH(237,'Output Utente'!$Q$2:$Q$492,0)),"")</f>
        <v>🟢 Riserve abbondanti</v>
      </c>
    </row>
    <row r="241" spans="1:14" ht="15" customHeight="1" x14ac:dyDescent="0.25">
      <c r="A241" s="41">
        <v>238</v>
      </c>
      <c r="B241" s="5">
        <f>IFERROR(INDEX('Output Utente'!$A$2:$A$492,MATCH(238,'Output Utente'!$Q$2:$Q$492,0)),"")</f>
        <v>6994</v>
      </c>
      <c r="C241" s="5" t="str">
        <f>IFERROR(INDEX('Output Utente'!$B$2:$B$492,MATCH(238,'Output Utente'!$Q$2:$Q$492,0)),"")</f>
        <v>C</v>
      </c>
      <c r="D241" s="5" t="str">
        <f>IFERROR(INDEX('Output Utente'!$C$2:$C$492,MATCH(238,'Output Utente'!$Q$2:$Q$492,0)),"")</f>
        <v>Perez K.</v>
      </c>
      <c r="E241" s="5" t="str">
        <f>IFERROR(INDEX('Input Giocatori 2026_27'!$D$3:$D$493,MATCH($B241,'Input Giocatori 2026_27'!$A$3:$A$493,0)),"")</f>
        <v>Venezia</v>
      </c>
      <c r="F241" s="42">
        <f>IFERROR(INDEX('Output Utente'!$N$2:$N$492,MATCH(238,'Output Utente'!$Q$2:$Q$492,0)),"")</f>
        <v>5</v>
      </c>
      <c r="G241" s="42">
        <f>IFERROR(INDEX('Output Utente'!$O$2:$O$492,MATCH(238,'Output Utente'!$Q$2:$Q$492,0)),"")</f>
        <v>14</v>
      </c>
      <c r="H241" s="5" t="str">
        <f>IFERROR(INDEX('Output Utente'!$P$2:$P$492,MATCH(238,'Output Utente'!$Q$2:$Q$492,0)),"")</f>
        <v>Nella Media</v>
      </c>
      <c r="I241" s="42">
        <f>IFERROR(INDEX('Output Utente'!$F$2:$F$492,MATCH(238,'Output Utente'!$Q$2:$Q$492,0)),"")</f>
        <v>2</v>
      </c>
      <c r="J241" s="42">
        <f>IFERROR(INDEX('Output Utente'!$G$2:$G$492,MATCH(238,'Output Utente'!$Q$2:$Q$492,0)),"")</f>
        <v>1</v>
      </c>
      <c r="K241" s="42">
        <f>IFERROR(INDEX('Output Utente'!$H$2:$H$492,MATCH(238,'Output Utente'!$Q$2:$Q$492,0)),"")</f>
        <v>2</v>
      </c>
      <c r="L241" s="5" t="str">
        <f>IFERROR(INDEX('Output Utente'!$E$2:$E$492,MATCH(238,'Output Utente'!$Q$2:$Q$492,0)),"")</f>
        <v>NO</v>
      </c>
      <c r="M241" s="5" t="str">
        <f>IFERROR(INDEX('Output Utente'!$U$2:$U$492,MATCH(238,'Output Utente'!$Q$2:$Q$492,0)),"")</f>
        <v>OK</v>
      </c>
      <c r="N241" s="5" t="str">
        <f>IFERROR(INDEX('Output Utente'!$AE$2:$AE$492,MATCH(238,'Output Utente'!$Q$2:$Q$492,0)),"")</f>
        <v>🟢 Riserve abbondanti</v>
      </c>
    </row>
    <row r="242" spans="1:14" ht="15" customHeight="1" x14ac:dyDescent="0.25">
      <c r="A242" s="41">
        <v>239</v>
      </c>
      <c r="B242" s="5">
        <f>IFERROR(INDEX('Output Utente'!$A$2:$A$492,MATCH(239,'Output Utente'!$Q$2:$Q$492,0)),"")</f>
        <v>6207</v>
      </c>
      <c r="C242" s="5" t="str">
        <f>IFERROR(INDEX('Output Utente'!$B$2:$B$492,MATCH(239,'Output Utente'!$Q$2:$Q$492,0)),"")</f>
        <v>C</v>
      </c>
      <c r="D242" s="5" t="str">
        <f>IFERROR(INDEX('Output Utente'!$C$2:$C$492,MATCH(239,'Output Utente'!$Q$2:$Q$492,0)),"")</f>
        <v>Almqvist</v>
      </c>
      <c r="E242" s="5" t="str">
        <f>IFERROR(INDEX('Input Giocatori 2026_27'!$D$3:$D$493,MATCH($B242,'Input Giocatori 2026_27'!$A$3:$A$493,0)),"")</f>
        <v>Parma</v>
      </c>
      <c r="F242" s="42">
        <f>IFERROR(INDEX('Output Utente'!$N$2:$N$492,MATCH(239,'Output Utente'!$Q$2:$Q$492,0)),"")</f>
        <v>4</v>
      </c>
      <c r="G242" s="42">
        <f>IFERROR(INDEX('Output Utente'!$O$2:$O$492,MATCH(239,'Output Utente'!$Q$2:$Q$492,0)),"")</f>
        <v>14</v>
      </c>
      <c r="H242" s="5" t="str">
        <f>IFERROR(INDEX('Output Utente'!$P$2:$P$492,MATCH(239,'Output Utente'!$Q$2:$Q$492,0)),"")</f>
        <v>Nella Media</v>
      </c>
      <c r="I242" s="42">
        <f>IFERROR(INDEX('Output Utente'!$F$2:$F$492,MATCH(239,'Output Utente'!$Q$2:$Q$492,0)),"")</f>
        <v>2</v>
      </c>
      <c r="J242" s="42">
        <f>IFERROR(INDEX('Output Utente'!$G$2:$G$492,MATCH(239,'Output Utente'!$Q$2:$Q$492,0)),"")</f>
        <v>1</v>
      </c>
      <c r="K242" s="42">
        <f>IFERROR(INDEX('Output Utente'!$H$2:$H$492,MATCH(239,'Output Utente'!$Q$2:$Q$492,0)),"")</f>
        <v>2</v>
      </c>
      <c r="L242" s="5" t="str">
        <f>IFERROR(INDEX('Output Utente'!$E$2:$E$492,MATCH(239,'Output Utente'!$Q$2:$Q$492,0)),"")</f>
        <v>NO</v>
      </c>
      <c r="M242" s="5" t="str">
        <f>IFERROR(INDEX('Output Utente'!$U$2:$U$492,MATCH(239,'Output Utente'!$Q$2:$Q$492,0)),"")</f>
        <v>OK</v>
      </c>
      <c r="N242" s="5" t="str">
        <f>IFERROR(INDEX('Output Utente'!$AE$2:$AE$492,MATCH(239,'Output Utente'!$Q$2:$Q$492,0)),"")</f>
        <v>🟢 Riserve abbondanti</v>
      </c>
    </row>
    <row r="243" spans="1:14" ht="15" customHeight="1" x14ac:dyDescent="0.25">
      <c r="A243" s="41">
        <v>240</v>
      </c>
      <c r="B243" s="5">
        <f>IFERROR(INDEX('Output Utente'!$A$2:$A$492,MATCH(240,'Output Utente'!$Q$2:$Q$492,0)),"")</f>
        <v>7008</v>
      </c>
      <c r="C243" s="5" t="str">
        <f>IFERROR(INDEX('Output Utente'!$B$2:$B$492,MATCH(240,'Output Utente'!$Q$2:$Q$492,0)),"")</f>
        <v>A</v>
      </c>
      <c r="D243" s="5" t="str">
        <f>IFERROR(INDEX('Output Utente'!$C$2:$C$492,MATCH(240,'Output Utente'!$Q$2:$Q$492,0)),"")</f>
        <v>Gimenez</v>
      </c>
      <c r="E243" s="5" t="str">
        <f>IFERROR(INDEX('Input Giocatori 2026_27'!$D$3:$D$493,MATCH($B243,'Input Giocatori 2026_27'!$A$3:$A$493,0)),"")</f>
        <v>Milan</v>
      </c>
      <c r="F243" s="42">
        <f>IFERROR(INDEX('Output Utente'!$N$2:$N$492,MATCH(240,'Output Utente'!$Q$2:$Q$492,0)),"")</f>
        <v>6</v>
      </c>
      <c r="G243" s="42">
        <f>IFERROR(INDEX('Output Utente'!$O$2:$O$492,MATCH(240,'Output Utente'!$Q$2:$Q$492,0)),"")</f>
        <v>14</v>
      </c>
      <c r="H243" s="5" t="str">
        <f>IFERROR(INDEX('Output Utente'!$P$2:$P$492,MATCH(240,'Output Utente'!$Q$2:$Q$492,0)),"")</f>
        <v>Scommessa/Riserva</v>
      </c>
      <c r="I243" s="42">
        <f>IFERROR(INDEX('Output Utente'!$F$2:$F$492,MATCH(240,'Output Utente'!$Q$2:$Q$492,0)),"")</f>
        <v>4</v>
      </c>
      <c r="J243" s="42">
        <f>IFERROR(INDEX('Output Utente'!$G$2:$G$492,MATCH(240,'Output Utente'!$Q$2:$Q$492,0)),"")</f>
        <v>3</v>
      </c>
      <c r="K243" s="42">
        <f>IFERROR(INDEX('Output Utente'!$H$2:$H$492,MATCH(240,'Output Utente'!$Q$2:$Q$492,0)),"")</f>
        <v>5</v>
      </c>
      <c r="L243" s="5" t="str">
        <f>IFERROR(INDEX('Output Utente'!$E$2:$E$492,MATCH(240,'Output Utente'!$Q$2:$Q$492,0)),"")</f>
        <v>NO</v>
      </c>
      <c r="M243" s="5" t="str">
        <f>IFERROR(INDEX('Output Utente'!$U$2:$U$492,MATCH(240,'Output Utente'!$Q$2:$Q$492,0)),"")</f>
        <v>OK</v>
      </c>
      <c r="N243" s="5" t="str">
        <f>IFERROR(INDEX('Output Utente'!$AE$2:$AE$492,MATCH(240,'Output Utente'!$Q$2:$Q$492,0)),"")</f>
        <v>🟢 Riserve abbondanti</v>
      </c>
    </row>
    <row r="244" spans="1:14" ht="15" customHeight="1" x14ac:dyDescent="0.25">
      <c r="A244" s="41">
        <v>241</v>
      </c>
      <c r="B244" s="5">
        <f>IFERROR(INDEX('Output Utente'!$A$2:$A$492,MATCH(241,'Output Utente'!$Q$2:$Q$492,0)),"")</f>
        <v>4896</v>
      </c>
      <c r="C244" s="5" t="str">
        <f>IFERROR(INDEX('Output Utente'!$B$2:$B$492,MATCH(241,'Output Utente'!$Q$2:$Q$492,0)),"")</f>
        <v>A</v>
      </c>
      <c r="D244" s="5" t="str">
        <f>IFERROR(INDEX('Output Utente'!$C$2:$C$492,MATCH(241,'Output Utente'!$Q$2:$Q$492,0)),"")</f>
        <v>Maldini</v>
      </c>
      <c r="E244" s="5" t="str">
        <f>IFERROR(INDEX('Input Giocatori 2026_27'!$D$3:$D$493,MATCH($B244,'Input Giocatori 2026_27'!$A$3:$A$493,0)),"")</f>
        <v>Atalanta</v>
      </c>
      <c r="F244" s="42">
        <f>IFERROR(INDEX('Output Utente'!$N$2:$N$492,MATCH(241,'Output Utente'!$Q$2:$Q$492,0)),"")</f>
        <v>5</v>
      </c>
      <c r="G244" s="42">
        <f>IFERROR(INDEX('Output Utente'!$O$2:$O$492,MATCH(241,'Output Utente'!$Q$2:$Q$492,0)),"")</f>
        <v>14</v>
      </c>
      <c r="H244" s="5" t="str">
        <f>IFERROR(INDEX('Output Utente'!$P$2:$P$492,MATCH(241,'Output Utente'!$Q$2:$Q$492,0)),"")</f>
        <v>Scommessa/Riserva</v>
      </c>
      <c r="I244" s="42">
        <f>IFERROR(INDEX('Output Utente'!$F$2:$F$492,MATCH(241,'Output Utente'!$Q$2:$Q$492,0)),"")</f>
        <v>4</v>
      </c>
      <c r="J244" s="42">
        <f>IFERROR(INDEX('Output Utente'!$G$2:$G$492,MATCH(241,'Output Utente'!$Q$2:$Q$492,0)),"")</f>
        <v>3</v>
      </c>
      <c r="K244" s="42">
        <f>IFERROR(INDEX('Output Utente'!$H$2:$H$492,MATCH(241,'Output Utente'!$Q$2:$Q$492,0)),"")</f>
        <v>5</v>
      </c>
      <c r="L244" s="5" t="str">
        <f>IFERROR(INDEX('Output Utente'!$E$2:$E$492,MATCH(241,'Output Utente'!$Q$2:$Q$492,0)),"")</f>
        <v>NO</v>
      </c>
      <c r="M244" s="5" t="str">
        <f>IFERROR(INDEX('Output Utente'!$U$2:$U$492,MATCH(241,'Output Utente'!$Q$2:$Q$492,0)),"")</f>
        <v>OK</v>
      </c>
      <c r="N244" s="5" t="str">
        <f>IFERROR(INDEX('Output Utente'!$AE$2:$AE$492,MATCH(241,'Output Utente'!$Q$2:$Q$492,0)),"")</f>
        <v>🟢 Riserve abbondanti</v>
      </c>
    </row>
    <row r="245" spans="1:14" ht="15" customHeight="1" x14ac:dyDescent="0.25">
      <c r="A245" s="41">
        <v>242</v>
      </c>
      <c r="B245" s="5">
        <f>IFERROR(INDEX('Output Utente'!$A$2:$A$492,MATCH(242,'Output Utente'!$Q$2:$Q$492,0)),"")</f>
        <v>4387</v>
      </c>
      <c r="C245" s="5" t="str">
        <f>IFERROR(INDEX('Output Utente'!$B$2:$B$492,MATCH(242,'Output Utente'!$Q$2:$Q$492,0)),"")</f>
        <v>A</v>
      </c>
      <c r="D245" s="5" t="str">
        <f>IFERROR(INDEX('Output Utente'!$C$2:$C$492,MATCH(242,'Output Utente'!$Q$2:$Q$492,0)),"")</f>
        <v>Adorante</v>
      </c>
      <c r="E245" s="5" t="str">
        <f>IFERROR(INDEX('Input Giocatori 2026_27'!$D$3:$D$493,MATCH($B245,'Input Giocatori 2026_27'!$A$3:$A$493,0)),"")</f>
        <v>Venezia</v>
      </c>
      <c r="F245" s="42">
        <f>IFERROR(INDEX('Output Utente'!$N$2:$N$492,MATCH(242,'Output Utente'!$Q$2:$Q$492,0)),"")</f>
        <v>5</v>
      </c>
      <c r="G245" s="42">
        <f>IFERROR(INDEX('Output Utente'!$O$2:$O$492,MATCH(242,'Output Utente'!$Q$2:$Q$492,0)),"")</f>
        <v>14</v>
      </c>
      <c r="H245" s="5" t="str">
        <f>IFERROR(INDEX('Output Utente'!$P$2:$P$492,MATCH(242,'Output Utente'!$Q$2:$Q$492,0)),"")</f>
        <v>Scommessa/Riserva</v>
      </c>
      <c r="I245" s="42">
        <f>IFERROR(INDEX('Output Utente'!$F$2:$F$492,MATCH(242,'Output Utente'!$Q$2:$Q$492,0)),"")</f>
        <v>4</v>
      </c>
      <c r="J245" s="42">
        <f>IFERROR(INDEX('Output Utente'!$G$2:$G$492,MATCH(242,'Output Utente'!$Q$2:$Q$492,0)),"")</f>
        <v>3</v>
      </c>
      <c r="K245" s="42">
        <f>IFERROR(INDEX('Output Utente'!$H$2:$H$492,MATCH(242,'Output Utente'!$Q$2:$Q$492,0)),"")</f>
        <v>5</v>
      </c>
      <c r="L245" s="5" t="str">
        <f>IFERROR(INDEX('Output Utente'!$E$2:$E$492,MATCH(242,'Output Utente'!$Q$2:$Q$492,0)),"")</f>
        <v>NO</v>
      </c>
      <c r="M245" s="5" t="str">
        <f>IFERROR(INDEX('Output Utente'!$U$2:$U$492,MATCH(242,'Output Utente'!$Q$2:$Q$492,0)),"")</f>
        <v>OK</v>
      </c>
      <c r="N245" s="5" t="str">
        <f>IFERROR(INDEX('Output Utente'!$AE$2:$AE$492,MATCH(242,'Output Utente'!$Q$2:$Q$492,0)),"")</f>
        <v>🟢 Riserve abbondanti</v>
      </c>
    </row>
    <row r="246" spans="1:14" ht="15" customHeight="1" x14ac:dyDescent="0.25">
      <c r="A246" s="41">
        <v>243</v>
      </c>
      <c r="B246" s="5">
        <f>IFERROR(INDEX('Output Utente'!$A$2:$A$492,MATCH(243,'Output Utente'!$Q$2:$Q$492,0)),"")</f>
        <v>6660</v>
      </c>
      <c r="C246" s="5" t="str">
        <f>IFERROR(INDEX('Output Utente'!$B$2:$B$492,MATCH(243,'Output Utente'!$Q$2:$Q$492,0)),"")</f>
        <v>D</v>
      </c>
      <c r="D246" s="5" t="str">
        <f>IFERROR(INDEX('Output Utente'!$C$2:$C$492,MATCH(243,'Output Utente'!$Q$2:$Q$492,0)),"")</f>
        <v>Marcandalli</v>
      </c>
      <c r="E246" s="5" t="str">
        <f>IFERROR(INDEX('Input Giocatori 2026_27'!$D$3:$D$493,MATCH($B246,'Input Giocatori 2026_27'!$A$3:$A$493,0)),"")</f>
        <v>Genoa</v>
      </c>
      <c r="F246" s="42">
        <f>IFERROR(INDEX('Output Utente'!$N$2:$N$492,MATCH(243,'Output Utente'!$Q$2:$Q$492,0)),"")</f>
        <v>6</v>
      </c>
      <c r="G246" s="42">
        <f>IFERROR(INDEX('Output Utente'!$O$2:$O$492,MATCH(243,'Output Utente'!$Q$2:$Q$492,0)),"")</f>
        <v>13</v>
      </c>
      <c r="H246" s="5" t="str">
        <f>IFERROR(INDEX('Output Utente'!$P$2:$P$492,MATCH(243,'Output Utente'!$Q$2:$Q$492,0)),"")</f>
        <v>Nella Media</v>
      </c>
      <c r="I246" s="42">
        <f>IFERROR(INDEX('Output Utente'!$F$2:$F$492,MATCH(243,'Output Utente'!$Q$2:$Q$492,0)),"")</f>
        <v>3</v>
      </c>
      <c r="J246" s="42">
        <f>IFERROR(INDEX('Output Utente'!$G$2:$G$492,MATCH(243,'Output Utente'!$Q$2:$Q$492,0)),"")</f>
        <v>2</v>
      </c>
      <c r="K246" s="42">
        <f>IFERROR(INDEX('Output Utente'!$H$2:$H$492,MATCH(243,'Output Utente'!$Q$2:$Q$492,0)),"")</f>
        <v>3</v>
      </c>
      <c r="L246" s="5" t="str">
        <f>IFERROR(INDEX('Output Utente'!$E$2:$E$492,MATCH(243,'Output Utente'!$Q$2:$Q$492,0)),"")</f>
        <v>NO</v>
      </c>
      <c r="M246" s="5" t="str">
        <f>IFERROR(INDEX('Output Utente'!$U$2:$U$492,MATCH(243,'Output Utente'!$Q$2:$Q$492,0)),"")</f>
        <v>OK</v>
      </c>
      <c r="N246" s="5" t="str">
        <f>IFERROR(INDEX('Output Utente'!$AE$2:$AE$492,MATCH(243,'Output Utente'!$Q$2:$Q$492,0)),"")</f>
        <v>🟢 Riserve abbondanti</v>
      </c>
    </row>
    <row r="247" spans="1:14" ht="15" customHeight="1" x14ac:dyDescent="0.25">
      <c r="A247" s="41">
        <v>244</v>
      </c>
      <c r="B247" s="5">
        <f>IFERROR(INDEX('Output Utente'!$A$2:$A$492,MATCH(244,'Output Utente'!$Q$2:$Q$492,0)),"")</f>
        <v>4502</v>
      </c>
      <c r="C247" s="5" t="str">
        <f>IFERROR(INDEX('Output Utente'!$B$2:$B$492,MATCH(244,'Output Utente'!$Q$2:$Q$492,0)),"")</f>
        <v>D</v>
      </c>
      <c r="D247" s="5" t="str">
        <f>IFERROR(INDEX('Output Utente'!$C$2:$C$492,MATCH(244,'Output Utente'!$Q$2:$Q$492,0)),"")</f>
        <v>Gallo</v>
      </c>
      <c r="E247" s="5" t="str">
        <f>IFERROR(INDEX('Input Giocatori 2026_27'!$D$3:$D$493,MATCH($B247,'Input Giocatori 2026_27'!$A$3:$A$493,0)),"")</f>
        <v>Lecce</v>
      </c>
      <c r="F247" s="42">
        <f>IFERROR(INDEX('Output Utente'!$N$2:$N$492,MATCH(244,'Output Utente'!$Q$2:$Q$492,0)),"")</f>
        <v>6</v>
      </c>
      <c r="G247" s="42">
        <f>IFERROR(INDEX('Output Utente'!$O$2:$O$492,MATCH(244,'Output Utente'!$Q$2:$Q$492,0)),"")</f>
        <v>13</v>
      </c>
      <c r="H247" s="5" t="str">
        <f>IFERROR(INDEX('Output Utente'!$P$2:$P$492,MATCH(244,'Output Utente'!$Q$2:$Q$492,0)),"")</f>
        <v>Nella Media</v>
      </c>
      <c r="I247" s="42">
        <f>IFERROR(INDEX('Output Utente'!$F$2:$F$492,MATCH(244,'Output Utente'!$Q$2:$Q$492,0)),"")</f>
        <v>3</v>
      </c>
      <c r="J247" s="42">
        <f>IFERROR(INDEX('Output Utente'!$G$2:$G$492,MATCH(244,'Output Utente'!$Q$2:$Q$492,0)),"")</f>
        <v>2</v>
      </c>
      <c r="K247" s="42">
        <f>IFERROR(INDEX('Output Utente'!$H$2:$H$492,MATCH(244,'Output Utente'!$Q$2:$Q$492,0)),"")</f>
        <v>3</v>
      </c>
      <c r="L247" s="5" t="str">
        <f>IFERROR(INDEX('Output Utente'!$E$2:$E$492,MATCH(244,'Output Utente'!$Q$2:$Q$492,0)),"")</f>
        <v>NO</v>
      </c>
      <c r="M247" s="5" t="str">
        <f>IFERROR(INDEX('Output Utente'!$U$2:$U$492,MATCH(244,'Output Utente'!$Q$2:$Q$492,0)),"")</f>
        <v>OK</v>
      </c>
      <c r="N247" s="5" t="str">
        <f>IFERROR(INDEX('Output Utente'!$AE$2:$AE$492,MATCH(244,'Output Utente'!$Q$2:$Q$492,0)),"")</f>
        <v>🟢 Riserve abbondanti</v>
      </c>
    </row>
    <row r="248" spans="1:14" ht="15" customHeight="1" x14ac:dyDescent="0.25">
      <c r="A248" s="41">
        <v>245</v>
      </c>
      <c r="B248" s="5">
        <f>IFERROR(INDEX('Output Utente'!$A$2:$A$492,MATCH(245,'Output Utente'!$Q$2:$Q$492,0)),"")</f>
        <v>7253</v>
      </c>
      <c r="C248" s="5" t="str">
        <f>IFERROR(INDEX('Output Utente'!$B$2:$B$492,MATCH(245,'Output Utente'!$Q$2:$Q$492,0)),"")</f>
        <v>D</v>
      </c>
      <c r="D248" s="5" t="str">
        <f>IFERROR(INDEX('Output Utente'!$C$2:$C$492,MATCH(245,'Output Utente'!$Q$2:$Q$492,0)),"")</f>
        <v>Bella-Kotchap</v>
      </c>
      <c r="E248" s="5" t="str">
        <f>IFERROR(INDEX('Input Giocatori 2026_27'!$D$3:$D$493,MATCH($B248,'Input Giocatori 2026_27'!$A$3:$A$493,0)),"")</f>
        <v>Venezia</v>
      </c>
      <c r="F248" s="42">
        <f>IFERROR(INDEX('Output Utente'!$N$2:$N$492,MATCH(245,'Output Utente'!$Q$2:$Q$492,0)),"")</f>
        <v>6</v>
      </c>
      <c r="G248" s="42">
        <f>IFERROR(INDEX('Output Utente'!$O$2:$O$492,MATCH(245,'Output Utente'!$Q$2:$Q$492,0)),"")</f>
        <v>13</v>
      </c>
      <c r="H248" s="5" t="str">
        <f>IFERROR(INDEX('Output Utente'!$P$2:$P$492,MATCH(245,'Output Utente'!$Q$2:$Q$492,0)),"")</f>
        <v>Nella Media</v>
      </c>
      <c r="I248" s="42">
        <f>IFERROR(INDEX('Output Utente'!$F$2:$F$492,MATCH(245,'Output Utente'!$Q$2:$Q$492,0)),"")</f>
        <v>3</v>
      </c>
      <c r="J248" s="42">
        <f>IFERROR(INDEX('Output Utente'!$G$2:$G$492,MATCH(245,'Output Utente'!$Q$2:$Q$492,0)),"")</f>
        <v>2</v>
      </c>
      <c r="K248" s="42">
        <f>IFERROR(INDEX('Output Utente'!$H$2:$H$492,MATCH(245,'Output Utente'!$Q$2:$Q$492,0)),"")</f>
        <v>3</v>
      </c>
      <c r="L248" s="5" t="str">
        <f>IFERROR(INDEX('Output Utente'!$E$2:$E$492,MATCH(245,'Output Utente'!$Q$2:$Q$492,0)),"")</f>
        <v>NO</v>
      </c>
      <c r="M248" s="5" t="str">
        <f>IFERROR(INDEX('Output Utente'!$U$2:$U$492,MATCH(245,'Output Utente'!$Q$2:$Q$492,0)),"")</f>
        <v>OK</v>
      </c>
      <c r="N248" s="5" t="str">
        <f>IFERROR(INDEX('Output Utente'!$AE$2:$AE$492,MATCH(245,'Output Utente'!$Q$2:$Q$492,0)),"")</f>
        <v>🟢 Riserve abbondanti</v>
      </c>
    </row>
    <row r="249" spans="1:14" ht="15" customHeight="1" x14ac:dyDescent="0.25">
      <c r="A249" s="41">
        <v>246</v>
      </c>
      <c r="B249" s="5">
        <f>IFERROR(INDEX('Output Utente'!$A$2:$A$492,MATCH(246,'Output Utente'!$Q$2:$Q$492,0)),"")</f>
        <v>5678</v>
      </c>
      <c r="C249" s="5" t="str">
        <f>IFERROR(INDEX('Output Utente'!$B$2:$B$492,MATCH(246,'Output Utente'!$Q$2:$Q$492,0)),"")</f>
        <v>D</v>
      </c>
      <c r="D249" s="5" t="str">
        <f>IFERROR(INDEX('Output Utente'!$C$2:$C$492,MATCH(246,'Output Utente'!$Q$2:$Q$492,0)),"")</f>
        <v>Holm</v>
      </c>
      <c r="E249" s="5" t="str">
        <f>IFERROR(INDEX('Input Giocatori 2026_27'!$D$3:$D$493,MATCH($B249,'Input Giocatori 2026_27'!$A$3:$A$493,0)),"")</f>
        <v>Bologna</v>
      </c>
      <c r="F249" s="42">
        <f>IFERROR(INDEX('Output Utente'!$N$2:$N$492,MATCH(246,'Output Utente'!$Q$2:$Q$492,0)),"")</f>
        <v>5</v>
      </c>
      <c r="G249" s="42">
        <f>IFERROR(INDEX('Output Utente'!$O$2:$O$492,MATCH(246,'Output Utente'!$Q$2:$Q$492,0)),"")</f>
        <v>13</v>
      </c>
      <c r="H249" s="5" t="str">
        <f>IFERROR(INDEX('Output Utente'!$P$2:$P$492,MATCH(246,'Output Utente'!$Q$2:$Q$492,0)),"")</f>
        <v>Nella Media</v>
      </c>
      <c r="I249" s="42">
        <f>IFERROR(INDEX('Output Utente'!$F$2:$F$492,MATCH(246,'Output Utente'!$Q$2:$Q$492,0)),"")</f>
        <v>3</v>
      </c>
      <c r="J249" s="42">
        <f>IFERROR(INDEX('Output Utente'!$G$2:$G$492,MATCH(246,'Output Utente'!$Q$2:$Q$492,0)),"")</f>
        <v>2</v>
      </c>
      <c r="K249" s="42">
        <f>IFERROR(INDEX('Output Utente'!$H$2:$H$492,MATCH(246,'Output Utente'!$Q$2:$Q$492,0)),"")</f>
        <v>3</v>
      </c>
      <c r="L249" s="5" t="str">
        <f>IFERROR(INDEX('Output Utente'!$E$2:$E$492,MATCH(246,'Output Utente'!$Q$2:$Q$492,0)),"")</f>
        <v>NO</v>
      </c>
      <c r="M249" s="5" t="str">
        <f>IFERROR(INDEX('Output Utente'!$U$2:$U$492,MATCH(246,'Output Utente'!$Q$2:$Q$492,0)),"")</f>
        <v>OK</v>
      </c>
      <c r="N249" s="5" t="str">
        <f>IFERROR(INDEX('Output Utente'!$AE$2:$AE$492,MATCH(246,'Output Utente'!$Q$2:$Q$492,0)),"")</f>
        <v>🟢 Riserve abbondanti</v>
      </c>
    </row>
    <row r="250" spans="1:14" ht="15" customHeight="1" x14ac:dyDescent="0.25">
      <c r="A250" s="41">
        <v>247</v>
      </c>
      <c r="B250" s="5">
        <f>IFERROR(INDEX('Output Utente'!$A$2:$A$492,MATCH(247,'Output Utente'!$Q$2:$Q$492,0)),"")</f>
        <v>6893</v>
      </c>
      <c r="C250" s="5" t="str">
        <f>IFERROR(INDEX('Output Utente'!$B$2:$B$492,MATCH(247,'Output Utente'!$Q$2:$Q$492,0)),"")</f>
        <v>D</v>
      </c>
      <c r="D250" s="5" t="str">
        <f>IFERROR(INDEX('Output Utente'!$C$2:$C$492,MATCH(247,'Output Utente'!$Q$2:$Q$492,0)),"")</f>
        <v>Kempf</v>
      </c>
      <c r="E250" s="5" t="str">
        <f>IFERROR(INDEX('Input Giocatori 2026_27'!$D$3:$D$493,MATCH($B250,'Input Giocatori 2026_27'!$A$3:$A$493,0)),"")</f>
        <v>Como</v>
      </c>
      <c r="F250" s="42">
        <f>IFERROR(INDEX('Output Utente'!$N$2:$N$492,MATCH(247,'Output Utente'!$Q$2:$Q$492,0)),"")</f>
        <v>5</v>
      </c>
      <c r="G250" s="42">
        <f>IFERROR(INDEX('Output Utente'!$O$2:$O$492,MATCH(247,'Output Utente'!$Q$2:$Q$492,0)),"")</f>
        <v>13</v>
      </c>
      <c r="H250" s="5" t="str">
        <f>IFERROR(INDEX('Output Utente'!$P$2:$P$492,MATCH(247,'Output Utente'!$Q$2:$Q$492,0)),"")</f>
        <v>Nella Media</v>
      </c>
      <c r="I250" s="42">
        <f>IFERROR(INDEX('Output Utente'!$F$2:$F$492,MATCH(247,'Output Utente'!$Q$2:$Q$492,0)),"")</f>
        <v>3</v>
      </c>
      <c r="J250" s="42">
        <f>IFERROR(INDEX('Output Utente'!$G$2:$G$492,MATCH(247,'Output Utente'!$Q$2:$Q$492,0)),"")</f>
        <v>2</v>
      </c>
      <c r="K250" s="42">
        <f>IFERROR(INDEX('Output Utente'!$H$2:$H$492,MATCH(247,'Output Utente'!$Q$2:$Q$492,0)),"")</f>
        <v>3</v>
      </c>
      <c r="L250" s="5" t="str">
        <f>IFERROR(INDEX('Output Utente'!$E$2:$E$492,MATCH(247,'Output Utente'!$Q$2:$Q$492,0)),"")</f>
        <v>NO</v>
      </c>
      <c r="M250" s="5" t="str">
        <f>IFERROR(INDEX('Output Utente'!$U$2:$U$492,MATCH(247,'Output Utente'!$Q$2:$Q$492,0)),"")</f>
        <v>OK</v>
      </c>
      <c r="N250" s="5" t="str">
        <f>IFERROR(INDEX('Output Utente'!$AE$2:$AE$492,MATCH(247,'Output Utente'!$Q$2:$Q$492,0)),"")</f>
        <v>🟢 Riserve abbondanti</v>
      </c>
    </row>
    <row r="251" spans="1:14" ht="15" customHeight="1" x14ac:dyDescent="0.25">
      <c r="A251" s="41">
        <v>248</v>
      </c>
      <c r="B251" s="5">
        <f>IFERROR(INDEX('Output Utente'!$A$2:$A$492,MATCH(248,'Output Utente'!$Q$2:$Q$492,0)),"")</f>
        <v>6766</v>
      </c>
      <c r="C251" s="5" t="str">
        <f>IFERROR(INDEX('Output Utente'!$B$2:$B$492,MATCH(248,'Output Utente'!$Q$2:$Q$492,0)),"")</f>
        <v>D</v>
      </c>
      <c r="D251" s="5" t="str">
        <f>IFERROR(INDEX('Output Utente'!$C$2:$C$492,MATCH(248,'Output Utente'!$Q$2:$Q$492,0)),"")</f>
        <v>Kelly L.</v>
      </c>
      <c r="E251" s="5" t="str">
        <f>IFERROR(INDEX('Input Giocatori 2026_27'!$D$3:$D$493,MATCH($B251,'Input Giocatori 2026_27'!$A$3:$A$493,0)),"")</f>
        <v>Juventus</v>
      </c>
      <c r="F251" s="42">
        <f>IFERROR(INDEX('Output Utente'!$N$2:$N$492,MATCH(248,'Output Utente'!$Q$2:$Q$492,0)),"")</f>
        <v>5</v>
      </c>
      <c r="G251" s="42">
        <f>IFERROR(INDEX('Output Utente'!$O$2:$O$492,MATCH(248,'Output Utente'!$Q$2:$Q$492,0)),"")</f>
        <v>13</v>
      </c>
      <c r="H251" s="5" t="str">
        <f>IFERROR(INDEX('Output Utente'!$P$2:$P$492,MATCH(248,'Output Utente'!$Q$2:$Q$492,0)),"")</f>
        <v>Nella Media</v>
      </c>
      <c r="I251" s="42">
        <f>IFERROR(INDEX('Output Utente'!$F$2:$F$492,MATCH(248,'Output Utente'!$Q$2:$Q$492,0)),"")</f>
        <v>3</v>
      </c>
      <c r="J251" s="42">
        <f>IFERROR(INDEX('Output Utente'!$G$2:$G$492,MATCH(248,'Output Utente'!$Q$2:$Q$492,0)),"")</f>
        <v>2</v>
      </c>
      <c r="K251" s="42">
        <f>IFERROR(INDEX('Output Utente'!$H$2:$H$492,MATCH(248,'Output Utente'!$Q$2:$Q$492,0)),"")</f>
        <v>3</v>
      </c>
      <c r="L251" s="5" t="str">
        <f>IFERROR(INDEX('Output Utente'!$E$2:$E$492,MATCH(248,'Output Utente'!$Q$2:$Q$492,0)),"")</f>
        <v>NO</v>
      </c>
      <c r="M251" s="5" t="str">
        <f>IFERROR(INDEX('Output Utente'!$U$2:$U$492,MATCH(248,'Output Utente'!$Q$2:$Q$492,0)),"")</f>
        <v>OK</v>
      </c>
      <c r="N251" s="5" t="str">
        <f>IFERROR(INDEX('Output Utente'!$AE$2:$AE$492,MATCH(248,'Output Utente'!$Q$2:$Q$492,0)),"")</f>
        <v>🟢 Riserve abbondanti</v>
      </c>
    </row>
    <row r="252" spans="1:14" ht="15" customHeight="1" x14ac:dyDescent="0.25">
      <c r="A252" s="41">
        <v>249</v>
      </c>
      <c r="B252" s="5">
        <f>IFERROR(INDEX('Output Utente'!$A$2:$A$492,MATCH(249,'Output Utente'!$Q$2:$Q$492,0)),"")</f>
        <v>5840</v>
      </c>
      <c r="C252" s="5" t="str">
        <f>IFERROR(INDEX('Output Utente'!$B$2:$B$492,MATCH(249,'Output Utente'!$Q$2:$Q$492,0)),"")</f>
        <v>D</v>
      </c>
      <c r="D252" s="5" t="str">
        <f>IFERROR(INDEX('Output Utente'!$C$2:$C$492,MATCH(249,'Output Utente'!$Q$2:$Q$492,0)),"")</f>
        <v>Olivera</v>
      </c>
      <c r="E252" s="5" t="str">
        <f>IFERROR(INDEX('Input Giocatori 2026_27'!$D$3:$D$493,MATCH($B252,'Input Giocatori 2026_27'!$A$3:$A$493,0)),"")</f>
        <v>Napoli</v>
      </c>
      <c r="F252" s="42">
        <f>IFERROR(INDEX('Output Utente'!$N$2:$N$492,MATCH(249,'Output Utente'!$Q$2:$Q$492,0)),"")</f>
        <v>5</v>
      </c>
      <c r="G252" s="42">
        <f>IFERROR(INDEX('Output Utente'!$O$2:$O$492,MATCH(249,'Output Utente'!$Q$2:$Q$492,0)),"")</f>
        <v>13</v>
      </c>
      <c r="H252" s="5" t="str">
        <f>IFERROR(INDEX('Output Utente'!$P$2:$P$492,MATCH(249,'Output Utente'!$Q$2:$Q$492,0)),"")</f>
        <v>Nella Media</v>
      </c>
      <c r="I252" s="42">
        <f>IFERROR(INDEX('Output Utente'!$F$2:$F$492,MATCH(249,'Output Utente'!$Q$2:$Q$492,0)),"")</f>
        <v>3</v>
      </c>
      <c r="J252" s="42">
        <f>IFERROR(INDEX('Output Utente'!$G$2:$G$492,MATCH(249,'Output Utente'!$Q$2:$Q$492,0)),"")</f>
        <v>2</v>
      </c>
      <c r="K252" s="42">
        <f>IFERROR(INDEX('Output Utente'!$H$2:$H$492,MATCH(249,'Output Utente'!$Q$2:$Q$492,0)),"")</f>
        <v>3</v>
      </c>
      <c r="L252" s="5" t="str">
        <f>IFERROR(INDEX('Output Utente'!$E$2:$E$492,MATCH(249,'Output Utente'!$Q$2:$Q$492,0)),"")</f>
        <v>NO</v>
      </c>
      <c r="M252" s="5" t="str">
        <f>IFERROR(INDEX('Output Utente'!$U$2:$U$492,MATCH(249,'Output Utente'!$Q$2:$Q$492,0)),"")</f>
        <v>OK</v>
      </c>
      <c r="N252" s="5" t="str">
        <f>IFERROR(INDEX('Output Utente'!$AE$2:$AE$492,MATCH(249,'Output Utente'!$Q$2:$Q$492,0)),"")</f>
        <v>🟢 Riserve abbondanti</v>
      </c>
    </row>
    <row r="253" spans="1:14" ht="15" customHeight="1" x14ac:dyDescent="0.25">
      <c r="A253" s="41">
        <v>250</v>
      </c>
      <c r="B253" s="5">
        <f>IFERROR(INDEX('Output Utente'!$A$2:$A$492,MATCH(250,'Output Utente'!$Q$2:$Q$492,0)),"")</f>
        <v>6426</v>
      </c>
      <c r="C253" s="5" t="str">
        <f>IFERROR(INDEX('Output Utente'!$B$2:$B$492,MATCH(250,'Output Utente'!$Q$2:$Q$492,0)),"")</f>
        <v>D</v>
      </c>
      <c r="D253" s="5" t="str">
        <f>IFERROR(INDEX('Output Utente'!$C$2:$C$492,MATCH(250,'Output Utente'!$Q$2:$Q$492,0)),"")</f>
        <v>Pedersen</v>
      </c>
      <c r="E253" s="5" t="str">
        <f>IFERROR(INDEX('Input Giocatori 2026_27'!$D$3:$D$493,MATCH($B253,'Input Giocatori 2026_27'!$A$3:$A$493,0)),"")</f>
        <v>Torino</v>
      </c>
      <c r="F253" s="42">
        <f>IFERROR(INDEX('Output Utente'!$N$2:$N$492,MATCH(250,'Output Utente'!$Q$2:$Q$492,0)),"")</f>
        <v>5</v>
      </c>
      <c r="G253" s="42">
        <f>IFERROR(INDEX('Output Utente'!$O$2:$O$492,MATCH(250,'Output Utente'!$Q$2:$Q$492,0)),"")</f>
        <v>13</v>
      </c>
      <c r="H253" s="5" t="str">
        <f>IFERROR(INDEX('Output Utente'!$P$2:$P$492,MATCH(250,'Output Utente'!$Q$2:$Q$492,0)),"")</f>
        <v>Nella Media</v>
      </c>
      <c r="I253" s="42">
        <f>IFERROR(INDEX('Output Utente'!$F$2:$F$492,MATCH(250,'Output Utente'!$Q$2:$Q$492,0)),"")</f>
        <v>3</v>
      </c>
      <c r="J253" s="42">
        <f>IFERROR(INDEX('Output Utente'!$G$2:$G$492,MATCH(250,'Output Utente'!$Q$2:$Q$492,0)),"")</f>
        <v>2</v>
      </c>
      <c r="K253" s="42">
        <f>IFERROR(INDEX('Output Utente'!$H$2:$H$492,MATCH(250,'Output Utente'!$Q$2:$Q$492,0)),"")</f>
        <v>3</v>
      </c>
      <c r="L253" s="5" t="str">
        <f>IFERROR(INDEX('Output Utente'!$E$2:$E$492,MATCH(250,'Output Utente'!$Q$2:$Q$492,0)),"")</f>
        <v>NO</v>
      </c>
      <c r="M253" s="5" t="str">
        <f>IFERROR(INDEX('Output Utente'!$U$2:$U$492,MATCH(250,'Output Utente'!$Q$2:$Q$492,0)),"")</f>
        <v>OK</v>
      </c>
      <c r="N253" s="5" t="str">
        <f>IFERROR(INDEX('Output Utente'!$AE$2:$AE$492,MATCH(250,'Output Utente'!$Q$2:$Q$492,0)),"")</f>
        <v>🟢 Riserve abbondanti</v>
      </c>
    </row>
    <row r="254" spans="1:14" ht="15" customHeight="1" x14ac:dyDescent="0.25">
      <c r="A254" s="41">
        <v>251</v>
      </c>
      <c r="B254" s="5">
        <f>IFERROR(INDEX('Output Utente'!$A$2:$A$492,MATCH(251,'Output Utente'!$Q$2:$Q$492,0)),"")</f>
        <v>5851</v>
      </c>
      <c r="C254" s="5" t="str">
        <f>IFERROR(INDEX('Output Utente'!$B$2:$B$492,MATCH(251,'Output Utente'!$Q$2:$Q$492,0)),"")</f>
        <v>D</v>
      </c>
      <c r="D254" s="5" t="str">
        <f>IFERROR(INDEX('Output Utente'!$C$2:$C$492,MATCH(251,'Output Utente'!$Q$2:$Q$492,0)),"")</f>
        <v>Doig</v>
      </c>
      <c r="E254" s="5" t="str">
        <f>IFERROR(INDEX('Input Giocatori 2026_27'!$D$3:$D$493,MATCH($B254,'Input Giocatori 2026_27'!$A$3:$A$493,0)),"")</f>
        <v>Sassuolo</v>
      </c>
      <c r="F254" s="42">
        <f>IFERROR(INDEX('Output Utente'!$N$2:$N$492,MATCH(251,'Output Utente'!$Q$2:$Q$492,0)),"")</f>
        <v>4</v>
      </c>
      <c r="G254" s="42">
        <f>IFERROR(INDEX('Output Utente'!$O$2:$O$492,MATCH(251,'Output Utente'!$Q$2:$Q$492,0)),"")</f>
        <v>13</v>
      </c>
      <c r="H254" s="5" t="str">
        <f>IFERROR(INDEX('Output Utente'!$P$2:$P$492,MATCH(251,'Output Utente'!$Q$2:$Q$492,0)),"")</f>
        <v>Nella Media</v>
      </c>
      <c r="I254" s="42">
        <f>IFERROR(INDEX('Output Utente'!$F$2:$F$492,MATCH(251,'Output Utente'!$Q$2:$Q$492,0)),"")</f>
        <v>3</v>
      </c>
      <c r="J254" s="42">
        <f>IFERROR(INDEX('Output Utente'!$G$2:$G$492,MATCH(251,'Output Utente'!$Q$2:$Q$492,0)),"")</f>
        <v>2</v>
      </c>
      <c r="K254" s="42">
        <f>IFERROR(INDEX('Output Utente'!$H$2:$H$492,MATCH(251,'Output Utente'!$Q$2:$Q$492,0)),"")</f>
        <v>3</v>
      </c>
      <c r="L254" s="5" t="str">
        <f>IFERROR(INDEX('Output Utente'!$E$2:$E$492,MATCH(251,'Output Utente'!$Q$2:$Q$492,0)),"")</f>
        <v>NO</v>
      </c>
      <c r="M254" s="5" t="str">
        <f>IFERROR(INDEX('Output Utente'!$U$2:$U$492,MATCH(251,'Output Utente'!$Q$2:$Q$492,0)),"")</f>
        <v>OK</v>
      </c>
      <c r="N254" s="5" t="str">
        <f>IFERROR(INDEX('Output Utente'!$AE$2:$AE$492,MATCH(251,'Output Utente'!$Q$2:$Q$492,0)),"")</f>
        <v>🟢 Riserve abbondanti</v>
      </c>
    </row>
    <row r="255" spans="1:14" ht="15" customHeight="1" x14ac:dyDescent="0.25">
      <c r="A255" s="41">
        <v>252</v>
      </c>
      <c r="B255" s="5">
        <f>IFERROR(INDEX('Output Utente'!$A$2:$A$492,MATCH(252,'Output Utente'!$Q$2:$Q$492,0)),"")</f>
        <v>2848</v>
      </c>
      <c r="C255" s="5" t="str">
        <f>IFERROR(INDEX('Output Utente'!$B$2:$B$492,MATCH(252,'Output Utente'!$Q$2:$Q$492,0)),"")</f>
        <v>C</v>
      </c>
      <c r="D255" s="5" t="str">
        <f>IFERROR(INDEX('Output Utente'!$C$2:$C$492,MATCH(252,'Output Utente'!$Q$2:$Q$492,0)),"")</f>
        <v>Frattesi</v>
      </c>
      <c r="E255" s="5" t="str">
        <f>IFERROR(INDEX('Input Giocatori 2026_27'!$D$3:$D$493,MATCH($B255,'Input Giocatori 2026_27'!$A$3:$A$493,0)),"")</f>
        <v>Inter</v>
      </c>
      <c r="F255" s="42">
        <f>IFERROR(INDEX('Output Utente'!$N$2:$N$492,MATCH(252,'Output Utente'!$Q$2:$Q$492,0)),"")</f>
        <v>7</v>
      </c>
      <c r="G255" s="42">
        <f>IFERROR(INDEX('Output Utente'!$O$2:$O$492,MATCH(252,'Output Utente'!$Q$2:$Q$492,0)),"")</f>
        <v>13</v>
      </c>
      <c r="H255" s="5" t="str">
        <f>IFERROR(INDEX('Output Utente'!$P$2:$P$492,MATCH(252,'Output Utente'!$Q$2:$Q$492,0)),"")</f>
        <v>Nella Media</v>
      </c>
      <c r="I255" s="42">
        <f>IFERROR(INDEX('Output Utente'!$F$2:$F$492,MATCH(252,'Output Utente'!$Q$2:$Q$492,0)),"")</f>
        <v>2</v>
      </c>
      <c r="J255" s="42">
        <f>IFERROR(INDEX('Output Utente'!$G$2:$G$492,MATCH(252,'Output Utente'!$Q$2:$Q$492,0)),"")</f>
        <v>1</v>
      </c>
      <c r="K255" s="42">
        <f>IFERROR(INDEX('Output Utente'!$H$2:$H$492,MATCH(252,'Output Utente'!$Q$2:$Q$492,0)),"")</f>
        <v>2</v>
      </c>
      <c r="L255" s="5" t="str">
        <f>IFERROR(INDEX('Output Utente'!$E$2:$E$492,MATCH(252,'Output Utente'!$Q$2:$Q$492,0)),"")</f>
        <v>NO</v>
      </c>
      <c r="M255" s="5" t="str">
        <f>IFERROR(INDEX('Output Utente'!$U$2:$U$492,MATCH(252,'Output Utente'!$Q$2:$Q$492,0)),"")</f>
        <v>OK</v>
      </c>
      <c r="N255" s="5" t="str">
        <f>IFERROR(INDEX('Output Utente'!$AE$2:$AE$492,MATCH(252,'Output Utente'!$Q$2:$Q$492,0)),"")</f>
        <v>🟢 Riserve abbondanti</v>
      </c>
    </row>
    <row r="256" spans="1:14" ht="15" customHeight="1" x14ac:dyDescent="0.25">
      <c r="A256" s="41">
        <v>253</v>
      </c>
      <c r="B256" s="5">
        <f>IFERROR(INDEX('Output Utente'!$A$2:$A$492,MATCH(253,'Output Utente'!$Q$2:$Q$492,0)),"")</f>
        <v>4870</v>
      </c>
      <c r="C256" s="5" t="str">
        <f>IFERROR(INDEX('Output Utente'!$B$2:$B$492,MATCH(253,'Output Utente'!$Q$2:$Q$492,0)),"")</f>
        <v>C</v>
      </c>
      <c r="D256" s="5" t="str">
        <f>IFERROR(INDEX('Output Utente'!$C$2:$C$492,MATCH(253,'Output Utente'!$Q$2:$Q$492,0)),"")</f>
        <v>Adopo</v>
      </c>
      <c r="E256" s="5" t="str">
        <f>IFERROR(INDEX('Input Giocatori 2026_27'!$D$3:$D$493,MATCH($B256,'Input Giocatori 2026_27'!$A$3:$A$493,0)),"")</f>
        <v>Cagliari</v>
      </c>
      <c r="F256" s="42">
        <f>IFERROR(INDEX('Output Utente'!$N$2:$N$492,MATCH(253,'Output Utente'!$Q$2:$Q$492,0)),"")</f>
        <v>6</v>
      </c>
      <c r="G256" s="42">
        <f>IFERROR(INDEX('Output Utente'!$O$2:$O$492,MATCH(253,'Output Utente'!$Q$2:$Q$492,0)),"")</f>
        <v>13</v>
      </c>
      <c r="H256" s="5" t="str">
        <f>IFERROR(INDEX('Output Utente'!$P$2:$P$492,MATCH(253,'Output Utente'!$Q$2:$Q$492,0)),"")</f>
        <v>Nella Media</v>
      </c>
      <c r="I256" s="42">
        <f>IFERROR(INDEX('Output Utente'!$F$2:$F$492,MATCH(253,'Output Utente'!$Q$2:$Q$492,0)),"")</f>
        <v>2</v>
      </c>
      <c r="J256" s="42">
        <f>IFERROR(INDEX('Output Utente'!$G$2:$G$492,MATCH(253,'Output Utente'!$Q$2:$Q$492,0)),"")</f>
        <v>1</v>
      </c>
      <c r="K256" s="42">
        <f>IFERROR(INDEX('Output Utente'!$H$2:$H$492,MATCH(253,'Output Utente'!$Q$2:$Q$492,0)),"")</f>
        <v>2</v>
      </c>
      <c r="L256" s="5" t="str">
        <f>IFERROR(INDEX('Output Utente'!$E$2:$E$492,MATCH(253,'Output Utente'!$Q$2:$Q$492,0)),"")</f>
        <v>NO</v>
      </c>
      <c r="M256" s="5" t="str">
        <f>IFERROR(INDEX('Output Utente'!$U$2:$U$492,MATCH(253,'Output Utente'!$Q$2:$Q$492,0)),"")</f>
        <v>OK</v>
      </c>
      <c r="N256" s="5" t="str">
        <f>IFERROR(INDEX('Output Utente'!$AE$2:$AE$492,MATCH(253,'Output Utente'!$Q$2:$Q$492,0)),"")</f>
        <v>🟢 Riserve abbondanti</v>
      </c>
    </row>
    <row r="257" spans="1:14" ht="15" customHeight="1" x14ac:dyDescent="0.25">
      <c r="A257" s="41">
        <v>254</v>
      </c>
      <c r="B257" s="5">
        <f>IFERROR(INDEX('Output Utente'!$A$2:$A$492,MATCH(254,'Output Utente'!$Q$2:$Q$492,0)),"")</f>
        <v>5998</v>
      </c>
      <c r="C257" s="5" t="str">
        <f>IFERROR(INDEX('Output Utente'!$B$2:$B$492,MATCH(254,'Output Utente'!$Q$2:$Q$492,0)),"")</f>
        <v>C</v>
      </c>
      <c r="D257" s="5" t="str">
        <f>IFERROR(INDEX('Output Utente'!$C$2:$C$492,MATCH(254,'Output Utente'!$Q$2:$Q$492,0)),"")</f>
        <v>Zerbin</v>
      </c>
      <c r="E257" s="5" t="str">
        <f>IFERROR(INDEX('Input Giocatori 2026_27'!$D$3:$D$493,MATCH($B257,'Input Giocatori 2026_27'!$A$3:$A$493,0)),"")</f>
        <v>Frosinone</v>
      </c>
      <c r="F257" s="42">
        <f>IFERROR(INDEX('Output Utente'!$N$2:$N$492,MATCH(254,'Output Utente'!$Q$2:$Q$492,0)),"")</f>
        <v>5</v>
      </c>
      <c r="G257" s="42">
        <f>IFERROR(INDEX('Output Utente'!$O$2:$O$492,MATCH(254,'Output Utente'!$Q$2:$Q$492,0)),"")</f>
        <v>13</v>
      </c>
      <c r="H257" s="5" t="str">
        <f>IFERROR(INDEX('Output Utente'!$P$2:$P$492,MATCH(254,'Output Utente'!$Q$2:$Q$492,0)),"")</f>
        <v>Nella Media</v>
      </c>
      <c r="I257" s="42">
        <f>IFERROR(INDEX('Output Utente'!$F$2:$F$492,MATCH(254,'Output Utente'!$Q$2:$Q$492,0)),"")</f>
        <v>2</v>
      </c>
      <c r="J257" s="42">
        <f>IFERROR(INDEX('Output Utente'!$G$2:$G$492,MATCH(254,'Output Utente'!$Q$2:$Q$492,0)),"")</f>
        <v>1</v>
      </c>
      <c r="K257" s="42">
        <f>IFERROR(INDEX('Output Utente'!$H$2:$H$492,MATCH(254,'Output Utente'!$Q$2:$Q$492,0)),"")</f>
        <v>2</v>
      </c>
      <c r="L257" s="5" t="str">
        <f>IFERROR(INDEX('Output Utente'!$E$2:$E$492,MATCH(254,'Output Utente'!$Q$2:$Q$492,0)),"")</f>
        <v>NO</v>
      </c>
      <c r="M257" s="5" t="str">
        <f>IFERROR(INDEX('Output Utente'!$U$2:$U$492,MATCH(254,'Output Utente'!$Q$2:$Q$492,0)),"")</f>
        <v>OK</v>
      </c>
      <c r="N257" s="5" t="str">
        <f>IFERROR(INDEX('Output Utente'!$AE$2:$AE$492,MATCH(254,'Output Utente'!$Q$2:$Q$492,0)),"")</f>
        <v>🟢 Riserve abbondanti</v>
      </c>
    </row>
    <row r="258" spans="1:14" ht="15" customHeight="1" x14ac:dyDescent="0.25">
      <c r="A258" s="41">
        <v>255</v>
      </c>
      <c r="B258" s="5">
        <f>IFERROR(INDEX('Output Utente'!$A$2:$A$492,MATCH(255,'Output Utente'!$Q$2:$Q$492,0)),"")</f>
        <v>6629</v>
      </c>
      <c r="C258" s="5" t="str">
        <f>IFERROR(INDEX('Output Utente'!$B$2:$B$492,MATCH(255,'Output Utente'!$Q$2:$Q$492,0)),"")</f>
        <v>C</v>
      </c>
      <c r="D258" s="5" t="str">
        <f>IFERROR(INDEX('Output Utente'!$C$2:$C$492,MATCH(255,'Output Utente'!$Q$2:$Q$492,0)),"")</f>
        <v>Dele-Bashiru</v>
      </c>
      <c r="E258" s="5" t="str">
        <f>IFERROR(INDEX('Input Giocatori 2026_27'!$D$3:$D$493,MATCH($B258,'Input Giocatori 2026_27'!$A$3:$A$493,0)),"")</f>
        <v>Lazio</v>
      </c>
      <c r="F258" s="42">
        <f>IFERROR(INDEX('Output Utente'!$N$2:$N$492,MATCH(255,'Output Utente'!$Q$2:$Q$492,0)),"")</f>
        <v>5</v>
      </c>
      <c r="G258" s="42">
        <f>IFERROR(INDEX('Output Utente'!$O$2:$O$492,MATCH(255,'Output Utente'!$Q$2:$Q$492,0)),"")</f>
        <v>13</v>
      </c>
      <c r="H258" s="5" t="str">
        <f>IFERROR(INDEX('Output Utente'!$P$2:$P$492,MATCH(255,'Output Utente'!$Q$2:$Q$492,0)),"")</f>
        <v>Nella Media</v>
      </c>
      <c r="I258" s="42">
        <f>IFERROR(INDEX('Output Utente'!$F$2:$F$492,MATCH(255,'Output Utente'!$Q$2:$Q$492,0)),"")</f>
        <v>2</v>
      </c>
      <c r="J258" s="42">
        <f>IFERROR(INDEX('Output Utente'!$G$2:$G$492,MATCH(255,'Output Utente'!$Q$2:$Q$492,0)),"")</f>
        <v>1</v>
      </c>
      <c r="K258" s="42">
        <f>IFERROR(INDEX('Output Utente'!$H$2:$H$492,MATCH(255,'Output Utente'!$Q$2:$Q$492,0)),"")</f>
        <v>2</v>
      </c>
      <c r="L258" s="5" t="str">
        <f>IFERROR(INDEX('Output Utente'!$E$2:$E$492,MATCH(255,'Output Utente'!$Q$2:$Q$492,0)),"")</f>
        <v>NO</v>
      </c>
      <c r="M258" s="5" t="str">
        <f>IFERROR(INDEX('Output Utente'!$U$2:$U$492,MATCH(255,'Output Utente'!$Q$2:$Q$492,0)),"")</f>
        <v>OK</v>
      </c>
      <c r="N258" s="5" t="str">
        <f>IFERROR(INDEX('Output Utente'!$AE$2:$AE$492,MATCH(255,'Output Utente'!$Q$2:$Q$492,0)),"")</f>
        <v>🟢 Riserve abbondanti</v>
      </c>
    </row>
    <row r="259" spans="1:14" ht="15" customHeight="1" x14ac:dyDescent="0.25">
      <c r="A259" s="41">
        <v>256</v>
      </c>
      <c r="B259" s="5">
        <f>IFERROR(INDEX('Output Utente'!$A$2:$A$492,MATCH(256,'Output Utente'!$Q$2:$Q$492,0)),"")</f>
        <v>6170</v>
      </c>
      <c r="C259" s="5" t="str">
        <f>IFERROR(INDEX('Output Utente'!$B$2:$B$492,MATCH(256,'Output Utente'!$Q$2:$Q$492,0)),"")</f>
        <v>C</v>
      </c>
      <c r="D259" s="5" t="str">
        <f>IFERROR(INDEX('Output Utente'!$C$2:$C$492,MATCH(256,'Output Utente'!$Q$2:$Q$492,0)),"")</f>
        <v>Gineitis</v>
      </c>
      <c r="E259" s="5" t="str">
        <f>IFERROR(INDEX('Input Giocatori 2026_27'!$D$3:$D$493,MATCH($B259,'Input Giocatori 2026_27'!$A$3:$A$493,0)),"")</f>
        <v>Torino</v>
      </c>
      <c r="F259" s="42">
        <f>IFERROR(INDEX('Output Utente'!$N$2:$N$492,MATCH(256,'Output Utente'!$Q$2:$Q$492,0)),"")</f>
        <v>5</v>
      </c>
      <c r="G259" s="42">
        <f>IFERROR(INDEX('Output Utente'!$O$2:$O$492,MATCH(256,'Output Utente'!$Q$2:$Q$492,0)),"")</f>
        <v>13</v>
      </c>
      <c r="H259" s="5" t="str">
        <f>IFERROR(INDEX('Output Utente'!$P$2:$P$492,MATCH(256,'Output Utente'!$Q$2:$Q$492,0)),"")</f>
        <v>Nella Media</v>
      </c>
      <c r="I259" s="42">
        <f>IFERROR(INDEX('Output Utente'!$F$2:$F$492,MATCH(256,'Output Utente'!$Q$2:$Q$492,0)),"")</f>
        <v>2</v>
      </c>
      <c r="J259" s="42">
        <f>IFERROR(INDEX('Output Utente'!$G$2:$G$492,MATCH(256,'Output Utente'!$Q$2:$Q$492,0)),"")</f>
        <v>1</v>
      </c>
      <c r="K259" s="42">
        <f>IFERROR(INDEX('Output Utente'!$H$2:$H$492,MATCH(256,'Output Utente'!$Q$2:$Q$492,0)),"")</f>
        <v>2</v>
      </c>
      <c r="L259" s="5" t="str">
        <f>IFERROR(INDEX('Output Utente'!$E$2:$E$492,MATCH(256,'Output Utente'!$Q$2:$Q$492,0)),"")</f>
        <v>NO</v>
      </c>
      <c r="M259" s="5" t="str">
        <f>IFERROR(INDEX('Output Utente'!$U$2:$U$492,MATCH(256,'Output Utente'!$Q$2:$Q$492,0)),"")</f>
        <v>OK</v>
      </c>
      <c r="N259" s="5" t="str">
        <f>IFERROR(INDEX('Output Utente'!$AE$2:$AE$492,MATCH(256,'Output Utente'!$Q$2:$Q$492,0)),"")</f>
        <v>🟢 Riserve abbondanti</v>
      </c>
    </row>
    <row r="260" spans="1:14" ht="15" customHeight="1" x14ac:dyDescent="0.25">
      <c r="A260" s="41">
        <v>257</v>
      </c>
      <c r="B260" s="5">
        <f>IFERROR(INDEX('Output Utente'!$A$2:$A$492,MATCH(257,'Output Utente'!$Q$2:$Q$492,0)),"")</f>
        <v>5301</v>
      </c>
      <c r="C260" s="5" t="str">
        <f>IFERROR(INDEX('Output Utente'!$B$2:$B$492,MATCH(257,'Output Utente'!$Q$2:$Q$492,0)),"")</f>
        <v>C</v>
      </c>
      <c r="D260" s="5" t="str">
        <f>IFERROR(INDEX('Output Utente'!$C$2:$C$492,MATCH(257,'Output Utente'!$Q$2:$Q$492,0)),"")</f>
        <v>Luis Henrique</v>
      </c>
      <c r="E260" s="5" t="str">
        <f>IFERROR(INDEX('Input Giocatori 2026_27'!$D$3:$D$493,MATCH($B260,'Input Giocatori 2026_27'!$A$3:$A$493,0)),"")</f>
        <v>Inter</v>
      </c>
      <c r="F260" s="42">
        <f>IFERROR(INDEX('Output Utente'!$N$2:$N$492,MATCH(257,'Output Utente'!$Q$2:$Q$492,0)),"")</f>
        <v>4</v>
      </c>
      <c r="G260" s="42">
        <f>IFERROR(INDEX('Output Utente'!$O$2:$O$492,MATCH(257,'Output Utente'!$Q$2:$Q$492,0)),"")</f>
        <v>13</v>
      </c>
      <c r="H260" s="5" t="str">
        <f>IFERROR(INDEX('Output Utente'!$P$2:$P$492,MATCH(257,'Output Utente'!$Q$2:$Q$492,0)),"")</f>
        <v>Nella Media</v>
      </c>
      <c r="I260" s="42">
        <f>IFERROR(INDEX('Output Utente'!$F$2:$F$492,MATCH(257,'Output Utente'!$Q$2:$Q$492,0)),"")</f>
        <v>2</v>
      </c>
      <c r="J260" s="42">
        <f>IFERROR(INDEX('Output Utente'!$G$2:$G$492,MATCH(257,'Output Utente'!$Q$2:$Q$492,0)),"")</f>
        <v>1</v>
      </c>
      <c r="K260" s="42">
        <f>IFERROR(INDEX('Output Utente'!$H$2:$H$492,MATCH(257,'Output Utente'!$Q$2:$Q$492,0)),"")</f>
        <v>2</v>
      </c>
      <c r="L260" s="5" t="str">
        <f>IFERROR(INDEX('Output Utente'!$E$2:$E$492,MATCH(257,'Output Utente'!$Q$2:$Q$492,0)),"")</f>
        <v>NO</v>
      </c>
      <c r="M260" s="5" t="str">
        <f>IFERROR(INDEX('Output Utente'!$U$2:$U$492,MATCH(257,'Output Utente'!$Q$2:$Q$492,0)),"")</f>
        <v>OK</v>
      </c>
      <c r="N260" s="5" t="str">
        <f>IFERROR(INDEX('Output Utente'!$AE$2:$AE$492,MATCH(257,'Output Utente'!$Q$2:$Q$492,0)),"")</f>
        <v>🟢 Riserve abbondanti</v>
      </c>
    </row>
    <row r="261" spans="1:14" ht="15" customHeight="1" x14ac:dyDescent="0.25">
      <c r="A261" s="41">
        <v>258</v>
      </c>
      <c r="B261" s="5">
        <f>IFERROR(INDEX('Output Utente'!$A$2:$A$492,MATCH(258,'Output Utente'!$Q$2:$Q$492,0)),"")</f>
        <v>7535</v>
      </c>
      <c r="C261" s="5" t="str">
        <f>IFERROR(INDEX('Output Utente'!$B$2:$B$492,MATCH(258,'Output Utente'!$Q$2:$Q$492,0)),"")</f>
        <v>C</v>
      </c>
      <c r="D261" s="5" t="str">
        <f>IFERROR(INDEX('Output Utente'!$C$2:$C$492,MATCH(258,'Output Utente'!$Q$2:$Q$492,0)),"")</f>
        <v>Fitz-Jim</v>
      </c>
      <c r="E261" s="5" t="str">
        <f>IFERROR(INDEX('Input Giocatori 2026_27'!$D$3:$D$493,MATCH($B261,'Input Giocatori 2026_27'!$A$3:$A$493,0)),"")</f>
        <v>Torino</v>
      </c>
      <c r="F261" s="42">
        <f>IFERROR(INDEX('Output Utente'!$N$2:$N$492,MATCH(258,'Output Utente'!$Q$2:$Q$492,0)),"")</f>
        <v>4</v>
      </c>
      <c r="G261" s="42">
        <f>IFERROR(INDEX('Output Utente'!$O$2:$O$492,MATCH(258,'Output Utente'!$Q$2:$Q$492,0)),"")</f>
        <v>13</v>
      </c>
      <c r="H261" s="5" t="str">
        <f>IFERROR(INDEX('Output Utente'!$P$2:$P$492,MATCH(258,'Output Utente'!$Q$2:$Q$492,0)),"")</f>
        <v>Nella Media</v>
      </c>
      <c r="I261" s="42">
        <f>IFERROR(INDEX('Output Utente'!$F$2:$F$492,MATCH(258,'Output Utente'!$Q$2:$Q$492,0)),"")</f>
        <v>2</v>
      </c>
      <c r="J261" s="42">
        <f>IFERROR(INDEX('Output Utente'!$G$2:$G$492,MATCH(258,'Output Utente'!$Q$2:$Q$492,0)),"")</f>
        <v>1</v>
      </c>
      <c r="K261" s="42">
        <f>IFERROR(INDEX('Output Utente'!$H$2:$H$492,MATCH(258,'Output Utente'!$Q$2:$Q$492,0)),"")</f>
        <v>2</v>
      </c>
      <c r="L261" s="5" t="str">
        <f>IFERROR(INDEX('Output Utente'!$E$2:$E$492,MATCH(258,'Output Utente'!$Q$2:$Q$492,0)),"")</f>
        <v>NO</v>
      </c>
      <c r="M261" s="5" t="str">
        <f>IFERROR(INDEX('Output Utente'!$U$2:$U$492,MATCH(258,'Output Utente'!$Q$2:$Q$492,0)),"")</f>
        <v>OK</v>
      </c>
      <c r="N261" s="5" t="str">
        <f>IFERROR(INDEX('Output Utente'!$AE$2:$AE$492,MATCH(258,'Output Utente'!$Q$2:$Q$492,0)),"")</f>
        <v>🟢 Riserve abbondanti</v>
      </c>
    </row>
    <row r="262" spans="1:14" ht="15" customHeight="1" x14ac:dyDescent="0.25">
      <c r="A262" s="41">
        <v>259</v>
      </c>
      <c r="B262" s="5">
        <f>IFERROR(INDEX('Output Utente'!$A$2:$A$492,MATCH(259,'Output Utente'!$Q$2:$Q$492,0)),"")</f>
        <v>7213</v>
      </c>
      <c r="C262" s="5" t="str">
        <f>IFERROR(INDEX('Output Utente'!$B$2:$B$492,MATCH(259,'Output Utente'!$Q$2:$Q$492,0)),"")</f>
        <v>A</v>
      </c>
      <c r="D262" s="5" t="str">
        <f>IFERROR(INDEX('Output Utente'!$C$2:$C$492,MATCH(259,'Output Utente'!$Q$2:$Q$492,0)),"")</f>
        <v>Frigan</v>
      </c>
      <c r="E262" s="5" t="str">
        <f>IFERROR(INDEX('Input Giocatori 2026_27'!$D$3:$D$493,MATCH($B262,'Input Giocatori 2026_27'!$A$3:$A$493,0)),"")</f>
        <v>Parma</v>
      </c>
      <c r="F262" s="42">
        <f>IFERROR(INDEX('Output Utente'!$N$2:$N$492,MATCH(259,'Output Utente'!$Q$2:$Q$492,0)),"")</f>
        <v>5</v>
      </c>
      <c r="G262" s="42">
        <f>IFERROR(INDEX('Output Utente'!$O$2:$O$492,MATCH(259,'Output Utente'!$Q$2:$Q$492,0)),"")</f>
        <v>13</v>
      </c>
      <c r="H262" s="5" t="str">
        <f>IFERROR(INDEX('Output Utente'!$P$2:$P$492,MATCH(259,'Output Utente'!$Q$2:$Q$492,0)),"")</f>
        <v>Scommessa/Riserva</v>
      </c>
      <c r="I262" s="42">
        <f>IFERROR(INDEX('Output Utente'!$F$2:$F$492,MATCH(259,'Output Utente'!$Q$2:$Q$492,0)),"")</f>
        <v>4</v>
      </c>
      <c r="J262" s="42">
        <f>IFERROR(INDEX('Output Utente'!$G$2:$G$492,MATCH(259,'Output Utente'!$Q$2:$Q$492,0)),"")</f>
        <v>3</v>
      </c>
      <c r="K262" s="42">
        <f>IFERROR(INDEX('Output Utente'!$H$2:$H$492,MATCH(259,'Output Utente'!$Q$2:$Q$492,0)),"")</f>
        <v>5</v>
      </c>
      <c r="L262" s="5" t="str">
        <f>IFERROR(INDEX('Output Utente'!$E$2:$E$492,MATCH(259,'Output Utente'!$Q$2:$Q$492,0)),"")</f>
        <v>NO</v>
      </c>
      <c r="M262" s="5" t="str">
        <f>IFERROR(INDEX('Output Utente'!$U$2:$U$492,MATCH(259,'Output Utente'!$Q$2:$Q$492,0)),"")</f>
        <v>OK</v>
      </c>
      <c r="N262" s="5" t="str">
        <f>IFERROR(INDEX('Output Utente'!$AE$2:$AE$492,MATCH(259,'Output Utente'!$Q$2:$Q$492,0)),"")</f>
        <v>🟢 Riserve abbondanti</v>
      </c>
    </row>
    <row r="263" spans="1:14" ht="15" customHeight="1" x14ac:dyDescent="0.25">
      <c r="A263" s="41">
        <v>260</v>
      </c>
      <c r="B263" s="5">
        <f>IFERROR(INDEX('Output Utente'!$A$2:$A$492,MATCH(260,'Output Utente'!$Q$2:$Q$492,0)),"")</f>
        <v>4485</v>
      </c>
      <c r="C263" s="5" t="str">
        <f>IFERROR(INDEX('Output Utente'!$B$2:$B$492,MATCH(260,'Output Utente'!$Q$2:$Q$492,0)),"")</f>
        <v>P</v>
      </c>
      <c r="D263" s="5" t="str">
        <f>IFERROR(INDEX('Output Utente'!$C$2:$C$492,MATCH(260,'Output Utente'!$Q$2:$Q$492,0)),"")</f>
        <v>Thiam</v>
      </c>
      <c r="E263" s="5" t="str">
        <f>IFERROR(INDEX('Input Giocatori 2026_27'!$D$3:$D$493,MATCH($B263,'Input Giocatori 2026_27'!$A$3:$A$493,0)),"")</f>
        <v>Monza</v>
      </c>
      <c r="F263" s="42">
        <f>IFERROR(INDEX('Output Utente'!$N$2:$N$492,MATCH(260,'Output Utente'!$Q$2:$Q$492,0)),"")</f>
        <v>5</v>
      </c>
      <c r="G263" s="42">
        <f>IFERROR(INDEX('Output Utente'!$O$2:$O$492,MATCH(260,'Output Utente'!$Q$2:$Q$492,0)),"")</f>
        <v>12</v>
      </c>
      <c r="H263" s="5" t="str">
        <f>IFERROR(INDEX('Output Utente'!$P$2:$P$492,MATCH(260,'Output Utente'!$Q$2:$Q$492,0)),"")</f>
        <v>Buono</v>
      </c>
      <c r="I263" s="42">
        <f>IFERROR(INDEX('Output Utente'!$F$2:$F$492,MATCH(260,'Output Utente'!$Q$2:$Q$492,0)),"")</f>
        <v>4</v>
      </c>
      <c r="J263" s="42">
        <f>IFERROR(INDEX('Output Utente'!$G$2:$G$492,MATCH(260,'Output Utente'!$Q$2:$Q$492,0)),"")</f>
        <v>3</v>
      </c>
      <c r="K263" s="42">
        <f>IFERROR(INDEX('Output Utente'!$H$2:$H$492,MATCH(260,'Output Utente'!$Q$2:$Q$492,0)),"")</f>
        <v>5</v>
      </c>
      <c r="L263" s="5" t="str">
        <f>IFERROR(INDEX('Output Utente'!$E$2:$E$492,MATCH(260,'Output Utente'!$Q$2:$Q$492,0)),"")</f>
        <v>NO</v>
      </c>
      <c r="M263" s="5" t="str">
        <f>IFERROR(INDEX('Output Utente'!$U$2:$U$492,MATCH(260,'Output Utente'!$Q$2:$Q$492,0)),"")</f>
        <v>OK</v>
      </c>
      <c r="N263" s="5" t="str">
        <f>IFERROR(INDEX('Output Utente'!$AE$2:$AE$492,MATCH(260,'Output Utente'!$Q$2:$Q$492,0)),"")</f>
        <v>🔴 Riserve scarse</v>
      </c>
    </row>
    <row r="264" spans="1:14" ht="15" customHeight="1" x14ac:dyDescent="0.25">
      <c r="A264" s="41">
        <v>261</v>
      </c>
      <c r="B264" s="5">
        <f>IFERROR(INDEX('Output Utente'!$A$2:$A$492,MATCH(261,'Output Utente'!$Q$2:$Q$492,0)),"")</f>
        <v>5555</v>
      </c>
      <c r="C264" s="5" t="str">
        <f>IFERROR(INDEX('Output Utente'!$B$2:$B$492,MATCH(261,'Output Utente'!$Q$2:$Q$492,0)),"")</f>
        <v>D</v>
      </c>
      <c r="D264" s="5" t="str">
        <f>IFERROR(INDEX('Output Utente'!$C$2:$C$492,MATCH(261,'Output Utente'!$Q$2:$Q$492,0)),"")</f>
        <v>Kamara H.</v>
      </c>
      <c r="E264" s="5" t="str">
        <f>IFERROR(INDEX('Input Giocatori 2026_27'!$D$3:$D$493,MATCH($B264,'Input Giocatori 2026_27'!$A$3:$A$493,0)),"")</f>
        <v>Udinese</v>
      </c>
      <c r="F264" s="42">
        <f>IFERROR(INDEX('Output Utente'!$N$2:$N$492,MATCH(261,'Output Utente'!$Q$2:$Q$492,0)),"")</f>
        <v>6</v>
      </c>
      <c r="G264" s="42">
        <f>IFERROR(INDEX('Output Utente'!$O$2:$O$492,MATCH(261,'Output Utente'!$Q$2:$Q$492,0)),"")</f>
        <v>12</v>
      </c>
      <c r="H264" s="5" t="str">
        <f>IFERROR(INDEX('Output Utente'!$P$2:$P$492,MATCH(261,'Output Utente'!$Q$2:$Q$492,0)),"")</f>
        <v>Nella Media</v>
      </c>
      <c r="I264" s="42">
        <f>IFERROR(INDEX('Output Utente'!$F$2:$F$492,MATCH(261,'Output Utente'!$Q$2:$Q$492,0)),"")</f>
        <v>2</v>
      </c>
      <c r="J264" s="42">
        <f>IFERROR(INDEX('Output Utente'!$G$2:$G$492,MATCH(261,'Output Utente'!$Q$2:$Q$492,0)),"")</f>
        <v>2</v>
      </c>
      <c r="K264" s="42">
        <f>IFERROR(INDEX('Output Utente'!$H$2:$H$492,MATCH(261,'Output Utente'!$Q$2:$Q$492,0)),"")</f>
        <v>2</v>
      </c>
      <c r="L264" s="5" t="str">
        <f>IFERROR(INDEX('Output Utente'!$E$2:$E$492,MATCH(261,'Output Utente'!$Q$2:$Q$492,0)),"")</f>
        <v>NO</v>
      </c>
      <c r="M264" s="5" t="str">
        <f>IFERROR(INDEX('Output Utente'!$U$2:$U$492,MATCH(261,'Output Utente'!$Q$2:$Q$492,0)),"")</f>
        <v>OK</v>
      </c>
      <c r="N264" s="5" t="str">
        <f>IFERROR(INDEX('Output Utente'!$AE$2:$AE$492,MATCH(261,'Output Utente'!$Q$2:$Q$492,0)),"")</f>
        <v>🟢 Riserve abbondanti</v>
      </c>
    </row>
    <row r="265" spans="1:14" ht="15" customHeight="1" x14ac:dyDescent="0.25">
      <c r="A265" s="41">
        <v>262</v>
      </c>
      <c r="B265" s="5">
        <f>IFERROR(INDEX('Output Utente'!$A$2:$A$492,MATCH(262,'Output Utente'!$Q$2:$Q$492,0)),"")</f>
        <v>2640</v>
      </c>
      <c r="C265" s="5" t="str">
        <f>IFERROR(INDEX('Output Utente'!$B$2:$B$492,MATCH(262,'Output Utente'!$Q$2:$Q$492,0)),"")</f>
        <v>D</v>
      </c>
      <c r="D265" s="5" t="str">
        <f>IFERROR(INDEX('Output Utente'!$C$2:$C$492,MATCH(262,'Output Utente'!$Q$2:$Q$492,0)),"")</f>
        <v>Kolasinac</v>
      </c>
      <c r="E265" s="5" t="str">
        <f>IFERROR(INDEX('Input Giocatori 2026_27'!$D$3:$D$493,MATCH($B265,'Input Giocatori 2026_27'!$A$3:$A$493,0)),"")</f>
        <v>Atalanta</v>
      </c>
      <c r="F265" s="42">
        <f>IFERROR(INDEX('Output Utente'!$N$2:$N$492,MATCH(262,'Output Utente'!$Q$2:$Q$492,0)),"")</f>
        <v>5</v>
      </c>
      <c r="G265" s="42">
        <f>IFERROR(INDEX('Output Utente'!$O$2:$O$492,MATCH(262,'Output Utente'!$Q$2:$Q$492,0)),"")</f>
        <v>12</v>
      </c>
      <c r="H265" s="5" t="str">
        <f>IFERROR(INDEX('Output Utente'!$P$2:$P$492,MATCH(262,'Output Utente'!$Q$2:$Q$492,0)),"")</f>
        <v>Nella Media</v>
      </c>
      <c r="I265" s="42">
        <f>IFERROR(INDEX('Output Utente'!$F$2:$F$492,MATCH(262,'Output Utente'!$Q$2:$Q$492,0)),"")</f>
        <v>2</v>
      </c>
      <c r="J265" s="42">
        <f>IFERROR(INDEX('Output Utente'!$G$2:$G$492,MATCH(262,'Output Utente'!$Q$2:$Q$492,0)),"")</f>
        <v>2</v>
      </c>
      <c r="K265" s="42">
        <f>IFERROR(INDEX('Output Utente'!$H$2:$H$492,MATCH(262,'Output Utente'!$Q$2:$Q$492,0)),"")</f>
        <v>2</v>
      </c>
      <c r="L265" s="5" t="str">
        <f>IFERROR(INDEX('Output Utente'!$E$2:$E$492,MATCH(262,'Output Utente'!$Q$2:$Q$492,0)),"")</f>
        <v>NO</v>
      </c>
      <c r="M265" s="5" t="str">
        <f>IFERROR(INDEX('Output Utente'!$U$2:$U$492,MATCH(262,'Output Utente'!$Q$2:$Q$492,0)),"")</f>
        <v>OK</v>
      </c>
      <c r="N265" s="5" t="str">
        <f>IFERROR(INDEX('Output Utente'!$AE$2:$AE$492,MATCH(262,'Output Utente'!$Q$2:$Q$492,0)),"")</f>
        <v>🟢 Riserve abbondanti</v>
      </c>
    </row>
    <row r="266" spans="1:14" ht="15" customHeight="1" x14ac:dyDescent="0.25">
      <c r="A266" s="41">
        <v>263</v>
      </c>
      <c r="B266" s="5">
        <f>IFERROR(INDEX('Output Utente'!$A$2:$A$492,MATCH(263,'Output Utente'!$Q$2:$Q$492,0)),"")</f>
        <v>5449</v>
      </c>
      <c r="C266" s="5" t="str">
        <f>IFERROR(INDEX('Output Utente'!$B$2:$B$492,MATCH(263,'Output Utente'!$Q$2:$Q$492,0)),"")</f>
        <v>D</v>
      </c>
      <c r="D266" s="5" t="str">
        <f>IFERROR(INDEX('Output Utente'!$C$2:$C$492,MATCH(263,'Output Utente'!$Q$2:$Q$492,0)),"")</f>
        <v>Parisi</v>
      </c>
      <c r="E266" s="5" t="str">
        <f>IFERROR(INDEX('Input Giocatori 2026_27'!$D$3:$D$493,MATCH($B266,'Input Giocatori 2026_27'!$A$3:$A$493,0)),"")</f>
        <v>Fiorentina</v>
      </c>
      <c r="F266" s="42">
        <f>IFERROR(INDEX('Output Utente'!$N$2:$N$492,MATCH(263,'Output Utente'!$Q$2:$Q$492,0)),"")</f>
        <v>5</v>
      </c>
      <c r="G266" s="42">
        <f>IFERROR(INDEX('Output Utente'!$O$2:$O$492,MATCH(263,'Output Utente'!$Q$2:$Q$492,0)),"")</f>
        <v>12</v>
      </c>
      <c r="H266" s="5" t="str">
        <f>IFERROR(INDEX('Output Utente'!$P$2:$P$492,MATCH(263,'Output Utente'!$Q$2:$Q$492,0)),"")</f>
        <v>Nella Media</v>
      </c>
      <c r="I266" s="42">
        <f>IFERROR(INDEX('Output Utente'!$F$2:$F$492,MATCH(263,'Output Utente'!$Q$2:$Q$492,0)),"")</f>
        <v>2</v>
      </c>
      <c r="J266" s="42">
        <f>IFERROR(INDEX('Output Utente'!$G$2:$G$492,MATCH(263,'Output Utente'!$Q$2:$Q$492,0)),"")</f>
        <v>2</v>
      </c>
      <c r="K266" s="42">
        <f>IFERROR(INDEX('Output Utente'!$H$2:$H$492,MATCH(263,'Output Utente'!$Q$2:$Q$492,0)),"")</f>
        <v>2</v>
      </c>
      <c r="L266" s="5" t="str">
        <f>IFERROR(INDEX('Output Utente'!$E$2:$E$492,MATCH(263,'Output Utente'!$Q$2:$Q$492,0)),"")</f>
        <v>NO</v>
      </c>
      <c r="M266" s="5" t="str">
        <f>IFERROR(INDEX('Output Utente'!$U$2:$U$492,MATCH(263,'Output Utente'!$Q$2:$Q$492,0)),"")</f>
        <v>OK</v>
      </c>
      <c r="N266" s="5" t="str">
        <f>IFERROR(INDEX('Output Utente'!$AE$2:$AE$492,MATCH(263,'Output Utente'!$Q$2:$Q$492,0)),"")</f>
        <v>🟢 Riserve abbondanti</v>
      </c>
    </row>
    <row r="267" spans="1:14" ht="15" customHeight="1" x14ac:dyDescent="0.25">
      <c r="A267" s="41">
        <v>264</v>
      </c>
      <c r="B267" s="5">
        <f>IFERROR(INDEX('Output Utente'!$A$2:$A$492,MATCH(264,'Output Utente'!$Q$2:$Q$492,0)),"")</f>
        <v>6238</v>
      </c>
      <c r="C267" s="5" t="str">
        <f>IFERROR(INDEX('Output Utente'!$B$2:$B$492,MATCH(264,'Output Utente'!$Q$2:$Q$492,0)),"")</f>
        <v>D</v>
      </c>
      <c r="D267" s="5" t="str">
        <f>IFERROR(INDEX('Output Utente'!$C$2:$C$492,MATCH(264,'Output Utente'!$Q$2:$Q$492,0)),"")</f>
        <v>Oyono A.</v>
      </c>
      <c r="E267" s="5" t="str">
        <f>IFERROR(INDEX('Input Giocatori 2026_27'!$D$3:$D$493,MATCH($B267,'Input Giocatori 2026_27'!$A$3:$A$493,0)),"")</f>
        <v>Frosinone</v>
      </c>
      <c r="F267" s="42">
        <f>IFERROR(INDEX('Output Utente'!$N$2:$N$492,MATCH(264,'Output Utente'!$Q$2:$Q$492,0)),"")</f>
        <v>5</v>
      </c>
      <c r="G267" s="42">
        <f>IFERROR(INDEX('Output Utente'!$O$2:$O$492,MATCH(264,'Output Utente'!$Q$2:$Q$492,0)),"")</f>
        <v>12</v>
      </c>
      <c r="H267" s="5" t="str">
        <f>IFERROR(INDEX('Output Utente'!$P$2:$P$492,MATCH(264,'Output Utente'!$Q$2:$Q$492,0)),"")</f>
        <v>Nella Media</v>
      </c>
      <c r="I267" s="42">
        <f>IFERROR(INDEX('Output Utente'!$F$2:$F$492,MATCH(264,'Output Utente'!$Q$2:$Q$492,0)),"")</f>
        <v>2</v>
      </c>
      <c r="J267" s="42">
        <f>IFERROR(INDEX('Output Utente'!$G$2:$G$492,MATCH(264,'Output Utente'!$Q$2:$Q$492,0)),"")</f>
        <v>2</v>
      </c>
      <c r="K267" s="42">
        <f>IFERROR(INDEX('Output Utente'!$H$2:$H$492,MATCH(264,'Output Utente'!$Q$2:$Q$492,0)),"")</f>
        <v>2</v>
      </c>
      <c r="L267" s="5" t="str">
        <f>IFERROR(INDEX('Output Utente'!$E$2:$E$492,MATCH(264,'Output Utente'!$Q$2:$Q$492,0)),"")</f>
        <v>NO</v>
      </c>
      <c r="M267" s="5" t="str">
        <f>IFERROR(INDEX('Output Utente'!$U$2:$U$492,MATCH(264,'Output Utente'!$Q$2:$Q$492,0)),"")</f>
        <v>OK</v>
      </c>
      <c r="N267" s="5" t="str">
        <f>IFERROR(INDEX('Output Utente'!$AE$2:$AE$492,MATCH(264,'Output Utente'!$Q$2:$Q$492,0)),"")</f>
        <v>🟢 Riserve abbondanti</v>
      </c>
    </row>
    <row r="268" spans="1:14" ht="15" customHeight="1" x14ac:dyDescent="0.25">
      <c r="A268" s="41">
        <v>265</v>
      </c>
      <c r="B268" s="5">
        <f>IFERROR(INDEX('Output Utente'!$A$2:$A$492,MATCH(265,'Output Utente'!$Q$2:$Q$492,0)),"")</f>
        <v>6632</v>
      </c>
      <c r="C268" s="5" t="str">
        <f>IFERROR(INDEX('Output Utente'!$B$2:$B$492,MATCH(265,'Output Utente'!$Q$2:$Q$492,0)),"")</f>
        <v>D</v>
      </c>
      <c r="D268" s="5" t="str">
        <f>IFERROR(INDEX('Output Utente'!$C$2:$C$492,MATCH(265,'Output Utente'!$Q$2:$Q$492,0)),"")</f>
        <v>Gaspar K.</v>
      </c>
      <c r="E268" s="5" t="str">
        <f>IFERROR(INDEX('Input Giocatori 2026_27'!$D$3:$D$493,MATCH($B268,'Input Giocatori 2026_27'!$A$3:$A$493,0)),"")</f>
        <v>Lecce</v>
      </c>
      <c r="F268" s="42">
        <f>IFERROR(INDEX('Output Utente'!$N$2:$N$492,MATCH(265,'Output Utente'!$Q$2:$Q$492,0)),"")</f>
        <v>5</v>
      </c>
      <c r="G268" s="42">
        <f>IFERROR(INDEX('Output Utente'!$O$2:$O$492,MATCH(265,'Output Utente'!$Q$2:$Q$492,0)),"")</f>
        <v>12</v>
      </c>
      <c r="H268" s="5" t="str">
        <f>IFERROR(INDEX('Output Utente'!$P$2:$P$492,MATCH(265,'Output Utente'!$Q$2:$Q$492,0)),"")</f>
        <v>Nella Media</v>
      </c>
      <c r="I268" s="42">
        <f>IFERROR(INDEX('Output Utente'!$F$2:$F$492,MATCH(265,'Output Utente'!$Q$2:$Q$492,0)),"")</f>
        <v>2</v>
      </c>
      <c r="J268" s="42">
        <f>IFERROR(INDEX('Output Utente'!$G$2:$G$492,MATCH(265,'Output Utente'!$Q$2:$Q$492,0)),"")</f>
        <v>2</v>
      </c>
      <c r="K268" s="42">
        <f>IFERROR(INDEX('Output Utente'!$H$2:$H$492,MATCH(265,'Output Utente'!$Q$2:$Q$492,0)),"")</f>
        <v>2</v>
      </c>
      <c r="L268" s="5" t="str">
        <f>IFERROR(INDEX('Output Utente'!$E$2:$E$492,MATCH(265,'Output Utente'!$Q$2:$Q$492,0)),"")</f>
        <v>NO</v>
      </c>
      <c r="M268" s="5" t="str">
        <f>IFERROR(INDEX('Output Utente'!$U$2:$U$492,MATCH(265,'Output Utente'!$Q$2:$Q$492,0)),"")</f>
        <v>OK</v>
      </c>
      <c r="N268" s="5" t="str">
        <f>IFERROR(INDEX('Output Utente'!$AE$2:$AE$492,MATCH(265,'Output Utente'!$Q$2:$Q$492,0)),"")</f>
        <v>🟢 Riserve abbondanti</v>
      </c>
    </row>
    <row r="269" spans="1:14" ht="15" customHeight="1" x14ac:dyDescent="0.25">
      <c r="A269" s="41">
        <v>266</v>
      </c>
      <c r="B269" s="5">
        <f>IFERROR(INDEX('Output Utente'!$A$2:$A$492,MATCH(266,'Output Utente'!$Q$2:$Q$492,0)),"")</f>
        <v>7240</v>
      </c>
      <c r="C269" s="5" t="str">
        <f>IFERROR(INDEX('Output Utente'!$B$2:$B$492,MATCH(266,'Output Utente'!$Q$2:$Q$492,0)),"")</f>
        <v>D</v>
      </c>
      <c r="D269" s="5" t="str">
        <f>IFERROR(INDEX('Output Utente'!$C$2:$C$492,MATCH(266,'Output Utente'!$Q$2:$Q$492,0)),"")</f>
        <v>Siebert</v>
      </c>
      <c r="E269" s="5" t="str">
        <f>IFERROR(INDEX('Input Giocatori 2026_27'!$D$3:$D$493,MATCH($B269,'Input Giocatori 2026_27'!$A$3:$A$493,0)),"")</f>
        <v>Lecce</v>
      </c>
      <c r="F269" s="42">
        <f>IFERROR(INDEX('Output Utente'!$N$2:$N$492,MATCH(266,'Output Utente'!$Q$2:$Q$492,0)),"")</f>
        <v>4</v>
      </c>
      <c r="G269" s="42">
        <f>IFERROR(INDEX('Output Utente'!$O$2:$O$492,MATCH(266,'Output Utente'!$Q$2:$Q$492,0)),"")</f>
        <v>12</v>
      </c>
      <c r="H269" s="5" t="str">
        <f>IFERROR(INDEX('Output Utente'!$P$2:$P$492,MATCH(266,'Output Utente'!$Q$2:$Q$492,0)),"")</f>
        <v>Nella Media</v>
      </c>
      <c r="I269" s="42">
        <f>IFERROR(INDEX('Output Utente'!$F$2:$F$492,MATCH(266,'Output Utente'!$Q$2:$Q$492,0)),"")</f>
        <v>2</v>
      </c>
      <c r="J269" s="42">
        <f>IFERROR(INDEX('Output Utente'!$G$2:$G$492,MATCH(266,'Output Utente'!$Q$2:$Q$492,0)),"")</f>
        <v>2</v>
      </c>
      <c r="K269" s="42">
        <f>IFERROR(INDEX('Output Utente'!$H$2:$H$492,MATCH(266,'Output Utente'!$Q$2:$Q$492,0)),"")</f>
        <v>2</v>
      </c>
      <c r="L269" s="5" t="str">
        <f>IFERROR(INDEX('Output Utente'!$E$2:$E$492,MATCH(266,'Output Utente'!$Q$2:$Q$492,0)),"")</f>
        <v>NO</v>
      </c>
      <c r="M269" s="5" t="str">
        <f>IFERROR(INDEX('Output Utente'!$U$2:$U$492,MATCH(266,'Output Utente'!$Q$2:$Q$492,0)),"")</f>
        <v>OK</v>
      </c>
      <c r="N269" s="5" t="str">
        <f>IFERROR(INDEX('Output Utente'!$AE$2:$AE$492,MATCH(266,'Output Utente'!$Q$2:$Q$492,0)),"")</f>
        <v>🟢 Riserve abbondanti</v>
      </c>
    </row>
    <row r="270" spans="1:14" ht="15" customHeight="1" x14ac:dyDescent="0.25">
      <c r="A270" s="41">
        <v>267</v>
      </c>
      <c r="B270" s="5">
        <f>IFERROR(INDEX('Output Utente'!$A$2:$A$492,MATCH(267,'Output Utente'!$Q$2:$Q$492,0)),"")</f>
        <v>6659</v>
      </c>
      <c r="C270" s="5" t="str">
        <f>IFERROR(INDEX('Output Utente'!$B$2:$B$492,MATCH(267,'Output Utente'!$Q$2:$Q$492,0)),"")</f>
        <v>D</v>
      </c>
      <c r="D270" s="5" t="str">
        <f>IFERROR(INDEX('Output Utente'!$C$2:$C$492,MATCH(267,'Output Utente'!$Q$2:$Q$492,0)),"")</f>
        <v>Lucchesi</v>
      </c>
      <c r="E270" s="5" t="str">
        <f>IFERROR(INDEX('Input Giocatori 2026_27'!$D$3:$D$493,MATCH($B270,'Input Giocatori 2026_27'!$A$3:$A$493,0)),"")</f>
        <v>Monza</v>
      </c>
      <c r="F270" s="42">
        <f>IFERROR(INDEX('Output Utente'!$N$2:$N$492,MATCH(267,'Output Utente'!$Q$2:$Q$492,0)),"")</f>
        <v>4</v>
      </c>
      <c r="G270" s="42">
        <f>IFERROR(INDEX('Output Utente'!$O$2:$O$492,MATCH(267,'Output Utente'!$Q$2:$Q$492,0)),"")</f>
        <v>12</v>
      </c>
      <c r="H270" s="5" t="str">
        <f>IFERROR(INDEX('Output Utente'!$P$2:$P$492,MATCH(267,'Output Utente'!$Q$2:$Q$492,0)),"")</f>
        <v>Nella Media</v>
      </c>
      <c r="I270" s="42">
        <f>IFERROR(INDEX('Output Utente'!$F$2:$F$492,MATCH(267,'Output Utente'!$Q$2:$Q$492,0)),"")</f>
        <v>2</v>
      </c>
      <c r="J270" s="42">
        <f>IFERROR(INDEX('Output Utente'!$G$2:$G$492,MATCH(267,'Output Utente'!$Q$2:$Q$492,0)),"")</f>
        <v>2</v>
      </c>
      <c r="K270" s="42">
        <f>IFERROR(INDEX('Output Utente'!$H$2:$H$492,MATCH(267,'Output Utente'!$Q$2:$Q$492,0)),"")</f>
        <v>2</v>
      </c>
      <c r="L270" s="5" t="str">
        <f>IFERROR(INDEX('Output Utente'!$E$2:$E$492,MATCH(267,'Output Utente'!$Q$2:$Q$492,0)),"")</f>
        <v>NO</v>
      </c>
      <c r="M270" s="5" t="str">
        <f>IFERROR(INDEX('Output Utente'!$U$2:$U$492,MATCH(267,'Output Utente'!$Q$2:$Q$492,0)),"")</f>
        <v>OK</v>
      </c>
      <c r="N270" s="5" t="str">
        <f>IFERROR(INDEX('Output Utente'!$AE$2:$AE$492,MATCH(267,'Output Utente'!$Q$2:$Q$492,0)),"")</f>
        <v>🟢 Riserve abbondanti</v>
      </c>
    </row>
    <row r="271" spans="1:14" ht="15" customHeight="1" x14ac:dyDescent="0.25">
      <c r="A271" s="41">
        <v>268</v>
      </c>
      <c r="B271" s="5">
        <f>IFERROR(INDEX('Output Utente'!$A$2:$A$492,MATCH(268,'Output Utente'!$Q$2:$Q$492,0)),"")</f>
        <v>5838</v>
      </c>
      <c r="C271" s="5" t="str">
        <f>IFERROR(INDEX('Output Utente'!$B$2:$B$492,MATCH(268,'Output Utente'!$Q$2:$Q$492,0)),"")</f>
        <v>D</v>
      </c>
      <c r="D271" s="5" t="str">
        <f>IFERROR(INDEX('Output Utente'!$C$2:$C$492,MATCH(268,'Output Utente'!$Q$2:$Q$492,0)),"")</f>
        <v>Birindelli</v>
      </c>
      <c r="E271" s="5" t="str">
        <f>IFERROR(INDEX('Input Giocatori 2026_27'!$D$3:$D$493,MATCH($B271,'Input Giocatori 2026_27'!$A$3:$A$493,0)),"")</f>
        <v>Monza</v>
      </c>
      <c r="F271" s="42">
        <f>IFERROR(INDEX('Output Utente'!$N$2:$N$492,MATCH(268,'Output Utente'!$Q$2:$Q$492,0)),"")</f>
        <v>4</v>
      </c>
      <c r="G271" s="42">
        <f>IFERROR(INDEX('Output Utente'!$O$2:$O$492,MATCH(268,'Output Utente'!$Q$2:$Q$492,0)),"")</f>
        <v>12</v>
      </c>
      <c r="H271" s="5" t="str">
        <f>IFERROR(INDEX('Output Utente'!$P$2:$P$492,MATCH(268,'Output Utente'!$Q$2:$Q$492,0)),"")</f>
        <v>Nella Media</v>
      </c>
      <c r="I271" s="42">
        <f>IFERROR(INDEX('Output Utente'!$F$2:$F$492,MATCH(268,'Output Utente'!$Q$2:$Q$492,0)),"")</f>
        <v>2</v>
      </c>
      <c r="J271" s="42">
        <f>IFERROR(INDEX('Output Utente'!$G$2:$G$492,MATCH(268,'Output Utente'!$Q$2:$Q$492,0)),"")</f>
        <v>2</v>
      </c>
      <c r="K271" s="42">
        <f>IFERROR(INDEX('Output Utente'!$H$2:$H$492,MATCH(268,'Output Utente'!$Q$2:$Q$492,0)),"")</f>
        <v>2</v>
      </c>
      <c r="L271" s="5" t="str">
        <f>IFERROR(INDEX('Output Utente'!$E$2:$E$492,MATCH(268,'Output Utente'!$Q$2:$Q$492,0)),"")</f>
        <v>NO</v>
      </c>
      <c r="M271" s="5" t="str">
        <f>IFERROR(INDEX('Output Utente'!$U$2:$U$492,MATCH(268,'Output Utente'!$Q$2:$Q$492,0)),"")</f>
        <v>OK</v>
      </c>
      <c r="N271" s="5" t="str">
        <f>IFERROR(INDEX('Output Utente'!$AE$2:$AE$492,MATCH(268,'Output Utente'!$Q$2:$Q$492,0)),"")</f>
        <v>🟢 Riserve abbondanti</v>
      </c>
    </row>
    <row r="272" spans="1:14" ht="15" customHeight="1" x14ac:dyDescent="0.25">
      <c r="A272" s="41">
        <v>269</v>
      </c>
      <c r="B272" s="5">
        <f>IFERROR(INDEX('Output Utente'!$A$2:$A$492,MATCH(269,'Output Utente'!$Q$2:$Q$492,0)),"")</f>
        <v>4845</v>
      </c>
      <c r="C272" s="5" t="str">
        <f>IFERROR(INDEX('Output Utente'!$B$2:$B$492,MATCH(269,'Output Utente'!$Q$2:$Q$492,0)),"")</f>
        <v>D</v>
      </c>
      <c r="D272" s="5" t="str">
        <f>IFERROR(INDEX('Output Utente'!$C$2:$C$492,MATCH(269,'Output Utente'!$Q$2:$Q$492,0)),"")</f>
        <v>Correia T.</v>
      </c>
      <c r="E272" s="5" t="str">
        <f>IFERROR(INDEX('Input Giocatori 2026_27'!$D$3:$D$493,MATCH($B272,'Input Giocatori 2026_27'!$A$3:$A$493,0)),"")</f>
        <v>Venezia</v>
      </c>
      <c r="F272" s="42">
        <f>IFERROR(INDEX('Output Utente'!$N$2:$N$492,MATCH(269,'Output Utente'!$Q$2:$Q$492,0)),"")</f>
        <v>4</v>
      </c>
      <c r="G272" s="42">
        <f>IFERROR(INDEX('Output Utente'!$O$2:$O$492,MATCH(269,'Output Utente'!$Q$2:$Q$492,0)),"")</f>
        <v>12</v>
      </c>
      <c r="H272" s="5" t="str">
        <f>IFERROR(INDEX('Output Utente'!$P$2:$P$492,MATCH(269,'Output Utente'!$Q$2:$Q$492,0)),"")</f>
        <v>Nella Media</v>
      </c>
      <c r="I272" s="42">
        <f>IFERROR(INDEX('Output Utente'!$F$2:$F$492,MATCH(269,'Output Utente'!$Q$2:$Q$492,0)),"")</f>
        <v>2</v>
      </c>
      <c r="J272" s="42">
        <f>IFERROR(INDEX('Output Utente'!$G$2:$G$492,MATCH(269,'Output Utente'!$Q$2:$Q$492,0)),"")</f>
        <v>2</v>
      </c>
      <c r="K272" s="42">
        <f>IFERROR(INDEX('Output Utente'!$H$2:$H$492,MATCH(269,'Output Utente'!$Q$2:$Q$492,0)),"")</f>
        <v>2</v>
      </c>
      <c r="L272" s="5" t="str">
        <f>IFERROR(INDEX('Output Utente'!$E$2:$E$492,MATCH(269,'Output Utente'!$Q$2:$Q$492,0)),"")</f>
        <v>NO</v>
      </c>
      <c r="M272" s="5" t="str">
        <f>IFERROR(INDEX('Output Utente'!$U$2:$U$492,MATCH(269,'Output Utente'!$Q$2:$Q$492,0)),"")</f>
        <v>OK</v>
      </c>
      <c r="N272" s="5" t="str">
        <f>IFERROR(INDEX('Output Utente'!$AE$2:$AE$492,MATCH(269,'Output Utente'!$Q$2:$Q$492,0)),"")</f>
        <v>🟢 Riserve abbondanti</v>
      </c>
    </row>
    <row r="273" spans="1:14" ht="15" customHeight="1" x14ac:dyDescent="0.25">
      <c r="A273" s="41">
        <v>270</v>
      </c>
      <c r="B273" s="5">
        <f>IFERROR(INDEX('Output Utente'!$A$2:$A$492,MATCH(270,'Output Utente'!$Q$2:$Q$492,0)),"")</f>
        <v>7131</v>
      </c>
      <c r="C273" s="5" t="str">
        <f>IFERROR(INDEX('Output Utente'!$B$2:$B$492,MATCH(270,'Output Utente'!$Q$2:$Q$492,0)),"")</f>
        <v>D</v>
      </c>
      <c r="D273" s="5" t="str">
        <f>IFERROR(INDEX('Output Utente'!$C$2:$C$492,MATCH(270,'Output Utente'!$Q$2:$Q$492,0)),"")</f>
        <v>Floriani Mussolini</v>
      </c>
      <c r="E273" s="5" t="str">
        <f>IFERROR(INDEX('Input Giocatori 2026_27'!$D$3:$D$493,MATCH($B273,'Input Giocatori 2026_27'!$A$3:$A$493,0)),"")</f>
        <v>Lazio</v>
      </c>
      <c r="F273" s="42">
        <f>IFERROR(INDEX('Output Utente'!$N$2:$N$492,MATCH(270,'Output Utente'!$Q$2:$Q$492,0)),"")</f>
        <v>3</v>
      </c>
      <c r="G273" s="42">
        <f>IFERROR(INDEX('Output Utente'!$O$2:$O$492,MATCH(270,'Output Utente'!$Q$2:$Q$492,0)),"")</f>
        <v>12</v>
      </c>
      <c r="H273" s="5" t="str">
        <f>IFERROR(INDEX('Output Utente'!$P$2:$P$492,MATCH(270,'Output Utente'!$Q$2:$Q$492,0)),"")</f>
        <v>Nella Media</v>
      </c>
      <c r="I273" s="42">
        <f>IFERROR(INDEX('Output Utente'!$F$2:$F$492,MATCH(270,'Output Utente'!$Q$2:$Q$492,0)),"")</f>
        <v>2</v>
      </c>
      <c r="J273" s="42">
        <f>IFERROR(INDEX('Output Utente'!$G$2:$G$492,MATCH(270,'Output Utente'!$Q$2:$Q$492,0)),"")</f>
        <v>2</v>
      </c>
      <c r="K273" s="42">
        <f>IFERROR(INDEX('Output Utente'!$H$2:$H$492,MATCH(270,'Output Utente'!$Q$2:$Q$492,0)),"")</f>
        <v>2</v>
      </c>
      <c r="L273" s="5" t="str">
        <f>IFERROR(INDEX('Output Utente'!$E$2:$E$492,MATCH(270,'Output Utente'!$Q$2:$Q$492,0)),"")</f>
        <v>NO</v>
      </c>
      <c r="M273" s="5" t="str">
        <f>IFERROR(INDEX('Output Utente'!$U$2:$U$492,MATCH(270,'Output Utente'!$Q$2:$Q$492,0)),"")</f>
        <v>OK</v>
      </c>
      <c r="N273" s="5" t="str">
        <f>IFERROR(INDEX('Output Utente'!$AE$2:$AE$492,MATCH(270,'Output Utente'!$Q$2:$Q$492,0)),"")</f>
        <v>🟢 Riserve abbondanti</v>
      </c>
    </row>
    <row r="274" spans="1:14" ht="15" customHeight="1" x14ac:dyDescent="0.25">
      <c r="A274" s="41">
        <v>271</v>
      </c>
      <c r="B274" s="5">
        <f>IFERROR(INDEX('Output Utente'!$A$2:$A$492,MATCH(271,'Output Utente'!$Q$2:$Q$492,0)),"")</f>
        <v>5739</v>
      </c>
      <c r="C274" s="5" t="str">
        <f>IFERROR(INDEX('Output Utente'!$B$2:$B$492,MATCH(271,'Output Utente'!$Q$2:$Q$492,0)),"")</f>
        <v>D</v>
      </c>
      <c r="D274" s="5" t="str">
        <f>IFERROR(INDEX('Output Utente'!$C$2:$C$492,MATCH(271,'Output Utente'!$Q$2:$Q$492,0)),"")</f>
        <v>De Winter</v>
      </c>
      <c r="E274" s="5" t="str">
        <f>IFERROR(INDEX('Input Giocatori 2026_27'!$D$3:$D$493,MATCH($B274,'Input Giocatori 2026_27'!$A$3:$A$493,0)),"")</f>
        <v>Milan</v>
      </c>
      <c r="F274" s="42">
        <f>IFERROR(INDEX('Output Utente'!$N$2:$N$492,MATCH(271,'Output Utente'!$Q$2:$Q$492,0)),"")</f>
        <v>3</v>
      </c>
      <c r="G274" s="42">
        <f>IFERROR(INDEX('Output Utente'!$O$2:$O$492,MATCH(271,'Output Utente'!$Q$2:$Q$492,0)),"")</f>
        <v>12</v>
      </c>
      <c r="H274" s="5" t="str">
        <f>IFERROR(INDEX('Output Utente'!$P$2:$P$492,MATCH(271,'Output Utente'!$Q$2:$Q$492,0)),"")</f>
        <v>Nella Media</v>
      </c>
      <c r="I274" s="42">
        <f>IFERROR(INDEX('Output Utente'!$F$2:$F$492,MATCH(271,'Output Utente'!$Q$2:$Q$492,0)),"")</f>
        <v>2</v>
      </c>
      <c r="J274" s="42">
        <f>IFERROR(INDEX('Output Utente'!$G$2:$G$492,MATCH(271,'Output Utente'!$Q$2:$Q$492,0)),"")</f>
        <v>2</v>
      </c>
      <c r="K274" s="42">
        <f>IFERROR(INDEX('Output Utente'!$H$2:$H$492,MATCH(271,'Output Utente'!$Q$2:$Q$492,0)),"")</f>
        <v>2</v>
      </c>
      <c r="L274" s="5" t="str">
        <f>IFERROR(INDEX('Output Utente'!$E$2:$E$492,MATCH(271,'Output Utente'!$Q$2:$Q$492,0)),"")</f>
        <v>NO</v>
      </c>
      <c r="M274" s="5" t="str">
        <f>IFERROR(INDEX('Output Utente'!$U$2:$U$492,MATCH(271,'Output Utente'!$Q$2:$Q$492,0)),"")</f>
        <v>OK</v>
      </c>
      <c r="N274" s="5" t="str">
        <f>IFERROR(INDEX('Output Utente'!$AE$2:$AE$492,MATCH(271,'Output Utente'!$Q$2:$Q$492,0)),"")</f>
        <v>🟢 Riserve abbondanti</v>
      </c>
    </row>
    <row r="275" spans="1:14" ht="15" customHeight="1" x14ac:dyDescent="0.25">
      <c r="A275" s="41">
        <v>272</v>
      </c>
      <c r="B275" s="5">
        <f>IFERROR(INDEX('Output Utente'!$A$2:$A$492,MATCH(272,'Output Utente'!$Q$2:$Q$492,0)),"")</f>
        <v>6985</v>
      </c>
      <c r="C275" s="5" t="str">
        <f>IFERROR(INDEX('Output Utente'!$B$2:$B$492,MATCH(272,'Output Utente'!$Q$2:$Q$492,0)),"")</f>
        <v>D</v>
      </c>
      <c r="D275" s="5" t="str">
        <f>IFERROR(INDEX('Output Utente'!$C$2:$C$492,MATCH(272,'Output Utente'!$Q$2:$Q$492,0)),"")</f>
        <v>Candè</v>
      </c>
      <c r="E275" s="5" t="str">
        <f>IFERROR(INDEX('Input Giocatori 2026_27'!$D$3:$D$493,MATCH($B275,'Input Giocatori 2026_27'!$A$3:$A$493,0)),"")</f>
        <v>Sassuolo</v>
      </c>
      <c r="F275" s="42">
        <f>IFERROR(INDEX('Output Utente'!$N$2:$N$492,MATCH(272,'Output Utente'!$Q$2:$Q$492,0)),"")</f>
        <v>3</v>
      </c>
      <c r="G275" s="42">
        <f>IFERROR(INDEX('Output Utente'!$O$2:$O$492,MATCH(272,'Output Utente'!$Q$2:$Q$492,0)),"")</f>
        <v>12</v>
      </c>
      <c r="H275" s="5" t="str">
        <f>IFERROR(INDEX('Output Utente'!$P$2:$P$492,MATCH(272,'Output Utente'!$Q$2:$Q$492,0)),"")</f>
        <v>Nella Media</v>
      </c>
      <c r="I275" s="42">
        <f>IFERROR(INDEX('Output Utente'!$F$2:$F$492,MATCH(272,'Output Utente'!$Q$2:$Q$492,0)),"")</f>
        <v>2</v>
      </c>
      <c r="J275" s="42">
        <f>IFERROR(INDEX('Output Utente'!$G$2:$G$492,MATCH(272,'Output Utente'!$Q$2:$Q$492,0)),"")</f>
        <v>2</v>
      </c>
      <c r="K275" s="42">
        <f>IFERROR(INDEX('Output Utente'!$H$2:$H$492,MATCH(272,'Output Utente'!$Q$2:$Q$492,0)),"")</f>
        <v>2</v>
      </c>
      <c r="L275" s="5" t="str">
        <f>IFERROR(INDEX('Output Utente'!$E$2:$E$492,MATCH(272,'Output Utente'!$Q$2:$Q$492,0)),"")</f>
        <v>NO</v>
      </c>
      <c r="M275" s="5" t="str">
        <f>IFERROR(INDEX('Output Utente'!$U$2:$U$492,MATCH(272,'Output Utente'!$Q$2:$Q$492,0)),"")</f>
        <v>OK</v>
      </c>
      <c r="N275" s="5" t="str">
        <f>IFERROR(INDEX('Output Utente'!$AE$2:$AE$492,MATCH(272,'Output Utente'!$Q$2:$Q$492,0)),"")</f>
        <v>🟢 Riserve abbondanti</v>
      </c>
    </row>
    <row r="276" spans="1:14" ht="15" customHeight="1" x14ac:dyDescent="0.25">
      <c r="A276" s="41">
        <v>273</v>
      </c>
      <c r="B276" s="5">
        <f>IFERROR(INDEX('Output Utente'!$A$2:$A$492,MATCH(273,'Output Utente'!$Q$2:$Q$492,0)),"")</f>
        <v>7528</v>
      </c>
      <c r="C276" s="5" t="str">
        <f>IFERROR(INDEX('Output Utente'!$B$2:$B$492,MATCH(273,'Output Utente'!$Q$2:$Q$492,0)),"")</f>
        <v>C</v>
      </c>
      <c r="D276" s="5" t="str">
        <f>IFERROR(INDEX('Output Utente'!$C$2:$C$492,MATCH(273,'Output Utente'!$Q$2:$Q$492,0)),"")</f>
        <v>Amondarain</v>
      </c>
      <c r="E276" s="5" t="str">
        <f>IFERROR(INDEX('Input Giocatori 2026_27'!$D$3:$D$493,MATCH($B276,'Input Giocatori 2026_27'!$A$3:$A$493,0)),"")</f>
        <v>Bologna</v>
      </c>
      <c r="F276" s="42">
        <f>IFERROR(INDEX('Output Utente'!$N$2:$N$492,MATCH(273,'Output Utente'!$Q$2:$Q$492,0)),"")</f>
        <v>5</v>
      </c>
      <c r="G276" s="42">
        <f>IFERROR(INDEX('Output Utente'!$O$2:$O$492,MATCH(273,'Output Utente'!$Q$2:$Q$492,0)),"")</f>
        <v>12</v>
      </c>
      <c r="H276" s="5" t="str">
        <f>IFERROR(INDEX('Output Utente'!$P$2:$P$492,MATCH(273,'Output Utente'!$Q$2:$Q$492,0)),"")</f>
        <v>Scommessa/Riserva</v>
      </c>
      <c r="I276" s="42">
        <f>IFERROR(INDEX('Output Utente'!$F$2:$F$492,MATCH(273,'Output Utente'!$Q$2:$Q$492,0)),"")</f>
        <v>2</v>
      </c>
      <c r="J276" s="42">
        <f>IFERROR(INDEX('Output Utente'!$G$2:$G$492,MATCH(273,'Output Utente'!$Q$2:$Q$492,0)),"")</f>
        <v>1</v>
      </c>
      <c r="K276" s="42">
        <f>IFERROR(INDEX('Output Utente'!$H$2:$H$492,MATCH(273,'Output Utente'!$Q$2:$Q$492,0)),"")</f>
        <v>2</v>
      </c>
      <c r="L276" s="5" t="str">
        <f>IFERROR(INDEX('Output Utente'!$E$2:$E$492,MATCH(273,'Output Utente'!$Q$2:$Q$492,0)),"")</f>
        <v>NO</v>
      </c>
      <c r="M276" s="5" t="str">
        <f>IFERROR(INDEX('Output Utente'!$U$2:$U$492,MATCH(273,'Output Utente'!$Q$2:$Q$492,0)),"")</f>
        <v>OK</v>
      </c>
      <c r="N276" s="5" t="str">
        <f>IFERROR(INDEX('Output Utente'!$AE$2:$AE$492,MATCH(273,'Output Utente'!$Q$2:$Q$492,0)),"")</f>
        <v>🟢 Riserve abbondanti</v>
      </c>
    </row>
    <row r="277" spans="1:14" ht="15" customHeight="1" x14ac:dyDescent="0.25">
      <c r="A277" s="41">
        <v>274</v>
      </c>
      <c r="B277" s="5">
        <f>IFERROR(INDEX('Output Utente'!$A$2:$A$492,MATCH(274,'Output Utente'!$Q$2:$Q$492,0)),"")</f>
        <v>7311</v>
      </c>
      <c r="C277" s="5" t="str">
        <f>IFERROR(INDEX('Output Utente'!$B$2:$B$492,MATCH(274,'Output Utente'!$Q$2:$Q$492,0)),"")</f>
        <v>C</v>
      </c>
      <c r="D277" s="5" t="str">
        <f>IFERROR(INDEX('Output Utente'!$C$2:$C$492,MATCH(274,'Output Utente'!$Q$2:$Q$492,0)),"")</f>
        <v>Romano</v>
      </c>
      <c r="E277" s="5" t="str">
        <f>IFERROR(INDEX('Input Giocatori 2026_27'!$D$3:$D$493,MATCH($B277,'Input Giocatori 2026_27'!$A$3:$A$493,0)),"")</f>
        <v>Cagliari</v>
      </c>
      <c r="F277" s="42">
        <f>IFERROR(INDEX('Output Utente'!$N$2:$N$492,MATCH(274,'Output Utente'!$Q$2:$Q$492,0)),"")</f>
        <v>5</v>
      </c>
      <c r="G277" s="42">
        <f>IFERROR(INDEX('Output Utente'!$O$2:$O$492,MATCH(274,'Output Utente'!$Q$2:$Q$492,0)),"")</f>
        <v>12</v>
      </c>
      <c r="H277" s="5" t="str">
        <f>IFERROR(INDEX('Output Utente'!$P$2:$P$492,MATCH(274,'Output Utente'!$Q$2:$Q$492,0)),"")</f>
        <v>Scommessa/Riserva</v>
      </c>
      <c r="I277" s="42">
        <f>IFERROR(INDEX('Output Utente'!$F$2:$F$492,MATCH(274,'Output Utente'!$Q$2:$Q$492,0)),"")</f>
        <v>2</v>
      </c>
      <c r="J277" s="42">
        <f>IFERROR(INDEX('Output Utente'!$G$2:$G$492,MATCH(274,'Output Utente'!$Q$2:$Q$492,0)),"")</f>
        <v>1</v>
      </c>
      <c r="K277" s="42">
        <f>IFERROR(INDEX('Output Utente'!$H$2:$H$492,MATCH(274,'Output Utente'!$Q$2:$Q$492,0)),"")</f>
        <v>2</v>
      </c>
      <c r="L277" s="5" t="str">
        <f>IFERROR(INDEX('Output Utente'!$E$2:$E$492,MATCH(274,'Output Utente'!$Q$2:$Q$492,0)),"")</f>
        <v>NO</v>
      </c>
      <c r="M277" s="5" t="str">
        <f>IFERROR(INDEX('Output Utente'!$U$2:$U$492,MATCH(274,'Output Utente'!$Q$2:$Q$492,0)),"")</f>
        <v>OK</v>
      </c>
      <c r="N277" s="5" t="str">
        <f>IFERROR(INDEX('Output Utente'!$AE$2:$AE$492,MATCH(274,'Output Utente'!$Q$2:$Q$492,0)),"")</f>
        <v>🟢 Riserve abbondanti</v>
      </c>
    </row>
    <row r="278" spans="1:14" ht="15" customHeight="1" x14ac:dyDescent="0.25">
      <c r="A278" s="41">
        <v>275</v>
      </c>
      <c r="B278" s="5">
        <f>IFERROR(INDEX('Output Utente'!$A$2:$A$492,MATCH(275,'Output Utente'!$Q$2:$Q$492,0)),"")</f>
        <v>22</v>
      </c>
      <c r="C278" s="5" t="str">
        <f>IFERROR(INDEX('Output Utente'!$B$2:$B$492,MATCH(275,'Output Utente'!$Q$2:$Q$492,0)),"")</f>
        <v>C</v>
      </c>
      <c r="D278" s="5" t="str">
        <f>IFERROR(INDEX('Output Utente'!$C$2:$C$492,MATCH(275,'Output Utente'!$Q$2:$Q$492,0)),"")</f>
        <v>De Roon</v>
      </c>
      <c r="E278" s="5" t="str">
        <f>IFERROR(INDEX('Input Giocatori 2026_27'!$D$3:$D$493,MATCH($B278,'Input Giocatori 2026_27'!$A$3:$A$493,0)),"")</f>
        <v>Atalanta</v>
      </c>
      <c r="F278" s="42">
        <f>IFERROR(INDEX('Output Utente'!$N$2:$N$492,MATCH(275,'Output Utente'!$Q$2:$Q$492,0)),"")</f>
        <v>4</v>
      </c>
      <c r="G278" s="42">
        <f>IFERROR(INDEX('Output Utente'!$O$2:$O$492,MATCH(275,'Output Utente'!$Q$2:$Q$492,0)),"")</f>
        <v>12</v>
      </c>
      <c r="H278" s="5" t="str">
        <f>IFERROR(INDEX('Output Utente'!$P$2:$P$492,MATCH(275,'Output Utente'!$Q$2:$Q$492,0)),"")</f>
        <v>Scommessa/Riserva</v>
      </c>
      <c r="I278" s="42">
        <f>IFERROR(INDEX('Output Utente'!$F$2:$F$492,MATCH(275,'Output Utente'!$Q$2:$Q$492,0)),"")</f>
        <v>2</v>
      </c>
      <c r="J278" s="42">
        <f>IFERROR(INDEX('Output Utente'!$G$2:$G$492,MATCH(275,'Output Utente'!$Q$2:$Q$492,0)),"")</f>
        <v>1</v>
      </c>
      <c r="K278" s="42">
        <f>IFERROR(INDEX('Output Utente'!$H$2:$H$492,MATCH(275,'Output Utente'!$Q$2:$Q$492,0)),"")</f>
        <v>2</v>
      </c>
      <c r="L278" s="5" t="str">
        <f>IFERROR(INDEX('Output Utente'!$E$2:$E$492,MATCH(275,'Output Utente'!$Q$2:$Q$492,0)),"")</f>
        <v>NO</v>
      </c>
      <c r="M278" s="5" t="str">
        <f>IFERROR(INDEX('Output Utente'!$U$2:$U$492,MATCH(275,'Output Utente'!$Q$2:$Q$492,0)),"")</f>
        <v>OK</v>
      </c>
      <c r="N278" s="5" t="str">
        <f>IFERROR(INDEX('Output Utente'!$AE$2:$AE$492,MATCH(275,'Output Utente'!$Q$2:$Q$492,0)),"")</f>
        <v>🟢 Riserve abbondanti</v>
      </c>
    </row>
    <row r="279" spans="1:14" ht="15" customHeight="1" x14ac:dyDescent="0.25">
      <c r="A279" s="41">
        <v>276</v>
      </c>
      <c r="B279" s="5">
        <f>IFERROR(INDEX('Output Utente'!$A$2:$A$492,MATCH(276,'Output Utente'!$Q$2:$Q$492,0)),"")</f>
        <v>7474</v>
      </c>
      <c r="C279" s="5" t="str">
        <f>IFERROR(INDEX('Output Utente'!$B$2:$B$492,MATCH(276,'Output Utente'!$Q$2:$Q$492,0)),"")</f>
        <v>C</v>
      </c>
      <c r="D279" s="5" t="str">
        <f>IFERROR(INDEX('Output Utente'!$C$2:$C$492,MATCH(276,'Output Utente'!$Q$2:$Q$492,0)),"")</f>
        <v>Koutsoupias</v>
      </c>
      <c r="E279" s="5" t="str">
        <f>IFERROR(INDEX('Input Giocatori 2026_27'!$D$3:$D$493,MATCH($B279,'Input Giocatori 2026_27'!$A$3:$A$493,0)),"")</f>
        <v>Frosinone</v>
      </c>
      <c r="F279" s="42">
        <f>IFERROR(INDEX('Output Utente'!$N$2:$N$492,MATCH(276,'Output Utente'!$Q$2:$Q$492,0)),"")</f>
        <v>4</v>
      </c>
      <c r="G279" s="42">
        <f>IFERROR(INDEX('Output Utente'!$O$2:$O$492,MATCH(276,'Output Utente'!$Q$2:$Q$492,0)),"")</f>
        <v>12</v>
      </c>
      <c r="H279" s="5" t="str">
        <f>IFERROR(INDEX('Output Utente'!$P$2:$P$492,MATCH(276,'Output Utente'!$Q$2:$Q$492,0)),"")</f>
        <v>Scommessa/Riserva</v>
      </c>
      <c r="I279" s="42">
        <f>IFERROR(INDEX('Output Utente'!$F$2:$F$492,MATCH(276,'Output Utente'!$Q$2:$Q$492,0)),"")</f>
        <v>2</v>
      </c>
      <c r="J279" s="42">
        <f>IFERROR(INDEX('Output Utente'!$G$2:$G$492,MATCH(276,'Output Utente'!$Q$2:$Q$492,0)),"")</f>
        <v>1</v>
      </c>
      <c r="K279" s="42">
        <f>IFERROR(INDEX('Output Utente'!$H$2:$H$492,MATCH(276,'Output Utente'!$Q$2:$Q$492,0)),"")</f>
        <v>2</v>
      </c>
      <c r="L279" s="5" t="str">
        <f>IFERROR(INDEX('Output Utente'!$E$2:$E$492,MATCH(276,'Output Utente'!$Q$2:$Q$492,0)),"")</f>
        <v>NO</v>
      </c>
      <c r="M279" s="5" t="str">
        <f>IFERROR(INDEX('Output Utente'!$U$2:$U$492,MATCH(276,'Output Utente'!$Q$2:$Q$492,0)),"")</f>
        <v>OK</v>
      </c>
      <c r="N279" s="5" t="str">
        <f>IFERROR(INDEX('Output Utente'!$AE$2:$AE$492,MATCH(276,'Output Utente'!$Q$2:$Q$492,0)),"")</f>
        <v>🟢 Riserve abbondanti</v>
      </c>
    </row>
    <row r="280" spans="1:14" ht="15" customHeight="1" x14ac:dyDescent="0.25">
      <c r="A280" s="41">
        <v>277</v>
      </c>
      <c r="B280" s="5">
        <f>IFERROR(INDEX('Output Utente'!$A$2:$A$492,MATCH(277,'Output Utente'!$Q$2:$Q$492,0)),"")</f>
        <v>4911</v>
      </c>
      <c r="C280" s="5" t="str">
        <f>IFERROR(INDEX('Output Utente'!$B$2:$B$492,MATCH(277,'Output Utente'!$Q$2:$Q$492,0)),"")</f>
        <v>C</v>
      </c>
      <c r="D280" s="5" t="str">
        <f>IFERROR(INDEX('Output Utente'!$C$2:$C$492,MATCH(277,'Output Utente'!$Q$2:$Q$492,0)),"")</f>
        <v>Douglas Luiz</v>
      </c>
      <c r="E280" s="5" t="str">
        <f>IFERROR(INDEX('Input Giocatori 2026_27'!$D$3:$D$493,MATCH($B280,'Input Giocatori 2026_27'!$A$3:$A$493,0)),"")</f>
        <v>Juventus</v>
      </c>
      <c r="F280" s="42">
        <f>IFERROR(INDEX('Output Utente'!$N$2:$N$492,MATCH(277,'Output Utente'!$Q$2:$Q$492,0)),"")</f>
        <v>4</v>
      </c>
      <c r="G280" s="42">
        <f>IFERROR(INDEX('Output Utente'!$O$2:$O$492,MATCH(277,'Output Utente'!$Q$2:$Q$492,0)),"")</f>
        <v>12</v>
      </c>
      <c r="H280" s="5" t="str">
        <f>IFERROR(INDEX('Output Utente'!$P$2:$P$492,MATCH(277,'Output Utente'!$Q$2:$Q$492,0)),"")</f>
        <v>Scommessa/Riserva</v>
      </c>
      <c r="I280" s="42">
        <f>IFERROR(INDEX('Output Utente'!$F$2:$F$492,MATCH(277,'Output Utente'!$Q$2:$Q$492,0)),"")</f>
        <v>2</v>
      </c>
      <c r="J280" s="42">
        <f>IFERROR(INDEX('Output Utente'!$G$2:$G$492,MATCH(277,'Output Utente'!$Q$2:$Q$492,0)),"")</f>
        <v>1</v>
      </c>
      <c r="K280" s="42">
        <f>IFERROR(INDEX('Output Utente'!$H$2:$H$492,MATCH(277,'Output Utente'!$Q$2:$Q$492,0)),"")</f>
        <v>2</v>
      </c>
      <c r="L280" s="5" t="str">
        <f>IFERROR(INDEX('Output Utente'!$E$2:$E$492,MATCH(277,'Output Utente'!$Q$2:$Q$492,0)),"")</f>
        <v>NO</v>
      </c>
      <c r="M280" s="5" t="str">
        <f>IFERROR(INDEX('Output Utente'!$U$2:$U$492,MATCH(277,'Output Utente'!$Q$2:$Q$492,0)),"")</f>
        <v>OK</v>
      </c>
      <c r="N280" s="5" t="str">
        <f>IFERROR(INDEX('Output Utente'!$AE$2:$AE$492,MATCH(277,'Output Utente'!$Q$2:$Q$492,0)),"")</f>
        <v>🟢 Riserve abbondanti</v>
      </c>
    </row>
    <row r="281" spans="1:14" ht="15" customHeight="1" x14ac:dyDescent="0.25">
      <c r="A281" s="41">
        <v>278</v>
      </c>
      <c r="B281" s="5">
        <f>IFERROR(INDEX('Output Utente'!$A$2:$A$492,MATCH(278,'Output Utente'!$Q$2:$Q$492,0)),"")</f>
        <v>333</v>
      </c>
      <c r="C281" s="5" t="str">
        <f>IFERROR(INDEX('Output Utente'!$B$2:$B$492,MATCH(278,'Output Utente'!$Q$2:$Q$492,0)),"")</f>
        <v>C</v>
      </c>
      <c r="D281" s="5" t="str">
        <f>IFERROR(INDEX('Output Utente'!$C$2:$C$492,MATCH(278,'Output Utente'!$Q$2:$Q$492,0)),"")</f>
        <v>Cataldi</v>
      </c>
      <c r="E281" s="5" t="str">
        <f>IFERROR(INDEX('Input Giocatori 2026_27'!$D$3:$D$493,MATCH($B281,'Input Giocatori 2026_27'!$A$3:$A$493,0)),"")</f>
        <v>Lazio</v>
      </c>
      <c r="F281" s="42">
        <f>IFERROR(INDEX('Output Utente'!$N$2:$N$492,MATCH(278,'Output Utente'!$Q$2:$Q$492,0)),"")</f>
        <v>4</v>
      </c>
      <c r="G281" s="42">
        <f>IFERROR(INDEX('Output Utente'!$O$2:$O$492,MATCH(278,'Output Utente'!$Q$2:$Q$492,0)),"")</f>
        <v>12</v>
      </c>
      <c r="H281" s="5" t="str">
        <f>IFERROR(INDEX('Output Utente'!$P$2:$P$492,MATCH(278,'Output Utente'!$Q$2:$Q$492,0)),"")</f>
        <v>Scommessa/Riserva</v>
      </c>
      <c r="I281" s="42">
        <f>IFERROR(INDEX('Output Utente'!$F$2:$F$492,MATCH(278,'Output Utente'!$Q$2:$Q$492,0)),"")</f>
        <v>2</v>
      </c>
      <c r="J281" s="42">
        <f>IFERROR(INDEX('Output Utente'!$G$2:$G$492,MATCH(278,'Output Utente'!$Q$2:$Q$492,0)),"")</f>
        <v>1</v>
      </c>
      <c r="K281" s="42">
        <f>IFERROR(INDEX('Output Utente'!$H$2:$H$492,MATCH(278,'Output Utente'!$Q$2:$Q$492,0)),"")</f>
        <v>2</v>
      </c>
      <c r="L281" s="5" t="str">
        <f>IFERROR(INDEX('Output Utente'!$E$2:$E$492,MATCH(278,'Output Utente'!$Q$2:$Q$492,0)),"")</f>
        <v>NO</v>
      </c>
      <c r="M281" s="5" t="str">
        <f>IFERROR(INDEX('Output Utente'!$U$2:$U$492,MATCH(278,'Output Utente'!$Q$2:$Q$492,0)),"")</f>
        <v>OK</v>
      </c>
      <c r="N281" s="5" t="str">
        <f>IFERROR(INDEX('Output Utente'!$AE$2:$AE$492,MATCH(278,'Output Utente'!$Q$2:$Q$492,0)),"")</f>
        <v>🟢 Riserve abbondanti</v>
      </c>
    </row>
    <row r="282" spans="1:14" ht="15" customHeight="1" x14ac:dyDescent="0.25">
      <c r="A282" s="41">
        <v>279</v>
      </c>
      <c r="B282" s="5">
        <f>IFERROR(INDEX('Output Utente'!$A$2:$A$492,MATCH(279,'Output Utente'!$Q$2:$Q$492,0)),"")</f>
        <v>6827</v>
      </c>
      <c r="C282" s="5" t="str">
        <f>IFERROR(INDEX('Output Utente'!$B$2:$B$492,MATCH(279,'Output Utente'!$Q$2:$Q$492,0)),"")</f>
        <v>C</v>
      </c>
      <c r="D282" s="5" t="str">
        <f>IFERROR(INDEX('Output Utente'!$C$2:$C$492,MATCH(279,'Output Utente'!$Q$2:$Q$492,0)),"")</f>
        <v>Njie</v>
      </c>
      <c r="E282" s="5" t="str">
        <f>IFERROR(INDEX('Input Giocatori 2026_27'!$D$3:$D$493,MATCH($B282,'Input Giocatori 2026_27'!$A$3:$A$493,0)),"")</f>
        <v>Torino</v>
      </c>
      <c r="F282" s="42">
        <f>IFERROR(INDEX('Output Utente'!$N$2:$N$492,MATCH(279,'Output Utente'!$Q$2:$Q$492,0)),"")</f>
        <v>4</v>
      </c>
      <c r="G282" s="42">
        <f>IFERROR(INDEX('Output Utente'!$O$2:$O$492,MATCH(279,'Output Utente'!$Q$2:$Q$492,0)),"")</f>
        <v>12</v>
      </c>
      <c r="H282" s="5" t="str">
        <f>IFERROR(INDEX('Output Utente'!$P$2:$P$492,MATCH(279,'Output Utente'!$Q$2:$Q$492,0)),"")</f>
        <v>Scommessa/Riserva</v>
      </c>
      <c r="I282" s="42">
        <f>IFERROR(INDEX('Output Utente'!$F$2:$F$492,MATCH(279,'Output Utente'!$Q$2:$Q$492,0)),"")</f>
        <v>2</v>
      </c>
      <c r="J282" s="42">
        <f>IFERROR(INDEX('Output Utente'!$G$2:$G$492,MATCH(279,'Output Utente'!$Q$2:$Q$492,0)),"")</f>
        <v>1</v>
      </c>
      <c r="K282" s="42">
        <f>IFERROR(INDEX('Output Utente'!$H$2:$H$492,MATCH(279,'Output Utente'!$Q$2:$Q$492,0)),"")</f>
        <v>2</v>
      </c>
      <c r="L282" s="5" t="str">
        <f>IFERROR(INDEX('Output Utente'!$E$2:$E$492,MATCH(279,'Output Utente'!$Q$2:$Q$492,0)),"")</f>
        <v>NO</v>
      </c>
      <c r="M282" s="5" t="str">
        <f>IFERROR(INDEX('Output Utente'!$U$2:$U$492,MATCH(279,'Output Utente'!$Q$2:$Q$492,0)),"")</f>
        <v>OK</v>
      </c>
      <c r="N282" s="5" t="str">
        <f>IFERROR(INDEX('Output Utente'!$AE$2:$AE$492,MATCH(279,'Output Utente'!$Q$2:$Q$492,0)),"")</f>
        <v>🟢 Riserve abbondanti</v>
      </c>
    </row>
    <row r="283" spans="1:14" ht="15" customHeight="1" x14ac:dyDescent="0.25">
      <c r="A283" s="41">
        <v>280</v>
      </c>
      <c r="B283" s="5">
        <f>IFERROR(INDEX('Output Utente'!$A$2:$A$492,MATCH(280,'Output Utente'!$Q$2:$Q$492,0)),"")</f>
        <v>7209</v>
      </c>
      <c r="C283" s="5" t="str">
        <f>IFERROR(INDEX('Output Utente'!$B$2:$B$492,MATCH(280,'Output Utente'!$Q$2:$Q$492,0)),"")</f>
        <v>C</v>
      </c>
      <c r="D283" s="5" t="str">
        <f>IFERROR(INDEX('Output Utente'!$C$2:$C$492,MATCH(280,'Output Utente'!$Q$2:$Q$492,0)),"")</f>
        <v>Sorensen O.</v>
      </c>
      <c r="E283" s="5" t="str">
        <f>IFERROR(INDEX('Input Giocatori 2026_27'!$D$3:$D$493,MATCH($B283,'Input Giocatori 2026_27'!$A$3:$A$493,0)),"")</f>
        <v>Parma</v>
      </c>
      <c r="F283" s="42">
        <f>IFERROR(INDEX('Output Utente'!$N$2:$N$492,MATCH(280,'Output Utente'!$Q$2:$Q$492,0)),"")</f>
        <v>3</v>
      </c>
      <c r="G283" s="42">
        <f>IFERROR(INDEX('Output Utente'!$O$2:$O$492,MATCH(280,'Output Utente'!$Q$2:$Q$492,0)),"")</f>
        <v>12</v>
      </c>
      <c r="H283" s="5" t="str">
        <f>IFERROR(INDEX('Output Utente'!$P$2:$P$492,MATCH(280,'Output Utente'!$Q$2:$Q$492,0)),"")</f>
        <v>Scommessa/Riserva</v>
      </c>
      <c r="I283" s="42">
        <f>IFERROR(INDEX('Output Utente'!$F$2:$F$492,MATCH(280,'Output Utente'!$Q$2:$Q$492,0)),"")</f>
        <v>2</v>
      </c>
      <c r="J283" s="42">
        <f>IFERROR(INDEX('Output Utente'!$G$2:$G$492,MATCH(280,'Output Utente'!$Q$2:$Q$492,0)),"")</f>
        <v>1</v>
      </c>
      <c r="K283" s="42">
        <f>IFERROR(INDEX('Output Utente'!$H$2:$H$492,MATCH(280,'Output Utente'!$Q$2:$Q$492,0)),"")</f>
        <v>2</v>
      </c>
      <c r="L283" s="5" t="str">
        <f>IFERROR(INDEX('Output Utente'!$E$2:$E$492,MATCH(280,'Output Utente'!$Q$2:$Q$492,0)),"")</f>
        <v>NO</v>
      </c>
      <c r="M283" s="5" t="str">
        <f>IFERROR(INDEX('Output Utente'!$U$2:$U$492,MATCH(280,'Output Utente'!$Q$2:$Q$492,0)),"")</f>
        <v>OK</v>
      </c>
      <c r="N283" s="5" t="str">
        <f>IFERROR(INDEX('Output Utente'!$AE$2:$AE$492,MATCH(280,'Output Utente'!$Q$2:$Q$492,0)),"")</f>
        <v>🟢 Riserve abbondanti</v>
      </c>
    </row>
    <row r="284" spans="1:14" ht="15" customHeight="1" x14ac:dyDescent="0.25">
      <c r="A284" s="41">
        <v>281</v>
      </c>
      <c r="B284" s="5">
        <f>IFERROR(INDEX('Output Utente'!$A$2:$A$492,MATCH(281,'Output Utente'!$Q$2:$Q$492,0)),"")</f>
        <v>7536</v>
      </c>
      <c r="C284" s="5" t="str">
        <f>IFERROR(INDEX('Output Utente'!$B$2:$B$492,MATCH(281,'Output Utente'!$Q$2:$Q$492,0)),"")</f>
        <v>C</v>
      </c>
      <c r="D284" s="5" t="str">
        <f>IFERROR(INDEX('Output Utente'!$C$2:$C$492,MATCH(281,'Output Utente'!$Q$2:$Q$492,0)),"")</f>
        <v>Diallo O.</v>
      </c>
      <c r="E284" s="5" t="str">
        <f>IFERROR(INDEX('Input Giocatori 2026_27'!$D$3:$D$493,MATCH($B284,'Input Giocatori 2026_27'!$A$3:$A$493,0)),"")</f>
        <v>Parma</v>
      </c>
      <c r="F284" s="42">
        <f>IFERROR(INDEX('Output Utente'!$N$2:$N$492,MATCH(281,'Output Utente'!$Q$2:$Q$492,0)),"")</f>
        <v>3</v>
      </c>
      <c r="G284" s="42">
        <f>IFERROR(INDEX('Output Utente'!$O$2:$O$492,MATCH(281,'Output Utente'!$Q$2:$Q$492,0)),"")</f>
        <v>12</v>
      </c>
      <c r="H284" s="5" t="str">
        <f>IFERROR(INDEX('Output Utente'!$P$2:$P$492,MATCH(281,'Output Utente'!$Q$2:$Q$492,0)),"")</f>
        <v>Scommessa/Riserva</v>
      </c>
      <c r="I284" s="42">
        <f>IFERROR(INDEX('Output Utente'!$F$2:$F$492,MATCH(281,'Output Utente'!$Q$2:$Q$492,0)),"")</f>
        <v>2</v>
      </c>
      <c r="J284" s="42">
        <f>IFERROR(INDEX('Output Utente'!$G$2:$G$492,MATCH(281,'Output Utente'!$Q$2:$Q$492,0)),"")</f>
        <v>1</v>
      </c>
      <c r="K284" s="42">
        <f>IFERROR(INDEX('Output Utente'!$H$2:$H$492,MATCH(281,'Output Utente'!$Q$2:$Q$492,0)),"")</f>
        <v>2</v>
      </c>
      <c r="L284" s="5" t="str">
        <f>IFERROR(INDEX('Output Utente'!$E$2:$E$492,MATCH(281,'Output Utente'!$Q$2:$Q$492,0)),"")</f>
        <v>NO</v>
      </c>
      <c r="M284" s="5" t="str">
        <f>IFERROR(INDEX('Output Utente'!$U$2:$U$492,MATCH(281,'Output Utente'!$Q$2:$Q$492,0)),"")</f>
        <v>OK</v>
      </c>
      <c r="N284" s="5" t="str">
        <f>IFERROR(INDEX('Output Utente'!$AE$2:$AE$492,MATCH(281,'Output Utente'!$Q$2:$Q$492,0)),"")</f>
        <v>🟢 Riserve abbondanti</v>
      </c>
    </row>
    <row r="285" spans="1:14" ht="15" customHeight="1" x14ac:dyDescent="0.25">
      <c r="A285" s="41">
        <v>282</v>
      </c>
      <c r="B285" s="5">
        <f>IFERROR(INDEX('Output Utente'!$A$2:$A$492,MATCH(282,'Output Utente'!$Q$2:$Q$492,0)),"")</f>
        <v>7208</v>
      </c>
      <c r="C285" s="5" t="str">
        <f>IFERROR(INDEX('Output Utente'!$B$2:$B$492,MATCH(282,'Output Utente'!$Q$2:$Q$492,0)),"")</f>
        <v>C</v>
      </c>
      <c r="D285" s="5" t="str">
        <f>IFERROR(INDEX('Output Utente'!$C$2:$C$492,MATCH(282,'Output Utente'!$Q$2:$Q$492,0)),"")</f>
        <v>Miller L.</v>
      </c>
      <c r="E285" s="5" t="str">
        <f>IFERROR(INDEX('Input Giocatori 2026_27'!$D$3:$D$493,MATCH($B285,'Input Giocatori 2026_27'!$A$3:$A$493,0)),"")</f>
        <v>Udinese</v>
      </c>
      <c r="F285" s="42">
        <f>IFERROR(INDEX('Output Utente'!$N$2:$N$492,MATCH(282,'Output Utente'!$Q$2:$Q$492,0)),"")</f>
        <v>3</v>
      </c>
      <c r="G285" s="42">
        <f>IFERROR(INDEX('Output Utente'!$O$2:$O$492,MATCH(282,'Output Utente'!$Q$2:$Q$492,0)),"")</f>
        <v>12</v>
      </c>
      <c r="H285" s="5" t="str">
        <f>IFERROR(INDEX('Output Utente'!$P$2:$P$492,MATCH(282,'Output Utente'!$Q$2:$Q$492,0)),"")</f>
        <v>Scommessa/Riserva</v>
      </c>
      <c r="I285" s="42">
        <f>IFERROR(INDEX('Output Utente'!$F$2:$F$492,MATCH(282,'Output Utente'!$Q$2:$Q$492,0)),"")</f>
        <v>2</v>
      </c>
      <c r="J285" s="42">
        <f>IFERROR(INDEX('Output Utente'!$G$2:$G$492,MATCH(282,'Output Utente'!$Q$2:$Q$492,0)),"")</f>
        <v>1</v>
      </c>
      <c r="K285" s="42">
        <f>IFERROR(INDEX('Output Utente'!$H$2:$H$492,MATCH(282,'Output Utente'!$Q$2:$Q$492,0)),"")</f>
        <v>2</v>
      </c>
      <c r="L285" s="5" t="str">
        <f>IFERROR(INDEX('Output Utente'!$E$2:$E$492,MATCH(282,'Output Utente'!$Q$2:$Q$492,0)),"")</f>
        <v>NO</v>
      </c>
      <c r="M285" s="5" t="str">
        <f>IFERROR(INDEX('Output Utente'!$U$2:$U$492,MATCH(282,'Output Utente'!$Q$2:$Q$492,0)),"")</f>
        <v>OK</v>
      </c>
      <c r="N285" s="5" t="str">
        <f>IFERROR(INDEX('Output Utente'!$AE$2:$AE$492,MATCH(282,'Output Utente'!$Q$2:$Q$492,0)),"")</f>
        <v>🟢 Riserve abbondanti</v>
      </c>
    </row>
    <row r="286" spans="1:14" ht="15" customHeight="1" x14ac:dyDescent="0.25">
      <c r="A286" s="41">
        <v>283</v>
      </c>
      <c r="B286" s="5">
        <f>IFERROR(INDEX('Output Utente'!$A$2:$A$492,MATCH(283,'Output Utente'!$Q$2:$Q$492,0)),"")</f>
        <v>6495</v>
      </c>
      <c r="C286" s="5" t="str">
        <f>IFERROR(INDEX('Output Utente'!$B$2:$B$492,MATCH(283,'Output Utente'!$Q$2:$Q$492,0)),"")</f>
        <v>D</v>
      </c>
      <c r="D286" s="5" t="str">
        <f>IFERROR(INDEX('Output Utente'!$C$2:$C$492,MATCH(283,'Output Utente'!$Q$2:$Q$492,0)),"")</f>
        <v>Comuzzo</v>
      </c>
      <c r="E286" s="5" t="str">
        <f>IFERROR(INDEX('Input Giocatori 2026_27'!$D$3:$D$493,MATCH($B286,'Input Giocatori 2026_27'!$A$3:$A$493,0)),"")</f>
        <v>Torino</v>
      </c>
      <c r="F286" s="42">
        <f>IFERROR(INDEX('Output Utente'!$N$2:$N$492,MATCH(283,'Output Utente'!$Q$2:$Q$492,0)),"")</f>
        <v>6</v>
      </c>
      <c r="G286" s="42">
        <f>IFERROR(INDEX('Output Utente'!$O$2:$O$492,MATCH(283,'Output Utente'!$Q$2:$Q$492,0)),"")</f>
        <v>11</v>
      </c>
      <c r="H286" s="5" t="str">
        <f>IFERROR(INDEX('Output Utente'!$P$2:$P$492,MATCH(283,'Output Utente'!$Q$2:$Q$492,0)),"")</f>
        <v>Nella Media</v>
      </c>
      <c r="I286" s="42">
        <f>IFERROR(INDEX('Output Utente'!$F$2:$F$492,MATCH(283,'Output Utente'!$Q$2:$Q$492,0)),"")</f>
        <v>2</v>
      </c>
      <c r="J286" s="42">
        <f>IFERROR(INDEX('Output Utente'!$G$2:$G$492,MATCH(283,'Output Utente'!$Q$2:$Q$492,0)),"")</f>
        <v>1</v>
      </c>
      <c r="K286" s="42">
        <f>IFERROR(INDEX('Output Utente'!$H$2:$H$492,MATCH(283,'Output Utente'!$Q$2:$Q$492,0)),"")</f>
        <v>2</v>
      </c>
      <c r="L286" s="5" t="str">
        <f>IFERROR(INDEX('Output Utente'!$E$2:$E$492,MATCH(283,'Output Utente'!$Q$2:$Q$492,0)),"")</f>
        <v>NO</v>
      </c>
      <c r="M286" s="5" t="str">
        <f>IFERROR(INDEX('Output Utente'!$U$2:$U$492,MATCH(283,'Output Utente'!$Q$2:$Q$492,0)),"")</f>
        <v>OK</v>
      </c>
      <c r="N286" s="5" t="str">
        <f>IFERROR(INDEX('Output Utente'!$AE$2:$AE$492,MATCH(283,'Output Utente'!$Q$2:$Q$492,0)),"")</f>
        <v>🟢 Riserve abbondanti</v>
      </c>
    </row>
    <row r="287" spans="1:14" ht="15" customHeight="1" x14ac:dyDescent="0.25">
      <c r="A287" s="41">
        <v>284</v>
      </c>
      <c r="B287" s="5">
        <f>IFERROR(INDEX('Output Utente'!$A$2:$A$492,MATCH(284,'Output Utente'!$Q$2:$Q$492,0)),"")</f>
        <v>7068</v>
      </c>
      <c r="C287" s="5" t="str">
        <f>IFERROR(INDEX('Output Utente'!$B$2:$B$492,MATCH(284,'Output Utente'!$Q$2:$Q$492,0)),"")</f>
        <v>D</v>
      </c>
      <c r="D287" s="5" t="str">
        <f>IFERROR(INDEX('Output Utente'!$C$2:$C$492,MATCH(284,'Output Utente'!$Q$2:$Q$492,0)),"")</f>
        <v>Vitik</v>
      </c>
      <c r="E287" s="5" t="str">
        <f>IFERROR(INDEX('Input Giocatori 2026_27'!$D$3:$D$493,MATCH($B287,'Input Giocatori 2026_27'!$A$3:$A$493,0)),"")</f>
        <v>Bologna</v>
      </c>
      <c r="F287" s="42">
        <f>IFERROR(INDEX('Output Utente'!$N$2:$N$492,MATCH(284,'Output Utente'!$Q$2:$Q$492,0)),"")</f>
        <v>5</v>
      </c>
      <c r="G287" s="42">
        <f>IFERROR(INDEX('Output Utente'!$O$2:$O$492,MATCH(284,'Output Utente'!$Q$2:$Q$492,0)),"")</f>
        <v>11</v>
      </c>
      <c r="H287" s="5" t="str">
        <f>IFERROR(INDEX('Output Utente'!$P$2:$P$492,MATCH(284,'Output Utente'!$Q$2:$Q$492,0)),"")</f>
        <v>Nella Media</v>
      </c>
      <c r="I287" s="42">
        <f>IFERROR(INDEX('Output Utente'!$F$2:$F$492,MATCH(284,'Output Utente'!$Q$2:$Q$492,0)),"")</f>
        <v>2</v>
      </c>
      <c r="J287" s="42">
        <f>IFERROR(INDEX('Output Utente'!$G$2:$G$492,MATCH(284,'Output Utente'!$Q$2:$Q$492,0)),"")</f>
        <v>1</v>
      </c>
      <c r="K287" s="42">
        <f>IFERROR(INDEX('Output Utente'!$H$2:$H$492,MATCH(284,'Output Utente'!$Q$2:$Q$492,0)),"")</f>
        <v>2</v>
      </c>
      <c r="L287" s="5" t="str">
        <f>IFERROR(INDEX('Output Utente'!$E$2:$E$492,MATCH(284,'Output Utente'!$Q$2:$Q$492,0)),"")</f>
        <v>NO</v>
      </c>
      <c r="M287" s="5" t="str">
        <f>IFERROR(INDEX('Output Utente'!$U$2:$U$492,MATCH(284,'Output Utente'!$Q$2:$Q$492,0)),"")</f>
        <v>OK</v>
      </c>
      <c r="N287" s="5" t="str">
        <f>IFERROR(INDEX('Output Utente'!$AE$2:$AE$492,MATCH(284,'Output Utente'!$Q$2:$Q$492,0)),"")</f>
        <v>🟢 Riserve abbondanti</v>
      </c>
    </row>
    <row r="288" spans="1:14" ht="15" customHeight="1" x14ac:dyDescent="0.25">
      <c r="A288" s="41">
        <v>285</v>
      </c>
      <c r="B288" s="5">
        <f>IFERROR(INDEX('Output Utente'!$A$2:$A$492,MATCH(285,'Output Utente'!$Q$2:$Q$492,0)),"")</f>
        <v>7532</v>
      </c>
      <c r="C288" s="5" t="str">
        <f>IFERROR(INDEX('Output Utente'!$B$2:$B$492,MATCH(285,'Output Utente'!$Q$2:$Q$492,0)),"")</f>
        <v>D</v>
      </c>
      <c r="D288" s="5" t="str">
        <f>IFERROR(INDEX('Output Utente'!$C$2:$C$492,MATCH(285,'Output Utente'!$Q$2:$Q$492,0)),"")</f>
        <v>Kofler</v>
      </c>
      <c r="E288" s="5" t="str">
        <f>IFERROR(INDEX('Input Giocatori 2026_27'!$D$3:$D$493,MATCH($B288,'Input Giocatori 2026_27'!$A$3:$A$493,0)),"")</f>
        <v>Cagliari</v>
      </c>
      <c r="F288" s="42">
        <f>IFERROR(INDEX('Output Utente'!$N$2:$N$492,MATCH(285,'Output Utente'!$Q$2:$Q$492,0)),"")</f>
        <v>5</v>
      </c>
      <c r="G288" s="42">
        <f>IFERROR(INDEX('Output Utente'!$O$2:$O$492,MATCH(285,'Output Utente'!$Q$2:$Q$492,0)),"")</f>
        <v>11</v>
      </c>
      <c r="H288" s="5" t="str">
        <f>IFERROR(INDEX('Output Utente'!$P$2:$P$492,MATCH(285,'Output Utente'!$Q$2:$Q$492,0)),"")</f>
        <v>Nella Media</v>
      </c>
      <c r="I288" s="42">
        <f>IFERROR(INDEX('Output Utente'!$F$2:$F$492,MATCH(285,'Output Utente'!$Q$2:$Q$492,0)),"")</f>
        <v>2</v>
      </c>
      <c r="J288" s="42">
        <f>IFERROR(INDEX('Output Utente'!$G$2:$G$492,MATCH(285,'Output Utente'!$Q$2:$Q$492,0)),"")</f>
        <v>1</v>
      </c>
      <c r="K288" s="42">
        <f>IFERROR(INDEX('Output Utente'!$H$2:$H$492,MATCH(285,'Output Utente'!$Q$2:$Q$492,0)),"")</f>
        <v>2</v>
      </c>
      <c r="L288" s="5" t="str">
        <f>IFERROR(INDEX('Output Utente'!$E$2:$E$492,MATCH(285,'Output Utente'!$Q$2:$Q$492,0)),"")</f>
        <v>NO</v>
      </c>
      <c r="M288" s="5" t="str">
        <f>IFERROR(INDEX('Output Utente'!$U$2:$U$492,MATCH(285,'Output Utente'!$Q$2:$Q$492,0)),"")</f>
        <v>OK</v>
      </c>
      <c r="N288" s="5" t="str">
        <f>IFERROR(INDEX('Output Utente'!$AE$2:$AE$492,MATCH(285,'Output Utente'!$Q$2:$Q$492,0)),"")</f>
        <v>🟢 Riserve abbondanti</v>
      </c>
    </row>
    <row r="289" spans="1:14" ht="15" customHeight="1" x14ac:dyDescent="0.25">
      <c r="A289" s="41">
        <v>286</v>
      </c>
      <c r="B289" s="5">
        <f>IFERROR(INDEX('Output Utente'!$A$2:$A$492,MATCH(286,'Output Utente'!$Q$2:$Q$492,0)),"")</f>
        <v>7274</v>
      </c>
      <c r="C289" s="5" t="str">
        <f>IFERROR(INDEX('Output Utente'!$B$2:$B$492,MATCH(286,'Output Utente'!$Q$2:$Q$492,0)),"")</f>
        <v>D</v>
      </c>
      <c r="D289" s="5" t="str">
        <f>IFERROR(INDEX('Output Utente'!$C$2:$C$492,MATCH(286,'Output Utente'!$Q$2:$Q$492,0)),"")</f>
        <v>Zè Pedro</v>
      </c>
      <c r="E289" s="5" t="str">
        <f>IFERROR(INDEX('Input Giocatori 2026_27'!$D$3:$D$493,MATCH($B289,'Input Giocatori 2026_27'!$A$3:$A$493,0)),"")</f>
        <v>Cagliari</v>
      </c>
      <c r="F289" s="42">
        <f>IFERROR(INDEX('Output Utente'!$N$2:$N$492,MATCH(286,'Output Utente'!$Q$2:$Q$492,0)),"")</f>
        <v>5</v>
      </c>
      <c r="G289" s="42">
        <f>IFERROR(INDEX('Output Utente'!$O$2:$O$492,MATCH(286,'Output Utente'!$Q$2:$Q$492,0)),"")</f>
        <v>11</v>
      </c>
      <c r="H289" s="5" t="str">
        <f>IFERROR(INDEX('Output Utente'!$P$2:$P$492,MATCH(286,'Output Utente'!$Q$2:$Q$492,0)),"")</f>
        <v>Nella Media</v>
      </c>
      <c r="I289" s="42">
        <f>IFERROR(INDEX('Output Utente'!$F$2:$F$492,MATCH(286,'Output Utente'!$Q$2:$Q$492,0)),"")</f>
        <v>2</v>
      </c>
      <c r="J289" s="42">
        <f>IFERROR(INDEX('Output Utente'!$G$2:$G$492,MATCH(286,'Output Utente'!$Q$2:$Q$492,0)),"")</f>
        <v>1</v>
      </c>
      <c r="K289" s="42">
        <f>IFERROR(INDEX('Output Utente'!$H$2:$H$492,MATCH(286,'Output Utente'!$Q$2:$Q$492,0)),"")</f>
        <v>2</v>
      </c>
      <c r="L289" s="5" t="str">
        <f>IFERROR(INDEX('Output Utente'!$E$2:$E$492,MATCH(286,'Output Utente'!$Q$2:$Q$492,0)),"")</f>
        <v>NO</v>
      </c>
      <c r="M289" s="5" t="str">
        <f>IFERROR(INDEX('Output Utente'!$U$2:$U$492,MATCH(286,'Output Utente'!$Q$2:$Q$492,0)),"")</f>
        <v>OK</v>
      </c>
      <c r="N289" s="5" t="str">
        <f>IFERROR(INDEX('Output Utente'!$AE$2:$AE$492,MATCH(286,'Output Utente'!$Q$2:$Q$492,0)),"")</f>
        <v>🟢 Riserve abbondanti</v>
      </c>
    </row>
    <row r="290" spans="1:14" ht="15" customHeight="1" x14ac:dyDescent="0.25">
      <c r="A290" s="41">
        <v>287</v>
      </c>
      <c r="B290" s="5">
        <f>IFERROR(INDEX('Output Utente'!$A$2:$A$492,MATCH(287,'Output Utente'!$Q$2:$Q$492,0)),"")</f>
        <v>7469</v>
      </c>
      <c r="C290" s="5" t="str">
        <f>IFERROR(INDEX('Output Utente'!$B$2:$B$492,MATCH(287,'Output Utente'!$Q$2:$Q$492,0)),"")</f>
        <v>D</v>
      </c>
      <c r="D290" s="5" t="str">
        <f>IFERROR(INDEX('Output Utente'!$C$2:$C$492,MATCH(287,'Output Utente'!$Q$2:$Q$492,0)),"")</f>
        <v>Bracaglia</v>
      </c>
      <c r="E290" s="5" t="str">
        <f>IFERROR(INDEX('Input Giocatori 2026_27'!$D$3:$D$493,MATCH($B290,'Input Giocatori 2026_27'!$A$3:$A$493,0)),"")</f>
        <v>Frosinone</v>
      </c>
      <c r="F290" s="42">
        <f>IFERROR(INDEX('Output Utente'!$N$2:$N$492,MATCH(287,'Output Utente'!$Q$2:$Q$492,0)),"")</f>
        <v>5</v>
      </c>
      <c r="G290" s="42">
        <f>IFERROR(INDEX('Output Utente'!$O$2:$O$492,MATCH(287,'Output Utente'!$Q$2:$Q$492,0)),"")</f>
        <v>11</v>
      </c>
      <c r="H290" s="5" t="str">
        <f>IFERROR(INDEX('Output Utente'!$P$2:$P$492,MATCH(287,'Output Utente'!$Q$2:$Q$492,0)),"")</f>
        <v>Nella Media</v>
      </c>
      <c r="I290" s="42">
        <f>IFERROR(INDEX('Output Utente'!$F$2:$F$492,MATCH(287,'Output Utente'!$Q$2:$Q$492,0)),"")</f>
        <v>2</v>
      </c>
      <c r="J290" s="42">
        <f>IFERROR(INDEX('Output Utente'!$G$2:$G$492,MATCH(287,'Output Utente'!$Q$2:$Q$492,0)),"")</f>
        <v>1</v>
      </c>
      <c r="K290" s="42">
        <f>IFERROR(INDEX('Output Utente'!$H$2:$H$492,MATCH(287,'Output Utente'!$Q$2:$Q$492,0)),"")</f>
        <v>2</v>
      </c>
      <c r="L290" s="5" t="str">
        <f>IFERROR(INDEX('Output Utente'!$E$2:$E$492,MATCH(287,'Output Utente'!$Q$2:$Q$492,0)),"")</f>
        <v>NO</v>
      </c>
      <c r="M290" s="5" t="str">
        <f>IFERROR(INDEX('Output Utente'!$U$2:$U$492,MATCH(287,'Output Utente'!$Q$2:$Q$492,0)),"")</f>
        <v>OK</v>
      </c>
      <c r="N290" s="5" t="str">
        <f>IFERROR(INDEX('Output Utente'!$AE$2:$AE$492,MATCH(287,'Output Utente'!$Q$2:$Q$492,0)),"")</f>
        <v>🟢 Riserve abbondanti</v>
      </c>
    </row>
    <row r="291" spans="1:14" ht="15" customHeight="1" x14ac:dyDescent="0.25">
      <c r="A291" s="41">
        <v>288</v>
      </c>
      <c r="B291" s="5">
        <f>IFERROR(INDEX('Output Utente'!$A$2:$A$492,MATCH(288,'Output Utente'!$Q$2:$Q$492,0)),"")</f>
        <v>6990</v>
      </c>
      <c r="C291" s="5" t="str">
        <f>IFERROR(INDEX('Output Utente'!$B$2:$B$492,MATCH(288,'Output Utente'!$Q$2:$Q$492,0)),"")</f>
        <v>D</v>
      </c>
      <c r="D291" s="5" t="str">
        <f>IFERROR(INDEX('Output Utente'!$C$2:$C$492,MATCH(288,'Output Utente'!$Q$2:$Q$492,0)),"")</f>
        <v>Veiga D.</v>
      </c>
      <c r="E291" s="5" t="str">
        <f>IFERROR(INDEX('Input Giocatori 2026_27'!$D$3:$D$493,MATCH($B291,'Input Giocatori 2026_27'!$A$3:$A$493,0)),"")</f>
        <v>Lecce</v>
      </c>
      <c r="F291" s="42">
        <f>IFERROR(INDEX('Output Utente'!$N$2:$N$492,MATCH(288,'Output Utente'!$Q$2:$Q$492,0)),"")</f>
        <v>5</v>
      </c>
      <c r="G291" s="42">
        <f>IFERROR(INDEX('Output Utente'!$O$2:$O$492,MATCH(288,'Output Utente'!$Q$2:$Q$492,0)),"")</f>
        <v>11</v>
      </c>
      <c r="H291" s="5" t="str">
        <f>IFERROR(INDEX('Output Utente'!$P$2:$P$492,MATCH(288,'Output Utente'!$Q$2:$Q$492,0)),"")</f>
        <v>Nella Media</v>
      </c>
      <c r="I291" s="42">
        <f>IFERROR(INDEX('Output Utente'!$F$2:$F$492,MATCH(288,'Output Utente'!$Q$2:$Q$492,0)),"")</f>
        <v>2</v>
      </c>
      <c r="J291" s="42">
        <f>IFERROR(INDEX('Output Utente'!$G$2:$G$492,MATCH(288,'Output Utente'!$Q$2:$Q$492,0)),"")</f>
        <v>1</v>
      </c>
      <c r="K291" s="42">
        <f>IFERROR(INDEX('Output Utente'!$H$2:$H$492,MATCH(288,'Output Utente'!$Q$2:$Q$492,0)),"")</f>
        <v>2</v>
      </c>
      <c r="L291" s="5" t="str">
        <f>IFERROR(INDEX('Output Utente'!$E$2:$E$492,MATCH(288,'Output Utente'!$Q$2:$Q$492,0)),"")</f>
        <v>NO</v>
      </c>
      <c r="M291" s="5" t="str">
        <f>IFERROR(INDEX('Output Utente'!$U$2:$U$492,MATCH(288,'Output Utente'!$Q$2:$Q$492,0)),"")</f>
        <v>OK</v>
      </c>
      <c r="N291" s="5" t="str">
        <f>IFERROR(INDEX('Output Utente'!$AE$2:$AE$492,MATCH(288,'Output Utente'!$Q$2:$Q$492,0)),"")</f>
        <v>🟢 Riserve abbondanti</v>
      </c>
    </row>
    <row r="292" spans="1:14" ht="15" customHeight="1" x14ac:dyDescent="0.25">
      <c r="A292" s="41">
        <v>289</v>
      </c>
      <c r="B292" s="5">
        <f>IFERROR(INDEX('Output Utente'!$A$2:$A$492,MATCH(289,'Output Utente'!$Q$2:$Q$492,0)),"")</f>
        <v>6890</v>
      </c>
      <c r="C292" s="5" t="str">
        <f>IFERROR(INDEX('Output Utente'!$B$2:$B$492,MATCH(289,'Output Utente'!$Q$2:$Q$492,0)),"")</f>
        <v>D</v>
      </c>
      <c r="D292" s="5" t="str">
        <f>IFERROR(INDEX('Output Utente'!$C$2:$C$492,MATCH(289,'Output Utente'!$Q$2:$Q$492,0)),"")</f>
        <v>Moreno M.</v>
      </c>
      <c r="E292" s="5" t="str">
        <f>IFERROR(INDEX('Input Giocatori 2026_27'!$D$3:$D$493,MATCH($B292,'Input Giocatori 2026_27'!$A$3:$A$493,0)),"")</f>
        <v>Venezia</v>
      </c>
      <c r="F292" s="42">
        <f>IFERROR(INDEX('Output Utente'!$N$2:$N$492,MATCH(289,'Output Utente'!$Q$2:$Q$492,0)),"")</f>
        <v>5</v>
      </c>
      <c r="G292" s="42">
        <f>IFERROR(INDEX('Output Utente'!$O$2:$O$492,MATCH(289,'Output Utente'!$Q$2:$Q$492,0)),"")</f>
        <v>11</v>
      </c>
      <c r="H292" s="5" t="str">
        <f>IFERROR(INDEX('Output Utente'!$P$2:$P$492,MATCH(289,'Output Utente'!$Q$2:$Q$492,0)),"")</f>
        <v>Nella Media</v>
      </c>
      <c r="I292" s="42">
        <f>IFERROR(INDEX('Output Utente'!$F$2:$F$492,MATCH(289,'Output Utente'!$Q$2:$Q$492,0)),"")</f>
        <v>2</v>
      </c>
      <c r="J292" s="42">
        <f>IFERROR(INDEX('Output Utente'!$G$2:$G$492,MATCH(289,'Output Utente'!$Q$2:$Q$492,0)),"")</f>
        <v>1</v>
      </c>
      <c r="K292" s="42">
        <f>IFERROR(INDEX('Output Utente'!$H$2:$H$492,MATCH(289,'Output Utente'!$Q$2:$Q$492,0)),"")</f>
        <v>2</v>
      </c>
      <c r="L292" s="5" t="str">
        <f>IFERROR(INDEX('Output Utente'!$E$2:$E$492,MATCH(289,'Output Utente'!$Q$2:$Q$492,0)),"")</f>
        <v>NO</v>
      </c>
      <c r="M292" s="5" t="str">
        <f>IFERROR(INDEX('Output Utente'!$U$2:$U$492,MATCH(289,'Output Utente'!$Q$2:$Q$492,0)),"")</f>
        <v>OK</v>
      </c>
      <c r="N292" s="5" t="str">
        <f>IFERROR(INDEX('Output Utente'!$AE$2:$AE$492,MATCH(289,'Output Utente'!$Q$2:$Q$492,0)),"")</f>
        <v>🟢 Riserve abbondanti</v>
      </c>
    </row>
    <row r="293" spans="1:14" ht="15" customHeight="1" x14ac:dyDescent="0.25">
      <c r="A293" s="41">
        <v>290</v>
      </c>
      <c r="B293" s="5">
        <f>IFERROR(INDEX('Output Utente'!$A$2:$A$492,MATCH(290,'Output Utente'!$Q$2:$Q$492,0)),"")</f>
        <v>5695</v>
      </c>
      <c r="C293" s="5" t="str">
        <f>IFERROR(INDEX('Output Utente'!$B$2:$B$492,MATCH(290,'Output Utente'!$Q$2:$Q$492,0)),"")</f>
        <v>D</v>
      </c>
      <c r="D293" s="5" t="str">
        <f>IFERROR(INDEX('Output Utente'!$C$2:$C$492,MATCH(290,'Output Utente'!$Q$2:$Q$492,0)),"")</f>
        <v>Haps</v>
      </c>
      <c r="E293" s="5" t="str">
        <f>IFERROR(INDEX('Input Giocatori 2026_27'!$D$3:$D$493,MATCH($B293,'Input Giocatori 2026_27'!$A$3:$A$493,0)),"")</f>
        <v>Venezia</v>
      </c>
      <c r="F293" s="42">
        <f>IFERROR(INDEX('Output Utente'!$N$2:$N$492,MATCH(290,'Output Utente'!$Q$2:$Q$492,0)),"")</f>
        <v>5</v>
      </c>
      <c r="G293" s="42">
        <f>IFERROR(INDEX('Output Utente'!$O$2:$O$492,MATCH(290,'Output Utente'!$Q$2:$Q$492,0)),"")</f>
        <v>11</v>
      </c>
      <c r="H293" s="5" t="str">
        <f>IFERROR(INDEX('Output Utente'!$P$2:$P$492,MATCH(290,'Output Utente'!$Q$2:$Q$492,0)),"")</f>
        <v>Nella Media</v>
      </c>
      <c r="I293" s="42">
        <f>IFERROR(INDEX('Output Utente'!$F$2:$F$492,MATCH(290,'Output Utente'!$Q$2:$Q$492,0)),"")</f>
        <v>2</v>
      </c>
      <c r="J293" s="42">
        <f>IFERROR(INDEX('Output Utente'!$G$2:$G$492,MATCH(290,'Output Utente'!$Q$2:$Q$492,0)),"")</f>
        <v>1</v>
      </c>
      <c r="K293" s="42">
        <f>IFERROR(INDEX('Output Utente'!$H$2:$H$492,MATCH(290,'Output Utente'!$Q$2:$Q$492,0)),"")</f>
        <v>2</v>
      </c>
      <c r="L293" s="5" t="str">
        <f>IFERROR(INDEX('Output Utente'!$E$2:$E$492,MATCH(290,'Output Utente'!$Q$2:$Q$492,0)),"")</f>
        <v>NO</v>
      </c>
      <c r="M293" s="5" t="str">
        <f>IFERROR(INDEX('Output Utente'!$U$2:$U$492,MATCH(290,'Output Utente'!$Q$2:$Q$492,0)),"")</f>
        <v>OK</v>
      </c>
      <c r="N293" s="5" t="str">
        <f>IFERROR(INDEX('Output Utente'!$AE$2:$AE$492,MATCH(290,'Output Utente'!$Q$2:$Q$492,0)),"")</f>
        <v>🟢 Riserve abbondanti</v>
      </c>
    </row>
    <row r="294" spans="1:14" ht="15" customHeight="1" x14ac:dyDescent="0.25">
      <c r="A294" s="41">
        <v>291</v>
      </c>
      <c r="B294" s="5">
        <f>IFERROR(INDEX('Output Utente'!$A$2:$A$492,MATCH(291,'Output Utente'!$Q$2:$Q$492,0)),"")</f>
        <v>2115</v>
      </c>
      <c r="C294" s="5" t="str">
        <f>IFERROR(INDEX('Output Utente'!$B$2:$B$492,MATCH(291,'Output Utente'!$Q$2:$Q$492,0)),"")</f>
        <v>D</v>
      </c>
      <c r="D294" s="5" t="str">
        <f>IFERROR(INDEX('Output Utente'!$C$2:$C$492,MATCH(291,'Output Utente'!$Q$2:$Q$492,0)),"")</f>
        <v>Delli Carri</v>
      </c>
      <c r="E294" s="5" t="str">
        <f>IFERROR(INDEX('Input Giocatori 2026_27'!$D$3:$D$493,MATCH($B294,'Input Giocatori 2026_27'!$A$3:$A$493,0)),"")</f>
        <v>Monza</v>
      </c>
      <c r="F294" s="42">
        <f>IFERROR(INDEX('Output Utente'!$N$2:$N$492,MATCH(291,'Output Utente'!$Q$2:$Q$492,0)),"")</f>
        <v>4</v>
      </c>
      <c r="G294" s="42">
        <f>IFERROR(INDEX('Output Utente'!$O$2:$O$492,MATCH(291,'Output Utente'!$Q$2:$Q$492,0)),"")</f>
        <v>11</v>
      </c>
      <c r="H294" s="5" t="str">
        <f>IFERROR(INDEX('Output Utente'!$P$2:$P$492,MATCH(291,'Output Utente'!$Q$2:$Q$492,0)),"")</f>
        <v>Nella Media</v>
      </c>
      <c r="I294" s="42">
        <f>IFERROR(INDEX('Output Utente'!$F$2:$F$492,MATCH(291,'Output Utente'!$Q$2:$Q$492,0)),"")</f>
        <v>2</v>
      </c>
      <c r="J294" s="42">
        <f>IFERROR(INDEX('Output Utente'!$G$2:$G$492,MATCH(291,'Output Utente'!$Q$2:$Q$492,0)),"")</f>
        <v>1</v>
      </c>
      <c r="K294" s="42">
        <f>IFERROR(INDEX('Output Utente'!$H$2:$H$492,MATCH(291,'Output Utente'!$Q$2:$Q$492,0)),"")</f>
        <v>2</v>
      </c>
      <c r="L294" s="5" t="str">
        <f>IFERROR(INDEX('Output Utente'!$E$2:$E$492,MATCH(291,'Output Utente'!$Q$2:$Q$492,0)),"")</f>
        <v>NO</v>
      </c>
      <c r="M294" s="5" t="str">
        <f>IFERROR(INDEX('Output Utente'!$U$2:$U$492,MATCH(291,'Output Utente'!$Q$2:$Q$492,0)),"")</f>
        <v>OK</v>
      </c>
      <c r="N294" s="5" t="str">
        <f>IFERROR(INDEX('Output Utente'!$AE$2:$AE$492,MATCH(291,'Output Utente'!$Q$2:$Q$492,0)),"")</f>
        <v>🟢 Riserve abbondanti</v>
      </c>
    </row>
    <row r="295" spans="1:14" ht="15" customHeight="1" x14ac:dyDescent="0.25">
      <c r="A295" s="41">
        <v>292</v>
      </c>
      <c r="B295" s="5">
        <f>IFERROR(INDEX('Output Utente'!$A$2:$A$492,MATCH(292,'Output Utente'!$Q$2:$Q$492,0)),"")</f>
        <v>4856</v>
      </c>
      <c r="C295" s="5" t="str">
        <f>IFERROR(INDEX('Output Utente'!$B$2:$B$492,MATCH(292,'Output Utente'!$Q$2:$Q$492,0)),"")</f>
        <v>C</v>
      </c>
      <c r="D295" s="5" t="str">
        <f>IFERROR(INDEX('Output Utente'!$C$2:$C$492,MATCH(292,'Output Utente'!$Q$2:$Q$492,0)),"")</f>
        <v>Chukwueze</v>
      </c>
      <c r="E295" s="5" t="str">
        <f>IFERROR(INDEX('Input Giocatori 2026_27'!$D$3:$D$493,MATCH($B295,'Input Giocatori 2026_27'!$A$3:$A$493,0)),"")</f>
        <v>Milan</v>
      </c>
      <c r="F295" s="42">
        <f>IFERROR(INDEX('Output Utente'!$N$2:$N$492,MATCH(292,'Output Utente'!$Q$2:$Q$492,0)),"")</f>
        <v>6</v>
      </c>
      <c r="G295" s="42">
        <f>IFERROR(INDEX('Output Utente'!$O$2:$O$492,MATCH(292,'Output Utente'!$Q$2:$Q$492,0)),"")</f>
        <v>11</v>
      </c>
      <c r="H295" s="5" t="str">
        <f>IFERROR(INDEX('Output Utente'!$P$2:$P$492,MATCH(292,'Output Utente'!$Q$2:$Q$492,0)),"")</f>
        <v>Scommessa/Riserva</v>
      </c>
      <c r="I295" s="42">
        <f>IFERROR(INDEX('Output Utente'!$F$2:$F$492,MATCH(292,'Output Utente'!$Q$2:$Q$492,0)),"")</f>
        <v>2</v>
      </c>
      <c r="J295" s="42">
        <f>IFERROR(INDEX('Output Utente'!$G$2:$G$492,MATCH(292,'Output Utente'!$Q$2:$Q$492,0)),"")</f>
        <v>1</v>
      </c>
      <c r="K295" s="42">
        <f>IFERROR(INDEX('Output Utente'!$H$2:$H$492,MATCH(292,'Output Utente'!$Q$2:$Q$492,0)),"")</f>
        <v>2</v>
      </c>
      <c r="L295" s="5" t="str">
        <f>IFERROR(INDEX('Output Utente'!$E$2:$E$492,MATCH(292,'Output Utente'!$Q$2:$Q$492,0)),"")</f>
        <v>NO</v>
      </c>
      <c r="M295" s="5" t="str">
        <f>IFERROR(INDEX('Output Utente'!$U$2:$U$492,MATCH(292,'Output Utente'!$Q$2:$Q$492,0)),"")</f>
        <v>OK</v>
      </c>
      <c r="N295" s="5" t="str">
        <f>IFERROR(INDEX('Output Utente'!$AE$2:$AE$492,MATCH(292,'Output Utente'!$Q$2:$Q$492,0)),"")</f>
        <v>🟢 Riserve abbondanti</v>
      </c>
    </row>
    <row r="296" spans="1:14" ht="15" customHeight="1" x14ac:dyDescent="0.25">
      <c r="A296" s="41">
        <v>293</v>
      </c>
      <c r="B296" s="5">
        <f>IFERROR(INDEX('Output Utente'!$A$2:$A$492,MATCH(293,'Output Utente'!$Q$2:$Q$492,0)),"")</f>
        <v>2857</v>
      </c>
      <c r="C296" s="5" t="str">
        <f>IFERROR(INDEX('Output Utente'!$B$2:$B$492,MATCH(293,'Output Utente'!$Q$2:$Q$492,0)),"")</f>
        <v>C</v>
      </c>
      <c r="D296" s="5" t="str">
        <f>IFERROR(INDEX('Output Utente'!$C$2:$C$492,MATCH(293,'Output Utente'!$Q$2:$Q$492,0)),"")</f>
        <v>Traorè Hj.</v>
      </c>
      <c r="E296" s="5" t="str">
        <f>IFERROR(INDEX('Input Giocatori 2026_27'!$D$3:$D$493,MATCH($B296,'Input Giocatori 2026_27'!$A$3:$A$493,0)),"")</f>
        <v>Genoa</v>
      </c>
      <c r="F296" s="42">
        <f>IFERROR(INDEX('Output Utente'!$N$2:$N$492,MATCH(293,'Output Utente'!$Q$2:$Q$492,0)),"")</f>
        <v>5</v>
      </c>
      <c r="G296" s="42">
        <f>IFERROR(INDEX('Output Utente'!$O$2:$O$492,MATCH(293,'Output Utente'!$Q$2:$Q$492,0)),"")</f>
        <v>11</v>
      </c>
      <c r="H296" s="5" t="str">
        <f>IFERROR(INDEX('Output Utente'!$P$2:$P$492,MATCH(293,'Output Utente'!$Q$2:$Q$492,0)),"")</f>
        <v>Scommessa/Riserva</v>
      </c>
      <c r="I296" s="42">
        <f>IFERROR(INDEX('Output Utente'!$F$2:$F$492,MATCH(293,'Output Utente'!$Q$2:$Q$492,0)),"")</f>
        <v>2</v>
      </c>
      <c r="J296" s="42">
        <f>IFERROR(INDEX('Output Utente'!$G$2:$G$492,MATCH(293,'Output Utente'!$Q$2:$Q$492,0)),"")</f>
        <v>1</v>
      </c>
      <c r="K296" s="42">
        <f>IFERROR(INDEX('Output Utente'!$H$2:$H$492,MATCH(293,'Output Utente'!$Q$2:$Q$492,0)),"")</f>
        <v>2</v>
      </c>
      <c r="L296" s="5" t="str">
        <f>IFERROR(INDEX('Output Utente'!$E$2:$E$492,MATCH(293,'Output Utente'!$Q$2:$Q$492,0)),"")</f>
        <v>NO</v>
      </c>
      <c r="M296" s="5" t="str">
        <f>IFERROR(INDEX('Output Utente'!$U$2:$U$492,MATCH(293,'Output Utente'!$Q$2:$Q$492,0)),"")</f>
        <v>OK</v>
      </c>
      <c r="N296" s="5" t="str">
        <f>IFERROR(INDEX('Output Utente'!$AE$2:$AE$492,MATCH(293,'Output Utente'!$Q$2:$Q$492,0)),"")</f>
        <v>🟢 Riserve abbondanti</v>
      </c>
    </row>
    <row r="297" spans="1:14" ht="15" customHeight="1" x14ac:dyDescent="0.25">
      <c r="A297" s="41">
        <v>294</v>
      </c>
      <c r="B297" s="5">
        <f>IFERROR(INDEX('Output Utente'!$A$2:$A$492,MATCH(294,'Output Utente'!$Q$2:$Q$492,0)),"")</f>
        <v>7473</v>
      </c>
      <c r="C297" s="5" t="str">
        <f>IFERROR(INDEX('Output Utente'!$B$2:$B$492,MATCH(294,'Output Utente'!$Q$2:$Q$492,0)),"")</f>
        <v>C</v>
      </c>
      <c r="D297" s="5" t="str">
        <f>IFERROR(INDEX('Output Utente'!$C$2:$C$492,MATCH(294,'Output Utente'!$Q$2:$Q$492,0)),"")</f>
        <v>Cichella</v>
      </c>
      <c r="E297" s="5" t="str">
        <f>IFERROR(INDEX('Input Giocatori 2026_27'!$D$3:$D$493,MATCH($B297,'Input Giocatori 2026_27'!$A$3:$A$493,0)),"")</f>
        <v>Frosinone</v>
      </c>
      <c r="F297" s="42">
        <f>IFERROR(INDEX('Output Utente'!$N$2:$N$492,MATCH(294,'Output Utente'!$Q$2:$Q$492,0)),"")</f>
        <v>4</v>
      </c>
      <c r="G297" s="42">
        <f>IFERROR(INDEX('Output Utente'!$O$2:$O$492,MATCH(294,'Output Utente'!$Q$2:$Q$492,0)),"")</f>
        <v>11</v>
      </c>
      <c r="H297" s="5" t="str">
        <f>IFERROR(INDEX('Output Utente'!$P$2:$P$492,MATCH(294,'Output Utente'!$Q$2:$Q$492,0)),"")</f>
        <v>Scommessa/Riserva</v>
      </c>
      <c r="I297" s="42">
        <f>IFERROR(INDEX('Output Utente'!$F$2:$F$492,MATCH(294,'Output Utente'!$Q$2:$Q$492,0)),"")</f>
        <v>2</v>
      </c>
      <c r="J297" s="42">
        <f>IFERROR(INDEX('Output Utente'!$G$2:$G$492,MATCH(294,'Output Utente'!$Q$2:$Q$492,0)),"")</f>
        <v>1</v>
      </c>
      <c r="K297" s="42">
        <f>IFERROR(INDEX('Output Utente'!$H$2:$H$492,MATCH(294,'Output Utente'!$Q$2:$Q$492,0)),"")</f>
        <v>2</v>
      </c>
      <c r="L297" s="5" t="str">
        <f>IFERROR(INDEX('Output Utente'!$E$2:$E$492,MATCH(294,'Output Utente'!$Q$2:$Q$492,0)),"")</f>
        <v>NO</v>
      </c>
      <c r="M297" s="5" t="str">
        <f>IFERROR(INDEX('Output Utente'!$U$2:$U$492,MATCH(294,'Output Utente'!$Q$2:$Q$492,0)),"")</f>
        <v>OK</v>
      </c>
      <c r="N297" s="5" t="str">
        <f>IFERROR(INDEX('Output Utente'!$AE$2:$AE$492,MATCH(294,'Output Utente'!$Q$2:$Q$492,0)),"")</f>
        <v>🟢 Riserve abbondanti</v>
      </c>
    </row>
    <row r="298" spans="1:14" ht="15" customHeight="1" x14ac:dyDescent="0.25">
      <c r="A298" s="41">
        <v>295</v>
      </c>
      <c r="B298" s="5">
        <f>IFERROR(INDEX('Output Utente'!$A$2:$A$492,MATCH(295,'Output Utente'!$Q$2:$Q$492,0)),"")</f>
        <v>7341</v>
      </c>
      <c r="C298" s="5" t="str">
        <f>IFERROR(INDEX('Output Utente'!$B$2:$B$492,MATCH(295,'Output Utente'!$Q$2:$Q$492,0)),"")</f>
        <v>C</v>
      </c>
      <c r="D298" s="5" t="str">
        <f>IFERROR(INDEX('Output Utente'!$C$2:$C$492,MATCH(295,'Output Utente'!$Q$2:$Q$492,0)),"")</f>
        <v>Amorim</v>
      </c>
      <c r="E298" s="5" t="str">
        <f>IFERROR(INDEX('Input Giocatori 2026_27'!$D$3:$D$493,MATCH($B298,'Input Giocatori 2026_27'!$A$3:$A$493,0)),"")</f>
        <v>Genoa</v>
      </c>
      <c r="F298" s="42">
        <f>IFERROR(INDEX('Output Utente'!$N$2:$N$492,MATCH(295,'Output Utente'!$Q$2:$Q$492,0)),"")</f>
        <v>4</v>
      </c>
      <c r="G298" s="42">
        <f>IFERROR(INDEX('Output Utente'!$O$2:$O$492,MATCH(295,'Output Utente'!$Q$2:$Q$492,0)),"")</f>
        <v>11</v>
      </c>
      <c r="H298" s="5" t="str">
        <f>IFERROR(INDEX('Output Utente'!$P$2:$P$492,MATCH(295,'Output Utente'!$Q$2:$Q$492,0)),"")</f>
        <v>Scommessa/Riserva</v>
      </c>
      <c r="I298" s="42">
        <f>IFERROR(INDEX('Output Utente'!$F$2:$F$492,MATCH(295,'Output Utente'!$Q$2:$Q$492,0)),"")</f>
        <v>2</v>
      </c>
      <c r="J298" s="42">
        <f>IFERROR(INDEX('Output Utente'!$G$2:$G$492,MATCH(295,'Output Utente'!$Q$2:$Q$492,0)),"")</f>
        <v>1</v>
      </c>
      <c r="K298" s="42">
        <f>IFERROR(INDEX('Output Utente'!$H$2:$H$492,MATCH(295,'Output Utente'!$Q$2:$Q$492,0)),"")</f>
        <v>2</v>
      </c>
      <c r="L298" s="5" t="str">
        <f>IFERROR(INDEX('Output Utente'!$E$2:$E$492,MATCH(295,'Output Utente'!$Q$2:$Q$492,0)),"")</f>
        <v>NO</v>
      </c>
      <c r="M298" s="5" t="str">
        <f>IFERROR(INDEX('Output Utente'!$U$2:$U$492,MATCH(295,'Output Utente'!$Q$2:$Q$492,0)),"")</f>
        <v>OK</v>
      </c>
      <c r="N298" s="5" t="str">
        <f>IFERROR(INDEX('Output Utente'!$AE$2:$AE$492,MATCH(295,'Output Utente'!$Q$2:$Q$492,0)),"")</f>
        <v>🟢 Riserve abbondanti</v>
      </c>
    </row>
    <row r="299" spans="1:14" ht="15" customHeight="1" x14ac:dyDescent="0.25">
      <c r="A299" s="41">
        <v>296</v>
      </c>
      <c r="B299" s="5">
        <f>IFERROR(INDEX('Output Utente'!$A$2:$A$492,MATCH(296,'Output Utente'!$Q$2:$Q$492,0)),"")</f>
        <v>7322</v>
      </c>
      <c r="C299" s="5" t="str">
        <f>IFERROR(INDEX('Output Utente'!$B$2:$B$492,MATCH(296,'Output Utente'!$Q$2:$Q$492,0)),"")</f>
        <v>C</v>
      </c>
      <c r="D299" s="5" t="str">
        <f>IFERROR(INDEX('Output Utente'!$C$2:$C$492,MATCH(296,'Output Utente'!$Q$2:$Q$492,0)),"")</f>
        <v>Ngom</v>
      </c>
      <c r="E299" s="5" t="str">
        <f>IFERROR(INDEX('Input Giocatori 2026_27'!$D$3:$D$493,MATCH($B299,'Input Giocatori 2026_27'!$A$3:$A$493,0)),"")</f>
        <v>Lecce</v>
      </c>
      <c r="F299" s="42">
        <f>IFERROR(INDEX('Output Utente'!$N$2:$N$492,MATCH(296,'Output Utente'!$Q$2:$Q$492,0)),"")</f>
        <v>4</v>
      </c>
      <c r="G299" s="42">
        <f>IFERROR(INDEX('Output Utente'!$O$2:$O$492,MATCH(296,'Output Utente'!$Q$2:$Q$492,0)),"")</f>
        <v>11</v>
      </c>
      <c r="H299" s="5" t="str">
        <f>IFERROR(INDEX('Output Utente'!$P$2:$P$492,MATCH(296,'Output Utente'!$Q$2:$Q$492,0)),"")</f>
        <v>Scommessa/Riserva</v>
      </c>
      <c r="I299" s="42">
        <f>IFERROR(INDEX('Output Utente'!$F$2:$F$492,MATCH(296,'Output Utente'!$Q$2:$Q$492,0)),"")</f>
        <v>2</v>
      </c>
      <c r="J299" s="42">
        <f>IFERROR(INDEX('Output Utente'!$G$2:$G$492,MATCH(296,'Output Utente'!$Q$2:$Q$492,0)),"")</f>
        <v>1</v>
      </c>
      <c r="K299" s="42">
        <f>IFERROR(INDEX('Output Utente'!$H$2:$H$492,MATCH(296,'Output Utente'!$Q$2:$Q$492,0)),"")</f>
        <v>2</v>
      </c>
      <c r="L299" s="5" t="str">
        <f>IFERROR(INDEX('Output Utente'!$E$2:$E$492,MATCH(296,'Output Utente'!$Q$2:$Q$492,0)),"")</f>
        <v>NO</v>
      </c>
      <c r="M299" s="5" t="str">
        <f>IFERROR(INDEX('Output Utente'!$U$2:$U$492,MATCH(296,'Output Utente'!$Q$2:$Q$492,0)),"")</f>
        <v>OK</v>
      </c>
      <c r="N299" s="5" t="str">
        <f>IFERROR(INDEX('Output Utente'!$AE$2:$AE$492,MATCH(296,'Output Utente'!$Q$2:$Q$492,0)),"")</f>
        <v>🟢 Riserve abbondanti</v>
      </c>
    </row>
    <row r="300" spans="1:14" ht="15" customHeight="1" x14ac:dyDescent="0.25">
      <c r="A300" s="41">
        <v>297</v>
      </c>
      <c r="B300" s="5">
        <f>IFERROR(INDEX('Output Utente'!$A$2:$A$492,MATCH(297,'Output Utente'!$Q$2:$Q$492,0)),"")</f>
        <v>5453</v>
      </c>
      <c r="C300" s="5" t="str">
        <f>IFERROR(INDEX('Output Utente'!$B$2:$B$492,MATCH(297,'Output Utente'!$Q$2:$Q$492,0)),"")</f>
        <v>C</v>
      </c>
      <c r="D300" s="5" t="str">
        <f>IFERROR(INDEX('Output Utente'!$C$2:$C$492,MATCH(297,'Output Utente'!$Q$2:$Q$492,0)),"")</f>
        <v>Ricci S.</v>
      </c>
      <c r="E300" s="5" t="str">
        <f>IFERROR(INDEX('Input Giocatori 2026_27'!$D$3:$D$493,MATCH($B300,'Input Giocatori 2026_27'!$A$3:$A$493,0)),"")</f>
        <v>Milan</v>
      </c>
      <c r="F300" s="42">
        <f>IFERROR(INDEX('Output Utente'!$N$2:$N$492,MATCH(297,'Output Utente'!$Q$2:$Q$492,0)),"")</f>
        <v>4</v>
      </c>
      <c r="G300" s="42">
        <f>IFERROR(INDEX('Output Utente'!$O$2:$O$492,MATCH(297,'Output Utente'!$Q$2:$Q$492,0)),"")</f>
        <v>11</v>
      </c>
      <c r="H300" s="5" t="str">
        <f>IFERROR(INDEX('Output Utente'!$P$2:$P$492,MATCH(297,'Output Utente'!$Q$2:$Q$492,0)),"")</f>
        <v>Scommessa/Riserva</v>
      </c>
      <c r="I300" s="42">
        <f>IFERROR(INDEX('Output Utente'!$F$2:$F$492,MATCH(297,'Output Utente'!$Q$2:$Q$492,0)),"")</f>
        <v>2</v>
      </c>
      <c r="J300" s="42">
        <f>IFERROR(INDEX('Output Utente'!$G$2:$G$492,MATCH(297,'Output Utente'!$Q$2:$Q$492,0)),"")</f>
        <v>1</v>
      </c>
      <c r="K300" s="42">
        <f>IFERROR(INDEX('Output Utente'!$H$2:$H$492,MATCH(297,'Output Utente'!$Q$2:$Q$492,0)),"")</f>
        <v>2</v>
      </c>
      <c r="L300" s="5" t="str">
        <f>IFERROR(INDEX('Output Utente'!$E$2:$E$492,MATCH(297,'Output Utente'!$Q$2:$Q$492,0)),"")</f>
        <v>NO</v>
      </c>
      <c r="M300" s="5" t="str">
        <f>IFERROR(INDEX('Output Utente'!$U$2:$U$492,MATCH(297,'Output Utente'!$Q$2:$Q$492,0)),"")</f>
        <v>OK</v>
      </c>
      <c r="N300" s="5" t="str">
        <f>IFERROR(INDEX('Output Utente'!$AE$2:$AE$492,MATCH(297,'Output Utente'!$Q$2:$Q$492,0)),"")</f>
        <v>🟢 Riserve abbondanti</v>
      </c>
    </row>
    <row r="301" spans="1:14" ht="15" customHeight="1" x14ac:dyDescent="0.25">
      <c r="A301" s="41">
        <v>298</v>
      </c>
      <c r="B301" s="5">
        <f>IFERROR(INDEX('Output Utente'!$A$2:$A$492,MATCH(298,'Output Utente'!$Q$2:$Q$492,0)),"")</f>
        <v>7203</v>
      </c>
      <c r="C301" s="5" t="str">
        <f>IFERROR(INDEX('Output Utente'!$B$2:$B$492,MATCH(298,'Output Utente'!$Q$2:$Q$492,0)),"")</f>
        <v>C</v>
      </c>
      <c r="D301" s="5" t="str">
        <f>IFERROR(INDEX('Output Utente'!$C$2:$C$492,MATCH(298,'Output Utente'!$Q$2:$Q$492,0)),"")</f>
        <v>Jashari</v>
      </c>
      <c r="E301" s="5" t="str">
        <f>IFERROR(INDEX('Input Giocatori 2026_27'!$D$3:$D$493,MATCH($B301,'Input Giocatori 2026_27'!$A$3:$A$493,0)),"")</f>
        <v>Milan</v>
      </c>
      <c r="F301" s="42">
        <f>IFERROR(INDEX('Output Utente'!$N$2:$N$492,MATCH(298,'Output Utente'!$Q$2:$Q$492,0)),"")</f>
        <v>4</v>
      </c>
      <c r="G301" s="42">
        <f>IFERROR(INDEX('Output Utente'!$O$2:$O$492,MATCH(298,'Output Utente'!$Q$2:$Q$492,0)),"")</f>
        <v>11</v>
      </c>
      <c r="H301" s="5" t="str">
        <f>IFERROR(INDEX('Output Utente'!$P$2:$P$492,MATCH(298,'Output Utente'!$Q$2:$Q$492,0)),"")</f>
        <v>Scommessa/Riserva</v>
      </c>
      <c r="I301" s="42">
        <f>IFERROR(INDEX('Output Utente'!$F$2:$F$492,MATCH(298,'Output Utente'!$Q$2:$Q$492,0)),"")</f>
        <v>2</v>
      </c>
      <c r="J301" s="42">
        <f>IFERROR(INDEX('Output Utente'!$G$2:$G$492,MATCH(298,'Output Utente'!$Q$2:$Q$492,0)),"")</f>
        <v>1</v>
      </c>
      <c r="K301" s="42">
        <f>IFERROR(INDEX('Output Utente'!$H$2:$H$492,MATCH(298,'Output Utente'!$Q$2:$Q$492,0)),"")</f>
        <v>2</v>
      </c>
      <c r="L301" s="5" t="str">
        <f>IFERROR(INDEX('Output Utente'!$E$2:$E$492,MATCH(298,'Output Utente'!$Q$2:$Q$492,0)),"")</f>
        <v>NO</v>
      </c>
      <c r="M301" s="5" t="str">
        <f>IFERROR(INDEX('Output Utente'!$U$2:$U$492,MATCH(298,'Output Utente'!$Q$2:$Q$492,0)),"")</f>
        <v>OK</v>
      </c>
      <c r="N301" s="5" t="str">
        <f>IFERROR(INDEX('Output Utente'!$AE$2:$AE$492,MATCH(298,'Output Utente'!$Q$2:$Q$492,0)),"")</f>
        <v>🟢 Riserve abbondanti</v>
      </c>
    </row>
    <row r="302" spans="1:14" ht="15" customHeight="1" x14ac:dyDescent="0.25">
      <c r="A302" s="41">
        <v>299</v>
      </c>
      <c r="B302" s="5">
        <f>IFERROR(INDEX('Output Utente'!$A$2:$A$492,MATCH(299,'Output Utente'!$Q$2:$Q$492,0)),"")</f>
        <v>4199</v>
      </c>
      <c r="C302" s="5" t="str">
        <f>IFERROR(INDEX('Output Utente'!$B$2:$B$492,MATCH(299,'Output Utente'!$Q$2:$Q$492,0)),"")</f>
        <v>C</v>
      </c>
      <c r="D302" s="5" t="str">
        <f>IFERROR(INDEX('Output Utente'!$C$2:$C$492,MATCH(299,'Output Utente'!$Q$2:$Q$492,0)),"")</f>
        <v>Loftus-Cheek</v>
      </c>
      <c r="E302" s="5" t="str">
        <f>IFERROR(INDEX('Input Giocatori 2026_27'!$D$3:$D$493,MATCH($B302,'Input Giocatori 2026_27'!$A$3:$A$493,0)),"")</f>
        <v>Milan</v>
      </c>
      <c r="F302" s="42">
        <f>IFERROR(INDEX('Output Utente'!$N$2:$N$492,MATCH(299,'Output Utente'!$Q$2:$Q$492,0)),"")</f>
        <v>4</v>
      </c>
      <c r="G302" s="42">
        <f>IFERROR(INDEX('Output Utente'!$O$2:$O$492,MATCH(299,'Output Utente'!$Q$2:$Q$492,0)),"")</f>
        <v>11</v>
      </c>
      <c r="H302" s="5" t="str">
        <f>IFERROR(INDEX('Output Utente'!$P$2:$P$492,MATCH(299,'Output Utente'!$Q$2:$Q$492,0)),"")</f>
        <v>Scommessa/Riserva</v>
      </c>
      <c r="I302" s="42">
        <f>IFERROR(INDEX('Output Utente'!$F$2:$F$492,MATCH(299,'Output Utente'!$Q$2:$Q$492,0)),"")</f>
        <v>2</v>
      </c>
      <c r="J302" s="42">
        <f>IFERROR(INDEX('Output Utente'!$G$2:$G$492,MATCH(299,'Output Utente'!$Q$2:$Q$492,0)),"")</f>
        <v>1</v>
      </c>
      <c r="K302" s="42">
        <f>IFERROR(INDEX('Output Utente'!$H$2:$H$492,MATCH(299,'Output Utente'!$Q$2:$Q$492,0)),"")</f>
        <v>2</v>
      </c>
      <c r="L302" s="5" t="str">
        <f>IFERROR(INDEX('Output Utente'!$E$2:$E$492,MATCH(299,'Output Utente'!$Q$2:$Q$492,0)),"")</f>
        <v>NO</v>
      </c>
      <c r="M302" s="5" t="str">
        <f>IFERROR(INDEX('Output Utente'!$U$2:$U$492,MATCH(299,'Output Utente'!$Q$2:$Q$492,0)),"")</f>
        <v>OK</v>
      </c>
      <c r="N302" s="5" t="str">
        <f>IFERROR(INDEX('Output Utente'!$AE$2:$AE$492,MATCH(299,'Output Utente'!$Q$2:$Q$492,0)),"")</f>
        <v>🟢 Riserve abbondanti</v>
      </c>
    </row>
    <row r="303" spans="1:14" ht="15" customHeight="1" x14ac:dyDescent="0.25">
      <c r="A303" s="41">
        <v>300</v>
      </c>
      <c r="B303" s="5">
        <f>IFERROR(INDEX('Output Utente'!$A$2:$A$492,MATCH(300,'Output Utente'!$Q$2:$Q$492,0)),"")</f>
        <v>5813</v>
      </c>
      <c r="C303" s="5" t="str">
        <f>IFERROR(INDEX('Output Utente'!$B$2:$B$492,MATCH(300,'Output Utente'!$Q$2:$Q$492,0)),"")</f>
        <v>C</v>
      </c>
      <c r="D303" s="5" t="str">
        <f>IFERROR(INDEX('Output Utente'!$C$2:$C$492,MATCH(300,'Output Utente'!$Q$2:$Q$492,0)),"")</f>
        <v>Miretti</v>
      </c>
      <c r="E303" s="5" t="str">
        <f>IFERROR(INDEX('Input Giocatori 2026_27'!$D$3:$D$493,MATCH($B303,'Input Giocatori 2026_27'!$A$3:$A$493,0)),"")</f>
        <v>Juventus</v>
      </c>
      <c r="F303" s="42">
        <f>IFERROR(INDEX('Output Utente'!$N$2:$N$492,MATCH(300,'Output Utente'!$Q$2:$Q$492,0)),"")</f>
        <v>3</v>
      </c>
      <c r="G303" s="42">
        <f>IFERROR(INDEX('Output Utente'!$O$2:$O$492,MATCH(300,'Output Utente'!$Q$2:$Q$492,0)),"")</f>
        <v>11</v>
      </c>
      <c r="H303" s="5" t="str">
        <f>IFERROR(INDEX('Output Utente'!$P$2:$P$492,MATCH(300,'Output Utente'!$Q$2:$Q$492,0)),"")</f>
        <v>Scommessa/Riserva</v>
      </c>
      <c r="I303" s="42">
        <f>IFERROR(INDEX('Output Utente'!$F$2:$F$492,MATCH(300,'Output Utente'!$Q$2:$Q$492,0)),"")</f>
        <v>2</v>
      </c>
      <c r="J303" s="42">
        <f>IFERROR(INDEX('Output Utente'!$G$2:$G$492,MATCH(300,'Output Utente'!$Q$2:$Q$492,0)),"")</f>
        <v>1</v>
      </c>
      <c r="K303" s="42">
        <f>IFERROR(INDEX('Output Utente'!$H$2:$H$492,MATCH(300,'Output Utente'!$Q$2:$Q$492,0)),"")</f>
        <v>2</v>
      </c>
      <c r="L303" s="5" t="str">
        <f>IFERROR(INDEX('Output Utente'!$E$2:$E$492,MATCH(300,'Output Utente'!$Q$2:$Q$492,0)),"")</f>
        <v>NO</v>
      </c>
      <c r="M303" s="5" t="str">
        <f>IFERROR(INDEX('Output Utente'!$U$2:$U$492,MATCH(300,'Output Utente'!$Q$2:$Q$492,0)),"")</f>
        <v>OK</v>
      </c>
      <c r="N303" s="5" t="str">
        <f>IFERROR(INDEX('Output Utente'!$AE$2:$AE$492,MATCH(300,'Output Utente'!$Q$2:$Q$492,0)),"")</f>
        <v>🟢 Riserve abbondanti</v>
      </c>
    </row>
    <row r="304" spans="1:14" ht="15" customHeight="1" x14ac:dyDescent="0.25">
      <c r="A304" s="41">
        <v>301</v>
      </c>
      <c r="B304" s="5">
        <f>IFERROR(INDEX('Output Utente'!$A$2:$A$492,MATCH(301,'Output Utente'!$Q$2:$Q$492,0)),"")</f>
        <v>7342</v>
      </c>
      <c r="C304" s="5" t="str">
        <f>IFERROR(INDEX('Output Utente'!$B$2:$B$492,MATCH(301,'Output Utente'!$Q$2:$Q$492,0)),"")</f>
        <v>A</v>
      </c>
      <c r="D304" s="5" t="str">
        <f>IFERROR(INDEX('Output Utente'!$C$2:$C$492,MATCH(301,'Output Utente'!$Q$2:$Q$492,0)),"")</f>
        <v>Elphege</v>
      </c>
      <c r="E304" s="5" t="str">
        <f>IFERROR(INDEX('Input Giocatori 2026_27'!$D$3:$D$493,MATCH($B304,'Input Giocatori 2026_27'!$A$3:$A$493,0)),"")</f>
        <v>Parma</v>
      </c>
      <c r="F304" s="42">
        <f>IFERROR(INDEX('Output Utente'!$N$2:$N$492,MATCH(301,'Output Utente'!$Q$2:$Q$492,0)),"")</f>
        <v>3</v>
      </c>
      <c r="G304" s="42">
        <f>IFERROR(INDEX('Output Utente'!$O$2:$O$492,MATCH(301,'Output Utente'!$Q$2:$Q$492,0)),"")</f>
        <v>11</v>
      </c>
      <c r="H304" s="5" t="str">
        <f>IFERROR(INDEX('Output Utente'!$P$2:$P$492,MATCH(301,'Output Utente'!$Q$2:$Q$492,0)),"")</f>
        <v>Scommessa/Riserva</v>
      </c>
      <c r="I304" s="42">
        <f>IFERROR(INDEX('Output Utente'!$F$2:$F$492,MATCH(301,'Output Utente'!$Q$2:$Q$492,0)),"")</f>
        <v>3</v>
      </c>
      <c r="J304" s="42">
        <f>IFERROR(INDEX('Output Utente'!$G$2:$G$492,MATCH(301,'Output Utente'!$Q$2:$Q$492,0)),"")</f>
        <v>2</v>
      </c>
      <c r="K304" s="42">
        <f>IFERROR(INDEX('Output Utente'!$H$2:$H$492,MATCH(301,'Output Utente'!$Q$2:$Q$492,0)),"")</f>
        <v>4</v>
      </c>
      <c r="L304" s="5" t="str">
        <f>IFERROR(INDEX('Output Utente'!$E$2:$E$492,MATCH(301,'Output Utente'!$Q$2:$Q$492,0)),"")</f>
        <v>NO</v>
      </c>
      <c r="M304" s="5" t="str">
        <f>IFERROR(INDEX('Output Utente'!$U$2:$U$492,MATCH(301,'Output Utente'!$Q$2:$Q$492,0)),"")</f>
        <v>OK</v>
      </c>
      <c r="N304" s="5" t="str">
        <f>IFERROR(INDEX('Output Utente'!$AE$2:$AE$492,MATCH(301,'Output Utente'!$Q$2:$Q$492,0)),"")</f>
        <v>🟢 Riserve abbondanti</v>
      </c>
    </row>
    <row r="305" spans="1:14" ht="15" customHeight="1" x14ac:dyDescent="0.25">
      <c r="A305" s="41">
        <v>302</v>
      </c>
      <c r="B305" s="5">
        <f>IFERROR(INDEX('Output Utente'!$A$2:$A$492,MATCH(302,'Output Utente'!$Q$2:$Q$492,0)),"")</f>
        <v>218</v>
      </c>
      <c r="C305" s="5" t="str">
        <f>IFERROR(INDEX('Output Utente'!$B$2:$B$492,MATCH(302,'Output Utente'!$Q$2:$Q$492,0)),"")</f>
        <v>P</v>
      </c>
      <c r="D305" s="5" t="str">
        <f>IFERROR(INDEX('Output Utente'!$C$2:$C$492,MATCH(302,'Output Utente'!$Q$2:$Q$492,0)),"")</f>
        <v>Perin</v>
      </c>
      <c r="E305" s="5" t="str">
        <f>IFERROR(INDEX('Input Giocatori 2026_27'!$D$3:$D$493,MATCH($B305,'Input Giocatori 2026_27'!$A$3:$A$493,0)),"")</f>
        <v>Juventus</v>
      </c>
      <c r="F305" s="42">
        <f>IFERROR(INDEX('Output Utente'!$N$2:$N$492,MATCH(302,'Output Utente'!$Q$2:$Q$492,0)),"")</f>
        <v>6</v>
      </c>
      <c r="G305" s="42">
        <f>IFERROR(INDEX('Output Utente'!$O$2:$O$492,MATCH(302,'Output Utente'!$Q$2:$Q$492,0)),"")</f>
        <v>10</v>
      </c>
      <c r="H305" s="5" t="str">
        <f>IFERROR(INDEX('Output Utente'!$P$2:$P$492,MATCH(302,'Output Utente'!$Q$2:$Q$492,0)),"")</f>
        <v>Nella Media</v>
      </c>
      <c r="I305" s="42">
        <f>IFERROR(INDEX('Output Utente'!$F$2:$F$492,MATCH(302,'Output Utente'!$Q$2:$Q$492,0)),"")</f>
        <v>4</v>
      </c>
      <c r="J305" s="42">
        <f>IFERROR(INDEX('Output Utente'!$G$2:$G$492,MATCH(302,'Output Utente'!$Q$2:$Q$492,0)),"")</f>
        <v>3</v>
      </c>
      <c r="K305" s="42">
        <f>IFERROR(INDEX('Output Utente'!$H$2:$H$492,MATCH(302,'Output Utente'!$Q$2:$Q$492,0)),"")</f>
        <v>4</v>
      </c>
      <c r="L305" s="5" t="str">
        <f>IFERROR(INDEX('Output Utente'!$E$2:$E$492,MATCH(302,'Output Utente'!$Q$2:$Q$492,0)),"")</f>
        <v>NO</v>
      </c>
      <c r="M305" s="5" t="str">
        <f>IFERROR(INDEX('Output Utente'!$U$2:$U$492,MATCH(302,'Output Utente'!$Q$2:$Q$492,0)),"")</f>
        <v>OK</v>
      </c>
      <c r="N305" s="5" t="str">
        <f>IFERROR(INDEX('Output Utente'!$AE$2:$AE$492,MATCH(302,'Output Utente'!$Q$2:$Q$492,0)),"")</f>
        <v>🔴 Riserve scarse</v>
      </c>
    </row>
    <row r="306" spans="1:14" ht="15" customHeight="1" x14ac:dyDescent="0.25">
      <c r="A306" s="41">
        <v>303</v>
      </c>
      <c r="B306" s="5">
        <f>IFERROR(INDEX('Output Utente'!$A$2:$A$492,MATCH(303,'Output Utente'!$Q$2:$Q$492,0)),"")</f>
        <v>2170</v>
      </c>
      <c r="C306" s="5" t="str">
        <f>IFERROR(INDEX('Output Utente'!$B$2:$B$492,MATCH(303,'Output Utente'!$Q$2:$Q$492,0)),"")</f>
        <v>P</v>
      </c>
      <c r="D306" s="5" t="str">
        <f>IFERROR(INDEX('Output Utente'!$C$2:$C$492,MATCH(303,'Output Utente'!$Q$2:$Q$492,0)),"")</f>
        <v>Milinkovic-Savic V.</v>
      </c>
      <c r="E306" s="5" t="str">
        <f>IFERROR(INDEX('Input Giocatori 2026_27'!$D$3:$D$493,MATCH($B306,'Input Giocatori 2026_27'!$A$3:$A$493,0)),"")</f>
        <v>Napoli</v>
      </c>
      <c r="F306" s="42">
        <f>IFERROR(INDEX('Output Utente'!$N$2:$N$492,MATCH(303,'Output Utente'!$Q$2:$Q$492,0)),"")</f>
        <v>5</v>
      </c>
      <c r="G306" s="42">
        <f>IFERROR(INDEX('Output Utente'!$O$2:$O$492,MATCH(303,'Output Utente'!$Q$2:$Q$492,0)),"")</f>
        <v>10</v>
      </c>
      <c r="H306" s="5" t="str">
        <f>IFERROR(INDEX('Output Utente'!$P$2:$P$492,MATCH(303,'Output Utente'!$Q$2:$Q$492,0)),"")</f>
        <v>Nella Media</v>
      </c>
      <c r="I306" s="42">
        <f>IFERROR(INDEX('Output Utente'!$F$2:$F$492,MATCH(303,'Output Utente'!$Q$2:$Q$492,0)),"")</f>
        <v>4</v>
      </c>
      <c r="J306" s="42">
        <f>IFERROR(INDEX('Output Utente'!$G$2:$G$492,MATCH(303,'Output Utente'!$Q$2:$Q$492,0)),"")</f>
        <v>3</v>
      </c>
      <c r="K306" s="42">
        <f>IFERROR(INDEX('Output Utente'!$H$2:$H$492,MATCH(303,'Output Utente'!$Q$2:$Q$492,0)),"")</f>
        <v>4</v>
      </c>
      <c r="L306" s="5" t="str">
        <f>IFERROR(INDEX('Output Utente'!$E$2:$E$492,MATCH(303,'Output Utente'!$Q$2:$Q$492,0)),"")</f>
        <v>NO</v>
      </c>
      <c r="M306" s="5" t="str">
        <f>IFERROR(INDEX('Output Utente'!$U$2:$U$492,MATCH(303,'Output Utente'!$Q$2:$Q$492,0)),"")</f>
        <v>OK</v>
      </c>
      <c r="N306" s="5" t="str">
        <f>IFERROR(INDEX('Output Utente'!$AE$2:$AE$492,MATCH(303,'Output Utente'!$Q$2:$Q$492,0)),"")</f>
        <v>🔴 Riserve scarse</v>
      </c>
    </row>
    <row r="307" spans="1:14" ht="15" customHeight="1" x14ac:dyDescent="0.25">
      <c r="A307" s="41">
        <v>304</v>
      </c>
      <c r="B307" s="5">
        <f>IFERROR(INDEX('Output Utente'!$A$2:$A$492,MATCH(304,'Output Utente'!$Q$2:$Q$492,0)),"")</f>
        <v>7014</v>
      </c>
      <c r="C307" s="5" t="str">
        <f>IFERROR(INDEX('Output Utente'!$B$2:$B$492,MATCH(304,'Output Utente'!$Q$2:$Q$492,0)),"")</f>
        <v>D</v>
      </c>
      <c r="D307" s="5" t="str">
        <f>IFERROR(INDEX('Output Utente'!$C$2:$C$492,MATCH(304,'Output Utente'!$Q$2:$Q$492,0)),"")</f>
        <v>Smolcic I.</v>
      </c>
      <c r="E307" s="5" t="str">
        <f>IFERROR(INDEX('Input Giocatori 2026_27'!$D$3:$D$493,MATCH($B307,'Input Giocatori 2026_27'!$A$3:$A$493,0)),"")</f>
        <v>Como</v>
      </c>
      <c r="F307" s="42">
        <f>IFERROR(INDEX('Output Utente'!$N$2:$N$492,MATCH(304,'Output Utente'!$Q$2:$Q$492,0)),"")</f>
        <v>4</v>
      </c>
      <c r="G307" s="42">
        <f>IFERROR(INDEX('Output Utente'!$O$2:$O$492,MATCH(304,'Output Utente'!$Q$2:$Q$492,0)),"")</f>
        <v>10</v>
      </c>
      <c r="H307" s="5" t="str">
        <f>IFERROR(INDEX('Output Utente'!$P$2:$P$492,MATCH(304,'Output Utente'!$Q$2:$Q$492,0)),"")</f>
        <v>Nella Media</v>
      </c>
      <c r="I307" s="42">
        <f>IFERROR(INDEX('Output Utente'!$F$2:$F$492,MATCH(304,'Output Utente'!$Q$2:$Q$492,0)),"")</f>
        <v>2</v>
      </c>
      <c r="J307" s="42">
        <f>IFERROR(INDEX('Output Utente'!$G$2:$G$492,MATCH(304,'Output Utente'!$Q$2:$Q$492,0)),"")</f>
        <v>1</v>
      </c>
      <c r="K307" s="42">
        <f>IFERROR(INDEX('Output Utente'!$H$2:$H$492,MATCH(304,'Output Utente'!$Q$2:$Q$492,0)),"")</f>
        <v>2</v>
      </c>
      <c r="L307" s="5" t="str">
        <f>IFERROR(INDEX('Output Utente'!$E$2:$E$492,MATCH(304,'Output Utente'!$Q$2:$Q$492,0)),"")</f>
        <v>NO</v>
      </c>
      <c r="M307" s="5" t="str">
        <f>IFERROR(INDEX('Output Utente'!$U$2:$U$492,MATCH(304,'Output Utente'!$Q$2:$Q$492,0)),"")</f>
        <v>OK</v>
      </c>
      <c r="N307" s="5" t="str">
        <f>IFERROR(INDEX('Output Utente'!$AE$2:$AE$492,MATCH(304,'Output Utente'!$Q$2:$Q$492,0)),"")</f>
        <v>🟢 Riserve abbondanti</v>
      </c>
    </row>
    <row r="308" spans="1:14" ht="15" customHeight="1" x14ac:dyDescent="0.25">
      <c r="A308" s="41">
        <v>305</v>
      </c>
      <c r="B308" s="5">
        <f>IFERROR(INDEX('Output Utente'!$A$2:$A$492,MATCH(305,'Output Utente'!$Q$2:$Q$492,0)),"")</f>
        <v>7467</v>
      </c>
      <c r="C308" s="5" t="str">
        <f>IFERROR(INDEX('Output Utente'!$B$2:$B$492,MATCH(305,'Output Utente'!$Q$2:$Q$492,0)),"")</f>
        <v>D</v>
      </c>
      <c r="D308" s="5" t="str">
        <f>IFERROR(INDEX('Output Utente'!$C$2:$C$492,MATCH(305,'Output Utente'!$Q$2:$Q$492,0)),"")</f>
        <v>Calvani</v>
      </c>
      <c r="E308" s="5" t="str">
        <f>IFERROR(INDEX('Input Giocatori 2026_27'!$D$3:$D$493,MATCH($B308,'Input Giocatori 2026_27'!$A$3:$A$493,0)),"")</f>
        <v>Frosinone</v>
      </c>
      <c r="F308" s="42">
        <f>IFERROR(INDEX('Output Utente'!$N$2:$N$492,MATCH(305,'Output Utente'!$Q$2:$Q$492,0)),"")</f>
        <v>4</v>
      </c>
      <c r="G308" s="42">
        <f>IFERROR(INDEX('Output Utente'!$O$2:$O$492,MATCH(305,'Output Utente'!$Q$2:$Q$492,0)),"")</f>
        <v>10</v>
      </c>
      <c r="H308" s="5" t="str">
        <f>IFERROR(INDEX('Output Utente'!$P$2:$P$492,MATCH(305,'Output Utente'!$Q$2:$Q$492,0)),"")</f>
        <v>Nella Media</v>
      </c>
      <c r="I308" s="42">
        <f>IFERROR(INDEX('Output Utente'!$F$2:$F$492,MATCH(305,'Output Utente'!$Q$2:$Q$492,0)),"")</f>
        <v>2</v>
      </c>
      <c r="J308" s="42">
        <f>IFERROR(INDEX('Output Utente'!$G$2:$G$492,MATCH(305,'Output Utente'!$Q$2:$Q$492,0)),"")</f>
        <v>1</v>
      </c>
      <c r="K308" s="42">
        <f>IFERROR(INDEX('Output Utente'!$H$2:$H$492,MATCH(305,'Output Utente'!$Q$2:$Q$492,0)),"")</f>
        <v>2</v>
      </c>
      <c r="L308" s="5" t="str">
        <f>IFERROR(INDEX('Output Utente'!$E$2:$E$492,MATCH(305,'Output Utente'!$Q$2:$Q$492,0)),"")</f>
        <v>NO</v>
      </c>
      <c r="M308" s="5" t="str">
        <f>IFERROR(INDEX('Output Utente'!$U$2:$U$492,MATCH(305,'Output Utente'!$Q$2:$Q$492,0)),"")</f>
        <v>OK</v>
      </c>
      <c r="N308" s="5" t="str">
        <f>IFERROR(INDEX('Output Utente'!$AE$2:$AE$492,MATCH(305,'Output Utente'!$Q$2:$Q$492,0)),"")</f>
        <v>🟢 Riserve abbondanti</v>
      </c>
    </row>
    <row r="309" spans="1:14" ht="15" customHeight="1" x14ac:dyDescent="0.25">
      <c r="A309" s="41">
        <v>306</v>
      </c>
      <c r="B309" s="5">
        <f>IFERROR(INDEX('Output Utente'!$A$2:$A$492,MATCH(306,'Output Utente'!$Q$2:$Q$492,0)),"")</f>
        <v>5831</v>
      </c>
      <c r="C309" s="5" t="str">
        <f>IFERROR(INDEX('Output Utente'!$B$2:$B$492,MATCH(306,'Output Utente'!$Q$2:$Q$492,0)),"")</f>
        <v>D</v>
      </c>
      <c r="D309" s="5" t="str">
        <f>IFERROR(INDEX('Output Utente'!$C$2:$C$492,MATCH(306,'Output Utente'!$Q$2:$Q$492,0)),"")</f>
        <v>Gatti</v>
      </c>
      <c r="E309" s="5" t="str">
        <f>IFERROR(INDEX('Input Giocatori 2026_27'!$D$3:$D$493,MATCH($B309,'Input Giocatori 2026_27'!$A$3:$A$493,0)),"")</f>
        <v>Juventus</v>
      </c>
      <c r="F309" s="42">
        <f>IFERROR(INDEX('Output Utente'!$N$2:$N$492,MATCH(306,'Output Utente'!$Q$2:$Q$492,0)),"")</f>
        <v>4</v>
      </c>
      <c r="G309" s="42">
        <f>IFERROR(INDEX('Output Utente'!$O$2:$O$492,MATCH(306,'Output Utente'!$Q$2:$Q$492,0)),"")</f>
        <v>10</v>
      </c>
      <c r="H309" s="5" t="str">
        <f>IFERROR(INDEX('Output Utente'!$P$2:$P$492,MATCH(306,'Output Utente'!$Q$2:$Q$492,0)),"")</f>
        <v>Nella Media</v>
      </c>
      <c r="I309" s="42">
        <f>IFERROR(INDEX('Output Utente'!$F$2:$F$492,MATCH(306,'Output Utente'!$Q$2:$Q$492,0)),"")</f>
        <v>2</v>
      </c>
      <c r="J309" s="42">
        <f>IFERROR(INDEX('Output Utente'!$G$2:$G$492,MATCH(306,'Output Utente'!$Q$2:$Q$492,0)),"")</f>
        <v>1</v>
      </c>
      <c r="K309" s="42">
        <f>IFERROR(INDEX('Output Utente'!$H$2:$H$492,MATCH(306,'Output Utente'!$Q$2:$Q$492,0)),"")</f>
        <v>2</v>
      </c>
      <c r="L309" s="5" t="str">
        <f>IFERROR(INDEX('Output Utente'!$E$2:$E$492,MATCH(306,'Output Utente'!$Q$2:$Q$492,0)),"")</f>
        <v>NO</v>
      </c>
      <c r="M309" s="5" t="str">
        <f>IFERROR(INDEX('Output Utente'!$U$2:$U$492,MATCH(306,'Output Utente'!$Q$2:$Q$492,0)),"")</f>
        <v>OK</v>
      </c>
      <c r="N309" s="5" t="str">
        <f>IFERROR(INDEX('Output Utente'!$AE$2:$AE$492,MATCH(306,'Output Utente'!$Q$2:$Q$492,0)),"")</f>
        <v>🟢 Riserve abbondanti</v>
      </c>
    </row>
    <row r="310" spans="1:14" ht="15" customHeight="1" x14ac:dyDescent="0.25">
      <c r="A310" s="41">
        <v>307</v>
      </c>
      <c r="B310" s="5">
        <f>IFERROR(INDEX('Output Utente'!$A$2:$A$492,MATCH(307,'Output Utente'!$Q$2:$Q$492,0)),"")</f>
        <v>5307</v>
      </c>
      <c r="C310" s="5" t="str">
        <f>IFERROR(INDEX('Output Utente'!$B$2:$B$492,MATCH(307,'Output Utente'!$Q$2:$Q$492,0)),"")</f>
        <v>D</v>
      </c>
      <c r="D310" s="5" t="str">
        <f>IFERROR(INDEX('Output Utente'!$C$2:$C$492,MATCH(307,'Output Utente'!$Q$2:$Q$492,0)),"")</f>
        <v>Valenti</v>
      </c>
      <c r="E310" s="5" t="str">
        <f>IFERROR(INDEX('Input Giocatori 2026_27'!$D$3:$D$493,MATCH($B310,'Input Giocatori 2026_27'!$A$3:$A$493,0)),"")</f>
        <v>Parma</v>
      </c>
      <c r="F310" s="42">
        <f>IFERROR(INDEX('Output Utente'!$N$2:$N$492,MATCH(307,'Output Utente'!$Q$2:$Q$492,0)),"")</f>
        <v>4</v>
      </c>
      <c r="G310" s="42">
        <f>IFERROR(INDEX('Output Utente'!$O$2:$O$492,MATCH(307,'Output Utente'!$Q$2:$Q$492,0)),"")</f>
        <v>10</v>
      </c>
      <c r="H310" s="5" t="str">
        <f>IFERROR(INDEX('Output Utente'!$P$2:$P$492,MATCH(307,'Output Utente'!$Q$2:$Q$492,0)),"")</f>
        <v>Nella Media</v>
      </c>
      <c r="I310" s="42">
        <f>IFERROR(INDEX('Output Utente'!$F$2:$F$492,MATCH(307,'Output Utente'!$Q$2:$Q$492,0)),"")</f>
        <v>2</v>
      </c>
      <c r="J310" s="42">
        <f>IFERROR(INDEX('Output Utente'!$G$2:$G$492,MATCH(307,'Output Utente'!$Q$2:$Q$492,0)),"")</f>
        <v>1</v>
      </c>
      <c r="K310" s="42">
        <f>IFERROR(INDEX('Output Utente'!$H$2:$H$492,MATCH(307,'Output Utente'!$Q$2:$Q$492,0)),"")</f>
        <v>2</v>
      </c>
      <c r="L310" s="5" t="str">
        <f>IFERROR(INDEX('Output Utente'!$E$2:$E$492,MATCH(307,'Output Utente'!$Q$2:$Q$492,0)),"")</f>
        <v>NO</v>
      </c>
      <c r="M310" s="5" t="str">
        <f>IFERROR(INDEX('Output Utente'!$U$2:$U$492,MATCH(307,'Output Utente'!$Q$2:$Q$492,0)),"")</f>
        <v>OK</v>
      </c>
      <c r="N310" s="5" t="str">
        <f>IFERROR(INDEX('Output Utente'!$AE$2:$AE$492,MATCH(307,'Output Utente'!$Q$2:$Q$492,0)),"")</f>
        <v>🟢 Riserve abbondanti</v>
      </c>
    </row>
    <row r="311" spans="1:14" ht="15" customHeight="1" x14ac:dyDescent="0.25">
      <c r="A311" s="41">
        <v>308</v>
      </c>
      <c r="B311" s="5">
        <f>IFERROR(INDEX('Output Utente'!$A$2:$A$492,MATCH(308,'Output Utente'!$Q$2:$Q$492,0)),"")</f>
        <v>6631</v>
      </c>
      <c r="C311" s="5" t="str">
        <f>IFERROR(INDEX('Output Utente'!$B$2:$B$492,MATCH(308,'Output Utente'!$Q$2:$Q$492,0)),"")</f>
        <v>D</v>
      </c>
      <c r="D311" s="5" t="str">
        <f>IFERROR(INDEX('Output Utente'!$C$2:$C$492,MATCH(308,'Output Utente'!$Q$2:$Q$492,0)),"")</f>
        <v>Ghilardi</v>
      </c>
      <c r="E311" s="5" t="str">
        <f>IFERROR(INDEX('Input Giocatori 2026_27'!$D$3:$D$493,MATCH($B311,'Input Giocatori 2026_27'!$A$3:$A$493,0)),"")</f>
        <v>Roma</v>
      </c>
      <c r="F311" s="42">
        <f>IFERROR(INDEX('Output Utente'!$N$2:$N$492,MATCH(308,'Output Utente'!$Q$2:$Q$492,0)),"")</f>
        <v>4</v>
      </c>
      <c r="G311" s="42">
        <f>IFERROR(INDEX('Output Utente'!$O$2:$O$492,MATCH(308,'Output Utente'!$Q$2:$Q$492,0)),"")</f>
        <v>10</v>
      </c>
      <c r="H311" s="5" t="str">
        <f>IFERROR(INDEX('Output Utente'!$P$2:$P$492,MATCH(308,'Output Utente'!$Q$2:$Q$492,0)),"")</f>
        <v>Nella Media</v>
      </c>
      <c r="I311" s="42">
        <f>IFERROR(INDEX('Output Utente'!$F$2:$F$492,MATCH(308,'Output Utente'!$Q$2:$Q$492,0)),"")</f>
        <v>2</v>
      </c>
      <c r="J311" s="42">
        <f>IFERROR(INDEX('Output Utente'!$G$2:$G$492,MATCH(308,'Output Utente'!$Q$2:$Q$492,0)),"")</f>
        <v>1</v>
      </c>
      <c r="K311" s="42">
        <f>IFERROR(INDEX('Output Utente'!$H$2:$H$492,MATCH(308,'Output Utente'!$Q$2:$Q$492,0)),"")</f>
        <v>2</v>
      </c>
      <c r="L311" s="5" t="str">
        <f>IFERROR(INDEX('Output Utente'!$E$2:$E$492,MATCH(308,'Output Utente'!$Q$2:$Q$492,0)),"")</f>
        <v>NO</v>
      </c>
      <c r="M311" s="5" t="str">
        <f>IFERROR(INDEX('Output Utente'!$U$2:$U$492,MATCH(308,'Output Utente'!$Q$2:$Q$492,0)),"")</f>
        <v>OK</v>
      </c>
      <c r="N311" s="5" t="str">
        <f>IFERROR(INDEX('Output Utente'!$AE$2:$AE$492,MATCH(308,'Output Utente'!$Q$2:$Q$492,0)),"")</f>
        <v>🟢 Riserve abbondanti</v>
      </c>
    </row>
    <row r="312" spans="1:14" ht="15" customHeight="1" x14ac:dyDescent="0.25">
      <c r="A312" s="41">
        <v>309</v>
      </c>
      <c r="B312" s="5">
        <f>IFERROR(INDEX('Output Utente'!$A$2:$A$492,MATCH(309,'Output Utente'!$Q$2:$Q$492,0)),"")</f>
        <v>4374</v>
      </c>
      <c r="C312" s="5" t="str">
        <f>IFERROR(INDEX('Output Utente'!$B$2:$B$492,MATCH(309,'Output Utente'!$Q$2:$Q$492,0)),"")</f>
        <v>D</v>
      </c>
      <c r="D312" s="5" t="str">
        <f>IFERROR(INDEX('Output Utente'!$C$2:$C$492,MATCH(309,'Output Utente'!$Q$2:$Q$492,0)),"")</f>
        <v>Walukiewicz</v>
      </c>
      <c r="E312" s="5" t="str">
        <f>IFERROR(INDEX('Input Giocatori 2026_27'!$D$3:$D$493,MATCH($B312,'Input Giocatori 2026_27'!$A$3:$A$493,0)),"")</f>
        <v>Sassuolo</v>
      </c>
      <c r="F312" s="42">
        <f>IFERROR(INDEX('Output Utente'!$N$2:$N$492,MATCH(309,'Output Utente'!$Q$2:$Q$492,0)),"")</f>
        <v>4</v>
      </c>
      <c r="G312" s="42">
        <f>IFERROR(INDEX('Output Utente'!$O$2:$O$492,MATCH(309,'Output Utente'!$Q$2:$Q$492,0)),"")</f>
        <v>10</v>
      </c>
      <c r="H312" s="5" t="str">
        <f>IFERROR(INDEX('Output Utente'!$P$2:$P$492,MATCH(309,'Output Utente'!$Q$2:$Q$492,0)),"")</f>
        <v>Nella Media</v>
      </c>
      <c r="I312" s="42">
        <f>IFERROR(INDEX('Output Utente'!$F$2:$F$492,MATCH(309,'Output Utente'!$Q$2:$Q$492,0)),"")</f>
        <v>2</v>
      </c>
      <c r="J312" s="42">
        <f>IFERROR(INDEX('Output Utente'!$G$2:$G$492,MATCH(309,'Output Utente'!$Q$2:$Q$492,0)),"")</f>
        <v>1</v>
      </c>
      <c r="K312" s="42">
        <f>IFERROR(INDEX('Output Utente'!$H$2:$H$492,MATCH(309,'Output Utente'!$Q$2:$Q$492,0)),"")</f>
        <v>2</v>
      </c>
      <c r="L312" s="5" t="str">
        <f>IFERROR(INDEX('Output Utente'!$E$2:$E$492,MATCH(309,'Output Utente'!$Q$2:$Q$492,0)),"")</f>
        <v>NO</v>
      </c>
      <c r="M312" s="5" t="str">
        <f>IFERROR(INDEX('Output Utente'!$U$2:$U$492,MATCH(309,'Output Utente'!$Q$2:$Q$492,0)),"")</f>
        <v>OK</v>
      </c>
      <c r="N312" s="5" t="str">
        <f>IFERROR(INDEX('Output Utente'!$AE$2:$AE$492,MATCH(309,'Output Utente'!$Q$2:$Q$492,0)),"")</f>
        <v>🟢 Riserve abbondanti</v>
      </c>
    </row>
    <row r="313" spans="1:14" ht="15" customHeight="1" x14ac:dyDescent="0.25">
      <c r="A313" s="41">
        <v>310</v>
      </c>
      <c r="B313" s="5">
        <f>IFERROR(INDEX('Output Utente'!$A$2:$A$492,MATCH(310,'Output Utente'!$Q$2:$Q$492,0)),"")</f>
        <v>7526</v>
      </c>
      <c r="C313" s="5" t="str">
        <f>IFERROR(INDEX('Output Utente'!$B$2:$B$492,MATCH(310,'Output Utente'!$Q$2:$Q$492,0)),"")</f>
        <v>D</v>
      </c>
      <c r="D313" s="5" t="str">
        <f>IFERROR(INDEX('Output Utente'!$C$2:$C$492,MATCH(310,'Output Utente'!$Q$2:$Q$492,0)),"")</f>
        <v>Comert</v>
      </c>
      <c r="E313" s="5" t="str">
        <f>IFERROR(INDEX('Input Giocatori 2026_27'!$D$3:$D$493,MATCH($B313,'Input Giocatori 2026_27'!$A$3:$A$493,0)),"")</f>
        <v>Torino</v>
      </c>
      <c r="F313" s="42">
        <f>IFERROR(INDEX('Output Utente'!$N$2:$N$492,MATCH(310,'Output Utente'!$Q$2:$Q$492,0)),"")</f>
        <v>4</v>
      </c>
      <c r="G313" s="42">
        <f>IFERROR(INDEX('Output Utente'!$O$2:$O$492,MATCH(310,'Output Utente'!$Q$2:$Q$492,0)),"")</f>
        <v>10</v>
      </c>
      <c r="H313" s="5" t="str">
        <f>IFERROR(INDEX('Output Utente'!$P$2:$P$492,MATCH(310,'Output Utente'!$Q$2:$Q$492,0)),"")</f>
        <v>Nella Media</v>
      </c>
      <c r="I313" s="42">
        <f>IFERROR(INDEX('Output Utente'!$F$2:$F$492,MATCH(310,'Output Utente'!$Q$2:$Q$492,0)),"")</f>
        <v>2</v>
      </c>
      <c r="J313" s="42">
        <f>IFERROR(INDEX('Output Utente'!$G$2:$G$492,MATCH(310,'Output Utente'!$Q$2:$Q$492,0)),"")</f>
        <v>1</v>
      </c>
      <c r="K313" s="42">
        <f>IFERROR(INDEX('Output Utente'!$H$2:$H$492,MATCH(310,'Output Utente'!$Q$2:$Q$492,0)),"")</f>
        <v>2</v>
      </c>
      <c r="L313" s="5" t="str">
        <f>IFERROR(INDEX('Output Utente'!$E$2:$E$492,MATCH(310,'Output Utente'!$Q$2:$Q$492,0)),"")</f>
        <v>NO</v>
      </c>
      <c r="M313" s="5" t="str">
        <f>IFERROR(INDEX('Output Utente'!$U$2:$U$492,MATCH(310,'Output Utente'!$Q$2:$Q$492,0)),"")</f>
        <v>OK</v>
      </c>
      <c r="N313" s="5" t="str">
        <f>IFERROR(INDEX('Output Utente'!$AE$2:$AE$492,MATCH(310,'Output Utente'!$Q$2:$Q$492,0)),"")</f>
        <v>🟢 Riserve abbondanti</v>
      </c>
    </row>
    <row r="314" spans="1:14" ht="15" customHeight="1" x14ac:dyDescent="0.25">
      <c r="A314" s="41">
        <v>311</v>
      </c>
      <c r="B314" s="5">
        <f>IFERROR(INDEX('Output Utente'!$A$2:$A$492,MATCH(311,'Output Utente'!$Q$2:$Q$492,0)),"")</f>
        <v>5820</v>
      </c>
      <c r="C314" s="5" t="str">
        <f>IFERROR(INDEX('Output Utente'!$B$2:$B$492,MATCH(311,'Output Utente'!$Q$2:$Q$492,0)),"")</f>
        <v>D</v>
      </c>
      <c r="D314" s="5" t="str">
        <f>IFERROR(INDEX('Output Utente'!$C$2:$C$492,MATCH(311,'Output Utente'!$Q$2:$Q$492,0)),"")</f>
        <v>Bertola</v>
      </c>
      <c r="E314" s="5" t="str">
        <f>IFERROR(INDEX('Input Giocatori 2026_27'!$D$3:$D$493,MATCH($B314,'Input Giocatori 2026_27'!$A$3:$A$493,0)),"")</f>
        <v>Udinese</v>
      </c>
      <c r="F314" s="42">
        <f>IFERROR(INDEX('Output Utente'!$N$2:$N$492,MATCH(311,'Output Utente'!$Q$2:$Q$492,0)),"")</f>
        <v>4</v>
      </c>
      <c r="G314" s="42">
        <f>IFERROR(INDEX('Output Utente'!$O$2:$O$492,MATCH(311,'Output Utente'!$Q$2:$Q$492,0)),"")</f>
        <v>10</v>
      </c>
      <c r="H314" s="5" t="str">
        <f>IFERROR(INDEX('Output Utente'!$P$2:$P$492,MATCH(311,'Output Utente'!$Q$2:$Q$492,0)),"")</f>
        <v>Nella Media</v>
      </c>
      <c r="I314" s="42">
        <f>IFERROR(INDEX('Output Utente'!$F$2:$F$492,MATCH(311,'Output Utente'!$Q$2:$Q$492,0)),"")</f>
        <v>2</v>
      </c>
      <c r="J314" s="42">
        <f>IFERROR(INDEX('Output Utente'!$G$2:$G$492,MATCH(311,'Output Utente'!$Q$2:$Q$492,0)),"")</f>
        <v>1</v>
      </c>
      <c r="K314" s="42">
        <f>IFERROR(INDEX('Output Utente'!$H$2:$H$492,MATCH(311,'Output Utente'!$Q$2:$Q$492,0)),"")</f>
        <v>2</v>
      </c>
      <c r="L314" s="5" t="str">
        <f>IFERROR(INDEX('Output Utente'!$E$2:$E$492,MATCH(311,'Output Utente'!$Q$2:$Q$492,0)),"")</f>
        <v>NO</v>
      </c>
      <c r="M314" s="5" t="str">
        <f>IFERROR(INDEX('Output Utente'!$U$2:$U$492,MATCH(311,'Output Utente'!$Q$2:$Q$492,0)),"")</f>
        <v>OK</v>
      </c>
      <c r="N314" s="5" t="str">
        <f>IFERROR(INDEX('Output Utente'!$AE$2:$AE$492,MATCH(311,'Output Utente'!$Q$2:$Q$492,0)),"")</f>
        <v>🟢 Riserve abbondanti</v>
      </c>
    </row>
    <row r="315" spans="1:14" ht="15" customHeight="1" x14ac:dyDescent="0.25">
      <c r="A315" s="41">
        <v>312</v>
      </c>
      <c r="B315" s="5">
        <f>IFERROR(INDEX('Output Utente'!$A$2:$A$492,MATCH(312,'Output Utente'!$Q$2:$Q$492,0)),"")</f>
        <v>5527</v>
      </c>
      <c r="C315" s="5" t="str">
        <f>IFERROR(INDEX('Output Utente'!$B$2:$B$492,MATCH(312,'Output Utente'!$Q$2:$Q$492,0)),"")</f>
        <v>D</v>
      </c>
      <c r="D315" s="5" t="str">
        <f>IFERROR(INDEX('Output Utente'!$C$2:$C$492,MATCH(312,'Output Utente'!$Q$2:$Q$492,0)),"")</f>
        <v>Zanoli</v>
      </c>
      <c r="E315" s="5" t="str">
        <f>IFERROR(INDEX('Input Giocatori 2026_27'!$D$3:$D$493,MATCH($B315,'Input Giocatori 2026_27'!$A$3:$A$493,0)),"")</f>
        <v>Udinese</v>
      </c>
      <c r="F315" s="42">
        <f>IFERROR(INDEX('Output Utente'!$N$2:$N$492,MATCH(312,'Output Utente'!$Q$2:$Q$492,0)),"")</f>
        <v>4</v>
      </c>
      <c r="G315" s="42">
        <f>IFERROR(INDEX('Output Utente'!$O$2:$O$492,MATCH(312,'Output Utente'!$Q$2:$Q$492,0)),"")</f>
        <v>10</v>
      </c>
      <c r="H315" s="5" t="str">
        <f>IFERROR(INDEX('Output Utente'!$P$2:$P$492,MATCH(312,'Output Utente'!$Q$2:$Q$492,0)),"")</f>
        <v>Nella Media</v>
      </c>
      <c r="I315" s="42">
        <f>IFERROR(INDEX('Output Utente'!$F$2:$F$492,MATCH(312,'Output Utente'!$Q$2:$Q$492,0)),"")</f>
        <v>2</v>
      </c>
      <c r="J315" s="42">
        <f>IFERROR(INDEX('Output Utente'!$G$2:$G$492,MATCH(312,'Output Utente'!$Q$2:$Q$492,0)),"")</f>
        <v>1</v>
      </c>
      <c r="K315" s="42">
        <f>IFERROR(INDEX('Output Utente'!$H$2:$H$492,MATCH(312,'Output Utente'!$Q$2:$Q$492,0)),"")</f>
        <v>2</v>
      </c>
      <c r="L315" s="5" t="str">
        <f>IFERROR(INDEX('Output Utente'!$E$2:$E$492,MATCH(312,'Output Utente'!$Q$2:$Q$492,0)),"")</f>
        <v>NO</v>
      </c>
      <c r="M315" s="5" t="str">
        <f>IFERROR(INDEX('Output Utente'!$U$2:$U$492,MATCH(312,'Output Utente'!$Q$2:$Q$492,0)),"")</f>
        <v>OK</v>
      </c>
      <c r="N315" s="5" t="str">
        <f>IFERROR(INDEX('Output Utente'!$AE$2:$AE$492,MATCH(312,'Output Utente'!$Q$2:$Q$492,0)),"")</f>
        <v>🟢 Riserve abbondanti</v>
      </c>
    </row>
    <row r="316" spans="1:14" ht="15" customHeight="1" x14ac:dyDescent="0.25">
      <c r="A316" s="41">
        <v>313</v>
      </c>
      <c r="B316" s="5">
        <f>IFERROR(INDEX('Output Utente'!$A$2:$A$492,MATCH(313,'Output Utente'!$Q$2:$Q$492,0)),"")</f>
        <v>7538</v>
      </c>
      <c r="C316" s="5" t="str">
        <f>IFERROR(INDEX('Output Utente'!$B$2:$B$492,MATCH(313,'Output Utente'!$Q$2:$Q$492,0)),"")</f>
        <v>D</v>
      </c>
      <c r="D316" s="5" t="str">
        <f>IFERROR(INDEX('Output Utente'!$C$2:$C$492,MATCH(313,'Output Utente'!$Q$2:$Q$492,0)),"")</f>
        <v>Halhal</v>
      </c>
      <c r="E316" s="5" t="str">
        <f>IFERROR(INDEX('Input Giocatori 2026_27'!$D$3:$D$493,MATCH($B316,'Input Giocatori 2026_27'!$A$3:$A$493,0)),"")</f>
        <v>Venezia</v>
      </c>
      <c r="F316" s="42">
        <f>IFERROR(INDEX('Output Utente'!$N$2:$N$492,MATCH(313,'Output Utente'!$Q$2:$Q$492,0)),"")</f>
        <v>4</v>
      </c>
      <c r="G316" s="42">
        <f>IFERROR(INDEX('Output Utente'!$O$2:$O$492,MATCH(313,'Output Utente'!$Q$2:$Q$492,0)),"")</f>
        <v>10</v>
      </c>
      <c r="H316" s="5" t="str">
        <f>IFERROR(INDEX('Output Utente'!$P$2:$P$492,MATCH(313,'Output Utente'!$Q$2:$Q$492,0)),"")</f>
        <v>Nella Media</v>
      </c>
      <c r="I316" s="42">
        <f>IFERROR(INDEX('Output Utente'!$F$2:$F$492,MATCH(313,'Output Utente'!$Q$2:$Q$492,0)),"")</f>
        <v>2</v>
      </c>
      <c r="J316" s="42">
        <f>IFERROR(INDEX('Output Utente'!$G$2:$G$492,MATCH(313,'Output Utente'!$Q$2:$Q$492,0)),"")</f>
        <v>1</v>
      </c>
      <c r="K316" s="42">
        <f>IFERROR(INDEX('Output Utente'!$H$2:$H$492,MATCH(313,'Output Utente'!$Q$2:$Q$492,0)),"")</f>
        <v>2</v>
      </c>
      <c r="L316" s="5" t="str">
        <f>IFERROR(INDEX('Output Utente'!$E$2:$E$492,MATCH(313,'Output Utente'!$Q$2:$Q$492,0)),"")</f>
        <v>NO</v>
      </c>
      <c r="M316" s="5" t="str">
        <f>IFERROR(INDEX('Output Utente'!$U$2:$U$492,MATCH(313,'Output Utente'!$Q$2:$Q$492,0)),"")</f>
        <v>OK</v>
      </c>
      <c r="N316" s="5" t="str">
        <f>IFERROR(INDEX('Output Utente'!$AE$2:$AE$492,MATCH(313,'Output Utente'!$Q$2:$Q$492,0)),"")</f>
        <v>🟢 Riserve abbondanti</v>
      </c>
    </row>
    <row r="317" spans="1:14" ht="15" customHeight="1" x14ac:dyDescent="0.25">
      <c r="A317" s="41">
        <v>314</v>
      </c>
      <c r="B317" s="5">
        <f>IFERROR(INDEX('Output Utente'!$A$2:$A$492,MATCH(314,'Output Utente'!$Q$2:$Q$492,0)),"")</f>
        <v>7268</v>
      </c>
      <c r="C317" s="5" t="str">
        <f>IFERROR(INDEX('Output Utente'!$B$2:$B$492,MATCH(314,'Output Utente'!$Q$2:$Q$492,0)),"")</f>
        <v>D</v>
      </c>
      <c r="D317" s="5" t="str">
        <f>IFERROR(INDEX('Output Utente'!$C$2:$C$492,MATCH(314,'Output Utente'!$Q$2:$Q$492,0)),"")</f>
        <v>Rodriguez Ju.</v>
      </c>
      <c r="E317" s="5" t="str">
        <f>IFERROR(INDEX('Input Giocatori 2026_27'!$D$3:$D$493,MATCH($B317,'Input Giocatori 2026_27'!$A$3:$A$493,0)),"")</f>
        <v>Cagliari</v>
      </c>
      <c r="F317" s="42">
        <f>IFERROR(INDEX('Output Utente'!$N$2:$N$492,MATCH(314,'Output Utente'!$Q$2:$Q$492,0)),"")</f>
        <v>3</v>
      </c>
      <c r="G317" s="42">
        <f>IFERROR(INDEX('Output Utente'!$O$2:$O$492,MATCH(314,'Output Utente'!$Q$2:$Q$492,0)),"")</f>
        <v>10</v>
      </c>
      <c r="H317" s="5" t="str">
        <f>IFERROR(INDEX('Output Utente'!$P$2:$P$492,MATCH(314,'Output Utente'!$Q$2:$Q$492,0)),"")</f>
        <v>Nella Media</v>
      </c>
      <c r="I317" s="42">
        <f>IFERROR(INDEX('Output Utente'!$F$2:$F$492,MATCH(314,'Output Utente'!$Q$2:$Q$492,0)),"")</f>
        <v>2</v>
      </c>
      <c r="J317" s="42">
        <f>IFERROR(INDEX('Output Utente'!$G$2:$G$492,MATCH(314,'Output Utente'!$Q$2:$Q$492,0)),"")</f>
        <v>1</v>
      </c>
      <c r="K317" s="42">
        <f>IFERROR(INDEX('Output Utente'!$H$2:$H$492,MATCH(314,'Output Utente'!$Q$2:$Q$492,0)),"")</f>
        <v>2</v>
      </c>
      <c r="L317" s="5" t="str">
        <f>IFERROR(INDEX('Output Utente'!$E$2:$E$492,MATCH(314,'Output Utente'!$Q$2:$Q$492,0)),"")</f>
        <v>NO</v>
      </c>
      <c r="M317" s="5" t="str">
        <f>IFERROR(INDEX('Output Utente'!$U$2:$U$492,MATCH(314,'Output Utente'!$Q$2:$Q$492,0)),"")</f>
        <v>OK</v>
      </c>
      <c r="N317" s="5" t="str">
        <f>IFERROR(INDEX('Output Utente'!$AE$2:$AE$492,MATCH(314,'Output Utente'!$Q$2:$Q$492,0)),"")</f>
        <v>🟢 Riserve abbondanti</v>
      </c>
    </row>
    <row r="318" spans="1:14" ht="15" customHeight="1" x14ac:dyDescent="0.25">
      <c r="A318" s="41">
        <v>315</v>
      </c>
      <c r="B318" s="5">
        <f>IFERROR(INDEX('Output Utente'!$A$2:$A$492,MATCH(315,'Output Utente'!$Q$2:$Q$492,0)),"")</f>
        <v>7012</v>
      </c>
      <c r="C318" s="5" t="str">
        <f>IFERROR(INDEX('Output Utente'!$B$2:$B$492,MATCH(315,'Output Utente'!$Q$2:$Q$492,0)),"")</f>
        <v>D</v>
      </c>
      <c r="D318" s="5" t="str">
        <f>IFERROR(INDEX('Output Utente'!$C$2:$C$492,MATCH(315,'Output Utente'!$Q$2:$Q$492,0)),"")</f>
        <v>Provstgaard</v>
      </c>
      <c r="E318" s="5" t="str">
        <f>IFERROR(INDEX('Input Giocatori 2026_27'!$D$3:$D$493,MATCH($B318,'Input Giocatori 2026_27'!$A$3:$A$493,0)),"")</f>
        <v>Lazio</v>
      </c>
      <c r="F318" s="42">
        <f>IFERROR(INDEX('Output Utente'!$N$2:$N$492,MATCH(315,'Output Utente'!$Q$2:$Q$492,0)),"")</f>
        <v>3</v>
      </c>
      <c r="G318" s="42">
        <f>IFERROR(INDEX('Output Utente'!$O$2:$O$492,MATCH(315,'Output Utente'!$Q$2:$Q$492,0)),"")</f>
        <v>10</v>
      </c>
      <c r="H318" s="5" t="str">
        <f>IFERROR(INDEX('Output Utente'!$P$2:$P$492,MATCH(315,'Output Utente'!$Q$2:$Q$492,0)),"")</f>
        <v>Nella Media</v>
      </c>
      <c r="I318" s="42">
        <f>IFERROR(INDEX('Output Utente'!$F$2:$F$492,MATCH(315,'Output Utente'!$Q$2:$Q$492,0)),"")</f>
        <v>2</v>
      </c>
      <c r="J318" s="42">
        <f>IFERROR(INDEX('Output Utente'!$G$2:$G$492,MATCH(315,'Output Utente'!$Q$2:$Q$492,0)),"")</f>
        <v>1</v>
      </c>
      <c r="K318" s="42">
        <f>IFERROR(INDEX('Output Utente'!$H$2:$H$492,MATCH(315,'Output Utente'!$Q$2:$Q$492,0)),"")</f>
        <v>2</v>
      </c>
      <c r="L318" s="5" t="str">
        <f>IFERROR(INDEX('Output Utente'!$E$2:$E$492,MATCH(315,'Output Utente'!$Q$2:$Q$492,0)),"")</f>
        <v>NO</v>
      </c>
      <c r="M318" s="5" t="str">
        <f>IFERROR(INDEX('Output Utente'!$U$2:$U$492,MATCH(315,'Output Utente'!$Q$2:$Q$492,0)),"")</f>
        <v>OK</v>
      </c>
      <c r="N318" s="5" t="str">
        <f>IFERROR(INDEX('Output Utente'!$AE$2:$AE$492,MATCH(315,'Output Utente'!$Q$2:$Q$492,0)),"")</f>
        <v>🟢 Riserve abbondanti</v>
      </c>
    </row>
    <row r="319" spans="1:14" ht="15" customHeight="1" x14ac:dyDescent="0.25">
      <c r="A319" s="41">
        <v>316</v>
      </c>
      <c r="B319" s="5">
        <f>IFERROR(INDEX('Output Utente'!$A$2:$A$492,MATCH(316,'Output Utente'!$Q$2:$Q$492,0)),"")</f>
        <v>7255</v>
      </c>
      <c r="C319" s="5" t="str">
        <f>IFERROR(INDEX('Output Utente'!$B$2:$B$492,MATCH(316,'Output Utente'!$Q$2:$Q$492,0)),"")</f>
        <v>D</v>
      </c>
      <c r="D319" s="5" t="str">
        <f>IFERROR(INDEX('Output Utente'!$C$2:$C$492,MATCH(316,'Output Utente'!$Q$2:$Q$492,0)),"")</f>
        <v>Britschgi</v>
      </c>
      <c r="E319" s="5" t="str">
        <f>IFERROR(INDEX('Input Giocatori 2026_27'!$D$3:$D$493,MATCH($B319,'Input Giocatori 2026_27'!$A$3:$A$493,0)),"")</f>
        <v>Parma</v>
      </c>
      <c r="F319" s="42">
        <f>IFERROR(INDEX('Output Utente'!$N$2:$N$492,MATCH(316,'Output Utente'!$Q$2:$Q$492,0)),"")</f>
        <v>3</v>
      </c>
      <c r="G319" s="42">
        <f>IFERROR(INDEX('Output Utente'!$O$2:$O$492,MATCH(316,'Output Utente'!$Q$2:$Q$492,0)),"")</f>
        <v>10</v>
      </c>
      <c r="H319" s="5" t="str">
        <f>IFERROR(INDEX('Output Utente'!$P$2:$P$492,MATCH(316,'Output Utente'!$Q$2:$Q$492,0)),"")</f>
        <v>Nella Media</v>
      </c>
      <c r="I319" s="42">
        <f>IFERROR(INDEX('Output Utente'!$F$2:$F$492,MATCH(316,'Output Utente'!$Q$2:$Q$492,0)),"")</f>
        <v>2</v>
      </c>
      <c r="J319" s="42">
        <f>IFERROR(INDEX('Output Utente'!$G$2:$G$492,MATCH(316,'Output Utente'!$Q$2:$Q$492,0)),"")</f>
        <v>1</v>
      </c>
      <c r="K319" s="42">
        <f>IFERROR(INDEX('Output Utente'!$H$2:$H$492,MATCH(316,'Output Utente'!$Q$2:$Q$492,0)),"")</f>
        <v>2</v>
      </c>
      <c r="L319" s="5" t="str">
        <f>IFERROR(INDEX('Output Utente'!$E$2:$E$492,MATCH(316,'Output Utente'!$Q$2:$Q$492,0)),"")</f>
        <v>NO</v>
      </c>
      <c r="M319" s="5" t="str">
        <f>IFERROR(INDEX('Output Utente'!$U$2:$U$492,MATCH(316,'Output Utente'!$Q$2:$Q$492,0)),"")</f>
        <v>OK</v>
      </c>
      <c r="N319" s="5" t="str">
        <f>IFERROR(INDEX('Output Utente'!$AE$2:$AE$492,MATCH(316,'Output Utente'!$Q$2:$Q$492,0)),"")</f>
        <v>🟢 Riserve abbondanti</v>
      </c>
    </row>
    <row r="320" spans="1:14" ht="15" customHeight="1" x14ac:dyDescent="0.25">
      <c r="A320" s="41">
        <v>317</v>
      </c>
      <c r="B320" s="5">
        <f>IFERROR(INDEX('Output Utente'!$A$2:$A$492,MATCH(317,'Output Utente'!$Q$2:$Q$492,0)),"")</f>
        <v>6640</v>
      </c>
      <c r="C320" s="5" t="str">
        <f>IFERROR(INDEX('Output Utente'!$B$2:$B$492,MATCH(317,'Output Utente'!$Q$2:$Q$492,0)),"")</f>
        <v>C</v>
      </c>
      <c r="D320" s="5" t="str">
        <f>IFERROR(INDEX('Output Utente'!$C$2:$C$492,MATCH(317,'Output Utente'!$Q$2:$Q$492,0)),"")</f>
        <v>Felici</v>
      </c>
      <c r="E320" s="5" t="str">
        <f>IFERROR(INDEX('Input Giocatori 2026_27'!$D$3:$D$493,MATCH($B320,'Input Giocatori 2026_27'!$A$3:$A$493,0)),"")</f>
        <v>Cagliari</v>
      </c>
      <c r="F320" s="42">
        <f>IFERROR(INDEX('Output Utente'!$N$2:$N$492,MATCH(317,'Output Utente'!$Q$2:$Q$492,0)),"")</f>
        <v>5</v>
      </c>
      <c r="G320" s="42">
        <f>IFERROR(INDEX('Output Utente'!$O$2:$O$492,MATCH(317,'Output Utente'!$Q$2:$Q$492,0)),"")</f>
        <v>10</v>
      </c>
      <c r="H320" s="5" t="str">
        <f>IFERROR(INDEX('Output Utente'!$P$2:$P$492,MATCH(317,'Output Utente'!$Q$2:$Q$492,0)),"")</f>
        <v>Scommessa/Riserva</v>
      </c>
      <c r="I320" s="42">
        <f>IFERROR(INDEX('Output Utente'!$F$2:$F$492,MATCH(317,'Output Utente'!$Q$2:$Q$492,0)),"")</f>
        <v>1</v>
      </c>
      <c r="J320" s="42">
        <f>IFERROR(INDEX('Output Utente'!$G$2:$G$492,MATCH(317,'Output Utente'!$Q$2:$Q$492,0)),"")</f>
        <v>1</v>
      </c>
      <c r="K320" s="42">
        <f>IFERROR(INDEX('Output Utente'!$H$2:$H$492,MATCH(317,'Output Utente'!$Q$2:$Q$492,0)),"")</f>
        <v>1</v>
      </c>
      <c r="L320" s="5" t="str">
        <f>IFERROR(INDEX('Output Utente'!$E$2:$E$492,MATCH(317,'Output Utente'!$Q$2:$Q$492,0)),"")</f>
        <v>NO</v>
      </c>
      <c r="M320" s="5" t="str">
        <f>IFERROR(INDEX('Output Utente'!$U$2:$U$492,MATCH(317,'Output Utente'!$Q$2:$Q$492,0)),"")</f>
        <v>OK</v>
      </c>
      <c r="N320" s="5" t="str">
        <f>IFERROR(INDEX('Output Utente'!$AE$2:$AE$492,MATCH(317,'Output Utente'!$Q$2:$Q$492,0)),"")</f>
        <v>🟢 Riserve abbondanti</v>
      </c>
    </row>
    <row r="321" spans="1:14" ht="15" customHeight="1" x14ac:dyDescent="0.25">
      <c r="A321" s="41">
        <v>318</v>
      </c>
      <c r="B321" s="5">
        <f>IFERROR(INDEX('Output Utente'!$A$2:$A$492,MATCH(318,'Output Utente'!$Q$2:$Q$492,0)),"")</f>
        <v>7127</v>
      </c>
      <c r="C321" s="5" t="str">
        <f>IFERROR(INDEX('Output Utente'!$B$2:$B$492,MATCH(318,'Output Utente'!$Q$2:$Q$492,0)),"")</f>
        <v>C</v>
      </c>
      <c r="D321" s="5" t="str">
        <f>IFERROR(INDEX('Output Utente'!$C$2:$C$492,MATCH(318,'Output Utente'!$Q$2:$Q$492,0)),"")</f>
        <v>Addai</v>
      </c>
      <c r="E321" s="5" t="str">
        <f>IFERROR(INDEX('Input Giocatori 2026_27'!$D$3:$D$493,MATCH($B321,'Input Giocatori 2026_27'!$A$3:$A$493,0)),"")</f>
        <v>Como</v>
      </c>
      <c r="F321" s="42">
        <f>IFERROR(INDEX('Output Utente'!$N$2:$N$492,MATCH(318,'Output Utente'!$Q$2:$Q$492,0)),"")</f>
        <v>5</v>
      </c>
      <c r="G321" s="42">
        <f>IFERROR(INDEX('Output Utente'!$O$2:$O$492,MATCH(318,'Output Utente'!$Q$2:$Q$492,0)),"")</f>
        <v>10</v>
      </c>
      <c r="H321" s="5" t="str">
        <f>IFERROR(INDEX('Output Utente'!$P$2:$P$492,MATCH(318,'Output Utente'!$Q$2:$Q$492,0)),"")</f>
        <v>Scommessa/Riserva</v>
      </c>
      <c r="I321" s="42">
        <f>IFERROR(INDEX('Output Utente'!$F$2:$F$492,MATCH(318,'Output Utente'!$Q$2:$Q$492,0)),"")</f>
        <v>1</v>
      </c>
      <c r="J321" s="42">
        <f>IFERROR(INDEX('Output Utente'!$G$2:$G$492,MATCH(318,'Output Utente'!$Q$2:$Q$492,0)),"")</f>
        <v>1</v>
      </c>
      <c r="K321" s="42">
        <f>IFERROR(INDEX('Output Utente'!$H$2:$H$492,MATCH(318,'Output Utente'!$Q$2:$Q$492,0)),"")</f>
        <v>1</v>
      </c>
      <c r="L321" s="5" t="str">
        <f>IFERROR(INDEX('Output Utente'!$E$2:$E$492,MATCH(318,'Output Utente'!$Q$2:$Q$492,0)),"")</f>
        <v>NO</v>
      </c>
      <c r="M321" s="5" t="str">
        <f>IFERROR(INDEX('Output Utente'!$U$2:$U$492,MATCH(318,'Output Utente'!$Q$2:$Q$492,0)),"")</f>
        <v>OK</v>
      </c>
      <c r="N321" s="5" t="str">
        <f>IFERROR(INDEX('Output Utente'!$AE$2:$AE$492,MATCH(318,'Output Utente'!$Q$2:$Q$492,0)),"")</f>
        <v>🟢 Riserve abbondanti</v>
      </c>
    </row>
    <row r="322" spans="1:14" ht="15" customHeight="1" x14ac:dyDescent="0.25">
      <c r="A322" s="41">
        <v>319</v>
      </c>
      <c r="B322" s="5">
        <f>IFERROR(INDEX('Output Utente'!$A$2:$A$492,MATCH(319,'Output Utente'!$Q$2:$Q$492,0)),"")</f>
        <v>6054</v>
      </c>
      <c r="C322" s="5" t="str">
        <f>IFERROR(INDEX('Output Utente'!$B$2:$B$492,MATCH(319,'Output Utente'!$Q$2:$Q$492,0)),"")</f>
        <v>C</v>
      </c>
      <c r="D322" s="5" t="str">
        <f>IFERROR(INDEX('Output Utente'!$C$2:$C$492,MATCH(319,'Output Utente'!$Q$2:$Q$492,0)),"")</f>
        <v>Moro N.</v>
      </c>
      <c r="E322" s="5" t="str">
        <f>IFERROR(INDEX('Input Giocatori 2026_27'!$D$3:$D$493,MATCH($B322,'Input Giocatori 2026_27'!$A$3:$A$493,0)),"")</f>
        <v>Bologna</v>
      </c>
      <c r="F322" s="42">
        <f>IFERROR(INDEX('Output Utente'!$N$2:$N$492,MATCH(319,'Output Utente'!$Q$2:$Q$492,0)),"")</f>
        <v>4</v>
      </c>
      <c r="G322" s="42">
        <f>IFERROR(INDEX('Output Utente'!$O$2:$O$492,MATCH(319,'Output Utente'!$Q$2:$Q$492,0)),"")</f>
        <v>10</v>
      </c>
      <c r="H322" s="5" t="str">
        <f>IFERROR(INDEX('Output Utente'!$P$2:$P$492,MATCH(319,'Output Utente'!$Q$2:$Q$492,0)),"")</f>
        <v>Scommessa/Riserva</v>
      </c>
      <c r="I322" s="42">
        <f>IFERROR(INDEX('Output Utente'!$F$2:$F$492,MATCH(319,'Output Utente'!$Q$2:$Q$492,0)),"")</f>
        <v>1</v>
      </c>
      <c r="J322" s="42">
        <f>IFERROR(INDEX('Output Utente'!$G$2:$G$492,MATCH(319,'Output Utente'!$Q$2:$Q$492,0)),"")</f>
        <v>1</v>
      </c>
      <c r="K322" s="42">
        <f>IFERROR(INDEX('Output Utente'!$H$2:$H$492,MATCH(319,'Output Utente'!$Q$2:$Q$492,0)),"")</f>
        <v>1</v>
      </c>
      <c r="L322" s="5" t="str">
        <f>IFERROR(INDEX('Output Utente'!$E$2:$E$492,MATCH(319,'Output Utente'!$Q$2:$Q$492,0)),"")</f>
        <v>NO</v>
      </c>
      <c r="M322" s="5" t="str">
        <f>IFERROR(INDEX('Output Utente'!$U$2:$U$492,MATCH(319,'Output Utente'!$Q$2:$Q$492,0)),"")</f>
        <v>OK</v>
      </c>
      <c r="N322" s="5" t="str">
        <f>IFERROR(INDEX('Output Utente'!$AE$2:$AE$492,MATCH(319,'Output Utente'!$Q$2:$Q$492,0)),"")</f>
        <v>🟢 Riserve abbondanti</v>
      </c>
    </row>
    <row r="323" spans="1:14" ht="15" customHeight="1" x14ac:dyDescent="0.25">
      <c r="A323" s="41">
        <v>320</v>
      </c>
      <c r="B323" s="5">
        <f>IFERROR(INDEX('Output Utente'!$A$2:$A$492,MATCH(320,'Output Utente'!$Q$2:$Q$492,0)),"")</f>
        <v>6252</v>
      </c>
      <c r="C323" s="5" t="str">
        <f>IFERROR(INDEX('Output Utente'!$B$2:$B$492,MATCH(320,'Output Utente'!$Q$2:$Q$492,0)),"")</f>
        <v>C</v>
      </c>
      <c r="D323" s="5" t="str">
        <f>IFERROR(INDEX('Output Utente'!$C$2:$C$492,MATCH(320,'Output Utente'!$Q$2:$Q$492,0)),"")</f>
        <v>Folorunsho</v>
      </c>
      <c r="E323" s="5" t="str">
        <f>IFERROR(INDEX('Input Giocatori 2026_27'!$D$3:$D$493,MATCH($B323,'Input Giocatori 2026_27'!$A$3:$A$493,0)),"")</f>
        <v>Napoli</v>
      </c>
      <c r="F323" s="42">
        <f>IFERROR(INDEX('Output Utente'!$N$2:$N$492,MATCH(320,'Output Utente'!$Q$2:$Q$492,0)),"")</f>
        <v>4</v>
      </c>
      <c r="G323" s="42">
        <f>IFERROR(INDEX('Output Utente'!$O$2:$O$492,MATCH(320,'Output Utente'!$Q$2:$Q$492,0)),"")</f>
        <v>10</v>
      </c>
      <c r="H323" s="5" t="str">
        <f>IFERROR(INDEX('Output Utente'!$P$2:$P$492,MATCH(320,'Output Utente'!$Q$2:$Q$492,0)),"")</f>
        <v>Scommessa/Riserva</v>
      </c>
      <c r="I323" s="42">
        <f>IFERROR(INDEX('Output Utente'!$F$2:$F$492,MATCH(320,'Output Utente'!$Q$2:$Q$492,0)),"")</f>
        <v>1</v>
      </c>
      <c r="J323" s="42">
        <f>IFERROR(INDEX('Output Utente'!$G$2:$G$492,MATCH(320,'Output Utente'!$Q$2:$Q$492,0)),"")</f>
        <v>1</v>
      </c>
      <c r="K323" s="42">
        <f>IFERROR(INDEX('Output Utente'!$H$2:$H$492,MATCH(320,'Output Utente'!$Q$2:$Q$492,0)),"")</f>
        <v>1</v>
      </c>
      <c r="L323" s="5" t="str">
        <f>IFERROR(INDEX('Output Utente'!$E$2:$E$492,MATCH(320,'Output Utente'!$Q$2:$Q$492,0)),"")</f>
        <v>NO</v>
      </c>
      <c r="M323" s="5" t="str">
        <f>IFERROR(INDEX('Output Utente'!$U$2:$U$492,MATCH(320,'Output Utente'!$Q$2:$Q$492,0)),"")</f>
        <v>OK</v>
      </c>
      <c r="N323" s="5" t="str">
        <f>IFERROR(INDEX('Output Utente'!$AE$2:$AE$492,MATCH(320,'Output Utente'!$Q$2:$Q$492,0)),"")</f>
        <v>🟢 Riserve abbondanti</v>
      </c>
    </row>
    <row r="324" spans="1:14" ht="15" customHeight="1" x14ac:dyDescent="0.25">
      <c r="A324" s="41">
        <v>321</v>
      </c>
      <c r="B324" s="5">
        <f>IFERROR(INDEX('Output Utente'!$A$2:$A$492,MATCH(321,'Output Utente'!$Q$2:$Q$492,0)),"")</f>
        <v>6005</v>
      </c>
      <c r="C324" s="5" t="str">
        <f>IFERROR(INDEX('Output Utente'!$B$2:$B$492,MATCH(321,'Output Utente'!$Q$2:$Q$492,0)),"")</f>
        <v>C</v>
      </c>
      <c r="D324" s="5" t="str">
        <f>IFERROR(INDEX('Output Utente'!$C$2:$C$492,MATCH(321,'Output Utente'!$Q$2:$Q$492,0)),"")</f>
        <v>Ilkhan</v>
      </c>
      <c r="E324" s="5" t="str">
        <f>IFERROR(INDEX('Input Giocatori 2026_27'!$D$3:$D$493,MATCH($B324,'Input Giocatori 2026_27'!$A$3:$A$493,0)),"")</f>
        <v>Torino</v>
      </c>
      <c r="F324" s="42">
        <f>IFERROR(INDEX('Output Utente'!$N$2:$N$492,MATCH(321,'Output Utente'!$Q$2:$Q$492,0)),"")</f>
        <v>4</v>
      </c>
      <c r="G324" s="42">
        <f>IFERROR(INDEX('Output Utente'!$O$2:$O$492,MATCH(321,'Output Utente'!$Q$2:$Q$492,0)),"")</f>
        <v>10</v>
      </c>
      <c r="H324" s="5" t="str">
        <f>IFERROR(INDEX('Output Utente'!$P$2:$P$492,MATCH(321,'Output Utente'!$Q$2:$Q$492,0)),"")</f>
        <v>Scommessa/Riserva</v>
      </c>
      <c r="I324" s="42">
        <f>IFERROR(INDEX('Output Utente'!$F$2:$F$492,MATCH(321,'Output Utente'!$Q$2:$Q$492,0)),"")</f>
        <v>1</v>
      </c>
      <c r="J324" s="42">
        <f>IFERROR(INDEX('Output Utente'!$G$2:$G$492,MATCH(321,'Output Utente'!$Q$2:$Q$492,0)),"")</f>
        <v>1</v>
      </c>
      <c r="K324" s="42">
        <f>IFERROR(INDEX('Output Utente'!$H$2:$H$492,MATCH(321,'Output Utente'!$Q$2:$Q$492,0)),"")</f>
        <v>1</v>
      </c>
      <c r="L324" s="5" t="str">
        <f>IFERROR(INDEX('Output Utente'!$E$2:$E$492,MATCH(321,'Output Utente'!$Q$2:$Q$492,0)),"")</f>
        <v>NO</v>
      </c>
      <c r="M324" s="5" t="str">
        <f>IFERROR(INDEX('Output Utente'!$U$2:$U$492,MATCH(321,'Output Utente'!$Q$2:$Q$492,0)),"")</f>
        <v>OK</v>
      </c>
      <c r="N324" s="5" t="str">
        <f>IFERROR(INDEX('Output Utente'!$AE$2:$AE$492,MATCH(321,'Output Utente'!$Q$2:$Q$492,0)),"")</f>
        <v>🟢 Riserve abbondanti</v>
      </c>
    </row>
    <row r="325" spans="1:14" ht="15" customHeight="1" x14ac:dyDescent="0.25">
      <c r="A325" s="41">
        <v>322</v>
      </c>
      <c r="B325" s="5">
        <f>IFERROR(INDEX('Output Utente'!$A$2:$A$492,MATCH(322,'Output Utente'!$Q$2:$Q$492,0)),"")</f>
        <v>6503</v>
      </c>
      <c r="C325" s="5" t="str">
        <f>IFERROR(INDEX('Output Utente'!$B$2:$B$492,MATCH(322,'Output Utente'!$Q$2:$Q$492,0)),"")</f>
        <v>C</v>
      </c>
      <c r="D325" s="5" t="str">
        <f>IFERROR(INDEX('Output Utente'!$C$2:$C$492,MATCH(322,'Output Utente'!$Q$2:$Q$492,0)),"")</f>
        <v>Stankovic A.</v>
      </c>
      <c r="E325" s="5" t="str">
        <f>IFERROR(INDEX('Input Giocatori 2026_27'!$D$3:$D$493,MATCH($B325,'Input Giocatori 2026_27'!$A$3:$A$493,0)),"")</f>
        <v>Inter</v>
      </c>
      <c r="F325" s="42">
        <f>IFERROR(INDEX('Output Utente'!$N$2:$N$492,MATCH(322,'Output Utente'!$Q$2:$Q$492,0)),"")</f>
        <v>3</v>
      </c>
      <c r="G325" s="42">
        <f>IFERROR(INDEX('Output Utente'!$O$2:$O$492,MATCH(322,'Output Utente'!$Q$2:$Q$492,0)),"")</f>
        <v>10</v>
      </c>
      <c r="H325" s="5" t="str">
        <f>IFERROR(INDEX('Output Utente'!$P$2:$P$492,MATCH(322,'Output Utente'!$Q$2:$Q$492,0)),"")</f>
        <v>Scommessa/Riserva</v>
      </c>
      <c r="I325" s="42">
        <f>IFERROR(INDEX('Output Utente'!$F$2:$F$492,MATCH(322,'Output Utente'!$Q$2:$Q$492,0)),"")</f>
        <v>1</v>
      </c>
      <c r="J325" s="42">
        <f>IFERROR(INDEX('Output Utente'!$G$2:$G$492,MATCH(322,'Output Utente'!$Q$2:$Q$492,0)),"")</f>
        <v>1</v>
      </c>
      <c r="K325" s="42">
        <f>IFERROR(INDEX('Output Utente'!$H$2:$H$492,MATCH(322,'Output Utente'!$Q$2:$Q$492,0)),"")</f>
        <v>1</v>
      </c>
      <c r="L325" s="5" t="str">
        <f>IFERROR(INDEX('Output Utente'!$E$2:$E$492,MATCH(322,'Output Utente'!$Q$2:$Q$492,0)),"")</f>
        <v>NO</v>
      </c>
      <c r="M325" s="5" t="str">
        <f>IFERROR(INDEX('Output Utente'!$U$2:$U$492,MATCH(322,'Output Utente'!$Q$2:$Q$492,0)),"")</f>
        <v>OK</v>
      </c>
      <c r="N325" s="5" t="str">
        <f>IFERROR(INDEX('Output Utente'!$AE$2:$AE$492,MATCH(322,'Output Utente'!$Q$2:$Q$492,0)),"")</f>
        <v>🟢 Riserve abbondanti</v>
      </c>
    </row>
    <row r="326" spans="1:14" ht="15" customHeight="1" x14ac:dyDescent="0.25">
      <c r="A326" s="41">
        <v>323</v>
      </c>
      <c r="B326" s="5">
        <f>IFERROR(INDEX('Output Utente'!$A$2:$A$492,MATCH(323,'Output Utente'!$Q$2:$Q$492,0)),"")</f>
        <v>313</v>
      </c>
      <c r="C326" s="5" t="str">
        <f>IFERROR(INDEX('Output Utente'!$B$2:$B$492,MATCH(323,'Output Utente'!$Q$2:$Q$492,0)),"")</f>
        <v>A</v>
      </c>
      <c r="D326" s="5" t="str">
        <f>IFERROR(INDEX('Output Utente'!$C$2:$C$492,MATCH(323,'Output Utente'!$Q$2:$Q$492,0)),"")</f>
        <v>Morata</v>
      </c>
      <c r="E326" s="5" t="str">
        <f>IFERROR(INDEX('Input Giocatori 2026_27'!$D$3:$D$493,MATCH($B326,'Input Giocatori 2026_27'!$A$3:$A$493,0)),"")</f>
        <v>Como</v>
      </c>
      <c r="F326" s="42">
        <f>IFERROR(INDEX('Output Utente'!$N$2:$N$492,MATCH(323,'Output Utente'!$Q$2:$Q$492,0)),"")</f>
        <v>4</v>
      </c>
      <c r="G326" s="42">
        <f>IFERROR(INDEX('Output Utente'!$O$2:$O$492,MATCH(323,'Output Utente'!$Q$2:$Q$492,0)),"")</f>
        <v>10</v>
      </c>
      <c r="H326" s="5" t="str">
        <f>IFERROR(INDEX('Output Utente'!$P$2:$P$492,MATCH(323,'Output Utente'!$Q$2:$Q$492,0)),"")</f>
        <v>Scommessa/Riserva</v>
      </c>
      <c r="I326" s="42">
        <f>IFERROR(INDEX('Output Utente'!$F$2:$F$492,MATCH(323,'Output Utente'!$Q$2:$Q$492,0)),"")</f>
        <v>3</v>
      </c>
      <c r="J326" s="42">
        <f>IFERROR(INDEX('Output Utente'!$G$2:$G$492,MATCH(323,'Output Utente'!$Q$2:$Q$492,0)),"")</f>
        <v>2</v>
      </c>
      <c r="K326" s="42">
        <f>IFERROR(INDEX('Output Utente'!$H$2:$H$492,MATCH(323,'Output Utente'!$Q$2:$Q$492,0)),"")</f>
        <v>4</v>
      </c>
      <c r="L326" s="5" t="str">
        <f>IFERROR(INDEX('Output Utente'!$E$2:$E$492,MATCH(323,'Output Utente'!$Q$2:$Q$492,0)),"")</f>
        <v>NO</v>
      </c>
      <c r="M326" s="5" t="str">
        <f>IFERROR(INDEX('Output Utente'!$U$2:$U$492,MATCH(323,'Output Utente'!$Q$2:$Q$492,0)),"")</f>
        <v>OK</v>
      </c>
      <c r="N326" s="5" t="str">
        <f>IFERROR(INDEX('Output Utente'!$AE$2:$AE$492,MATCH(323,'Output Utente'!$Q$2:$Q$492,0)),"")</f>
        <v>🟢 Riserve abbondanti</v>
      </c>
    </row>
    <row r="327" spans="1:14" ht="15" customHeight="1" x14ac:dyDescent="0.25">
      <c r="A327" s="41">
        <v>324</v>
      </c>
      <c r="B327" s="5">
        <f>IFERROR(INDEX('Output Utente'!$A$2:$A$492,MATCH(324,'Output Utente'!$Q$2:$Q$492,0)),"")</f>
        <v>7162</v>
      </c>
      <c r="C327" s="5" t="str">
        <f>IFERROR(INDEX('Output Utente'!$B$2:$B$492,MATCH(324,'Output Utente'!$Q$2:$Q$492,0)),"")</f>
        <v>A</v>
      </c>
      <c r="D327" s="5" t="str">
        <f>IFERROR(INDEX('Output Utente'!$C$2:$C$492,MATCH(324,'Output Utente'!$Q$2:$Q$492,0)),"")</f>
        <v>Giovane</v>
      </c>
      <c r="E327" s="5" t="str">
        <f>IFERROR(INDEX('Input Giocatori 2026_27'!$D$3:$D$493,MATCH($B327,'Input Giocatori 2026_27'!$A$3:$A$493,0)),"")</f>
        <v>Napoli</v>
      </c>
      <c r="F327" s="42">
        <f>IFERROR(INDEX('Output Utente'!$N$2:$N$492,MATCH(324,'Output Utente'!$Q$2:$Q$492,0)),"")</f>
        <v>4</v>
      </c>
      <c r="G327" s="42">
        <f>IFERROR(INDEX('Output Utente'!$O$2:$O$492,MATCH(324,'Output Utente'!$Q$2:$Q$492,0)),"")</f>
        <v>10</v>
      </c>
      <c r="H327" s="5" t="str">
        <f>IFERROR(INDEX('Output Utente'!$P$2:$P$492,MATCH(324,'Output Utente'!$Q$2:$Q$492,0)),"")</f>
        <v>Scommessa/Riserva</v>
      </c>
      <c r="I327" s="42">
        <f>IFERROR(INDEX('Output Utente'!$F$2:$F$492,MATCH(324,'Output Utente'!$Q$2:$Q$492,0)),"")</f>
        <v>3</v>
      </c>
      <c r="J327" s="42">
        <f>IFERROR(INDEX('Output Utente'!$G$2:$G$492,MATCH(324,'Output Utente'!$Q$2:$Q$492,0)),"")</f>
        <v>2</v>
      </c>
      <c r="K327" s="42">
        <f>IFERROR(INDEX('Output Utente'!$H$2:$H$492,MATCH(324,'Output Utente'!$Q$2:$Q$492,0)),"")</f>
        <v>4</v>
      </c>
      <c r="L327" s="5" t="str">
        <f>IFERROR(INDEX('Output Utente'!$E$2:$E$492,MATCH(324,'Output Utente'!$Q$2:$Q$492,0)),"")</f>
        <v>NO</v>
      </c>
      <c r="M327" s="5" t="str">
        <f>IFERROR(INDEX('Output Utente'!$U$2:$U$492,MATCH(324,'Output Utente'!$Q$2:$Q$492,0)),"")</f>
        <v>OK</v>
      </c>
      <c r="N327" s="5" t="str">
        <f>IFERROR(INDEX('Output Utente'!$AE$2:$AE$492,MATCH(324,'Output Utente'!$Q$2:$Q$492,0)),"")</f>
        <v>🟢 Riserve abbondanti</v>
      </c>
    </row>
    <row r="328" spans="1:14" ht="15" customHeight="1" x14ac:dyDescent="0.25">
      <c r="A328" s="41">
        <v>325</v>
      </c>
      <c r="B328" s="5">
        <f>IFERROR(INDEX('Output Utente'!$A$2:$A$492,MATCH(325,'Output Utente'!$Q$2:$Q$492,0)),"")</f>
        <v>6822</v>
      </c>
      <c r="C328" s="5" t="str">
        <f>IFERROR(INDEX('Output Utente'!$B$2:$B$492,MATCH(325,'Output Utente'!$Q$2:$Q$492,0)),"")</f>
        <v>A</v>
      </c>
      <c r="D328" s="5" t="str">
        <f>IFERROR(INDEX('Output Utente'!$C$2:$C$492,MATCH(325,'Output Utente'!$Q$2:$Q$492,0)),"")</f>
        <v>Ekhator</v>
      </c>
      <c r="E328" s="5" t="str">
        <f>IFERROR(INDEX('Input Giocatori 2026_27'!$D$3:$D$493,MATCH($B328,'Input Giocatori 2026_27'!$A$3:$A$493,0)),"")</f>
        <v>Juventus</v>
      </c>
      <c r="F328" s="42">
        <f>IFERROR(INDEX('Output Utente'!$N$2:$N$492,MATCH(325,'Output Utente'!$Q$2:$Q$492,0)),"")</f>
        <v>3</v>
      </c>
      <c r="G328" s="42">
        <f>IFERROR(INDEX('Output Utente'!$O$2:$O$492,MATCH(325,'Output Utente'!$Q$2:$Q$492,0)),"")</f>
        <v>10</v>
      </c>
      <c r="H328" s="5" t="str">
        <f>IFERROR(INDEX('Output Utente'!$P$2:$P$492,MATCH(325,'Output Utente'!$Q$2:$Q$492,0)),"")</f>
        <v>Scommessa/Riserva</v>
      </c>
      <c r="I328" s="42">
        <f>IFERROR(INDEX('Output Utente'!$F$2:$F$492,MATCH(325,'Output Utente'!$Q$2:$Q$492,0)),"")</f>
        <v>3</v>
      </c>
      <c r="J328" s="42">
        <f>IFERROR(INDEX('Output Utente'!$G$2:$G$492,MATCH(325,'Output Utente'!$Q$2:$Q$492,0)),"")</f>
        <v>2</v>
      </c>
      <c r="K328" s="42">
        <f>IFERROR(INDEX('Output Utente'!$H$2:$H$492,MATCH(325,'Output Utente'!$Q$2:$Q$492,0)),"")</f>
        <v>4</v>
      </c>
      <c r="L328" s="5" t="str">
        <f>IFERROR(INDEX('Output Utente'!$E$2:$E$492,MATCH(325,'Output Utente'!$Q$2:$Q$492,0)),"")</f>
        <v>NO</v>
      </c>
      <c r="M328" s="5" t="str">
        <f>IFERROR(INDEX('Output Utente'!$U$2:$U$492,MATCH(325,'Output Utente'!$Q$2:$Q$492,0)),"")</f>
        <v>OK</v>
      </c>
      <c r="N328" s="5" t="str">
        <f>IFERROR(INDEX('Output Utente'!$AE$2:$AE$492,MATCH(325,'Output Utente'!$Q$2:$Q$492,0)),"")</f>
        <v>🟢 Riserve abbondanti</v>
      </c>
    </row>
    <row r="329" spans="1:14" ht="15" customHeight="1" x14ac:dyDescent="0.25">
      <c r="A329" s="41">
        <v>326</v>
      </c>
      <c r="B329" s="5">
        <f>IFERROR(INDEX('Output Utente'!$A$2:$A$492,MATCH(326,'Output Utente'!$Q$2:$Q$492,0)),"")</f>
        <v>7120</v>
      </c>
      <c r="C329" s="5" t="str">
        <f>IFERROR(INDEX('Output Utente'!$B$2:$B$492,MATCH(326,'Output Utente'!$Q$2:$Q$492,0)),"")</f>
        <v>A</v>
      </c>
      <c r="D329" s="5" t="str">
        <f>IFERROR(INDEX('Output Utente'!$C$2:$C$492,MATCH(326,'Output Utente'!$Q$2:$Q$492,0)),"")</f>
        <v>Lang</v>
      </c>
      <c r="E329" s="5" t="str">
        <f>IFERROR(INDEX('Input Giocatori 2026_27'!$D$3:$D$493,MATCH($B329,'Input Giocatori 2026_27'!$A$3:$A$493,0)),"")</f>
        <v>Napoli</v>
      </c>
      <c r="F329" s="42">
        <f>IFERROR(INDEX('Output Utente'!$N$2:$N$492,MATCH(326,'Output Utente'!$Q$2:$Q$492,0)),"")</f>
        <v>3</v>
      </c>
      <c r="G329" s="42">
        <f>IFERROR(INDEX('Output Utente'!$O$2:$O$492,MATCH(326,'Output Utente'!$Q$2:$Q$492,0)),"")</f>
        <v>10</v>
      </c>
      <c r="H329" s="5" t="str">
        <f>IFERROR(INDEX('Output Utente'!$P$2:$P$492,MATCH(326,'Output Utente'!$Q$2:$Q$492,0)),"")</f>
        <v>Scommessa/Riserva</v>
      </c>
      <c r="I329" s="42">
        <f>IFERROR(INDEX('Output Utente'!$F$2:$F$492,MATCH(326,'Output Utente'!$Q$2:$Q$492,0)),"")</f>
        <v>3</v>
      </c>
      <c r="J329" s="42">
        <f>IFERROR(INDEX('Output Utente'!$G$2:$G$492,MATCH(326,'Output Utente'!$Q$2:$Q$492,0)),"")</f>
        <v>2</v>
      </c>
      <c r="K329" s="42">
        <f>IFERROR(INDEX('Output Utente'!$H$2:$H$492,MATCH(326,'Output Utente'!$Q$2:$Q$492,0)),"")</f>
        <v>4</v>
      </c>
      <c r="L329" s="5" t="str">
        <f>IFERROR(INDEX('Output Utente'!$E$2:$E$492,MATCH(326,'Output Utente'!$Q$2:$Q$492,0)),"")</f>
        <v>NO</v>
      </c>
      <c r="M329" s="5" t="str">
        <f>IFERROR(INDEX('Output Utente'!$U$2:$U$492,MATCH(326,'Output Utente'!$Q$2:$Q$492,0)),"")</f>
        <v>OK</v>
      </c>
      <c r="N329" s="5" t="str">
        <f>IFERROR(INDEX('Output Utente'!$AE$2:$AE$492,MATCH(326,'Output Utente'!$Q$2:$Q$492,0)),"")</f>
        <v>🟢 Riserve abbondanti</v>
      </c>
    </row>
    <row r="330" spans="1:14" ht="15" customHeight="1" x14ac:dyDescent="0.25">
      <c r="A330" s="41">
        <v>327</v>
      </c>
      <c r="B330" s="5">
        <f>IFERROR(INDEX('Output Utente'!$A$2:$A$492,MATCH(327,'Output Utente'!$Q$2:$Q$492,0)),"")</f>
        <v>6215</v>
      </c>
      <c r="C330" s="5" t="str">
        <f>IFERROR(INDEX('Output Utente'!$B$2:$B$492,MATCH(327,'Output Utente'!$Q$2:$Q$492,0)),"")</f>
        <v>A</v>
      </c>
      <c r="D330" s="5" t="str">
        <f>IFERROR(INDEX('Output Utente'!$C$2:$C$492,MATCH(327,'Output Utente'!$Q$2:$Q$492,0)),"")</f>
        <v>Lucca</v>
      </c>
      <c r="E330" s="5" t="str">
        <f>IFERROR(INDEX('Input Giocatori 2026_27'!$D$3:$D$493,MATCH($B330,'Input Giocatori 2026_27'!$A$3:$A$493,0)),"")</f>
        <v>Napoli</v>
      </c>
      <c r="F330" s="42">
        <f>IFERROR(INDEX('Output Utente'!$N$2:$N$492,MATCH(327,'Output Utente'!$Q$2:$Q$492,0)),"")</f>
        <v>3</v>
      </c>
      <c r="G330" s="42">
        <f>IFERROR(INDEX('Output Utente'!$O$2:$O$492,MATCH(327,'Output Utente'!$Q$2:$Q$492,0)),"")</f>
        <v>10</v>
      </c>
      <c r="H330" s="5" t="str">
        <f>IFERROR(INDEX('Output Utente'!$P$2:$P$492,MATCH(327,'Output Utente'!$Q$2:$Q$492,0)),"")</f>
        <v>Scommessa/Riserva</v>
      </c>
      <c r="I330" s="42">
        <f>IFERROR(INDEX('Output Utente'!$F$2:$F$492,MATCH(327,'Output Utente'!$Q$2:$Q$492,0)),"")</f>
        <v>3</v>
      </c>
      <c r="J330" s="42">
        <f>IFERROR(INDEX('Output Utente'!$G$2:$G$492,MATCH(327,'Output Utente'!$Q$2:$Q$492,0)),"")</f>
        <v>2</v>
      </c>
      <c r="K330" s="42">
        <f>IFERROR(INDEX('Output Utente'!$H$2:$H$492,MATCH(327,'Output Utente'!$Q$2:$Q$492,0)),"")</f>
        <v>4</v>
      </c>
      <c r="L330" s="5" t="str">
        <f>IFERROR(INDEX('Output Utente'!$E$2:$E$492,MATCH(327,'Output Utente'!$Q$2:$Q$492,0)),"")</f>
        <v>NO</v>
      </c>
      <c r="M330" s="5" t="str">
        <f>IFERROR(INDEX('Output Utente'!$U$2:$U$492,MATCH(327,'Output Utente'!$Q$2:$Q$492,0)),"")</f>
        <v>OK</v>
      </c>
      <c r="N330" s="5" t="str">
        <f>IFERROR(INDEX('Output Utente'!$AE$2:$AE$492,MATCH(327,'Output Utente'!$Q$2:$Q$492,0)),"")</f>
        <v>🟢 Riserve abbondanti</v>
      </c>
    </row>
    <row r="331" spans="1:14" ht="15" customHeight="1" x14ac:dyDescent="0.25">
      <c r="A331" s="41">
        <v>328</v>
      </c>
      <c r="B331" s="5">
        <f>IFERROR(INDEX('Output Utente'!$A$2:$A$492,MATCH(328,'Output Utente'!$Q$2:$Q$492,0)),"")</f>
        <v>4461</v>
      </c>
      <c r="C331" s="5" t="str">
        <f>IFERROR(INDEX('Output Utente'!$B$2:$B$492,MATCH(328,'Output Utente'!$Q$2:$Q$492,0)),"")</f>
        <v>D</v>
      </c>
      <c r="D331" s="5" t="str">
        <f>IFERROR(INDEX('Output Utente'!$C$2:$C$492,MATCH(328,'Output Utente'!$Q$2:$Q$492,0)),"")</f>
        <v>Zappa</v>
      </c>
      <c r="E331" s="5" t="str">
        <f>IFERROR(INDEX('Input Giocatori 2026_27'!$D$3:$D$493,MATCH($B331,'Input Giocatori 2026_27'!$A$3:$A$493,0)),"")</f>
        <v>Cagliari</v>
      </c>
      <c r="F331" s="42">
        <f>IFERROR(INDEX('Output Utente'!$N$2:$N$492,MATCH(328,'Output Utente'!$Q$2:$Q$492,0)),"")</f>
        <v>4</v>
      </c>
      <c r="G331" s="42">
        <f>IFERROR(INDEX('Output Utente'!$O$2:$O$492,MATCH(328,'Output Utente'!$Q$2:$Q$492,0)),"")</f>
        <v>9</v>
      </c>
      <c r="H331" s="5" t="str">
        <f>IFERROR(INDEX('Output Utente'!$P$2:$P$492,MATCH(328,'Output Utente'!$Q$2:$Q$492,0)),"")</f>
        <v>Scommessa/Riserva</v>
      </c>
      <c r="I331" s="42">
        <f>IFERROR(INDEX('Output Utente'!$F$2:$F$492,MATCH(328,'Output Utente'!$Q$2:$Q$492,0)),"")</f>
        <v>2</v>
      </c>
      <c r="J331" s="42">
        <f>IFERROR(INDEX('Output Utente'!$G$2:$G$492,MATCH(328,'Output Utente'!$Q$2:$Q$492,0)),"")</f>
        <v>1</v>
      </c>
      <c r="K331" s="42">
        <f>IFERROR(INDEX('Output Utente'!$H$2:$H$492,MATCH(328,'Output Utente'!$Q$2:$Q$492,0)),"")</f>
        <v>2</v>
      </c>
      <c r="L331" s="5" t="str">
        <f>IFERROR(INDEX('Output Utente'!$E$2:$E$492,MATCH(328,'Output Utente'!$Q$2:$Q$492,0)),"")</f>
        <v>NO</v>
      </c>
      <c r="M331" s="5" t="str">
        <f>IFERROR(INDEX('Output Utente'!$U$2:$U$492,MATCH(328,'Output Utente'!$Q$2:$Q$492,0)),"")</f>
        <v>OK</v>
      </c>
      <c r="N331" s="5" t="str">
        <f>IFERROR(INDEX('Output Utente'!$AE$2:$AE$492,MATCH(328,'Output Utente'!$Q$2:$Q$492,0)),"")</f>
        <v>🟢 Riserve abbondanti</v>
      </c>
    </row>
    <row r="332" spans="1:14" ht="15" customHeight="1" x14ac:dyDescent="0.25">
      <c r="A332" s="41">
        <v>329</v>
      </c>
      <c r="B332" s="5">
        <f>IFERROR(INDEX('Output Utente'!$A$2:$A$492,MATCH(329,'Output Utente'!$Q$2:$Q$492,0)),"")</f>
        <v>7537</v>
      </c>
      <c r="C332" s="5" t="str">
        <f>IFERROR(INDEX('Output Utente'!$B$2:$B$492,MATCH(329,'Output Utente'!$Q$2:$Q$492,0)),"")</f>
        <v>D</v>
      </c>
      <c r="D332" s="5" t="str">
        <f>IFERROR(INDEX('Output Utente'!$C$2:$C$492,MATCH(329,'Output Utente'!$Q$2:$Q$492,0)),"")</f>
        <v>Mitaj</v>
      </c>
      <c r="E332" s="5" t="str">
        <f>IFERROR(INDEX('Input Giocatori 2026_27'!$D$3:$D$493,MATCH($B332,'Input Giocatori 2026_27'!$A$3:$A$493,0)),"")</f>
        <v>Genoa</v>
      </c>
      <c r="F332" s="42">
        <f>IFERROR(INDEX('Output Utente'!$N$2:$N$492,MATCH(329,'Output Utente'!$Q$2:$Q$492,0)),"")</f>
        <v>4</v>
      </c>
      <c r="G332" s="42">
        <f>IFERROR(INDEX('Output Utente'!$O$2:$O$492,MATCH(329,'Output Utente'!$Q$2:$Q$492,0)),"")</f>
        <v>9</v>
      </c>
      <c r="H332" s="5" t="str">
        <f>IFERROR(INDEX('Output Utente'!$P$2:$P$492,MATCH(329,'Output Utente'!$Q$2:$Q$492,0)),"")</f>
        <v>Scommessa/Riserva</v>
      </c>
      <c r="I332" s="42">
        <f>IFERROR(INDEX('Output Utente'!$F$2:$F$492,MATCH(329,'Output Utente'!$Q$2:$Q$492,0)),"")</f>
        <v>2</v>
      </c>
      <c r="J332" s="42">
        <f>IFERROR(INDEX('Output Utente'!$G$2:$G$492,MATCH(329,'Output Utente'!$Q$2:$Q$492,0)),"")</f>
        <v>1</v>
      </c>
      <c r="K332" s="42">
        <f>IFERROR(INDEX('Output Utente'!$H$2:$H$492,MATCH(329,'Output Utente'!$Q$2:$Q$492,0)),"")</f>
        <v>2</v>
      </c>
      <c r="L332" s="5" t="str">
        <f>IFERROR(INDEX('Output Utente'!$E$2:$E$492,MATCH(329,'Output Utente'!$Q$2:$Q$492,0)),"")</f>
        <v>NO</v>
      </c>
      <c r="M332" s="5" t="str">
        <f>IFERROR(INDEX('Output Utente'!$U$2:$U$492,MATCH(329,'Output Utente'!$Q$2:$Q$492,0)),"")</f>
        <v>OK</v>
      </c>
      <c r="N332" s="5" t="str">
        <f>IFERROR(INDEX('Output Utente'!$AE$2:$AE$492,MATCH(329,'Output Utente'!$Q$2:$Q$492,0)),"")</f>
        <v>🟢 Riserve abbondanti</v>
      </c>
    </row>
    <row r="333" spans="1:14" ht="15" customHeight="1" x14ac:dyDescent="0.25">
      <c r="A333" s="41">
        <v>330</v>
      </c>
      <c r="B333" s="5">
        <f>IFERROR(INDEX('Output Utente'!$A$2:$A$492,MATCH(330,'Output Utente'!$Q$2:$Q$492,0)),"")</f>
        <v>4263</v>
      </c>
      <c r="C333" s="5" t="str">
        <f>IFERROR(INDEX('Output Utente'!$B$2:$B$492,MATCH(330,'Output Utente'!$Q$2:$Q$492,0)),"")</f>
        <v>D</v>
      </c>
      <c r="D333" s="5" t="str">
        <f>IFERROR(INDEX('Output Utente'!$C$2:$C$492,MATCH(330,'Output Utente'!$Q$2:$Q$492,0)),"")</f>
        <v>Kabasele</v>
      </c>
      <c r="E333" s="5" t="str">
        <f>IFERROR(INDEX('Input Giocatori 2026_27'!$D$3:$D$493,MATCH($B333,'Input Giocatori 2026_27'!$A$3:$A$493,0)),"")</f>
        <v>Udinese</v>
      </c>
      <c r="F333" s="42">
        <f>IFERROR(INDEX('Output Utente'!$N$2:$N$492,MATCH(330,'Output Utente'!$Q$2:$Q$492,0)),"")</f>
        <v>4</v>
      </c>
      <c r="G333" s="42">
        <f>IFERROR(INDEX('Output Utente'!$O$2:$O$492,MATCH(330,'Output Utente'!$Q$2:$Q$492,0)),"")</f>
        <v>9</v>
      </c>
      <c r="H333" s="5" t="str">
        <f>IFERROR(INDEX('Output Utente'!$P$2:$P$492,MATCH(330,'Output Utente'!$Q$2:$Q$492,0)),"")</f>
        <v>Scommessa/Riserva</v>
      </c>
      <c r="I333" s="42">
        <f>IFERROR(INDEX('Output Utente'!$F$2:$F$492,MATCH(330,'Output Utente'!$Q$2:$Q$492,0)),"")</f>
        <v>2</v>
      </c>
      <c r="J333" s="42">
        <f>IFERROR(INDEX('Output Utente'!$G$2:$G$492,MATCH(330,'Output Utente'!$Q$2:$Q$492,0)),"")</f>
        <v>1</v>
      </c>
      <c r="K333" s="42">
        <f>IFERROR(INDEX('Output Utente'!$H$2:$H$492,MATCH(330,'Output Utente'!$Q$2:$Q$492,0)),"")</f>
        <v>2</v>
      </c>
      <c r="L333" s="5" t="str">
        <f>IFERROR(INDEX('Output Utente'!$E$2:$E$492,MATCH(330,'Output Utente'!$Q$2:$Q$492,0)),"")</f>
        <v>NO</v>
      </c>
      <c r="M333" s="5" t="str">
        <f>IFERROR(INDEX('Output Utente'!$U$2:$U$492,MATCH(330,'Output Utente'!$Q$2:$Q$492,0)),"")</f>
        <v>OK</v>
      </c>
      <c r="N333" s="5" t="str">
        <f>IFERROR(INDEX('Output Utente'!$AE$2:$AE$492,MATCH(330,'Output Utente'!$Q$2:$Q$492,0)),"")</f>
        <v>🟢 Riserve abbondanti</v>
      </c>
    </row>
    <row r="334" spans="1:14" ht="15" customHeight="1" x14ac:dyDescent="0.25">
      <c r="A334" s="41">
        <v>331</v>
      </c>
      <c r="B334" s="5">
        <f>IFERROR(INDEX('Output Utente'!$A$2:$A$492,MATCH(331,'Output Utente'!$Q$2:$Q$492,0)),"")</f>
        <v>5273</v>
      </c>
      <c r="C334" s="5" t="str">
        <f>IFERROR(INDEX('Output Utente'!$B$2:$B$492,MATCH(331,'Output Utente'!$Q$2:$Q$492,0)),"")</f>
        <v>D</v>
      </c>
      <c r="D334" s="5" t="str">
        <f>IFERROR(INDEX('Output Utente'!$C$2:$C$492,MATCH(331,'Output Utente'!$Q$2:$Q$492,0)),"")</f>
        <v>Estupinan</v>
      </c>
      <c r="E334" s="5" t="str">
        <f>IFERROR(INDEX('Input Giocatori 2026_27'!$D$3:$D$493,MATCH($B334,'Input Giocatori 2026_27'!$A$3:$A$493,0)),"")</f>
        <v>Milan</v>
      </c>
      <c r="F334" s="42">
        <f>IFERROR(INDEX('Output Utente'!$N$2:$N$492,MATCH(331,'Output Utente'!$Q$2:$Q$492,0)),"")</f>
        <v>3</v>
      </c>
      <c r="G334" s="42">
        <f>IFERROR(INDEX('Output Utente'!$O$2:$O$492,MATCH(331,'Output Utente'!$Q$2:$Q$492,0)),"")</f>
        <v>9</v>
      </c>
      <c r="H334" s="5" t="str">
        <f>IFERROR(INDEX('Output Utente'!$P$2:$P$492,MATCH(331,'Output Utente'!$Q$2:$Q$492,0)),"")</f>
        <v>Scommessa/Riserva</v>
      </c>
      <c r="I334" s="42">
        <f>IFERROR(INDEX('Output Utente'!$F$2:$F$492,MATCH(331,'Output Utente'!$Q$2:$Q$492,0)),"")</f>
        <v>2</v>
      </c>
      <c r="J334" s="42">
        <f>IFERROR(INDEX('Output Utente'!$G$2:$G$492,MATCH(331,'Output Utente'!$Q$2:$Q$492,0)),"")</f>
        <v>1</v>
      </c>
      <c r="K334" s="42">
        <f>IFERROR(INDEX('Output Utente'!$H$2:$H$492,MATCH(331,'Output Utente'!$Q$2:$Q$492,0)),"")</f>
        <v>2</v>
      </c>
      <c r="L334" s="5" t="str">
        <f>IFERROR(INDEX('Output Utente'!$E$2:$E$492,MATCH(331,'Output Utente'!$Q$2:$Q$492,0)),"")</f>
        <v>NO</v>
      </c>
      <c r="M334" s="5" t="str">
        <f>IFERROR(INDEX('Output Utente'!$U$2:$U$492,MATCH(331,'Output Utente'!$Q$2:$Q$492,0)),"")</f>
        <v>OK</v>
      </c>
      <c r="N334" s="5" t="str">
        <f>IFERROR(INDEX('Output Utente'!$AE$2:$AE$492,MATCH(331,'Output Utente'!$Q$2:$Q$492,0)),"")</f>
        <v>🟢 Riserve abbondanti</v>
      </c>
    </row>
    <row r="335" spans="1:14" ht="15" customHeight="1" x14ac:dyDescent="0.25">
      <c r="A335" s="41">
        <v>332</v>
      </c>
      <c r="B335" s="5">
        <f>IFERROR(INDEX('Output Utente'!$A$2:$A$492,MATCH(332,'Output Utente'!$Q$2:$Q$492,0)),"")</f>
        <v>7238</v>
      </c>
      <c r="C335" s="5" t="str">
        <f>IFERROR(INDEX('Output Utente'!$B$2:$B$492,MATCH(332,'Output Utente'!$Q$2:$Q$492,0)),"")</f>
        <v>D</v>
      </c>
      <c r="D335" s="5" t="str">
        <f>IFERROR(INDEX('Output Utente'!$C$2:$C$492,MATCH(332,'Output Utente'!$Q$2:$Q$492,0)),"")</f>
        <v>Kouadio</v>
      </c>
      <c r="E335" s="5" t="str">
        <f>IFERROR(INDEX('Input Giocatori 2026_27'!$D$3:$D$493,MATCH($B335,'Input Giocatori 2026_27'!$A$3:$A$493,0)),"")</f>
        <v>Monza</v>
      </c>
      <c r="F335" s="42">
        <f>IFERROR(INDEX('Output Utente'!$N$2:$N$492,MATCH(332,'Output Utente'!$Q$2:$Q$492,0)),"")</f>
        <v>3</v>
      </c>
      <c r="G335" s="42">
        <f>IFERROR(INDEX('Output Utente'!$O$2:$O$492,MATCH(332,'Output Utente'!$Q$2:$Q$492,0)),"")</f>
        <v>9</v>
      </c>
      <c r="H335" s="5" t="str">
        <f>IFERROR(INDEX('Output Utente'!$P$2:$P$492,MATCH(332,'Output Utente'!$Q$2:$Q$492,0)),"")</f>
        <v>Scommessa/Riserva</v>
      </c>
      <c r="I335" s="42">
        <f>IFERROR(INDEX('Output Utente'!$F$2:$F$492,MATCH(332,'Output Utente'!$Q$2:$Q$492,0)),"")</f>
        <v>2</v>
      </c>
      <c r="J335" s="42">
        <f>IFERROR(INDEX('Output Utente'!$G$2:$G$492,MATCH(332,'Output Utente'!$Q$2:$Q$492,0)),"")</f>
        <v>1</v>
      </c>
      <c r="K335" s="42">
        <f>IFERROR(INDEX('Output Utente'!$H$2:$H$492,MATCH(332,'Output Utente'!$Q$2:$Q$492,0)),"")</f>
        <v>2</v>
      </c>
      <c r="L335" s="5" t="str">
        <f>IFERROR(INDEX('Output Utente'!$E$2:$E$492,MATCH(332,'Output Utente'!$Q$2:$Q$492,0)),"")</f>
        <v>NO</v>
      </c>
      <c r="M335" s="5" t="str">
        <f>IFERROR(INDEX('Output Utente'!$U$2:$U$492,MATCH(332,'Output Utente'!$Q$2:$Q$492,0)),"")</f>
        <v>OK</v>
      </c>
      <c r="N335" s="5" t="str">
        <f>IFERROR(INDEX('Output Utente'!$AE$2:$AE$492,MATCH(332,'Output Utente'!$Q$2:$Q$492,0)),"")</f>
        <v>🟢 Riserve abbondanti</v>
      </c>
    </row>
    <row r="336" spans="1:14" ht="15" customHeight="1" x14ac:dyDescent="0.25">
      <c r="A336" s="41">
        <v>333</v>
      </c>
      <c r="B336" s="5">
        <f>IFERROR(INDEX('Output Utente'!$A$2:$A$492,MATCH(333,'Output Utente'!$Q$2:$Q$492,0)),"")</f>
        <v>4925</v>
      </c>
      <c r="C336" s="5" t="str">
        <f>IFERROR(INDEX('Output Utente'!$B$2:$B$492,MATCH(333,'Output Utente'!$Q$2:$Q$492,0)),"")</f>
        <v>D</v>
      </c>
      <c r="D336" s="5" t="str">
        <f>IFERROR(INDEX('Output Utente'!$C$2:$C$492,MATCH(333,'Output Utente'!$Q$2:$Q$492,0)),"")</f>
        <v>Carboni A.</v>
      </c>
      <c r="E336" s="5" t="str">
        <f>IFERROR(INDEX('Input Giocatori 2026_27'!$D$3:$D$493,MATCH($B336,'Input Giocatori 2026_27'!$A$3:$A$493,0)),"")</f>
        <v>Monza</v>
      </c>
      <c r="F336" s="42">
        <f>IFERROR(INDEX('Output Utente'!$N$2:$N$492,MATCH(333,'Output Utente'!$Q$2:$Q$492,0)),"")</f>
        <v>3</v>
      </c>
      <c r="G336" s="42">
        <f>IFERROR(INDEX('Output Utente'!$O$2:$O$492,MATCH(333,'Output Utente'!$Q$2:$Q$492,0)),"")</f>
        <v>9</v>
      </c>
      <c r="H336" s="5" t="str">
        <f>IFERROR(INDEX('Output Utente'!$P$2:$P$492,MATCH(333,'Output Utente'!$Q$2:$Q$492,0)),"")</f>
        <v>Scommessa/Riserva</v>
      </c>
      <c r="I336" s="42">
        <f>IFERROR(INDEX('Output Utente'!$F$2:$F$492,MATCH(333,'Output Utente'!$Q$2:$Q$492,0)),"")</f>
        <v>2</v>
      </c>
      <c r="J336" s="42">
        <f>IFERROR(INDEX('Output Utente'!$G$2:$G$492,MATCH(333,'Output Utente'!$Q$2:$Q$492,0)),"")</f>
        <v>1</v>
      </c>
      <c r="K336" s="42">
        <f>IFERROR(INDEX('Output Utente'!$H$2:$H$492,MATCH(333,'Output Utente'!$Q$2:$Q$492,0)),"")</f>
        <v>2</v>
      </c>
      <c r="L336" s="5" t="str">
        <f>IFERROR(INDEX('Output Utente'!$E$2:$E$492,MATCH(333,'Output Utente'!$Q$2:$Q$492,0)),"")</f>
        <v>NO</v>
      </c>
      <c r="M336" s="5" t="str">
        <f>IFERROR(INDEX('Output Utente'!$U$2:$U$492,MATCH(333,'Output Utente'!$Q$2:$Q$492,0)),"")</f>
        <v>OK</v>
      </c>
      <c r="N336" s="5" t="str">
        <f>IFERROR(INDEX('Output Utente'!$AE$2:$AE$492,MATCH(333,'Output Utente'!$Q$2:$Q$492,0)),"")</f>
        <v>🟢 Riserve abbondanti</v>
      </c>
    </row>
    <row r="337" spans="1:14" ht="15" customHeight="1" x14ac:dyDescent="0.25">
      <c r="A337" s="41">
        <v>334</v>
      </c>
      <c r="B337" s="5">
        <f>IFERROR(INDEX('Output Utente'!$A$2:$A$492,MATCH(334,'Output Utente'!$Q$2:$Q$492,0)),"")</f>
        <v>6506</v>
      </c>
      <c r="C337" s="5" t="str">
        <f>IFERROR(INDEX('Output Utente'!$B$2:$B$492,MATCH(334,'Output Utente'!$Q$2:$Q$492,0)),"")</f>
        <v>C</v>
      </c>
      <c r="D337" s="5" t="str">
        <f>IFERROR(INDEX('Output Utente'!$C$2:$C$492,MATCH(334,'Output Utente'!$Q$2:$Q$492,0)),"")</f>
        <v xml:space="preserve">Fini </v>
      </c>
      <c r="E337" s="5" t="str">
        <f>IFERROR(INDEX('Input Giocatori 2026_27'!$D$3:$D$493,MATCH($B337,'Input Giocatori 2026_27'!$A$3:$A$493,0)),"")</f>
        <v>Frosinone</v>
      </c>
      <c r="F337" s="42">
        <f>IFERROR(INDEX('Output Utente'!$N$2:$N$492,MATCH(334,'Output Utente'!$Q$2:$Q$492,0)),"")</f>
        <v>3</v>
      </c>
      <c r="G337" s="42">
        <f>IFERROR(INDEX('Output Utente'!$O$2:$O$492,MATCH(334,'Output Utente'!$Q$2:$Q$492,0)),"")</f>
        <v>9</v>
      </c>
      <c r="H337" s="5" t="str">
        <f>IFERROR(INDEX('Output Utente'!$P$2:$P$492,MATCH(334,'Output Utente'!$Q$2:$Q$492,0)),"")</f>
        <v>Scommessa/Riserva</v>
      </c>
      <c r="I337" s="42">
        <f>IFERROR(INDEX('Output Utente'!$F$2:$F$492,MATCH(334,'Output Utente'!$Q$2:$Q$492,0)),"")</f>
        <v>1</v>
      </c>
      <c r="J337" s="42">
        <f>IFERROR(INDEX('Output Utente'!$G$2:$G$492,MATCH(334,'Output Utente'!$Q$2:$Q$492,0)),"")</f>
        <v>1</v>
      </c>
      <c r="K337" s="42">
        <f>IFERROR(INDEX('Output Utente'!$H$2:$H$492,MATCH(334,'Output Utente'!$Q$2:$Q$492,0)),"")</f>
        <v>1</v>
      </c>
      <c r="L337" s="5" t="str">
        <f>IFERROR(INDEX('Output Utente'!$E$2:$E$492,MATCH(334,'Output Utente'!$Q$2:$Q$492,0)),"")</f>
        <v>NO</v>
      </c>
      <c r="M337" s="5" t="str">
        <f>IFERROR(INDEX('Output Utente'!$U$2:$U$492,MATCH(334,'Output Utente'!$Q$2:$Q$492,0)),"")</f>
        <v>OK</v>
      </c>
      <c r="N337" s="5" t="str">
        <f>IFERROR(INDEX('Output Utente'!$AE$2:$AE$492,MATCH(334,'Output Utente'!$Q$2:$Q$492,0)),"")</f>
        <v>🟢 Riserve abbondanti</v>
      </c>
    </row>
    <row r="338" spans="1:14" ht="15" customHeight="1" x14ac:dyDescent="0.25">
      <c r="A338" s="41">
        <v>335</v>
      </c>
      <c r="B338" s="5">
        <f>IFERROR(INDEX('Output Utente'!$A$2:$A$492,MATCH(335,'Output Utente'!$Q$2:$Q$492,0)),"")</f>
        <v>5131</v>
      </c>
      <c r="C338" s="5" t="str">
        <f>IFERROR(INDEX('Output Utente'!$B$2:$B$492,MATCH(335,'Output Utente'!$Q$2:$Q$492,0)),"")</f>
        <v>C</v>
      </c>
      <c r="D338" s="5" t="str">
        <f>IFERROR(INDEX('Output Utente'!$C$2:$C$492,MATCH(335,'Output Utente'!$Q$2:$Q$492,0)),"")</f>
        <v>Gilmour</v>
      </c>
      <c r="E338" s="5" t="str">
        <f>IFERROR(INDEX('Input Giocatori 2026_27'!$D$3:$D$493,MATCH($B338,'Input Giocatori 2026_27'!$A$3:$A$493,0)),"")</f>
        <v>Napoli</v>
      </c>
      <c r="F338" s="42">
        <f>IFERROR(INDEX('Output Utente'!$N$2:$N$492,MATCH(335,'Output Utente'!$Q$2:$Q$492,0)),"")</f>
        <v>3</v>
      </c>
      <c r="G338" s="42">
        <f>IFERROR(INDEX('Output Utente'!$O$2:$O$492,MATCH(335,'Output Utente'!$Q$2:$Q$492,0)),"")</f>
        <v>9</v>
      </c>
      <c r="H338" s="5" t="str">
        <f>IFERROR(INDEX('Output Utente'!$P$2:$P$492,MATCH(335,'Output Utente'!$Q$2:$Q$492,0)),"")</f>
        <v>Scommessa/Riserva</v>
      </c>
      <c r="I338" s="42">
        <f>IFERROR(INDEX('Output Utente'!$F$2:$F$492,MATCH(335,'Output Utente'!$Q$2:$Q$492,0)),"")</f>
        <v>1</v>
      </c>
      <c r="J338" s="42">
        <f>IFERROR(INDEX('Output Utente'!$G$2:$G$492,MATCH(335,'Output Utente'!$Q$2:$Q$492,0)),"")</f>
        <v>1</v>
      </c>
      <c r="K338" s="42">
        <f>IFERROR(INDEX('Output Utente'!$H$2:$H$492,MATCH(335,'Output Utente'!$Q$2:$Q$492,0)),"")</f>
        <v>1</v>
      </c>
      <c r="L338" s="5" t="str">
        <f>IFERROR(INDEX('Output Utente'!$E$2:$E$492,MATCH(335,'Output Utente'!$Q$2:$Q$492,0)),"")</f>
        <v>NO</v>
      </c>
      <c r="M338" s="5" t="str">
        <f>IFERROR(INDEX('Output Utente'!$U$2:$U$492,MATCH(335,'Output Utente'!$Q$2:$Q$492,0)),"")</f>
        <v>OK</v>
      </c>
      <c r="N338" s="5" t="str">
        <f>IFERROR(INDEX('Output Utente'!$AE$2:$AE$492,MATCH(335,'Output Utente'!$Q$2:$Q$492,0)),"")</f>
        <v>🟢 Riserve abbondanti</v>
      </c>
    </row>
    <row r="339" spans="1:14" ht="15" customHeight="1" x14ac:dyDescent="0.25">
      <c r="A339" s="41">
        <v>336</v>
      </c>
      <c r="B339" s="5">
        <f>IFERROR(INDEX('Output Utente'!$A$2:$A$492,MATCH(336,'Output Utente'!$Q$2:$Q$492,0)),"")</f>
        <v>6243</v>
      </c>
      <c r="C339" s="5" t="str">
        <f>IFERROR(INDEX('Output Utente'!$B$2:$B$492,MATCH(336,'Output Utente'!$Q$2:$Q$492,0)),"")</f>
        <v>A</v>
      </c>
      <c r="D339" s="5" t="str">
        <f>IFERROR(INDEX('Output Utente'!$C$2:$C$492,MATCH(336,'Output Utente'!$Q$2:$Q$492,0)),"")</f>
        <v>Borrelli</v>
      </c>
      <c r="E339" s="5" t="str">
        <f>IFERROR(INDEX('Input Giocatori 2026_27'!$D$3:$D$493,MATCH($B339,'Input Giocatori 2026_27'!$A$3:$A$493,0)),"")</f>
        <v>Cagliari</v>
      </c>
      <c r="F339" s="42">
        <f>IFERROR(INDEX('Output Utente'!$N$2:$N$492,MATCH(336,'Output Utente'!$Q$2:$Q$492,0)),"")</f>
        <v>4</v>
      </c>
      <c r="G339" s="42">
        <f>IFERROR(INDEX('Output Utente'!$O$2:$O$492,MATCH(336,'Output Utente'!$Q$2:$Q$492,0)),"")</f>
        <v>9</v>
      </c>
      <c r="H339" s="5" t="str">
        <f>IFERROR(INDEX('Output Utente'!$P$2:$P$492,MATCH(336,'Output Utente'!$Q$2:$Q$492,0)),"")</f>
        <v>Scommessa/Riserva</v>
      </c>
      <c r="I339" s="42">
        <f>IFERROR(INDEX('Output Utente'!$F$2:$F$492,MATCH(336,'Output Utente'!$Q$2:$Q$492,0)),"")</f>
        <v>3</v>
      </c>
      <c r="J339" s="42">
        <f>IFERROR(INDEX('Output Utente'!$G$2:$G$492,MATCH(336,'Output Utente'!$Q$2:$Q$492,0)),"")</f>
        <v>2</v>
      </c>
      <c r="K339" s="42">
        <f>IFERROR(INDEX('Output Utente'!$H$2:$H$492,MATCH(336,'Output Utente'!$Q$2:$Q$492,0)),"")</f>
        <v>3</v>
      </c>
      <c r="L339" s="5" t="str">
        <f>IFERROR(INDEX('Output Utente'!$E$2:$E$492,MATCH(336,'Output Utente'!$Q$2:$Q$492,0)),"")</f>
        <v>NO</v>
      </c>
      <c r="M339" s="5" t="str">
        <f>IFERROR(INDEX('Output Utente'!$U$2:$U$492,MATCH(336,'Output Utente'!$Q$2:$Q$492,0)),"")</f>
        <v>OK</v>
      </c>
      <c r="N339" s="5" t="str">
        <f>IFERROR(INDEX('Output Utente'!$AE$2:$AE$492,MATCH(336,'Output Utente'!$Q$2:$Q$492,0)),"")</f>
        <v>🟢 Riserve abbondanti</v>
      </c>
    </row>
    <row r="340" spans="1:14" ht="15" customHeight="1" x14ac:dyDescent="0.25">
      <c r="A340" s="41">
        <v>337</v>
      </c>
      <c r="B340" s="5">
        <f>IFERROR(INDEX('Output Utente'!$A$2:$A$492,MATCH(337,'Output Utente'!$Q$2:$Q$492,0)),"")</f>
        <v>7374</v>
      </c>
      <c r="C340" s="5" t="str">
        <f>IFERROR(INDEX('Output Utente'!$B$2:$B$492,MATCH(337,'Output Utente'!$Q$2:$Q$492,0)),"")</f>
        <v>A</v>
      </c>
      <c r="D340" s="5" t="str">
        <f>IFERROR(INDEX('Output Utente'!$C$2:$C$492,MATCH(337,'Output Utente'!$Q$2:$Q$492,0)),"")</f>
        <v>Mendy P.</v>
      </c>
      <c r="E340" s="5" t="str">
        <f>IFERROR(INDEX('Input Giocatori 2026_27'!$D$3:$D$493,MATCH($B340,'Input Giocatori 2026_27'!$A$3:$A$493,0)),"")</f>
        <v>Cagliari</v>
      </c>
      <c r="F340" s="42">
        <f>IFERROR(INDEX('Output Utente'!$N$2:$N$492,MATCH(337,'Output Utente'!$Q$2:$Q$492,0)),"")</f>
        <v>4</v>
      </c>
      <c r="G340" s="42">
        <f>IFERROR(INDEX('Output Utente'!$O$2:$O$492,MATCH(337,'Output Utente'!$Q$2:$Q$492,0)),"")</f>
        <v>9</v>
      </c>
      <c r="H340" s="5" t="str">
        <f>IFERROR(INDEX('Output Utente'!$P$2:$P$492,MATCH(337,'Output Utente'!$Q$2:$Q$492,0)),"")</f>
        <v>Scommessa/Riserva</v>
      </c>
      <c r="I340" s="42">
        <f>IFERROR(INDEX('Output Utente'!$F$2:$F$492,MATCH(337,'Output Utente'!$Q$2:$Q$492,0)),"")</f>
        <v>3</v>
      </c>
      <c r="J340" s="42">
        <f>IFERROR(INDEX('Output Utente'!$G$2:$G$492,MATCH(337,'Output Utente'!$Q$2:$Q$492,0)),"")</f>
        <v>2</v>
      </c>
      <c r="K340" s="42">
        <f>IFERROR(INDEX('Output Utente'!$H$2:$H$492,MATCH(337,'Output Utente'!$Q$2:$Q$492,0)),"")</f>
        <v>3</v>
      </c>
      <c r="L340" s="5" t="str">
        <f>IFERROR(INDEX('Output Utente'!$E$2:$E$492,MATCH(337,'Output Utente'!$Q$2:$Q$492,0)),"")</f>
        <v>NO</v>
      </c>
      <c r="M340" s="5" t="str">
        <f>IFERROR(INDEX('Output Utente'!$U$2:$U$492,MATCH(337,'Output Utente'!$Q$2:$Q$492,0)),"")</f>
        <v>OK</v>
      </c>
      <c r="N340" s="5" t="str">
        <f>IFERROR(INDEX('Output Utente'!$AE$2:$AE$492,MATCH(337,'Output Utente'!$Q$2:$Q$492,0)),"")</f>
        <v>🟢 Riserve abbondanti</v>
      </c>
    </row>
    <row r="341" spans="1:14" ht="15" customHeight="1" x14ac:dyDescent="0.25">
      <c r="A341" s="41">
        <v>338</v>
      </c>
      <c r="B341" s="5">
        <f>IFERROR(INDEX('Output Utente'!$A$2:$A$492,MATCH(338,'Output Utente'!$Q$2:$Q$492,0)),"")</f>
        <v>7453</v>
      </c>
      <c r="C341" s="5" t="str">
        <f>IFERROR(INDEX('Output Utente'!$B$2:$B$492,MATCH(338,'Output Utente'!$Q$2:$Q$492,0)),"")</f>
        <v>A</v>
      </c>
      <c r="D341" s="5" t="str">
        <f>IFERROR(INDEX('Output Utente'!$C$2:$C$492,MATCH(338,'Output Utente'!$Q$2:$Q$492,0)),"")</f>
        <v>Havel</v>
      </c>
      <c r="E341" s="5" t="str">
        <f>IFERROR(INDEX('Input Giocatori 2026_27'!$D$3:$D$493,MATCH($B341,'Input Giocatori 2026_27'!$A$3:$A$493,0)),"")</f>
        <v>Genoa</v>
      </c>
      <c r="F341" s="42">
        <f>IFERROR(INDEX('Output Utente'!$N$2:$N$492,MATCH(338,'Output Utente'!$Q$2:$Q$492,0)),"")</f>
        <v>4</v>
      </c>
      <c r="G341" s="42">
        <f>IFERROR(INDEX('Output Utente'!$O$2:$O$492,MATCH(338,'Output Utente'!$Q$2:$Q$492,0)),"")</f>
        <v>9</v>
      </c>
      <c r="H341" s="5" t="str">
        <f>IFERROR(INDEX('Output Utente'!$P$2:$P$492,MATCH(338,'Output Utente'!$Q$2:$Q$492,0)),"")</f>
        <v>Scommessa/Riserva</v>
      </c>
      <c r="I341" s="42">
        <f>IFERROR(INDEX('Output Utente'!$F$2:$F$492,MATCH(338,'Output Utente'!$Q$2:$Q$492,0)),"")</f>
        <v>3</v>
      </c>
      <c r="J341" s="42">
        <f>IFERROR(INDEX('Output Utente'!$G$2:$G$492,MATCH(338,'Output Utente'!$Q$2:$Q$492,0)),"")</f>
        <v>2</v>
      </c>
      <c r="K341" s="42">
        <f>IFERROR(INDEX('Output Utente'!$H$2:$H$492,MATCH(338,'Output Utente'!$Q$2:$Q$492,0)),"")</f>
        <v>3</v>
      </c>
      <c r="L341" s="5" t="str">
        <f>IFERROR(INDEX('Output Utente'!$E$2:$E$492,MATCH(338,'Output Utente'!$Q$2:$Q$492,0)),"")</f>
        <v>NO</v>
      </c>
      <c r="M341" s="5" t="str">
        <f>IFERROR(INDEX('Output Utente'!$U$2:$U$492,MATCH(338,'Output Utente'!$Q$2:$Q$492,0)),"")</f>
        <v>OK</v>
      </c>
      <c r="N341" s="5" t="str">
        <f>IFERROR(INDEX('Output Utente'!$AE$2:$AE$492,MATCH(338,'Output Utente'!$Q$2:$Q$492,0)),"")</f>
        <v>🟢 Riserve abbondanti</v>
      </c>
    </row>
    <row r="342" spans="1:14" ht="15" customHeight="1" x14ac:dyDescent="0.25">
      <c r="A342" s="41">
        <v>339</v>
      </c>
      <c r="B342" s="5">
        <f>IFERROR(INDEX('Output Utente'!$A$2:$A$492,MATCH(339,'Output Utente'!$Q$2:$Q$492,0)),"")</f>
        <v>7349</v>
      </c>
      <c r="C342" s="5" t="str">
        <f>IFERROR(INDEX('Output Utente'!$B$2:$B$492,MATCH(339,'Output Utente'!$Q$2:$Q$492,0)),"")</f>
        <v>A</v>
      </c>
      <c r="D342" s="5" t="str">
        <f>IFERROR(INDEX('Output Utente'!$C$2:$C$492,MATCH(339,'Output Utente'!$Q$2:$Q$492,0)),"")</f>
        <v>Kulenovic</v>
      </c>
      <c r="E342" s="5" t="str">
        <f>IFERROR(INDEX('Input Giocatori 2026_27'!$D$3:$D$493,MATCH($B342,'Input Giocatori 2026_27'!$A$3:$A$493,0)),"")</f>
        <v>Torino</v>
      </c>
      <c r="F342" s="42">
        <f>IFERROR(INDEX('Output Utente'!$N$2:$N$492,MATCH(339,'Output Utente'!$Q$2:$Q$492,0)),"")</f>
        <v>4</v>
      </c>
      <c r="G342" s="42">
        <f>IFERROR(INDEX('Output Utente'!$O$2:$O$492,MATCH(339,'Output Utente'!$Q$2:$Q$492,0)),"")</f>
        <v>9</v>
      </c>
      <c r="H342" s="5" t="str">
        <f>IFERROR(INDEX('Output Utente'!$P$2:$P$492,MATCH(339,'Output Utente'!$Q$2:$Q$492,0)),"")</f>
        <v>Scommessa/Riserva</v>
      </c>
      <c r="I342" s="42">
        <f>IFERROR(INDEX('Output Utente'!$F$2:$F$492,MATCH(339,'Output Utente'!$Q$2:$Q$492,0)),"")</f>
        <v>3</v>
      </c>
      <c r="J342" s="42">
        <f>IFERROR(INDEX('Output Utente'!$G$2:$G$492,MATCH(339,'Output Utente'!$Q$2:$Q$492,0)),"")</f>
        <v>2</v>
      </c>
      <c r="K342" s="42">
        <f>IFERROR(INDEX('Output Utente'!$H$2:$H$492,MATCH(339,'Output Utente'!$Q$2:$Q$492,0)),"")</f>
        <v>3</v>
      </c>
      <c r="L342" s="5" t="str">
        <f>IFERROR(INDEX('Output Utente'!$E$2:$E$492,MATCH(339,'Output Utente'!$Q$2:$Q$492,0)),"")</f>
        <v>NO</v>
      </c>
      <c r="M342" s="5" t="str">
        <f>IFERROR(INDEX('Output Utente'!$U$2:$U$492,MATCH(339,'Output Utente'!$Q$2:$Q$492,0)),"")</f>
        <v>OK</v>
      </c>
      <c r="N342" s="5" t="str">
        <f>IFERROR(INDEX('Output Utente'!$AE$2:$AE$492,MATCH(339,'Output Utente'!$Q$2:$Q$492,0)),"")</f>
        <v>🟢 Riserve abbondanti</v>
      </c>
    </row>
    <row r="343" spans="1:14" ht="15" customHeight="1" x14ac:dyDescent="0.25">
      <c r="A343" s="41">
        <v>340</v>
      </c>
      <c r="B343" s="5">
        <f>IFERROR(INDEX('Output Utente'!$A$2:$A$492,MATCH(340,'Output Utente'!$Q$2:$Q$492,0)),"")</f>
        <v>7001</v>
      </c>
      <c r="C343" s="5" t="str">
        <f>IFERROR(INDEX('Output Utente'!$B$2:$B$492,MATCH(340,'Output Utente'!$Q$2:$Q$492,0)),"")</f>
        <v>A</v>
      </c>
      <c r="D343" s="5" t="str">
        <f>IFERROR(INDEX('Output Utente'!$C$2:$C$492,MATCH(340,'Output Utente'!$Q$2:$Q$492,0)),"")</f>
        <v>N'Dri</v>
      </c>
      <c r="E343" s="5" t="str">
        <f>IFERROR(INDEX('Input Giocatori 2026_27'!$D$3:$D$493,MATCH($B343,'Input Giocatori 2026_27'!$A$3:$A$493,0)),"")</f>
        <v>Lecce</v>
      </c>
      <c r="F343" s="42">
        <f>IFERROR(INDEX('Output Utente'!$N$2:$N$492,MATCH(340,'Output Utente'!$Q$2:$Q$492,0)),"")</f>
        <v>3</v>
      </c>
      <c r="G343" s="42">
        <f>IFERROR(INDEX('Output Utente'!$O$2:$O$492,MATCH(340,'Output Utente'!$Q$2:$Q$492,0)),"")</f>
        <v>9</v>
      </c>
      <c r="H343" s="5" t="str">
        <f>IFERROR(INDEX('Output Utente'!$P$2:$P$492,MATCH(340,'Output Utente'!$Q$2:$Q$492,0)),"")</f>
        <v>Scommessa/Riserva</v>
      </c>
      <c r="I343" s="42">
        <f>IFERROR(INDEX('Output Utente'!$F$2:$F$492,MATCH(340,'Output Utente'!$Q$2:$Q$492,0)),"")</f>
        <v>3</v>
      </c>
      <c r="J343" s="42">
        <f>IFERROR(INDEX('Output Utente'!$G$2:$G$492,MATCH(340,'Output Utente'!$Q$2:$Q$492,0)),"")</f>
        <v>2</v>
      </c>
      <c r="K343" s="42">
        <f>IFERROR(INDEX('Output Utente'!$H$2:$H$492,MATCH(340,'Output Utente'!$Q$2:$Q$492,0)),"")</f>
        <v>3</v>
      </c>
      <c r="L343" s="5" t="str">
        <f>IFERROR(INDEX('Output Utente'!$E$2:$E$492,MATCH(340,'Output Utente'!$Q$2:$Q$492,0)),"")</f>
        <v>NO</v>
      </c>
      <c r="M343" s="5" t="str">
        <f>IFERROR(INDEX('Output Utente'!$U$2:$U$492,MATCH(340,'Output Utente'!$Q$2:$Q$492,0)),"")</f>
        <v>OK</v>
      </c>
      <c r="N343" s="5" t="str">
        <f>IFERROR(INDEX('Output Utente'!$AE$2:$AE$492,MATCH(340,'Output Utente'!$Q$2:$Q$492,0)),"")</f>
        <v>🟢 Riserve abbondanti</v>
      </c>
    </row>
    <row r="344" spans="1:14" ht="15" customHeight="1" x14ac:dyDescent="0.25">
      <c r="A344" s="41">
        <v>341</v>
      </c>
      <c r="B344" s="5">
        <f>IFERROR(INDEX('Output Utente'!$A$2:$A$492,MATCH(341,'Output Utente'!$Q$2:$Q$492,0)),"")</f>
        <v>6415</v>
      </c>
      <c r="C344" s="5" t="str">
        <f>IFERROR(INDEX('Output Utente'!$B$2:$B$492,MATCH(341,'Output Utente'!$Q$2:$Q$492,0)),"")</f>
        <v>P</v>
      </c>
      <c r="D344" s="5" t="str">
        <f>IFERROR(INDEX('Output Utente'!$C$2:$C$492,MATCH(341,'Output Utente'!$Q$2:$Q$492,0)),"")</f>
        <v>Palmisani</v>
      </c>
      <c r="E344" s="5" t="str">
        <f>IFERROR(INDEX('Input Giocatori 2026_27'!$D$3:$D$493,MATCH($B344,'Input Giocatori 2026_27'!$A$3:$A$493,0)),"")</f>
        <v>Frosinone</v>
      </c>
      <c r="F344" s="42">
        <f>IFERROR(INDEX('Output Utente'!$N$2:$N$492,MATCH(341,'Output Utente'!$Q$2:$Q$492,0)),"")</f>
        <v>4</v>
      </c>
      <c r="G344" s="42">
        <f>IFERROR(INDEX('Output Utente'!$O$2:$O$492,MATCH(341,'Output Utente'!$Q$2:$Q$492,0)),"")</f>
        <v>8</v>
      </c>
      <c r="H344" s="5" t="str">
        <f>IFERROR(INDEX('Output Utente'!$P$2:$P$492,MATCH(341,'Output Utente'!$Q$2:$Q$492,0)),"")</f>
        <v>Nella Media</v>
      </c>
      <c r="I344" s="42">
        <f>IFERROR(INDEX('Output Utente'!$F$2:$F$492,MATCH(341,'Output Utente'!$Q$2:$Q$492,0)),"")</f>
        <v>3</v>
      </c>
      <c r="J344" s="42">
        <f>IFERROR(INDEX('Output Utente'!$G$2:$G$492,MATCH(341,'Output Utente'!$Q$2:$Q$492,0)),"")</f>
        <v>2</v>
      </c>
      <c r="K344" s="42">
        <f>IFERROR(INDEX('Output Utente'!$H$2:$H$492,MATCH(341,'Output Utente'!$Q$2:$Q$492,0)),"")</f>
        <v>3</v>
      </c>
      <c r="L344" s="5" t="str">
        <f>IFERROR(INDEX('Output Utente'!$E$2:$E$492,MATCH(341,'Output Utente'!$Q$2:$Q$492,0)),"")</f>
        <v>NO</v>
      </c>
      <c r="M344" s="5" t="str">
        <f>IFERROR(INDEX('Output Utente'!$U$2:$U$492,MATCH(341,'Output Utente'!$Q$2:$Q$492,0)),"")</f>
        <v>OK</v>
      </c>
      <c r="N344" s="5" t="str">
        <f>IFERROR(INDEX('Output Utente'!$AE$2:$AE$492,MATCH(341,'Output Utente'!$Q$2:$Q$492,0)),"")</f>
        <v>🔴 Riserve scarse</v>
      </c>
    </row>
    <row r="345" spans="1:14" ht="15" customHeight="1" x14ac:dyDescent="0.25">
      <c r="A345" s="41">
        <v>342</v>
      </c>
      <c r="B345" s="5">
        <f>IFERROR(INDEX('Output Utente'!$A$2:$A$492,MATCH(342,'Output Utente'!$Q$2:$Q$492,0)),"")</f>
        <v>7463</v>
      </c>
      <c r="C345" s="5" t="str">
        <f>IFERROR(INDEX('Output Utente'!$B$2:$B$492,MATCH(342,'Output Utente'!$Q$2:$Q$492,0)),"")</f>
        <v>P</v>
      </c>
      <c r="D345" s="5" t="str">
        <f>IFERROR(INDEX('Output Utente'!$C$2:$C$492,MATCH(342,'Output Utente'!$Q$2:$Q$492,0)),"")</f>
        <v>Desplanches</v>
      </c>
      <c r="E345" s="5" t="str">
        <f>IFERROR(INDEX('Input Giocatori 2026_27'!$D$3:$D$493,MATCH($B345,'Input Giocatori 2026_27'!$A$3:$A$493,0)),"")</f>
        <v>Frosinone</v>
      </c>
      <c r="F345" s="42">
        <f>IFERROR(INDEX('Output Utente'!$N$2:$N$492,MATCH(342,'Output Utente'!$Q$2:$Q$492,0)),"")</f>
        <v>2</v>
      </c>
      <c r="G345" s="42">
        <f>IFERROR(INDEX('Output Utente'!$O$2:$O$492,MATCH(342,'Output Utente'!$Q$2:$Q$492,0)),"")</f>
        <v>8</v>
      </c>
      <c r="H345" s="5" t="str">
        <f>IFERROR(INDEX('Output Utente'!$P$2:$P$492,MATCH(342,'Output Utente'!$Q$2:$Q$492,0)),"")</f>
        <v>Nella Media</v>
      </c>
      <c r="I345" s="42">
        <f>IFERROR(INDEX('Output Utente'!$F$2:$F$492,MATCH(342,'Output Utente'!$Q$2:$Q$492,0)),"")</f>
        <v>3</v>
      </c>
      <c r="J345" s="42">
        <f>IFERROR(INDEX('Output Utente'!$G$2:$G$492,MATCH(342,'Output Utente'!$Q$2:$Q$492,0)),"")</f>
        <v>2</v>
      </c>
      <c r="K345" s="42">
        <f>IFERROR(INDEX('Output Utente'!$H$2:$H$492,MATCH(342,'Output Utente'!$Q$2:$Q$492,0)),"")</f>
        <v>3</v>
      </c>
      <c r="L345" s="5" t="str">
        <f>IFERROR(INDEX('Output Utente'!$E$2:$E$492,MATCH(342,'Output Utente'!$Q$2:$Q$492,0)),"")</f>
        <v>NO</v>
      </c>
      <c r="M345" s="5" t="str">
        <f>IFERROR(INDEX('Output Utente'!$U$2:$U$492,MATCH(342,'Output Utente'!$Q$2:$Q$492,0)),"")</f>
        <v>OK</v>
      </c>
      <c r="N345" s="5" t="str">
        <f>IFERROR(INDEX('Output Utente'!$AE$2:$AE$492,MATCH(342,'Output Utente'!$Q$2:$Q$492,0)),"")</f>
        <v>🔴 Riserve scarse</v>
      </c>
    </row>
    <row r="346" spans="1:14" ht="15" customHeight="1" x14ac:dyDescent="0.25">
      <c r="A346" s="41">
        <v>343</v>
      </c>
      <c r="B346" s="5">
        <f>IFERROR(INDEX('Output Utente'!$A$2:$A$492,MATCH(343,'Output Utente'!$Q$2:$Q$492,0)),"")</f>
        <v>5603</v>
      </c>
      <c r="C346" s="5" t="str">
        <f>IFERROR(INDEX('Output Utente'!$B$2:$B$492,MATCH(343,'Output Utente'!$Q$2:$Q$492,0)),"")</f>
        <v>D</v>
      </c>
      <c r="D346" s="5" t="str">
        <f>IFERROR(INDEX('Output Utente'!$C$2:$C$492,MATCH(343,'Output Utente'!$Q$2:$Q$492,0)),"")</f>
        <v>Pongracic</v>
      </c>
      <c r="E346" s="5" t="str">
        <f>IFERROR(INDEX('Input Giocatori 2026_27'!$D$3:$D$493,MATCH($B346,'Input Giocatori 2026_27'!$A$3:$A$493,0)),"")</f>
        <v>Fiorentina</v>
      </c>
      <c r="F346" s="42">
        <f>IFERROR(INDEX('Output Utente'!$N$2:$N$492,MATCH(343,'Output Utente'!$Q$2:$Q$492,0)),"")</f>
        <v>4</v>
      </c>
      <c r="G346" s="42">
        <f>IFERROR(INDEX('Output Utente'!$O$2:$O$492,MATCH(343,'Output Utente'!$Q$2:$Q$492,0)),"")</f>
        <v>8</v>
      </c>
      <c r="H346" s="5" t="str">
        <f>IFERROR(INDEX('Output Utente'!$P$2:$P$492,MATCH(343,'Output Utente'!$Q$2:$Q$492,0)),"")</f>
        <v>Scommessa/Riserva</v>
      </c>
      <c r="I346" s="42">
        <f>IFERROR(INDEX('Output Utente'!$F$2:$F$492,MATCH(343,'Output Utente'!$Q$2:$Q$492,0)),"")</f>
        <v>2</v>
      </c>
      <c r="J346" s="42">
        <f>IFERROR(INDEX('Output Utente'!$G$2:$G$492,MATCH(343,'Output Utente'!$Q$2:$Q$492,0)),"")</f>
        <v>1</v>
      </c>
      <c r="K346" s="42">
        <f>IFERROR(INDEX('Output Utente'!$H$2:$H$492,MATCH(343,'Output Utente'!$Q$2:$Q$492,0)),"")</f>
        <v>2</v>
      </c>
      <c r="L346" s="5" t="str">
        <f>IFERROR(INDEX('Output Utente'!$E$2:$E$492,MATCH(343,'Output Utente'!$Q$2:$Q$492,0)),"")</f>
        <v>NO</v>
      </c>
      <c r="M346" s="5" t="str">
        <f>IFERROR(INDEX('Output Utente'!$U$2:$U$492,MATCH(343,'Output Utente'!$Q$2:$Q$492,0)),"")</f>
        <v>OK</v>
      </c>
      <c r="N346" s="5" t="str">
        <f>IFERROR(INDEX('Output Utente'!$AE$2:$AE$492,MATCH(343,'Output Utente'!$Q$2:$Q$492,0)),"")</f>
        <v>🟢 Riserve abbondanti</v>
      </c>
    </row>
    <row r="347" spans="1:14" ht="15" customHeight="1" x14ac:dyDescent="0.25">
      <c r="A347" s="41">
        <v>344</v>
      </c>
      <c r="B347" s="5">
        <f>IFERROR(INDEX('Output Utente'!$A$2:$A$492,MATCH(344,'Output Utente'!$Q$2:$Q$492,0)),"")</f>
        <v>7312</v>
      </c>
      <c r="C347" s="5" t="str">
        <f>IFERROR(INDEX('Output Utente'!$B$2:$B$492,MATCH(344,'Output Utente'!$Q$2:$Q$492,0)),"")</f>
        <v>D</v>
      </c>
      <c r="D347" s="5" t="str">
        <f>IFERROR(INDEX('Output Utente'!$C$2:$C$492,MATCH(344,'Output Utente'!$Q$2:$Q$492,0)),"")</f>
        <v>Arizala</v>
      </c>
      <c r="E347" s="5" t="str">
        <f>IFERROR(INDEX('Input Giocatori 2026_27'!$D$3:$D$493,MATCH($B347,'Input Giocatori 2026_27'!$A$3:$A$493,0)),"")</f>
        <v>Udinese</v>
      </c>
      <c r="F347" s="42">
        <f>IFERROR(INDEX('Output Utente'!$N$2:$N$492,MATCH(344,'Output Utente'!$Q$2:$Q$492,0)),"")</f>
        <v>4</v>
      </c>
      <c r="G347" s="42">
        <f>IFERROR(INDEX('Output Utente'!$O$2:$O$492,MATCH(344,'Output Utente'!$Q$2:$Q$492,0)),"")</f>
        <v>8</v>
      </c>
      <c r="H347" s="5" t="str">
        <f>IFERROR(INDEX('Output Utente'!$P$2:$P$492,MATCH(344,'Output Utente'!$Q$2:$Q$492,0)),"")</f>
        <v>Scommessa/Riserva</v>
      </c>
      <c r="I347" s="42">
        <f>IFERROR(INDEX('Output Utente'!$F$2:$F$492,MATCH(344,'Output Utente'!$Q$2:$Q$492,0)),"")</f>
        <v>2</v>
      </c>
      <c r="J347" s="42">
        <f>IFERROR(INDEX('Output Utente'!$G$2:$G$492,MATCH(344,'Output Utente'!$Q$2:$Q$492,0)),"")</f>
        <v>1</v>
      </c>
      <c r="K347" s="42">
        <f>IFERROR(INDEX('Output Utente'!$H$2:$H$492,MATCH(344,'Output Utente'!$Q$2:$Q$492,0)),"")</f>
        <v>2</v>
      </c>
      <c r="L347" s="5" t="str">
        <f>IFERROR(INDEX('Output Utente'!$E$2:$E$492,MATCH(344,'Output Utente'!$Q$2:$Q$492,0)),"")</f>
        <v>NO</v>
      </c>
      <c r="M347" s="5" t="str">
        <f>IFERROR(INDEX('Output Utente'!$U$2:$U$492,MATCH(344,'Output Utente'!$Q$2:$Q$492,0)),"")</f>
        <v>OK</v>
      </c>
      <c r="N347" s="5" t="str">
        <f>IFERROR(INDEX('Output Utente'!$AE$2:$AE$492,MATCH(344,'Output Utente'!$Q$2:$Q$492,0)),"")</f>
        <v>🟢 Riserve abbondanti</v>
      </c>
    </row>
    <row r="348" spans="1:14" ht="15" customHeight="1" x14ac:dyDescent="0.25">
      <c r="A348" s="41">
        <v>345</v>
      </c>
      <c r="B348" s="5">
        <f>IFERROR(INDEX('Output Utente'!$A$2:$A$492,MATCH(345,'Output Utente'!$Q$2:$Q$492,0)),"")</f>
        <v>5757</v>
      </c>
      <c r="C348" s="5" t="str">
        <f>IFERROR(INDEX('Output Utente'!$B$2:$B$492,MATCH(345,'Output Utente'!$Q$2:$Q$492,0)),"")</f>
        <v>D</v>
      </c>
      <c r="D348" s="5" t="str">
        <f>IFERROR(INDEX('Output Utente'!$C$2:$C$492,MATCH(345,'Output Utente'!$Q$2:$Q$492,0)),"")</f>
        <v>Cittadini</v>
      </c>
      <c r="E348" s="5" t="str">
        <f>IFERROR(INDEX('Input Giocatori 2026_27'!$D$3:$D$493,MATCH($B348,'Input Giocatori 2026_27'!$A$3:$A$493,0)),"")</f>
        <v>Frosinone</v>
      </c>
      <c r="F348" s="42">
        <f>IFERROR(INDEX('Output Utente'!$N$2:$N$492,MATCH(345,'Output Utente'!$Q$2:$Q$492,0)),"")</f>
        <v>3</v>
      </c>
      <c r="G348" s="42">
        <f>IFERROR(INDEX('Output Utente'!$O$2:$O$492,MATCH(345,'Output Utente'!$Q$2:$Q$492,0)),"")</f>
        <v>8</v>
      </c>
      <c r="H348" s="5" t="str">
        <f>IFERROR(INDEX('Output Utente'!$P$2:$P$492,MATCH(345,'Output Utente'!$Q$2:$Q$492,0)),"")</f>
        <v>Scommessa/Riserva</v>
      </c>
      <c r="I348" s="42">
        <f>IFERROR(INDEX('Output Utente'!$F$2:$F$492,MATCH(345,'Output Utente'!$Q$2:$Q$492,0)),"")</f>
        <v>2</v>
      </c>
      <c r="J348" s="42">
        <f>IFERROR(INDEX('Output Utente'!$G$2:$G$492,MATCH(345,'Output Utente'!$Q$2:$Q$492,0)),"")</f>
        <v>1</v>
      </c>
      <c r="K348" s="42">
        <f>IFERROR(INDEX('Output Utente'!$H$2:$H$492,MATCH(345,'Output Utente'!$Q$2:$Q$492,0)),"")</f>
        <v>2</v>
      </c>
      <c r="L348" s="5" t="str">
        <f>IFERROR(INDEX('Output Utente'!$E$2:$E$492,MATCH(345,'Output Utente'!$Q$2:$Q$492,0)),"")</f>
        <v>NO</v>
      </c>
      <c r="M348" s="5" t="str">
        <f>IFERROR(INDEX('Output Utente'!$U$2:$U$492,MATCH(345,'Output Utente'!$Q$2:$Q$492,0)),"")</f>
        <v>OK</v>
      </c>
      <c r="N348" s="5" t="str">
        <f>IFERROR(INDEX('Output Utente'!$AE$2:$AE$492,MATCH(345,'Output Utente'!$Q$2:$Q$492,0)),"")</f>
        <v>🟢 Riserve abbondanti</v>
      </c>
    </row>
    <row r="349" spans="1:14" ht="15" customHeight="1" x14ac:dyDescent="0.25">
      <c r="A349" s="41">
        <v>346</v>
      </c>
      <c r="B349" s="5">
        <f>IFERROR(INDEX('Output Utente'!$A$2:$A$492,MATCH(346,'Output Utente'!$Q$2:$Q$492,0)),"")</f>
        <v>7211</v>
      </c>
      <c r="C349" s="5" t="str">
        <f>IFERROR(INDEX('Output Utente'!$B$2:$B$492,MATCH(346,'Output Utente'!$Q$2:$Q$492,0)),"")</f>
        <v>D</v>
      </c>
      <c r="D349" s="5" t="str">
        <f>IFERROR(INDEX('Output Utente'!$C$2:$C$492,MATCH(346,'Output Utente'!$Q$2:$Q$492,0)),"")</f>
        <v>Athekame</v>
      </c>
      <c r="E349" s="5" t="str">
        <f>IFERROR(INDEX('Input Giocatori 2026_27'!$D$3:$D$493,MATCH($B349,'Input Giocatori 2026_27'!$A$3:$A$493,0)),"")</f>
        <v>Milan</v>
      </c>
      <c r="F349" s="42">
        <f>IFERROR(INDEX('Output Utente'!$N$2:$N$492,MATCH(346,'Output Utente'!$Q$2:$Q$492,0)),"")</f>
        <v>3</v>
      </c>
      <c r="G349" s="42">
        <f>IFERROR(INDEX('Output Utente'!$O$2:$O$492,MATCH(346,'Output Utente'!$Q$2:$Q$492,0)),"")</f>
        <v>8</v>
      </c>
      <c r="H349" s="5" t="str">
        <f>IFERROR(INDEX('Output Utente'!$P$2:$P$492,MATCH(346,'Output Utente'!$Q$2:$Q$492,0)),"")</f>
        <v>Scommessa/Riserva</v>
      </c>
      <c r="I349" s="42">
        <f>IFERROR(INDEX('Output Utente'!$F$2:$F$492,MATCH(346,'Output Utente'!$Q$2:$Q$492,0)),"")</f>
        <v>2</v>
      </c>
      <c r="J349" s="42">
        <f>IFERROR(INDEX('Output Utente'!$G$2:$G$492,MATCH(346,'Output Utente'!$Q$2:$Q$492,0)),"")</f>
        <v>1</v>
      </c>
      <c r="K349" s="42">
        <f>IFERROR(INDEX('Output Utente'!$H$2:$H$492,MATCH(346,'Output Utente'!$Q$2:$Q$492,0)),"")</f>
        <v>2</v>
      </c>
      <c r="L349" s="5" t="str">
        <f>IFERROR(INDEX('Output Utente'!$E$2:$E$492,MATCH(346,'Output Utente'!$Q$2:$Q$492,0)),"")</f>
        <v>NO</v>
      </c>
      <c r="M349" s="5" t="str">
        <f>IFERROR(INDEX('Output Utente'!$U$2:$U$492,MATCH(346,'Output Utente'!$Q$2:$Q$492,0)),"")</f>
        <v>OK</v>
      </c>
      <c r="N349" s="5" t="str">
        <f>IFERROR(INDEX('Output Utente'!$AE$2:$AE$492,MATCH(346,'Output Utente'!$Q$2:$Q$492,0)),"")</f>
        <v>🟢 Riserve abbondanti</v>
      </c>
    </row>
    <row r="350" spans="1:14" ht="15" customHeight="1" x14ac:dyDescent="0.25">
      <c r="A350" s="41">
        <v>347</v>
      </c>
      <c r="B350" s="5">
        <f>IFERROR(INDEX('Output Utente'!$A$2:$A$492,MATCH(347,'Output Utente'!$Q$2:$Q$492,0)),"")</f>
        <v>7235</v>
      </c>
      <c r="C350" s="5" t="str">
        <f>IFERROR(INDEX('Output Utente'!$B$2:$B$492,MATCH(347,'Output Utente'!$Q$2:$Q$492,0)),"")</f>
        <v>D</v>
      </c>
      <c r="D350" s="5" t="str">
        <f>IFERROR(INDEX('Output Utente'!$C$2:$C$492,MATCH(347,'Output Utente'!$Q$2:$Q$492,0)),"")</f>
        <v>Troilo</v>
      </c>
      <c r="E350" s="5" t="str">
        <f>IFERROR(INDEX('Input Giocatori 2026_27'!$D$3:$D$493,MATCH($B350,'Input Giocatori 2026_27'!$A$3:$A$493,0)),"")</f>
        <v>Parma</v>
      </c>
      <c r="F350" s="42">
        <f>IFERROR(INDEX('Output Utente'!$N$2:$N$492,MATCH(347,'Output Utente'!$Q$2:$Q$492,0)),"")</f>
        <v>3</v>
      </c>
      <c r="G350" s="42">
        <f>IFERROR(INDEX('Output Utente'!$O$2:$O$492,MATCH(347,'Output Utente'!$Q$2:$Q$492,0)),"")</f>
        <v>8</v>
      </c>
      <c r="H350" s="5" t="str">
        <f>IFERROR(INDEX('Output Utente'!$P$2:$P$492,MATCH(347,'Output Utente'!$Q$2:$Q$492,0)),"")</f>
        <v>Scommessa/Riserva</v>
      </c>
      <c r="I350" s="42">
        <f>IFERROR(INDEX('Output Utente'!$F$2:$F$492,MATCH(347,'Output Utente'!$Q$2:$Q$492,0)),"")</f>
        <v>2</v>
      </c>
      <c r="J350" s="42">
        <f>IFERROR(INDEX('Output Utente'!$G$2:$G$492,MATCH(347,'Output Utente'!$Q$2:$Q$492,0)),"")</f>
        <v>1</v>
      </c>
      <c r="K350" s="42">
        <f>IFERROR(INDEX('Output Utente'!$H$2:$H$492,MATCH(347,'Output Utente'!$Q$2:$Q$492,0)),"")</f>
        <v>2</v>
      </c>
      <c r="L350" s="5" t="str">
        <f>IFERROR(INDEX('Output Utente'!$E$2:$E$492,MATCH(347,'Output Utente'!$Q$2:$Q$492,0)),"")</f>
        <v>NO</v>
      </c>
      <c r="M350" s="5" t="str">
        <f>IFERROR(INDEX('Output Utente'!$U$2:$U$492,MATCH(347,'Output Utente'!$Q$2:$Q$492,0)),"")</f>
        <v>OK</v>
      </c>
      <c r="N350" s="5" t="str">
        <f>IFERROR(INDEX('Output Utente'!$AE$2:$AE$492,MATCH(347,'Output Utente'!$Q$2:$Q$492,0)),"")</f>
        <v>🟢 Riserve abbondanti</v>
      </c>
    </row>
    <row r="351" spans="1:14" ht="15" customHeight="1" x14ac:dyDescent="0.25">
      <c r="A351" s="41">
        <v>348</v>
      </c>
      <c r="B351" s="5">
        <f>IFERROR(INDEX('Output Utente'!$A$2:$A$492,MATCH(348,'Output Utente'!$Q$2:$Q$492,0)),"")</f>
        <v>2263</v>
      </c>
      <c r="C351" s="5" t="str">
        <f>IFERROR(INDEX('Output Utente'!$B$2:$B$492,MATCH(348,'Output Utente'!$Q$2:$Q$492,0)),"")</f>
        <v>D</v>
      </c>
      <c r="D351" s="5" t="str">
        <f>IFERROR(INDEX('Output Utente'!$C$2:$C$492,MATCH(348,'Output Utente'!$Q$2:$Q$492,0)),"")</f>
        <v>Lazzari</v>
      </c>
      <c r="E351" s="5" t="str">
        <f>IFERROR(INDEX('Input Giocatori 2026_27'!$D$3:$D$493,MATCH($B351,'Input Giocatori 2026_27'!$A$3:$A$493,0)),"")</f>
        <v>Lazio</v>
      </c>
      <c r="F351" s="42">
        <f>IFERROR(INDEX('Output Utente'!$N$2:$N$492,MATCH(348,'Output Utente'!$Q$2:$Q$492,0)),"")</f>
        <v>2</v>
      </c>
      <c r="G351" s="42">
        <f>IFERROR(INDEX('Output Utente'!$O$2:$O$492,MATCH(348,'Output Utente'!$Q$2:$Q$492,0)),"")</f>
        <v>8</v>
      </c>
      <c r="H351" s="5" t="str">
        <f>IFERROR(INDEX('Output Utente'!$P$2:$P$492,MATCH(348,'Output Utente'!$Q$2:$Q$492,0)),"")</f>
        <v>Scommessa/Riserva</v>
      </c>
      <c r="I351" s="42">
        <f>IFERROR(INDEX('Output Utente'!$F$2:$F$492,MATCH(348,'Output Utente'!$Q$2:$Q$492,0)),"")</f>
        <v>2</v>
      </c>
      <c r="J351" s="42">
        <f>IFERROR(INDEX('Output Utente'!$G$2:$G$492,MATCH(348,'Output Utente'!$Q$2:$Q$492,0)),"")</f>
        <v>1</v>
      </c>
      <c r="K351" s="42">
        <f>IFERROR(INDEX('Output Utente'!$H$2:$H$492,MATCH(348,'Output Utente'!$Q$2:$Q$492,0)),"")</f>
        <v>2</v>
      </c>
      <c r="L351" s="5" t="str">
        <f>IFERROR(INDEX('Output Utente'!$E$2:$E$492,MATCH(348,'Output Utente'!$Q$2:$Q$492,0)),"")</f>
        <v>NO</v>
      </c>
      <c r="M351" s="5" t="str">
        <f>IFERROR(INDEX('Output Utente'!$U$2:$U$492,MATCH(348,'Output Utente'!$Q$2:$Q$492,0)),"")</f>
        <v>OK</v>
      </c>
      <c r="N351" s="5" t="str">
        <f>IFERROR(INDEX('Output Utente'!$AE$2:$AE$492,MATCH(348,'Output Utente'!$Q$2:$Q$492,0)),"")</f>
        <v>🟢 Riserve abbondanti</v>
      </c>
    </row>
    <row r="352" spans="1:14" ht="15" customHeight="1" x14ac:dyDescent="0.25">
      <c r="A352" s="41">
        <v>349</v>
      </c>
      <c r="B352" s="5">
        <f>IFERROR(INDEX('Output Utente'!$A$2:$A$492,MATCH(349,'Output Utente'!$Q$2:$Q$492,0)),"")</f>
        <v>6206</v>
      </c>
      <c r="C352" s="5" t="str">
        <f>IFERROR(INDEX('Output Utente'!$B$2:$B$492,MATCH(349,'Output Utente'!$Q$2:$Q$492,0)),"")</f>
        <v>C</v>
      </c>
      <c r="D352" s="5" t="str">
        <f>IFERROR(INDEX('Output Utente'!$C$2:$C$492,MATCH(349,'Output Utente'!$Q$2:$Q$492,0)),"")</f>
        <v>Fabbian</v>
      </c>
      <c r="E352" s="5" t="str">
        <f>IFERROR(INDEX('Input Giocatori 2026_27'!$D$3:$D$493,MATCH($B352,'Input Giocatori 2026_27'!$A$3:$A$493,0)),"")</f>
        <v>Fiorentina</v>
      </c>
      <c r="F352" s="42">
        <f>IFERROR(INDEX('Output Utente'!$N$2:$N$492,MATCH(349,'Output Utente'!$Q$2:$Q$492,0)),"")</f>
        <v>4</v>
      </c>
      <c r="G352" s="42">
        <f>IFERROR(INDEX('Output Utente'!$O$2:$O$492,MATCH(349,'Output Utente'!$Q$2:$Q$492,0)),"")</f>
        <v>8</v>
      </c>
      <c r="H352" s="5" t="str">
        <f>IFERROR(INDEX('Output Utente'!$P$2:$P$492,MATCH(349,'Output Utente'!$Q$2:$Q$492,0)),"")</f>
        <v>Scommessa/Riserva</v>
      </c>
      <c r="I352" s="42">
        <f>IFERROR(INDEX('Output Utente'!$F$2:$F$492,MATCH(349,'Output Utente'!$Q$2:$Q$492,0)),"")</f>
        <v>1</v>
      </c>
      <c r="J352" s="42">
        <f>IFERROR(INDEX('Output Utente'!$G$2:$G$492,MATCH(349,'Output Utente'!$Q$2:$Q$492,0)),"")</f>
        <v>1</v>
      </c>
      <c r="K352" s="42">
        <f>IFERROR(INDEX('Output Utente'!$H$2:$H$492,MATCH(349,'Output Utente'!$Q$2:$Q$492,0)),"")</f>
        <v>1</v>
      </c>
      <c r="L352" s="5" t="str">
        <f>IFERROR(INDEX('Output Utente'!$E$2:$E$492,MATCH(349,'Output Utente'!$Q$2:$Q$492,0)),"")</f>
        <v>NO</v>
      </c>
      <c r="M352" s="5" t="str">
        <f>IFERROR(INDEX('Output Utente'!$U$2:$U$492,MATCH(349,'Output Utente'!$Q$2:$Q$492,0)),"")</f>
        <v>OK</v>
      </c>
      <c r="N352" s="5" t="str">
        <f>IFERROR(INDEX('Output Utente'!$AE$2:$AE$492,MATCH(349,'Output Utente'!$Q$2:$Q$492,0)),"")</f>
        <v>🟢 Riserve abbondanti</v>
      </c>
    </row>
    <row r="353" spans="1:14" ht="15" customHeight="1" x14ac:dyDescent="0.25">
      <c r="A353" s="41">
        <v>350</v>
      </c>
      <c r="B353" s="5">
        <f>IFERROR(INDEX('Output Utente'!$A$2:$A$492,MATCH(350,'Output Utente'!$Q$2:$Q$492,0)),"")</f>
        <v>6895</v>
      </c>
      <c r="C353" s="5" t="str">
        <f>IFERROR(INDEX('Output Utente'!$B$2:$B$492,MATCH(350,'Output Utente'!$Q$2:$Q$492,0)),"")</f>
        <v>C</v>
      </c>
      <c r="D353" s="5" t="str">
        <f>IFERROR(INDEX('Output Utente'!$C$2:$C$492,MATCH(350,'Output Utente'!$Q$2:$Q$492,0)),"")</f>
        <v>Dominguez B.</v>
      </c>
      <c r="E353" s="5" t="str">
        <f>IFERROR(INDEX('Input Giocatori 2026_27'!$D$3:$D$493,MATCH($B353,'Input Giocatori 2026_27'!$A$3:$A$493,0)),"")</f>
        <v>Bologna</v>
      </c>
      <c r="F353" s="42">
        <f>IFERROR(INDEX('Output Utente'!$N$2:$N$492,MATCH(350,'Output Utente'!$Q$2:$Q$492,0)),"")</f>
        <v>3</v>
      </c>
      <c r="G353" s="42">
        <f>IFERROR(INDEX('Output Utente'!$O$2:$O$492,MATCH(350,'Output Utente'!$Q$2:$Q$492,0)),"")</f>
        <v>8</v>
      </c>
      <c r="H353" s="5" t="str">
        <f>IFERROR(INDEX('Output Utente'!$P$2:$P$492,MATCH(350,'Output Utente'!$Q$2:$Q$492,0)),"")</f>
        <v>Scommessa/Riserva</v>
      </c>
      <c r="I353" s="42">
        <f>IFERROR(INDEX('Output Utente'!$F$2:$F$492,MATCH(350,'Output Utente'!$Q$2:$Q$492,0)),"")</f>
        <v>1</v>
      </c>
      <c r="J353" s="42">
        <f>IFERROR(INDEX('Output Utente'!$G$2:$G$492,MATCH(350,'Output Utente'!$Q$2:$Q$492,0)),"")</f>
        <v>1</v>
      </c>
      <c r="K353" s="42">
        <f>IFERROR(INDEX('Output Utente'!$H$2:$H$492,MATCH(350,'Output Utente'!$Q$2:$Q$492,0)),"")</f>
        <v>1</v>
      </c>
      <c r="L353" s="5" t="str">
        <f>IFERROR(INDEX('Output Utente'!$E$2:$E$492,MATCH(350,'Output Utente'!$Q$2:$Q$492,0)),"")</f>
        <v>NO</v>
      </c>
      <c r="M353" s="5" t="str">
        <f>IFERROR(INDEX('Output Utente'!$U$2:$U$492,MATCH(350,'Output Utente'!$Q$2:$Q$492,0)),"")</f>
        <v>OK</v>
      </c>
      <c r="N353" s="5" t="str">
        <f>IFERROR(INDEX('Output Utente'!$AE$2:$AE$492,MATCH(350,'Output Utente'!$Q$2:$Q$492,0)),"")</f>
        <v>🟢 Riserve abbondanti</v>
      </c>
    </row>
    <row r="354" spans="1:14" ht="15" customHeight="1" x14ac:dyDescent="0.25">
      <c r="A354" s="41">
        <v>351</v>
      </c>
      <c r="B354" s="5">
        <f>IFERROR(INDEX('Output Utente'!$A$2:$A$492,MATCH(351,'Output Utente'!$Q$2:$Q$492,0)),"")</f>
        <v>1871</v>
      </c>
      <c r="C354" s="5" t="str">
        <f>IFERROR(INDEX('Output Utente'!$B$2:$B$492,MATCH(351,'Output Utente'!$Q$2:$Q$492,0)),"")</f>
        <v>C</v>
      </c>
      <c r="D354" s="5" t="str">
        <f>IFERROR(INDEX('Output Utente'!$C$2:$C$492,MATCH(351,'Output Utente'!$Q$2:$Q$492,0)),"")</f>
        <v>Deiola</v>
      </c>
      <c r="E354" s="5" t="str">
        <f>IFERROR(INDEX('Input Giocatori 2026_27'!$D$3:$D$493,MATCH($B354,'Input Giocatori 2026_27'!$A$3:$A$493,0)),"")</f>
        <v>Cagliari</v>
      </c>
      <c r="F354" s="42">
        <f>IFERROR(INDEX('Output Utente'!$N$2:$N$492,MATCH(351,'Output Utente'!$Q$2:$Q$492,0)),"")</f>
        <v>3</v>
      </c>
      <c r="G354" s="42">
        <f>IFERROR(INDEX('Output Utente'!$O$2:$O$492,MATCH(351,'Output Utente'!$Q$2:$Q$492,0)),"")</f>
        <v>8</v>
      </c>
      <c r="H354" s="5" t="str">
        <f>IFERROR(INDEX('Output Utente'!$P$2:$P$492,MATCH(351,'Output Utente'!$Q$2:$Q$492,0)),"")</f>
        <v>Scommessa/Riserva</v>
      </c>
      <c r="I354" s="42">
        <f>IFERROR(INDEX('Output Utente'!$F$2:$F$492,MATCH(351,'Output Utente'!$Q$2:$Q$492,0)),"")</f>
        <v>1</v>
      </c>
      <c r="J354" s="42">
        <f>IFERROR(INDEX('Output Utente'!$G$2:$G$492,MATCH(351,'Output Utente'!$Q$2:$Q$492,0)),"")</f>
        <v>1</v>
      </c>
      <c r="K354" s="42">
        <f>IFERROR(INDEX('Output Utente'!$H$2:$H$492,MATCH(351,'Output Utente'!$Q$2:$Q$492,0)),"")</f>
        <v>1</v>
      </c>
      <c r="L354" s="5" t="str">
        <f>IFERROR(INDEX('Output Utente'!$E$2:$E$492,MATCH(351,'Output Utente'!$Q$2:$Q$492,0)),"")</f>
        <v>NO</v>
      </c>
      <c r="M354" s="5" t="str">
        <f>IFERROR(INDEX('Output Utente'!$U$2:$U$492,MATCH(351,'Output Utente'!$Q$2:$Q$492,0)),"")</f>
        <v>OK</v>
      </c>
      <c r="N354" s="5" t="str">
        <f>IFERROR(INDEX('Output Utente'!$AE$2:$AE$492,MATCH(351,'Output Utente'!$Q$2:$Q$492,0)),"")</f>
        <v>🟢 Riserve abbondanti</v>
      </c>
    </row>
    <row r="355" spans="1:14" ht="15" customHeight="1" x14ac:dyDescent="0.25">
      <c r="A355" s="41">
        <v>352</v>
      </c>
      <c r="B355" s="5">
        <f>IFERROR(INDEX('Output Utente'!$A$2:$A$492,MATCH(352,'Output Utente'!$Q$2:$Q$492,0)),"")</f>
        <v>6241</v>
      </c>
      <c r="C355" s="5" t="str">
        <f>IFERROR(INDEX('Output Utente'!$B$2:$B$492,MATCH(352,'Output Utente'!$Q$2:$Q$492,0)),"")</f>
        <v>C</v>
      </c>
      <c r="D355" s="5" t="str">
        <f>IFERROR(INDEX('Output Utente'!$C$2:$C$492,MATCH(352,'Output Utente'!$Q$2:$Q$492,0)),"")</f>
        <v>Gelli F.</v>
      </c>
      <c r="E355" s="5" t="str">
        <f>IFERROR(INDEX('Input Giocatori 2026_27'!$D$3:$D$493,MATCH($B355,'Input Giocatori 2026_27'!$A$3:$A$493,0)),"")</f>
        <v>Frosinone</v>
      </c>
      <c r="F355" s="42">
        <f>IFERROR(INDEX('Output Utente'!$N$2:$N$492,MATCH(352,'Output Utente'!$Q$2:$Q$492,0)),"")</f>
        <v>3</v>
      </c>
      <c r="G355" s="42">
        <f>IFERROR(INDEX('Output Utente'!$O$2:$O$492,MATCH(352,'Output Utente'!$Q$2:$Q$492,0)),"")</f>
        <v>8</v>
      </c>
      <c r="H355" s="5" t="str">
        <f>IFERROR(INDEX('Output Utente'!$P$2:$P$492,MATCH(352,'Output Utente'!$Q$2:$Q$492,0)),"")</f>
        <v>Scommessa/Riserva</v>
      </c>
      <c r="I355" s="42">
        <f>IFERROR(INDEX('Output Utente'!$F$2:$F$492,MATCH(352,'Output Utente'!$Q$2:$Q$492,0)),"")</f>
        <v>1</v>
      </c>
      <c r="J355" s="42">
        <f>IFERROR(INDEX('Output Utente'!$G$2:$G$492,MATCH(352,'Output Utente'!$Q$2:$Q$492,0)),"")</f>
        <v>1</v>
      </c>
      <c r="K355" s="42">
        <f>IFERROR(INDEX('Output Utente'!$H$2:$H$492,MATCH(352,'Output Utente'!$Q$2:$Q$492,0)),"")</f>
        <v>1</v>
      </c>
      <c r="L355" s="5" t="str">
        <f>IFERROR(INDEX('Output Utente'!$E$2:$E$492,MATCH(352,'Output Utente'!$Q$2:$Q$492,0)),"")</f>
        <v>NO</v>
      </c>
      <c r="M355" s="5" t="str">
        <f>IFERROR(INDEX('Output Utente'!$U$2:$U$492,MATCH(352,'Output Utente'!$Q$2:$Q$492,0)),"")</f>
        <v>OK</v>
      </c>
      <c r="N355" s="5" t="str">
        <f>IFERROR(INDEX('Output Utente'!$AE$2:$AE$492,MATCH(352,'Output Utente'!$Q$2:$Q$492,0)),"")</f>
        <v>🟢 Riserve abbondanti</v>
      </c>
    </row>
    <row r="356" spans="1:14" ht="15" customHeight="1" x14ac:dyDescent="0.25">
      <c r="A356" s="41">
        <v>353</v>
      </c>
      <c r="B356" s="5">
        <f>IFERROR(INDEX('Output Utente'!$A$2:$A$492,MATCH(353,'Output Utente'!$Q$2:$Q$492,0)),"")</f>
        <v>4970</v>
      </c>
      <c r="C356" s="5" t="str">
        <f>IFERROR(INDEX('Output Utente'!$B$2:$B$492,MATCH(353,'Output Utente'!$Q$2:$Q$492,0)),"")</f>
        <v>C</v>
      </c>
      <c r="D356" s="5" t="str">
        <f>IFERROR(INDEX('Output Utente'!$C$2:$C$492,MATCH(353,'Output Utente'!$Q$2:$Q$492,0)),"")</f>
        <v>Messias</v>
      </c>
      <c r="E356" s="5" t="str">
        <f>IFERROR(INDEX('Input Giocatori 2026_27'!$D$3:$D$493,MATCH($B356,'Input Giocatori 2026_27'!$A$3:$A$493,0)),"")</f>
        <v>Genoa</v>
      </c>
      <c r="F356" s="42">
        <f>IFERROR(INDEX('Output Utente'!$N$2:$N$492,MATCH(353,'Output Utente'!$Q$2:$Q$492,0)),"")</f>
        <v>3</v>
      </c>
      <c r="G356" s="42">
        <f>IFERROR(INDEX('Output Utente'!$O$2:$O$492,MATCH(353,'Output Utente'!$Q$2:$Q$492,0)),"")</f>
        <v>8</v>
      </c>
      <c r="H356" s="5" t="str">
        <f>IFERROR(INDEX('Output Utente'!$P$2:$P$492,MATCH(353,'Output Utente'!$Q$2:$Q$492,0)),"")</f>
        <v>Scommessa/Riserva</v>
      </c>
      <c r="I356" s="42">
        <f>IFERROR(INDEX('Output Utente'!$F$2:$F$492,MATCH(353,'Output Utente'!$Q$2:$Q$492,0)),"")</f>
        <v>1</v>
      </c>
      <c r="J356" s="42">
        <f>IFERROR(INDEX('Output Utente'!$G$2:$G$492,MATCH(353,'Output Utente'!$Q$2:$Q$492,0)),"")</f>
        <v>1</v>
      </c>
      <c r="K356" s="42">
        <f>IFERROR(INDEX('Output Utente'!$H$2:$H$492,MATCH(353,'Output Utente'!$Q$2:$Q$492,0)),"")</f>
        <v>1</v>
      </c>
      <c r="L356" s="5" t="str">
        <f>IFERROR(INDEX('Output Utente'!$E$2:$E$492,MATCH(353,'Output Utente'!$Q$2:$Q$492,0)),"")</f>
        <v>NO</v>
      </c>
      <c r="M356" s="5" t="str">
        <f>IFERROR(INDEX('Output Utente'!$U$2:$U$492,MATCH(353,'Output Utente'!$Q$2:$Q$492,0)),"")</f>
        <v>OK</v>
      </c>
      <c r="N356" s="5" t="str">
        <f>IFERROR(INDEX('Output Utente'!$AE$2:$AE$492,MATCH(353,'Output Utente'!$Q$2:$Q$492,0)),"")</f>
        <v>🟢 Riserve abbondanti</v>
      </c>
    </row>
    <row r="357" spans="1:14" ht="15" customHeight="1" x14ac:dyDescent="0.25">
      <c r="A357" s="41">
        <v>354</v>
      </c>
      <c r="B357" s="5">
        <f>IFERROR(INDEX('Output Utente'!$A$2:$A$492,MATCH(354,'Output Utente'!$Q$2:$Q$492,0)),"")</f>
        <v>5578</v>
      </c>
      <c r="C357" s="5" t="str">
        <f>IFERROR(INDEX('Output Utente'!$B$2:$B$492,MATCH(354,'Output Utente'!$Q$2:$Q$492,0)),"")</f>
        <v>D</v>
      </c>
      <c r="D357" s="5" t="str">
        <f>IFERROR(INDEX('Output Utente'!$C$2:$C$492,MATCH(354,'Output Utente'!$Q$2:$Q$492,0)),"")</f>
        <v>Kossounou</v>
      </c>
      <c r="E357" s="5" t="str">
        <f>IFERROR(INDEX('Input Giocatori 2026_27'!$D$3:$D$493,MATCH($B357,'Input Giocatori 2026_27'!$A$3:$A$493,0)),"")</f>
        <v>Atalanta</v>
      </c>
      <c r="F357" s="42">
        <f>IFERROR(INDEX('Output Utente'!$N$2:$N$492,MATCH(354,'Output Utente'!$Q$2:$Q$492,0)),"")</f>
        <v>3</v>
      </c>
      <c r="G357" s="42">
        <f>IFERROR(INDEX('Output Utente'!$O$2:$O$492,MATCH(354,'Output Utente'!$Q$2:$Q$492,0)),"")</f>
        <v>7</v>
      </c>
      <c r="H357" s="5" t="str">
        <f>IFERROR(INDEX('Output Utente'!$P$2:$P$492,MATCH(354,'Output Utente'!$Q$2:$Q$492,0)),"")</f>
        <v>Scommessa/Riserva</v>
      </c>
      <c r="I357" s="42">
        <f>IFERROR(INDEX('Output Utente'!$F$2:$F$492,MATCH(354,'Output Utente'!$Q$2:$Q$492,0)),"")</f>
        <v>1</v>
      </c>
      <c r="J357" s="42">
        <f>IFERROR(INDEX('Output Utente'!$G$2:$G$492,MATCH(354,'Output Utente'!$Q$2:$Q$492,0)),"")</f>
        <v>1</v>
      </c>
      <c r="K357" s="42">
        <f>IFERROR(INDEX('Output Utente'!$H$2:$H$492,MATCH(354,'Output Utente'!$Q$2:$Q$492,0)),"")</f>
        <v>1</v>
      </c>
      <c r="L357" s="5" t="str">
        <f>IFERROR(INDEX('Output Utente'!$E$2:$E$492,MATCH(354,'Output Utente'!$Q$2:$Q$492,0)),"")</f>
        <v>NO</v>
      </c>
      <c r="M357" s="5" t="str">
        <f>IFERROR(INDEX('Output Utente'!$U$2:$U$492,MATCH(354,'Output Utente'!$Q$2:$Q$492,0)),"")</f>
        <v>OK</v>
      </c>
      <c r="N357" s="5" t="str">
        <f>IFERROR(INDEX('Output Utente'!$AE$2:$AE$492,MATCH(354,'Output Utente'!$Q$2:$Q$492,0)),"")</f>
        <v>🟢 Riserve abbondanti</v>
      </c>
    </row>
    <row r="358" spans="1:14" ht="15" customHeight="1" x14ac:dyDescent="0.25">
      <c r="A358" s="41">
        <v>355</v>
      </c>
      <c r="B358" s="5">
        <f>IFERROR(INDEX('Output Utente'!$A$2:$A$492,MATCH(355,'Output Utente'!$Q$2:$Q$492,0)),"")</f>
        <v>7125</v>
      </c>
      <c r="C358" s="5" t="str">
        <f>IFERROR(INDEX('Output Utente'!$B$2:$B$492,MATCH(355,'Output Utente'!$Q$2:$Q$492,0)),"")</f>
        <v>D</v>
      </c>
      <c r="D358" s="5" t="str">
        <f>IFERROR(INDEX('Output Utente'!$C$2:$C$492,MATCH(355,'Output Utente'!$Q$2:$Q$492,0)),"")</f>
        <v>Idrissi R.</v>
      </c>
      <c r="E358" s="5" t="str">
        <f>IFERROR(INDEX('Input Giocatori 2026_27'!$D$3:$D$493,MATCH($B358,'Input Giocatori 2026_27'!$A$3:$A$493,0)),"")</f>
        <v>Cagliari</v>
      </c>
      <c r="F358" s="42">
        <f>IFERROR(INDEX('Output Utente'!$N$2:$N$492,MATCH(355,'Output Utente'!$Q$2:$Q$492,0)),"")</f>
        <v>3</v>
      </c>
      <c r="G358" s="42">
        <f>IFERROR(INDEX('Output Utente'!$O$2:$O$492,MATCH(355,'Output Utente'!$Q$2:$Q$492,0)),"")</f>
        <v>7</v>
      </c>
      <c r="H358" s="5" t="str">
        <f>IFERROR(INDEX('Output Utente'!$P$2:$P$492,MATCH(355,'Output Utente'!$Q$2:$Q$492,0)),"")</f>
        <v>Scommessa/Riserva</v>
      </c>
      <c r="I358" s="42">
        <f>IFERROR(INDEX('Output Utente'!$F$2:$F$492,MATCH(355,'Output Utente'!$Q$2:$Q$492,0)),"")</f>
        <v>1</v>
      </c>
      <c r="J358" s="42">
        <f>IFERROR(INDEX('Output Utente'!$G$2:$G$492,MATCH(355,'Output Utente'!$Q$2:$Q$492,0)),"")</f>
        <v>1</v>
      </c>
      <c r="K358" s="42">
        <f>IFERROR(INDEX('Output Utente'!$H$2:$H$492,MATCH(355,'Output Utente'!$Q$2:$Q$492,0)),"")</f>
        <v>1</v>
      </c>
      <c r="L358" s="5" t="str">
        <f>IFERROR(INDEX('Output Utente'!$E$2:$E$492,MATCH(355,'Output Utente'!$Q$2:$Q$492,0)),"")</f>
        <v>NO</v>
      </c>
      <c r="M358" s="5" t="str">
        <f>IFERROR(INDEX('Output Utente'!$U$2:$U$492,MATCH(355,'Output Utente'!$Q$2:$Q$492,0)),"")</f>
        <v>OK</v>
      </c>
      <c r="N358" s="5" t="str">
        <f>IFERROR(INDEX('Output Utente'!$AE$2:$AE$492,MATCH(355,'Output Utente'!$Q$2:$Q$492,0)),"")</f>
        <v>🟢 Riserve abbondanti</v>
      </c>
    </row>
    <row r="359" spans="1:14" ht="15" customHeight="1" x14ac:dyDescent="0.25">
      <c r="A359" s="41">
        <v>356</v>
      </c>
      <c r="B359" s="5">
        <f>IFERROR(INDEX('Output Utente'!$A$2:$A$492,MATCH(356,'Output Utente'!$Q$2:$Q$492,0)),"")</f>
        <v>4378</v>
      </c>
      <c r="C359" s="5" t="str">
        <f>IFERROR(INDEX('Output Utente'!$B$2:$B$492,MATCH(356,'Output Utente'!$Q$2:$Q$492,0)),"")</f>
        <v>D</v>
      </c>
      <c r="D359" s="5" t="str">
        <f>IFERROR(INDEX('Output Utente'!$C$2:$C$492,MATCH(356,'Output Utente'!$Q$2:$Q$492,0)),"")</f>
        <v>Ranieri L.</v>
      </c>
      <c r="E359" s="5" t="str">
        <f>IFERROR(INDEX('Input Giocatori 2026_27'!$D$3:$D$493,MATCH($B359,'Input Giocatori 2026_27'!$A$3:$A$493,0)),"")</f>
        <v>Fiorentina</v>
      </c>
      <c r="F359" s="42">
        <f>IFERROR(INDEX('Output Utente'!$N$2:$N$492,MATCH(356,'Output Utente'!$Q$2:$Q$492,0)),"")</f>
        <v>3</v>
      </c>
      <c r="G359" s="42">
        <f>IFERROR(INDEX('Output Utente'!$O$2:$O$492,MATCH(356,'Output Utente'!$Q$2:$Q$492,0)),"")</f>
        <v>7</v>
      </c>
      <c r="H359" s="5" t="str">
        <f>IFERROR(INDEX('Output Utente'!$P$2:$P$492,MATCH(356,'Output Utente'!$Q$2:$Q$492,0)),"")</f>
        <v>Scommessa/Riserva</v>
      </c>
      <c r="I359" s="42">
        <f>IFERROR(INDEX('Output Utente'!$F$2:$F$492,MATCH(356,'Output Utente'!$Q$2:$Q$492,0)),"")</f>
        <v>1</v>
      </c>
      <c r="J359" s="42">
        <f>IFERROR(INDEX('Output Utente'!$G$2:$G$492,MATCH(356,'Output Utente'!$Q$2:$Q$492,0)),"")</f>
        <v>1</v>
      </c>
      <c r="K359" s="42">
        <f>IFERROR(INDEX('Output Utente'!$H$2:$H$492,MATCH(356,'Output Utente'!$Q$2:$Q$492,0)),"")</f>
        <v>1</v>
      </c>
      <c r="L359" s="5" t="str">
        <f>IFERROR(INDEX('Output Utente'!$E$2:$E$492,MATCH(356,'Output Utente'!$Q$2:$Q$492,0)),"")</f>
        <v>NO</v>
      </c>
      <c r="M359" s="5" t="str">
        <f>IFERROR(INDEX('Output Utente'!$U$2:$U$492,MATCH(356,'Output Utente'!$Q$2:$Q$492,0)),"")</f>
        <v>OK</v>
      </c>
      <c r="N359" s="5" t="str">
        <f>IFERROR(INDEX('Output Utente'!$AE$2:$AE$492,MATCH(356,'Output Utente'!$Q$2:$Q$492,0)),"")</f>
        <v>🟢 Riserve abbondanti</v>
      </c>
    </row>
    <row r="360" spans="1:14" ht="15" customHeight="1" x14ac:dyDescent="0.25">
      <c r="A360" s="41">
        <v>357</v>
      </c>
      <c r="B360" s="5">
        <f>IFERROR(INDEX('Output Utente'!$A$2:$A$492,MATCH(357,'Output Utente'!$Q$2:$Q$492,0)),"")</f>
        <v>7175</v>
      </c>
      <c r="C360" s="5" t="str">
        <f>IFERROR(INDEX('Output Utente'!$B$2:$B$492,MATCH(357,'Output Utente'!$Q$2:$Q$492,0)),"")</f>
        <v>D</v>
      </c>
      <c r="D360" s="5" t="str">
        <f>IFERROR(INDEX('Output Utente'!$C$2:$C$492,MATCH(357,'Output Utente'!$Q$2:$Q$492,0)),"")</f>
        <v>Joao Mario</v>
      </c>
      <c r="E360" s="5" t="str">
        <f>IFERROR(INDEX('Input Giocatori 2026_27'!$D$3:$D$493,MATCH($B360,'Input Giocatori 2026_27'!$A$3:$A$493,0)),"")</f>
        <v>Fiorentina</v>
      </c>
      <c r="F360" s="42">
        <f>IFERROR(INDEX('Output Utente'!$N$2:$N$492,MATCH(357,'Output Utente'!$Q$2:$Q$492,0)),"")</f>
        <v>3</v>
      </c>
      <c r="G360" s="42">
        <f>IFERROR(INDEX('Output Utente'!$O$2:$O$492,MATCH(357,'Output Utente'!$Q$2:$Q$492,0)),"")</f>
        <v>7</v>
      </c>
      <c r="H360" s="5" t="str">
        <f>IFERROR(INDEX('Output Utente'!$P$2:$P$492,MATCH(357,'Output Utente'!$Q$2:$Q$492,0)),"")</f>
        <v>Scommessa/Riserva</v>
      </c>
      <c r="I360" s="42">
        <f>IFERROR(INDEX('Output Utente'!$F$2:$F$492,MATCH(357,'Output Utente'!$Q$2:$Q$492,0)),"")</f>
        <v>1</v>
      </c>
      <c r="J360" s="42">
        <f>IFERROR(INDEX('Output Utente'!$G$2:$G$492,MATCH(357,'Output Utente'!$Q$2:$Q$492,0)),"")</f>
        <v>1</v>
      </c>
      <c r="K360" s="42">
        <f>IFERROR(INDEX('Output Utente'!$H$2:$H$492,MATCH(357,'Output Utente'!$Q$2:$Q$492,0)),"")</f>
        <v>1</v>
      </c>
      <c r="L360" s="5" t="str">
        <f>IFERROR(INDEX('Output Utente'!$E$2:$E$492,MATCH(357,'Output Utente'!$Q$2:$Q$492,0)),"")</f>
        <v>NO</v>
      </c>
      <c r="M360" s="5" t="str">
        <f>IFERROR(INDEX('Output Utente'!$U$2:$U$492,MATCH(357,'Output Utente'!$Q$2:$Q$492,0)),"")</f>
        <v>OK</v>
      </c>
      <c r="N360" s="5" t="str">
        <f>IFERROR(INDEX('Output Utente'!$AE$2:$AE$492,MATCH(357,'Output Utente'!$Q$2:$Q$492,0)),"")</f>
        <v>🟢 Riserve abbondanti</v>
      </c>
    </row>
    <row r="361" spans="1:14" ht="15" customHeight="1" x14ac:dyDescent="0.25">
      <c r="A361" s="41">
        <v>358</v>
      </c>
      <c r="B361" s="5">
        <f>IFERROR(INDEX('Output Utente'!$A$2:$A$492,MATCH(358,'Output Utente'!$Q$2:$Q$492,0)),"")</f>
        <v>7540</v>
      </c>
      <c r="C361" s="5" t="str">
        <f>IFERROR(INDEX('Output Utente'!$B$2:$B$492,MATCH(358,'Output Utente'!$Q$2:$Q$492,0)),"")</f>
        <v>D</v>
      </c>
      <c r="D361" s="5" t="str">
        <f>IFERROR(INDEX('Output Utente'!$C$2:$C$492,MATCH(358,'Output Utente'!$Q$2:$Q$492,0)),"")</f>
        <v>Akpoguma</v>
      </c>
      <c r="E361" s="5" t="str">
        <f>IFERROR(INDEX('Input Giocatori 2026_27'!$D$3:$D$493,MATCH($B361,'Input Giocatori 2026_27'!$A$3:$A$493,0)),"")</f>
        <v>Frosinone</v>
      </c>
      <c r="F361" s="42">
        <f>IFERROR(INDEX('Output Utente'!$N$2:$N$492,MATCH(358,'Output Utente'!$Q$2:$Q$492,0)),"")</f>
        <v>3</v>
      </c>
      <c r="G361" s="42">
        <f>IFERROR(INDEX('Output Utente'!$O$2:$O$492,MATCH(358,'Output Utente'!$Q$2:$Q$492,0)),"")</f>
        <v>7</v>
      </c>
      <c r="H361" s="5" t="str">
        <f>IFERROR(INDEX('Output Utente'!$P$2:$P$492,MATCH(358,'Output Utente'!$Q$2:$Q$492,0)),"")</f>
        <v>Scommessa/Riserva</v>
      </c>
      <c r="I361" s="42">
        <f>IFERROR(INDEX('Output Utente'!$F$2:$F$492,MATCH(358,'Output Utente'!$Q$2:$Q$492,0)),"")</f>
        <v>1</v>
      </c>
      <c r="J361" s="42">
        <f>IFERROR(INDEX('Output Utente'!$G$2:$G$492,MATCH(358,'Output Utente'!$Q$2:$Q$492,0)),"")</f>
        <v>1</v>
      </c>
      <c r="K361" s="42">
        <f>IFERROR(INDEX('Output Utente'!$H$2:$H$492,MATCH(358,'Output Utente'!$Q$2:$Q$492,0)),"")</f>
        <v>1</v>
      </c>
      <c r="L361" s="5" t="str">
        <f>IFERROR(INDEX('Output Utente'!$E$2:$E$492,MATCH(358,'Output Utente'!$Q$2:$Q$492,0)),"")</f>
        <v>NO</v>
      </c>
      <c r="M361" s="5" t="str">
        <f>IFERROR(INDEX('Output Utente'!$U$2:$U$492,MATCH(358,'Output Utente'!$Q$2:$Q$492,0)),"")</f>
        <v>OK</v>
      </c>
      <c r="N361" s="5" t="str">
        <f>IFERROR(INDEX('Output Utente'!$AE$2:$AE$492,MATCH(358,'Output Utente'!$Q$2:$Q$492,0)),"")</f>
        <v>🟢 Riserve abbondanti</v>
      </c>
    </row>
    <row r="362" spans="1:14" ht="15" customHeight="1" x14ac:dyDescent="0.25">
      <c r="A362" s="41">
        <v>359</v>
      </c>
      <c r="B362" s="5">
        <f>IFERROR(INDEX('Output Utente'!$A$2:$A$492,MATCH(359,'Output Utente'!$Q$2:$Q$492,0)),"")</f>
        <v>6892</v>
      </c>
      <c r="C362" s="5" t="str">
        <f>IFERROR(INDEX('Output Utente'!$B$2:$B$492,MATCH(359,'Output Utente'!$Q$2:$Q$492,0)),"")</f>
        <v>D</v>
      </c>
      <c r="D362" s="5" t="str">
        <f>IFERROR(INDEX('Output Utente'!$C$2:$C$492,MATCH(359,'Output Utente'!$Q$2:$Q$492,0)),"")</f>
        <v>Schingtienne</v>
      </c>
      <c r="E362" s="5" t="str">
        <f>IFERROR(INDEX('Input Giocatori 2026_27'!$D$3:$D$493,MATCH($B362,'Input Giocatori 2026_27'!$A$3:$A$493,0)),"")</f>
        <v>Venezia</v>
      </c>
      <c r="F362" s="42">
        <f>IFERROR(INDEX('Output Utente'!$N$2:$N$492,MATCH(359,'Output Utente'!$Q$2:$Q$492,0)),"")</f>
        <v>3</v>
      </c>
      <c r="G362" s="42">
        <f>IFERROR(INDEX('Output Utente'!$O$2:$O$492,MATCH(359,'Output Utente'!$Q$2:$Q$492,0)),"")</f>
        <v>7</v>
      </c>
      <c r="H362" s="5" t="str">
        <f>IFERROR(INDEX('Output Utente'!$P$2:$P$492,MATCH(359,'Output Utente'!$Q$2:$Q$492,0)),"")</f>
        <v>Scommessa/Riserva</v>
      </c>
      <c r="I362" s="42">
        <f>IFERROR(INDEX('Output Utente'!$F$2:$F$492,MATCH(359,'Output Utente'!$Q$2:$Q$492,0)),"")</f>
        <v>1</v>
      </c>
      <c r="J362" s="42">
        <f>IFERROR(INDEX('Output Utente'!$G$2:$G$492,MATCH(359,'Output Utente'!$Q$2:$Q$492,0)),"")</f>
        <v>1</v>
      </c>
      <c r="K362" s="42">
        <f>IFERROR(INDEX('Output Utente'!$H$2:$H$492,MATCH(359,'Output Utente'!$Q$2:$Q$492,0)),"")</f>
        <v>1</v>
      </c>
      <c r="L362" s="5" t="str">
        <f>IFERROR(INDEX('Output Utente'!$E$2:$E$492,MATCH(359,'Output Utente'!$Q$2:$Q$492,0)),"")</f>
        <v>NO</v>
      </c>
      <c r="M362" s="5" t="str">
        <f>IFERROR(INDEX('Output Utente'!$U$2:$U$492,MATCH(359,'Output Utente'!$Q$2:$Q$492,0)),"")</f>
        <v>OK</v>
      </c>
      <c r="N362" s="5" t="str">
        <f>IFERROR(INDEX('Output Utente'!$AE$2:$AE$492,MATCH(359,'Output Utente'!$Q$2:$Q$492,0)),"")</f>
        <v>🟢 Riserve abbondanti</v>
      </c>
    </row>
    <row r="363" spans="1:14" ht="15" customHeight="1" x14ac:dyDescent="0.25">
      <c r="A363" s="41">
        <v>360</v>
      </c>
      <c r="B363" s="5">
        <f>IFERROR(INDEX('Output Utente'!$A$2:$A$492,MATCH(360,'Output Utente'!$Q$2:$Q$492,0)),"")</f>
        <v>6673</v>
      </c>
      <c r="C363" s="5" t="str">
        <f>IFERROR(INDEX('Output Utente'!$B$2:$B$492,MATCH(360,'Output Utente'!$Q$2:$Q$492,0)),"")</f>
        <v>D</v>
      </c>
      <c r="D363" s="5" t="str">
        <f>IFERROR(INDEX('Output Utente'!$C$2:$C$492,MATCH(360,'Output Utente'!$Q$2:$Q$492,0)),"")</f>
        <v>Sverko</v>
      </c>
      <c r="E363" s="5" t="str">
        <f>IFERROR(INDEX('Input Giocatori 2026_27'!$D$3:$D$493,MATCH($B363,'Input Giocatori 2026_27'!$A$3:$A$493,0)),"")</f>
        <v>Venezia</v>
      </c>
      <c r="F363" s="42">
        <f>IFERROR(INDEX('Output Utente'!$N$2:$N$492,MATCH(360,'Output Utente'!$Q$2:$Q$492,0)),"")</f>
        <v>3</v>
      </c>
      <c r="G363" s="42">
        <f>IFERROR(INDEX('Output Utente'!$O$2:$O$492,MATCH(360,'Output Utente'!$Q$2:$Q$492,0)),"")</f>
        <v>7</v>
      </c>
      <c r="H363" s="5" t="str">
        <f>IFERROR(INDEX('Output Utente'!$P$2:$P$492,MATCH(360,'Output Utente'!$Q$2:$Q$492,0)),"")</f>
        <v>Scommessa/Riserva</v>
      </c>
      <c r="I363" s="42">
        <f>IFERROR(INDEX('Output Utente'!$F$2:$F$492,MATCH(360,'Output Utente'!$Q$2:$Q$492,0)),"")</f>
        <v>1</v>
      </c>
      <c r="J363" s="42">
        <f>IFERROR(INDEX('Output Utente'!$G$2:$G$492,MATCH(360,'Output Utente'!$Q$2:$Q$492,0)),"")</f>
        <v>1</v>
      </c>
      <c r="K363" s="42">
        <f>IFERROR(INDEX('Output Utente'!$H$2:$H$492,MATCH(360,'Output Utente'!$Q$2:$Q$492,0)),"")</f>
        <v>1</v>
      </c>
      <c r="L363" s="5" t="str">
        <f>IFERROR(INDEX('Output Utente'!$E$2:$E$492,MATCH(360,'Output Utente'!$Q$2:$Q$492,0)),"")</f>
        <v>NO</v>
      </c>
      <c r="M363" s="5" t="str">
        <f>IFERROR(INDEX('Output Utente'!$U$2:$U$492,MATCH(360,'Output Utente'!$Q$2:$Q$492,0)),"")</f>
        <v>OK</v>
      </c>
      <c r="N363" s="5" t="str">
        <f>IFERROR(INDEX('Output Utente'!$AE$2:$AE$492,MATCH(360,'Output Utente'!$Q$2:$Q$492,0)),"")</f>
        <v>🟢 Riserve abbondanti</v>
      </c>
    </row>
    <row r="364" spans="1:14" ht="15" customHeight="1" x14ac:dyDescent="0.25">
      <c r="A364" s="41">
        <v>361</v>
      </c>
      <c r="B364" s="5">
        <f>IFERROR(INDEX('Output Utente'!$A$2:$A$492,MATCH(361,'Output Utente'!$Q$2:$Q$492,0)),"")</f>
        <v>6821</v>
      </c>
      <c r="C364" s="5" t="str">
        <f>IFERROR(INDEX('Output Utente'!$B$2:$B$492,MATCH(361,'Output Utente'!$Q$2:$Q$492,0)),"")</f>
        <v>D</v>
      </c>
      <c r="D364" s="5" t="str">
        <f>IFERROR(INDEX('Output Utente'!$C$2:$C$492,MATCH(361,'Output Utente'!$Q$2:$Q$492,0)),"")</f>
        <v>Hainaut</v>
      </c>
      <c r="E364" s="5" t="str">
        <f>IFERROR(INDEX('Input Giocatori 2026_27'!$D$3:$D$493,MATCH($B364,'Input Giocatori 2026_27'!$A$3:$A$493,0)),"")</f>
        <v>Venezia</v>
      </c>
      <c r="F364" s="42">
        <f>IFERROR(INDEX('Output Utente'!$N$2:$N$492,MATCH(361,'Output Utente'!$Q$2:$Q$492,0)),"")</f>
        <v>3</v>
      </c>
      <c r="G364" s="42">
        <f>IFERROR(INDEX('Output Utente'!$O$2:$O$492,MATCH(361,'Output Utente'!$Q$2:$Q$492,0)),"")</f>
        <v>7</v>
      </c>
      <c r="H364" s="5" t="str">
        <f>IFERROR(INDEX('Output Utente'!$P$2:$P$492,MATCH(361,'Output Utente'!$Q$2:$Q$492,0)),"")</f>
        <v>Scommessa/Riserva</v>
      </c>
      <c r="I364" s="42">
        <f>IFERROR(INDEX('Output Utente'!$F$2:$F$492,MATCH(361,'Output Utente'!$Q$2:$Q$492,0)),"")</f>
        <v>1</v>
      </c>
      <c r="J364" s="42">
        <f>IFERROR(INDEX('Output Utente'!$G$2:$G$492,MATCH(361,'Output Utente'!$Q$2:$Q$492,0)),"")</f>
        <v>1</v>
      </c>
      <c r="K364" s="42">
        <f>IFERROR(INDEX('Output Utente'!$H$2:$H$492,MATCH(361,'Output Utente'!$Q$2:$Q$492,0)),"")</f>
        <v>1</v>
      </c>
      <c r="L364" s="5" t="str">
        <f>IFERROR(INDEX('Output Utente'!$E$2:$E$492,MATCH(361,'Output Utente'!$Q$2:$Q$492,0)),"")</f>
        <v>NO</v>
      </c>
      <c r="M364" s="5" t="str">
        <f>IFERROR(INDEX('Output Utente'!$U$2:$U$492,MATCH(361,'Output Utente'!$Q$2:$Q$492,0)),"")</f>
        <v>OK</v>
      </c>
      <c r="N364" s="5" t="str">
        <f>IFERROR(INDEX('Output Utente'!$AE$2:$AE$492,MATCH(361,'Output Utente'!$Q$2:$Q$492,0)),"")</f>
        <v>🟢 Riserve abbondanti</v>
      </c>
    </row>
    <row r="365" spans="1:14" ht="15" customHeight="1" x14ac:dyDescent="0.25">
      <c r="A365" s="41">
        <v>362</v>
      </c>
      <c r="B365" s="5">
        <f>IFERROR(INDEX('Output Utente'!$A$2:$A$492,MATCH(362,'Output Utente'!$Q$2:$Q$492,0)),"")</f>
        <v>7413</v>
      </c>
      <c r="C365" s="5" t="str">
        <f>IFERROR(INDEX('Output Utente'!$B$2:$B$492,MATCH(362,'Output Utente'!$Q$2:$Q$492,0)),"")</f>
        <v>D</v>
      </c>
      <c r="D365" s="5" t="str">
        <f>IFERROR(INDEX('Output Utente'!$C$2:$C$492,MATCH(362,'Output Utente'!$Q$2:$Q$492,0)),"")</f>
        <v>Puczka</v>
      </c>
      <c r="E365" s="5" t="str">
        <f>IFERROR(INDEX('Input Giocatori 2026_27'!$D$3:$D$493,MATCH($B365,'Input Giocatori 2026_27'!$A$3:$A$493,0)),"")</f>
        <v>Genoa</v>
      </c>
      <c r="F365" s="42">
        <f>IFERROR(INDEX('Output Utente'!$N$2:$N$492,MATCH(362,'Output Utente'!$Q$2:$Q$492,0)),"")</f>
        <v>2</v>
      </c>
      <c r="G365" s="42">
        <f>IFERROR(INDEX('Output Utente'!$O$2:$O$492,MATCH(362,'Output Utente'!$Q$2:$Q$492,0)),"")</f>
        <v>7</v>
      </c>
      <c r="H365" s="5" t="str">
        <f>IFERROR(INDEX('Output Utente'!$P$2:$P$492,MATCH(362,'Output Utente'!$Q$2:$Q$492,0)),"")</f>
        <v>Scommessa/Riserva</v>
      </c>
      <c r="I365" s="42">
        <f>IFERROR(INDEX('Output Utente'!$F$2:$F$492,MATCH(362,'Output Utente'!$Q$2:$Q$492,0)),"")</f>
        <v>1</v>
      </c>
      <c r="J365" s="42">
        <f>IFERROR(INDEX('Output Utente'!$G$2:$G$492,MATCH(362,'Output Utente'!$Q$2:$Q$492,0)),"")</f>
        <v>1</v>
      </c>
      <c r="K365" s="42">
        <f>IFERROR(INDEX('Output Utente'!$H$2:$H$492,MATCH(362,'Output Utente'!$Q$2:$Q$492,0)),"")</f>
        <v>1</v>
      </c>
      <c r="L365" s="5" t="str">
        <f>IFERROR(INDEX('Output Utente'!$E$2:$E$492,MATCH(362,'Output Utente'!$Q$2:$Q$492,0)),"")</f>
        <v>NO</v>
      </c>
      <c r="M365" s="5" t="str">
        <f>IFERROR(INDEX('Output Utente'!$U$2:$U$492,MATCH(362,'Output Utente'!$Q$2:$Q$492,0)),"")</f>
        <v>OK</v>
      </c>
      <c r="N365" s="5" t="str">
        <f>IFERROR(INDEX('Output Utente'!$AE$2:$AE$492,MATCH(362,'Output Utente'!$Q$2:$Q$492,0)),"")</f>
        <v>🟢 Riserve abbondanti</v>
      </c>
    </row>
    <row r="366" spans="1:14" ht="15" customHeight="1" x14ac:dyDescent="0.25">
      <c r="A366" s="41">
        <v>363</v>
      </c>
      <c r="B366" s="5">
        <f>IFERROR(INDEX('Output Utente'!$A$2:$A$492,MATCH(363,'Output Utente'!$Q$2:$Q$492,0)),"")</f>
        <v>6424</v>
      </c>
      <c r="C366" s="5" t="str">
        <f>IFERROR(INDEX('Output Utente'!$B$2:$B$492,MATCH(363,'Output Utente'!$Q$2:$Q$492,0)),"")</f>
        <v>C</v>
      </c>
      <c r="D366" s="5" t="str">
        <f>IFERROR(INDEX('Output Utente'!$C$2:$C$492,MATCH(363,'Output Utente'!$Q$2:$Q$492,0)),"")</f>
        <v>Prati</v>
      </c>
      <c r="E366" s="5" t="str">
        <f>IFERROR(INDEX('Input Giocatori 2026_27'!$D$3:$D$493,MATCH($B366,'Input Giocatori 2026_27'!$A$3:$A$493,0)),"")</f>
        <v>Cagliari</v>
      </c>
      <c r="F366" s="42">
        <f>IFERROR(INDEX('Output Utente'!$N$2:$N$492,MATCH(363,'Output Utente'!$Q$2:$Q$492,0)),"")</f>
        <v>4</v>
      </c>
      <c r="G366" s="42">
        <f>IFERROR(INDEX('Output Utente'!$O$2:$O$492,MATCH(363,'Output Utente'!$Q$2:$Q$492,0)),"")</f>
        <v>7</v>
      </c>
      <c r="H366" s="5" t="str">
        <f>IFERROR(INDEX('Output Utente'!$P$2:$P$492,MATCH(363,'Output Utente'!$Q$2:$Q$492,0)),"")</f>
        <v>Scommessa/Riserva</v>
      </c>
      <c r="I366" s="42">
        <f>IFERROR(INDEX('Output Utente'!$F$2:$F$492,MATCH(363,'Output Utente'!$Q$2:$Q$492,0)),"")</f>
        <v>1</v>
      </c>
      <c r="J366" s="42">
        <f>IFERROR(INDEX('Output Utente'!$G$2:$G$492,MATCH(363,'Output Utente'!$Q$2:$Q$492,0)),"")</f>
        <v>1</v>
      </c>
      <c r="K366" s="42">
        <f>IFERROR(INDEX('Output Utente'!$H$2:$H$492,MATCH(363,'Output Utente'!$Q$2:$Q$492,0)),"")</f>
        <v>1</v>
      </c>
      <c r="L366" s="5" t="str">
        <f>IFERROR(INDEX('Output Utente'!$E$2:$E$492,MATCH(363,'Output Utente'!$Q$2:$Q$492,0)),"")</f>
        <v>NO</v>
      </c>
      <c r="M366" s="5" t="str">
        <f>IFERROR(INDEX('Output Utente'!$U$2:$U$492,MATCH(363,'Output Utente'!$Q$2:$Q$492,0)),"")</f>
        <v>OK</v>
      </c>
      <c r="N366" s="5" t="str">
        <f>IFERROR(INDEX('Output Utente'!$AE$2:$AE$492,MATCH(363,'Output Utente'!$Q$2:$Q$492,0)),"")</f>
        <v>🟢 Riserve abbondanti</v>
      </c>
    </row>
    <row r="367" spans="1:14" ht="15" customHeight="1" x14ac:dyDescent="0.25">
      <c r="A367" s="41">
        <v>364</v>
      </c>
      <c r="B367" s="5">
        <f>IFERROR(INDEX('Output Utente'!$A$2:$A$492,MATCH(364,'Output Utente'!$Q$2:$Q$492,0)),"")</f>
        <v>6024</v>
      </c>
      <c r="C367" s="5" t="str">
        <f>IFERROR(INDEX('Output Utente'!$B$2:$B$492,MATCH(364,'Output Utente'!$Q$2:$Q$492,0)),"")</f>
        <v>C</v>
      </c>
      <c r="D367" s="5" t="str">
        <f>IFERROR(INDEX('Output Utente'!$C$2:$C$492,MATCH(364,'Output Utente'!$Q$2:$Q$492,0)),"")</f>
        <v>Sulemana I.</v>
      </c>
      <c r="E367" s="5" t="str">
        <f>IFERROR(INDEX('Input Giocatori 2026_27'!$D$3:$D$493,MATCH($B367,'Input Giocatori 2026_27'!$A$3:$A$493,0)),"")</f>
        <v>Atalanta</v>
      </c>
      <c r="F367" s="42">
        <f>IFERROR(INDEX('Output Utente'!$N$2:$N$492,MATCH(364,'Output Utente'!$Q$2:$Q$492,0)),"")</f>
        <v>3</v>
      </c>
      <c r="G367" s="42">
        <f>IFERROR(INDEX('Output Utente'!$O$2:$O$492,MATCH(364,'Output Utente'!$Q$2:$Q$492,0)),"")</f>
        <v>7</v>
      </c>
      <c r="H367" s="5" t="str">
        <f>IFERROR(INDEX('Output Utente'!$P$2:$P$492,MATCH(364,'Output Utente'!$Q$2:$Q$492,0)),"")</f>
        <v>Scommessa/Riserva</v>
      </c>
      <c r="I367" s="42">
        <f>IFERROR(INDEX('Output Utente'!$F$2:$F$492,MATCH(364,'Output Utente'!$Q$2:$Q$492,0)),"")</f>
        <v>1</v>
      </c>
      <c r="J367" s="42">
        <f>IFERROR(INDEX('Output Utente'!$G$2:$G$492,MATCH(364,'Output Utente'!$Q$2:$Q$492,0)),"")</f>
        <v>1</v>
      </c>
      <c r="K367" s="42">
        <f>IFERROR(INDEX('Output Utente'!$H$2:$H$492,MATCH(364,'Output Utente'!$Q$2:$Q$492,0)),"")</f>
        <v>1</v>
      </c>
      <c r="L367" s="5" t="str">
        <f>IFERROR(INDEX('Output Utente'!$E$2:$E$492,MATCH(364,'Output Utente'!$Q$2:$Q$492,0)),"")</f>
        <v>NO</v>
      </c>
      <c r="M367" s="5" t="str">
        <f>IFERROR(INDEX('Output Utente'!$U$2:$U$492,MATCH(364,'Output Utente'!$Q$2:$Q$492,0)),"")</f>
        <v>OK</v>
      </c>
      <c r="N367" s="5" t="str">
        <f>IFERROR(INDEX('Output Utente'!$AE$2:$AE$492,MATCH(364,'Output Utente'!$Q$2:$Q$492,0)),"")</f>
        <v>🟢 Riserve abbondanti</v>
      </c>
    </row>
    <row r="368" spans="1:14" ht="15" customHeight="1" x14ac:dyDescent="0.25">
      <c r="A368" s="41">
        <v>365</v>
      </c>
      <c r="B368" s="5">
        <f>IFERROR(INDEX('Output Utente'!$A$2:$A$492,MATCH(365,'Output Utente'!$Q$2:$Q$492,0)),"")</f>
        <v>4947</v>
      </c>
      <c r="C368" s="5" t="str">
        <f>IFERROR(INDEX('Output Utente'!$B$2:$B$492,MATCH(365,'Output Utente'!$Q$2:$Q$492,0)),"")</f>
        <v>C</v>
      </c>
      <c r="D368" s="5" t="str">
        <f>IFERROR(INDEX('Output Utente'!$C$2:$C$492,MATCH(365,'Output Utente'!$Q$2:$Q$492,0)),"")</f>
        <v>Brescianini</v>
      </c>
      <c r="E368" s="5" t="str">
        <f>IFERROR(INDEX('Input Giocatori 2026_27'!$D$3:$D$493,MATCH($B368,'Input Giocatori 2026_27'!$A$3:$A$493,0)),"")</f>
        <v>Fiorentina</v>
      </c>
      <c r="F368" s="42">
        <f>IFERROR(INDEX('Output Utente'!$N$2:$N$492,MATCH(365,'Output Utente'!$Q$2:$Q$492,0)),"")</f>
        <v>3</v>
      </c>
      <c r="G368" s="42">
        <f>IFERROR(INDEX('Output Utente'!$O$2:$O$492,MATCH(365,'Output Utente'!$Q$2:$Q$492,0)),"")</f>
        <v>7</v>
      </c>
      <c r="H368" s="5" t="str">
        <f>IFERROR(INDEX('Output Utente'!$P$2:$P$492,MATCH(365,'Output Utente'!$Q$2:$Q$492,0)),"")</f>
        <v>Scommessa/Riserva</v>
      </c>
      <c r="I368" s="42">
        <f>IFERROR(INDEX('Output Utente'!$F$2:$F$492,MATCH(365,'Output Utente'!$Q$2:$Q$492,0)),"")</f>
        <v>1</v>
      </c>
      <c r="J368" s="42">
        <f>IFERROR(INDEX('Output Utente'!$G$2:$G$492,MATCH(365,'Output Utente'!$Q$2:$Q$492,0)),"")</f>
        <v>1</v>
      </c>
      <c r="K368" s="42">
        <f>IFERROR(INDEX('Output Utente'!$H$2:$H$492,MATCH(365,'Output Utente'!$Q$2:$Q$492,0)),"")</f>
        <v>1</v>
      </c>
      <c r="L368" s="5" t="str">
        <f>IFERROR(INDEX('Output Utente'!$E$2:$E$492,MATCH(365,'Output Utente'!$Q$2:$Q$492,0)),"")</f>
        <v>NO</v>
      </c>
      <c r="M368" s="5" t="str">
        <f>IFERROR(INDEX('Output Utente'!$U$2:$U$492,MATCH(365,'Output Utente'!$Q$2:$Q$492,0)),"")</f>
        <v>OK</v>
      </c>
      <c r="N368" s="5" t="str">
        <f>IFERROR(INDEX('Output Utente'!$AE$2:$AE$492,MATCH(365,'Output Utente'!$Q$2:$Q$492,0)),"")</f>
        <v>🟢 Riserve abbondanti</v>
      </c>
    </row>
    <row r="369" spans="1:14" ht="15" customHeight="1" x14ac:dyDescent="0.25">
      <c r="A369" s="41">
        <v>366</v>
      </c>
      <c r="B369" s="5">
        <f>IFERROR(INDEX('Output Utente'!$A$2:$A$492,MATCH(366,'Output Utente'!$Q$2:$Q$492,0)),"")</f>
        <v>7477</v>
      </c>
      <c r="C369" s="5" t="str">
        <f>IFERROR(INDEX('Output Utente'!$B$2:$B$492,MATCH(366,'Output Utente'!$Q$2:$Q$492,0)),"")</f>
        <v>C</v>
      </c>
      <c r="D369" s="5" t="str">
        <f>IFERROR(INDEX('Output Utente'!$C$2:$C$492,MATCH(366,'Output Utente'!$Q$2:$Q$492,0)),"")</f>
        <v>Colombo L.</v>
      </c>
      <c r="E369" s="5" t="str">
        <f>IFERROR(INDEX('Input Giocatori 2026_27'!$D$3:$D$493,MATCH($B369,'Input Giocatori 2026_27'!$A$3:$A$493,0)),"")</f>
        <v>Monza</v>
      </c>
      <c r="F369" s="42">
        <f>IFERROR(INDEX('Output Utente'!$N$2:$N$492,MATCH(366,'Output Utente'!$Q$2:$Q$492,0)),"")</f>
        <v>3</v>
      </c>
      <c r="G369" s="42">
        <f>IFERROR(INDEX('Output Utente'!$O$2:$O$492,MATCH(366,'Output Utente'!$Q$2:$Q$492,0)),"")</f>
        <v>7</v>
      </c>
      <c r="H369" s="5" t="str">
        <f>IFERROR(INDEX('Output Utente'!$P$2:$P$492,MATCH(366,'Output Utente'!$Q$2:$Q$492,0)),"")</f>
        <v>Scommessa/Riserva</v>
      </c>
      <c r="I369" s="42">
        <f>IFERROR(INDEX('Output Utente'!$F$2:$F$492,MATCH(366,'Output Utente'!$Q$2:$Q$492,0)),"")</f>
        <v>1</v>
      </c>
      <c r="J369" s="42">
        <f>IFERROR(INDEX('Output Utente'!$G$2:$G$492,MATCH(366,'Output Utente'!$Q$2:$Q$492,0)),"")</f>
        <v>1</v>
      </c>
      <c r="K369" s="42">
        <f>IFERROR(INDEX('Output Utente'!$H$2:$H$492,MATCH(366,'Output Utente'!$Q$2:$Q$492,0)),"")</f>
        <v>1</v>
      </c>
      <c r="L369" s="5" t="str">
        <f>IFERROR(INDEX('Output Utente'!$E$2:$E$492,MATCH(366,'Output Utente'!$Q$2:$Q$492,0)),"")</f>
        <v>NO</v>
      </c>
      <c r="M369" s="5" t="str">
        <f>IFERROR(INDEX('Output Utente'!$U$2:$U$492,MATCH(366,'Output Utente'!$Q$2:$Q$492,0)),"")</f>
        <v>OK</v>
      </c>
      <c r="N369" s="5" t="str">
        <f>IFERROR(INDEX('Output Utente'!$AE$2:$AE$492,MATCH(366,'Output Utente'!$Q$2:$Q$492,0)),"")</f>
        <v>🟢 Riserve abbondanti</v>
      </c>
    </row>
    <row r="370" spans="1:14" ht="15" customHeight="1" x14ac:dyDescent="0.25">
      <c r="A370" s="41">
        <v>367</v>
      </c>
      <c r="B370" s="5">
        <f>IFERROR(INDEX('Output Utente'!$A$2:$A$492,MATCH(367,'Output Utente'!$Q$2:$Q$492,0)),"")</f>
        <v>5872</v>
      </c>
      <c r="C370" s="5" t="str">
        <f>IFERROR(INDEX('Output Utente'!$B$2:$B$492,MATCH(367,'Output Utente'!$Q$2:$Q$492,0)),"")</f>
        <v>C</v>
      </c>
      <c r="D370" s="5" t="str">
        <f>IFERROR(INDEX('Output Utente'!$C$2:$C$492,MATCH(367,'Output Utente'!$Q$2:$Q$492,0)),"")</f>
        <v>Helgason</v>
      </c>
      <c r="E370" s="5" t="str">
        <f>IFERROR(INDEX('Input Giocatori 2026_27'!$D$3:$D$493,MATCH($B370,'Input Giocatori 2026_27'!$A$3:$A$493,0)),"")</f>
        <v>Venezia</v>
      </c>
      <c r="F370" s="42">
        <f>IFERROR(INDEX('Output Utente'!$N$2:$N$492,MATCH(367,'Output Utente'!$Q$2:$Q$492,0)),"")</f>
        <v>3</v>
      </c>
      <c r="G370" s="42">
        <f>IFERROR(INDEX('Output Utente'!$O$2:$O$492,MATCH(367,'Output Utente'!$Q$2:$Q$492,0)),"")</f>
        <v>7</v>
      </c>
      <c r="H370" s="5" t="str">
        <f>IFERROR(INDEX('Output Utente'!$P$2:$P$492,MATCH(367,'Output Utente'!$Q$2:$Q$492,0)),"")</f>
        <v>Scommessa/Riserva</v>
      </c>
      <c r="I370" s="42">
        <f>IFERROR(INDEX('Output Utente'!$F$2:$F$492,MATCH(367,'Output Utente'!$Q$2:$Q$492,0)),"")</f>
        <v>1</v>
      </c>
      <c r="J370" s="42">
        <f>IFERROR(INDEX('Output Utente'!$G$2:$G$492,MATCH(367,'Output Utente'!$Q$2:$Q$492,0)),"")</f>
        <v>1</v>
      </c>
      <c r="K370" s="42">
        <f>IFERROR(INDEX('Output Utente'!$H$2:$H$492,MATCH(367,'Output Utente'!$Q$2:$Q$492,0)),"")</f>
        <v>1</v>
      </c>
      <c r="L370" s="5" t="str">
        <f>IFERROR(INDEX('Output Utente'!$E$2:$E$492,MATCH(367,'Output Utente'!$Q$2:$Q$492,0)),"")</f>
        <v>NO</v>
      </c>
      <c r="M370" s="5" t="str">
        <f>IFERROR(INDEX('Output Utente'!$U$2:$U$492,MATCH(367,'Output Utente'!$Q$2:$Q$492,0)),"")</f>
        <v>OK</v>
      </c>
      <c r="N370" s="5" t="str">
        <f>IFERROR(INDEX('Output Utente'!$AE$2:$AE$492,MATCH(367,'Output Utente'!$Q$2:$Q$492,0)),"")</f>
        <v>🟢 Riserve abbondanti</v>
      </c>
    </row>
    <row r="371" spans="1:14" ht="15" customHeight="1" x14ac:dyDescent="0.25">
      <c r="A371" s="41">
        <v>368</v>
      </c>
      <c r="B371" s="5">
        <f>IFERROR(INDEX('Output Utente'!$A$2:$A$492,MATCH(368,'Output Utente'!$Q$2:$Q$492,0)),"")</f>
        <v>7272</v>
      </c>
      <c r="C371" s="5" t="str">
        <f>IFERROR(INDEX('Output Utente'!$B$2:$B$492,MATCH(368,'Output Utente'!$Q$2:$Q$492,0)),"")</f>
        <v>A</v>
      </c>
      <c r="D371" s="5" t="str">
        <f>IFERROR(INDEX('Output Utente'!$C$2:$C$492,MATCH(368,'Output Utente'!$Q$2:$Q$492,0)),"")</f>
        <v>Gueye</v>
      </c>
      <c r="E371" s="5" t="str">
        <f>IFERROR(INDEX('Input Giocatori 2026_27'!$D$3:$D$493,MATCH($B371,'Input Giocatori 2026_27'!$A$3:$A$493,0)),"")</f>
        <v>Udinese</v>
      </c>
      <c r="F371" s="42">
        <f>IFERROR(INDEX('Output Utente'!$N$2:$N$492,MATCH(368,'Output Utente'!$Q$2:$Q$492,0)),"")</f>
        <v>4</v>
      </c>
      <c r="G371" s="42">
        <f>IFERROR(INDEX('Output Utente'!$O$2:$O$492,MATCH(368,'Output Utente'!$Q$2:$Q$492,0)),"")</f>
        <v>7</v>
      </c>
      <c r="H371" s="5" t="str">
        <f>IFERROR(INDEX('Output Utente'!$P$2:$P$492,MATCH(368,'Output Utente'!$Q$2:$Q$492,0)),"")</f>
        <v>Scommessa/Riserva</v>
      </c>
      <c r="I371" s="42">
        <f>IFERROR(INDEX('Output Utente'!$F$2:$F$492,MATCH(368,'Output Utente'!$Q$2:$Q$492,0)),"")</f>
        <v>2</v>
      </c>
      <c r="J371" s="42">
        <f>IFERROR(INDEX('Output Utente'!$G$2:$G$492,MATCH(368,'Output Utente'!$Q$2:$Q$492,0)),"")</f>
        <v>1</v>
      </c>
      <c r="K371" s="42">
        <f>IFERROR(INDEX('Output Utente'!$H$2:$H$492,MATCH(368,'Output Utente'!$Q$2:$Q$492,0)),"")</f>
        <v>3</v>
      </c>
      <c r="L371" s="5" t="str">
        <f>IFERROR(INDEX('Output Utente'!$E$2:$E$492,MATCH(368,'Output Utente'!$Q$2:$Q$492,0)),"")</f>
        <v>NO</v>
      </c>
      <c r="M371" s="5" t="str">
        <f>IFERROR(INDEX('Output Utente'!$U$2:$U$492,MATCH(368,'Output Utente'!$Q$2:$Q$492,0)),"")</f>
        <v>OK</v>
      </c>
      <c r="N371" s="5" t="str">
        <f>IFERROR(INDEX('Output Utente'!$AE$2:$AE$492,MATCH(368,'Output Utente'!$Q$2:$Q$492,0)),"")</f>
        <v>🟢 Riserve abbondanti</v>
      </c>
    </row>
    <row r="372" spans="1:14" ht="15" customHeight="1" x14ac:dyDescent="0.25">
      <c r="A372" s="41">
        <v>369</v>
      </c>
      <c r="B372" s="5">
        <f>IFERROR(INDEX('Output Utente'!$A$2:$A$492,MATCH(369,'Output Utente'!$Q$2:$Q$492,0)),"")</f>
        <v>7523</v>
      </c>
      <c r="C372" s="5" t="str">
        <f>IFERROR(INDEX('Output Utente'!$B$2:$B$492,MATCH(369,'Output Utente'!$Q$2:$Q$492,0)),"")</f>
        <v>A</v>
      </c>
      <c r="D372" s="5" t="str">
        <f>IFERROR(INDEX('Output Utente'!$C$2:$C$492,MATCH(369,'Output Utente'!$Q$2:$Q$492,0)),"")</f>
        <v>Varela G.</v>
      </c>
      <c r="E372" s="5" t="str">
        <f>IFERROR(INDEX('Input Giocatori 2026_27'!$D$3:$D$493,MATCH($B372,'Input Giocatori 2026_27'!$A$3:$A$493,0)),"")</f>
        <v>Monza</v>
      </c>
      <c r="F372" s="42">
        <f>IFERROR(INDEX('Output Utente'!$N$2:$N$492,MATCH(369,'Output Utente'!$Q$2:$Q$492,0)),"")</f>
        <v>3</v>
      </c>
      <c r="G372" s="42">
        <f>IFERROR(INDEX('Output Utente'!$O$2:$O$492,MATCH(369,'Output Utente'!$Q$2:$Q$492,0)),"")</f>
        <v>7</v>
      </c>
      <c r="H372" s="5" t="str">
        <f>IFERROR(INDEX('Output Utente'!$P$2:$P$492,MATCH(369,'Output Utente'!$Q$2:$Q$492,0)),"")</f>
        <v>Scommessa/Riserva</v>
      </c>
      <c r="I372" s="42">
        <f>IFERROR(INDEX('Output Utente'!$F$2:$F$492,MATCH(369,'Output Utente'!$Q$2:$Q$492,0)),"")</f>
        <v>2</v>
      </c>
      <c r="J372" s="42">
        <f>IFERROR(INDEX('Output Utente'!$G$2:$G$492,MATCH(369,'Output Utente'!$Q$2:$Q$492,0)),"")</f>
        <v>1</v>
      </c>
      <c r="K372" s="42">
        <f>IFERROR(INDEX('Output Utente'!$H$2:$H$492,MATCH(369,'Output Utente'!$Q$2:$Q$492,0)),"")</f>
        <v>3</v>
      </c>
      <c r="L372" s="5" t="str">
        <f>IFERROR(INDEX('Output Utente'!$E$2:$E$492,MATCH(369,'Output Utente'!$Q$2:$Q$492,0)),"")</f>
        <v>NO</v>
      </c>
      <c r="M372" s="5" t="str">
        <f>IFERROR(INDEX('Output Utente'!$U$2:$U$492,MATCH(369,'Output Utente'!$Q$2:$Q$492,0)),"")</f>
        <v>OK</v>
      </c>
      <c r="N372" s="5" t="str">
        <f>IFERROR(INDEX('Output Utente'!$AE$2:$AE$492,MATCH(369,'Output Utente'!$Q$2:$Q$492,0)),"")</f>
        <v>🟢 Riserve abbondanti</v>
      </c>
    </row>
    <row r="373" spans="1:14" ht="15" customHeight="1" x14ac:dyDescent="0.25">
      <c r="A373" s="41">
        <v>370</v>
      </c>
      <c r="B373" s="5">
        <f>IFERROR(INDEX('Output Utente'!$A$2:$A$492,MATCH(370,'Output Utente'!$Q$2:$Q$492,0)),"")</f>
        <v>5498</v>
      </c>
      <c r="C373" s="5" t="str">
        <f>IFERROR(INDEX('Output Utente'!$B$2:$B$492,MATCH(370,'Output Utente'!$Q$2:$Q$492,0)),"")</f>
        <v>D</v>
      </c>
      <c r="D373" s="5" t="str">
        <f>IFERROR(INDEX('Output Utente'!$C$2:$C$492,MATCH(370,'Output Utente'!$Q$2:$Q$492,0)),"")</f>
        <v>Casale</v>
      </c>
      <c r="E373" s="5" t="str">
        <f>IFERROR(INDEX('Input Giocatori 2026_27'!$D$3:$D$493,MATCH($B373,'Input Giocatori 2026_27'!$A$3:$A$493,0)),"")</f>
        <v>Bologna</v>
      </c>
      <c r="F373" s="42">
        <f>IFERROR(INDEX('Output Utente'!$N$2:$N$492,MATCH(370,'Output Utente'!$Q$2:$Q$492,0)),"")</f>
        <v>3</v>
      </c>
      <c r="G373" s="42">
        <f>IFERROR(INDEX('Output Utente'!$O$2:$O$492,MATCH(370,'Output Utente'!$Q$2:$Q$492,0)),"")</f>
        <v>6</v>
      </c>
      <c r="H373" s="5" t="str">
        <f>IFERROR(INDEX('Output Utente'!$P$2:$P$492,MATCH(370,'Output Utente'!$Q$2:$Q$492,0)),"")</f>
        <v>Scommessa/Riserva</v>
      </c>
      <c r="I373" s="42">
        <f>IFERROR(INDEX('Output Utente'!$F$2:$F$492,MATCH(370,'Output Utente'!$Q$2:$Q$492,0)),"")</f>
        <v>1</v>
      </c>
      <c r="J373" s="42">
        <f>IFERROR(INDEX('Output Utente'!$G$2:$G$492,MATCH(370,'Output Utente'!$Q$2:$Q$492,0)),"")</f>
        <v>1</v>
      </c>
      <c r="K373" s="42">
        <f>IFERROR(INDEX('Output Utente'!$H$2:$H$492,MATCH(370,'Output Utente'!$Q$2:$Q$492,0)),"")</f>
        <v>1</v>
      </c>
      <c r="L373" s="5" t="str">
        <f>IFERROR(INDEX('Output Utente'!$E$2:$E$492,MATCH(370,'Output Utente'!$Q$2:$Q$492,0)),"")</f>
        <v>NO</v>
      </c>
      <c r="M373" s="5" t="str">
        <f>IFERROR(INDEX('Output Utente'!$U$2:$U$492,MATCH(370,'Output Utente'!$Q$2:$Q$492,0)),"")</f>
        <v>OK</v>
      </c>
      <c r="N373" s="5" t="str">
        <f>IFERROR(INDEX('Output Utente'!$AE$2:$AE$492,MATCH(370,'Output Utente'!$Q$2:$Q$492,0)),"")</f>
        <v>🟢 Riserve abbondanti</v>
      </c>
    </row>
    <row r="374" spans="1:14" ht="15" customHeight="1" x14ac:dyDescent="0.25">
      <c r="A374" s="41">
        <v>371</v>
      </c>
      <c r="B374" s="5">
        <f>IFERROR(INDEX('Output Utente'!$A$2:$A$492,MATCH(371,'Output Utente'!$Q$2:$Q$492,0)),"")</f>
        <v>7483</v>
      </c>
      <c r="C374" s="5" t="str">
        <f>IFERROR(INDEX('Output Utente'!$B$2:$B$492,MATCH(371,'Output Utente'!$Q$2:$Q$492,0)),"")</f>
        <v>D</v>
      </c>
      <c r="D374" s="5" t="str">
        <f>IFERROR(INDEX('Output Utente'!$C$2:$C$492,MATCH(371,'Output Utente'!$Q$2:$Q$492,0)),"")</f>
        <v>Alhassane</v>
      </c>
      <c r="E374" s="5" t="str">
        <f>IFERROR(INDEX('Input Giocatori 2026_27'!$D$3:$D$493,MATCH($B374,'Input Giocatori 2026_27'!$A$3:$A$493,0)),"")</f>
        <v>Bologna</v>
      </c>
      <c r="F374" s="42">
        <f>IFERROR(INDEX('Output Utente'!$N$2:$N$492,MATCH(371,'Output Utente'!$Q$2:$Q$492,0)),"")</f>
        <v>2</v>
      </c>
      <c r="G374" s="42">
        <f>IFERROR(INDEX('Output Utente'!$O$2:$O$492,MATCH(371,'Output Utente'!$Q$2:$Q$492,0)),"")</f>
        <v>6</v>
      </c>
      <c r="H374" s="5" t="str">
        <f>IFERROR(INDEX('Output Utente'!$P$2:$P$492,MATCH(371,'Output Utente'!$Q$2:$Q$492,0)),"")</f>
        <v>Scommessa/Riserva</v>
      </c>
      <c r="I374" s="42">
        <f>IFERROR(INDEX('Output Utente'!$F$2:$F$492,MATCH(371,'Output Utente'!$Q$2:$Q$492,0)),"")</f>
        <v>1</v>
      </c>
      <c r="J374" s="42">
        <f>IFERROR(INDEX('Output Utente'!$G$2:$G$492,MATCH(371,'Output Utente'!$Q$2:$Q$492,0)),"")</f>
        <v>1</v>
      </c>
      <c r="K374" s="42">
        <f>IFERROR(INDEX('Output Utente'!$H$2:$H$492,MATCH(371,'Output Utente'!$Q$2:$Q$492,0)),"")</f>
        <v>1</v>
      </c>
      <c r="L374" s="5" t="str">
        <f>IFERROR(INDEX('Output Utente'!$E$2:$E$492,MATCH(371,'Output Utente'!$Q$2:$Q$492,0)),"")</f>
        <v>NO</v>
      </c>
      <c r="M374" s="5" t="str">
        <f>IFERROR(INDEX('Output Utente'!$U$2:$U$492,MATCH(371,'Output Utente'!$Q$2:$Q$492,0)),"")</f>
        <v>OK</v>
      </c>
      <c r="N374" s="5" t="str">
        <f>IFERROR(INDEX('Output Utente'!$AE$2:$AE$492,MATCH(371,'Output Utente'!$Q$2:$Q$492,0)),"")</f>
        <v>🟢 Riserve abbondanti</v>
      </c>
    </row>
    <row r="375" spans="1:14" ht="15" customHeight="1" x14ac:dyDescent="0.25">
      <c r="A375" s="41">
        <v>372</v>
      </c>
      <c r="B375" s="5">
        <f>IFERROR(INDEX('Output Utente'!$A$2:$A$492,MATCH(372,'Output Utente'!$Q$2:$Q$492,0)),"")</f>
        <v>6638</v>
      </c>
      <c r="C375" s="5" t="str">
        <f>IFERROR(INDEX('Output Utente'!$B$2:$B$492,MATCH(372,'Output Utente'!$Q$2:$Q$492,0)),"")</f>
        <v>D</v>
      </c>
      <c r="D375" s="5" t="str">
        <f>IFERROR(INDEX('Output Utente'!$C$2:$C$492,MATCH(372,'Output Utente'!$Q$2:$Q$492,0)),"")</f>
        <v>Marin R.</v>
      </c>
      <c r="E375" s="5" t="str">
        <f>IFERROR(INDEX('Input Giocatori 2026_27'!$D$3:$D$493,MATCH($B375,'Input Giocatori 2026_27'!$A$3:$A$493,0)),"")</f>
        <v>Napoli</v>
      </c>
      <c r="F375" s="42">
        <f>IFERROR(INDEX('Output Utente'!$N$2:$N$492,MATCH(372,'Output Utente'!$Q$2:$Q$492,0)),"")</f>
        <v>2</v>
      </c>
      <c r="G375" s="42">
        <f>IFERROR(INDEX('Output Utente'!$O$2:$O$492,MATCH(372,'Output Utente'!$Q$2:$Q$492,0)),"")</f>
        <v>6</v>
      </c>
      <c r="H375" s="5" t="str">
        <f>IFERROR(INDEX('Output Utente'!$P$2:$P$492,MATCH(372,'Output Utente'!$Q$2:$Q$492,0)),"")</f>
        <v>Scommessa/Riserva</v>
      </c>
      <c r="I375" s="42">
        <f>IFERROR(INDEX('Output Utente'!$F$2:$F$492,MATCH(372,'Output Utente'!$Q$2:$Q$492,0)),"")</f>
        <v>1</v>
      </c>
      <c r="J375" s="42">
        <f>IFERROR(INDEX('Output Utente'!$G$2:$G$492,MATCH(372,'Output Utente'!$Q$2:$Q$492,0)),"")</f>
        <v>1</v>
      </c>
      <c r="K375" s="42">
        <f>IFERROR(INDEX('Output Utente'!$H$2:$H$492,MATCH(372,'Output Utente'!$Q$2:$Q$492,0)),"")</f>
        <v>1</v>
      </c>
      <c r="L375" s="5" t="str">
        <f>IFERROR(INDEX('Output Utente'!$E$2:$E$492,MATCH(372,'Output Utente'!$Q$2:$Q$492,0)),"")</f>
        <v>NO</v>
      </c>
      <c r="M375" s="5" t="str">
        <f>IFERROR(INDEX('Output Utente'!$U$2:$U$492,MATCH(372,'Output Utente'!$Q$2:$Q$492,0)),"")</f>
        <v>OK</v>
      </c>
      <c r="N375" s="5" t="str">
        <f>IFERROR(INDEX('Output Utente'!$AE$2:$AE$492,MATCH(372,'Output Utente'!$Q$2:$Q$492,0)),"")</f>
        <v>🟢 Riserve abbondanti</v>
      </c>
    </row>
    <row r="376" spans="1:14" ht="15" customHeight="1" x14ac:dyDescent="0.25">
      <c r="A376" s="41">
        <v>373</v>
      </c>
      <c r="B376" s="5">
        <f>IFERROR(INDEX('Output Utente'!$A$2:$A$492,MATCH(373,'Output Utente'!$Q$2:$Q$492,0)),"")</f>
        <v>6980</v>
      </c>
      <c r="C376" s="5" t="str">
        <f>IFERROR(INDEX('Output Utente'!$B$2:$B$492,MATCH(373,'Output Utente'!$Q$2:$Q$492,0)),"")</f>
        <v>C</v>
      </c>
      <c r="D376" s="5" t="str">
        <f>IFERROR(INDEX('Output Utente'!$C$2:$C$492,MATCH(373,'Output Utente'!$Q$2:$Q$492,0)),"")</f>
        <v>Venturino</v>
      </c>
      <c r="E376" s="5" t="str">
        <f>IFERROR(INDEX('Input Giocatori 2026_27'!$D$3:$D$493,MATCH($B376,'Input Giocatori 2026_27'!$A$3:$A$493,0)),"")</f>
        <v>Genoa</v>
      </c>
      <c r="F376" s="42">
        <f>IFERROR(INDEX('Output Utente'!$N$2:$N$492,MATCH(373,'Output Utente'!$Q$2:$Q$492,0)),"")</f>
        <v>2</v>
      </c>
      <c r="G376" s="42">
        <f>IFERROR(INDEX('Output Utente'!$O$2:$O$492,MATCH(373,'Output Utente'!$Q$2:$Q$492,0)),"")</f>
        <v>6</v>
      </c>
      <c r="H376" s="5" t="str">
        <f>IFERROR(INDEX('Output Utente'!$P$2:$P$492,MATCH(373,'Output Utente'!$Q$2:$Q$492,0)),"")</f>
        <v>Scommessa/Riserva</v>
      </c>
      <c r="I376" s="42">
        <f>IFERROR(INDEX('Output Utente'!$F$2:$F$492,MATCH(373,'Output Utente'!$Q$2:$Q$492,0)),"")</f>
        <v>1</v>
      </c>
      <c r="J376" s="42">
        <f>IFERROR(INDEX('Output Utente'!$G$2:$G$492,MATCH(373,'Output Utente'!$Q$2:$Q$492,0)),"")</f>
        <v>1</v>
      </c>
      <c r="K376" s="42">
        <f>IFERROR(INDEX('Output Utente'!$H$2:$H$492,MATCH(373,'Output Utente'!$Q$2:$Q$492,0)),"")</f>
        <v>1</v>
      </c>
      <c r="L376" s="5" t="str">
        <f>IFERROR(INDEX('Output Utente'!$E$2:$E$492,MATCH(373,'Output Utente'!$Q$2:$Q$492,0)),"")</f>
        <v>NO</v>
      </c>
      <c r="M376" s="5" t="str">
        <f>IFERROR(INDEX('Output Utente'!$U$2:$U$492,MATCH(373,'Output Utente'!$Q$2:$Q$492,0)),"")</f>
        <v>OK</v>
      </c>
      <c r="N376" s="5" t="str">
        <f>IFERROR(INDEX('Output Utente'!$AE$2:$AE$492,MATCH(373,'Output Utente'!$Q$2:$Q$492,0)),"")</f>
        <v>🟢 Riserve abbondanti</v>
      </c>
    </row>
    <row r="377" spans="1:14" ht="15" customHeight="1" x14ac:dyDescent="0.25">
      <c r="A377" s="41">
        <v>374</v>
      </c>
      <c r="B377" s="5">
        <f>IFERROR(INDEX('Output Utente'!$A$2:$A$492,MATCH(374,'Output Utente'!$Q$2:$Q$492,0)),"")</f>
        <v>5295</v>
      </c>
      <c r="C377" s="5" t="str">
        <f>IFERROR(INDEX('Output Utente'!$B$2:$B$492,MATCH(374,'Output Utente'!$Q$2:$Q$492,0)),"")</f>
        <v>C</v>
      </c>
      <c r="D377" s="5" t="str">
        <f>IFERROR(INDEX('Output Utente'!$C$2:$C$492,MATCH(374,'Output Utente'!$Q$2:$Q$492,0)),"")</f>
        <v>Musah</v>
      </c>
      <c r="E377" s="5" t="str">
        <f>IFERROR(INDEX('Input Giocatori 2026_27'!$D$3:$D$493,MATCH($B377,'Input Giocatori 2026_27'!$A$3:$A$493,0)),"")</f>
        <v>Milan</v>
      </c>
      <c r="F377" s="42">
        <f>IFERROR(INDEX('Output Utente'!$N$2:$N$492,MATCH(374,'Output Utente'!$Q$2:$Q$492,0)),"")</f>
        <v>2</v>
      </c>
      <c r="G377" s="42">
        <f>IFERROR(INDEX('Output Utente'!$O$2:$O$492,MATCH(374,'Output Utente'!$Q$2:$Q$492,0)),"")</f>
        <v>6</v>
      </c>
      <c r="H377" s="5" t="str">
        <f>IFERROR(INDEX('Output Utente'!$P$2:$P$492,MATCH(374,'Output Utente'!$Q$2:$Q$492,0)),"")</f>
        <v>Scommessa/Riserva</v>
      </c>
      <c r="I377" s="42">
        <f>IFERROR(INDEX('Output Utente'!$F$2:$F$492,MATCH(374,'Output Utente'!$Q$2:$Q$492,0)),"")</f>
        <v>1</v>
      </c>
      <c r="J377" s="42">
        <f>IFERROR(INDEX('Output Utente'!$G$2:$G$492,MATCH(374,'Output Utente'!$Q$2:$Q$492,0)),"")</f>
        <v>1</v>
      </c>
      <c r="K377" s="42">
        <f>IFERROR(INDEX('Output Utente'!$H$2:$H$492,MATCH(374,'Output Utente'!$Q$2:$Q$492,0)),"")</f>
        <v>1</v>
      </c>
      <c r="L377" s="5" t="str">
        <f>IFERROR(INDEX('Output Utente'!$E$2:$E$492,MATCH(374,'Output Utente'!$Q$2:$Q$492,0)),"")</f>
        <v>NO</v>
      </c>
      <c r="M377" s="5" t="str">
        <f>IFERROR(INDEX('Output Utente'!$U$2:$U$492,MATCH(374,'Output Utente'!$Q$2:$Q$492,0)),"")</f>
        <v>OK</v>
      </c>
      <c r="N377" s="5" t="str">
        <f>IFERROR(INDEX('Output Utente'!$AE$2:$AE$492,MATCH(374,'Output Utente'!$Q$2:$Q$492,0)),"")</f>
        <v>🟢 Riserve abbondanti</v>
      </c>
    </row>
    <row r="378" spans="1:14" ht="15" customHeight="1" x14ac:dyDescent="0.25">
      <c r="A378" s="41">
        <v>375</v>
      </c>
      <c r="B378" s="5">
        <f>IFERROR(INDEX('Output Utente'!$A$2:$A$492,MATCH(375,'Output Utente'!$Q$2:$Q$492,0)),"")</f>
        <v>5880</v>
      </c>
      <c r="C378" s="5" t="str">
        <f>IFERROR(INDEX('Output Utente'!$B$2:$B$492,MATCH(375,'Output Utente'!$Q$2:$Q$492,0)),"")</f>
        <v>C</v>
      </c>
      <c r="D378" s="5" t="str">
        <f>IFERROR(INDEX('Output Utente'!$C$2:$C$492,MATCH(375,'Output Utente'!$Q$2:$Q$492,0)),"")</f>
        <v>Ciurria</v>
      </c>
      <c r="E378" s="5" t="str">
        <f>IFERROR(INDEX('Input Giocatori 2026_27'!$D$3:$D$493,MATCH($B378,'Input Giocatori 2026_27'!$A$3:$A$493,0)),"")</f>
        <v>Monza</v>
      </c>
      <c r="F378" s="42">
        <f>IFERROR(INDEX('Output Utente'!$N$2:$N$492,MATCH(375,'Output Utente'!$Q$2:$Q$492,0)),"")</f>
        <v>2</v>
      </c>
      <c r="G378" s="42">
        <f>IFERROR(INDEX('Output Utente'!$O$2:$O$492,MATCH(375,'Output Utente'!$Q$2:$Q$492,0)),"")</f>
        <v>6</v>
      </c>
      <c r="H378" s="5" t="str">
        <f>IFERROR(INDEX('Output Utente'!$P$2:$P$492,MATCH(375,'Output Utente'!$Q$2:$Q$492,0)),"")</f>
        <v>Scommessa/Riserva</v>
      </c>
      <c r="I378" s="42">
        <f>IFERROR(INDEX('Output Utente'!$F$2:$F$492,MATCH(375,'Output Utente'!$Q$2:$Q$492,0)),"")</f>
        <v>1</v>
      </c>
      <c r="J378" s="42">
        <f>IFERROR(INDEX('Output Utente'!$G$2:$G$492,MATCH(375,'Output Utente'!$Q$2:$Q$492,0)),"")</f>
        <v>1</v>
      </c>
      <c r="K378" s="42">
        <f>IFERROR(INDEX('Output Utente'!$H$2:$H$492,MATCH(375,'Output Utente'!$Q$2:$Q$492,0)),"")</f>
        <v>1</v>
      </c>
      <c r="L378" s="5" t="str">
        <f>IFERROR(INDEX('Output Utente'!$E$2:$E$492,MATCH(375,'Output Utente'!$Q$2:$Q$492,0)),"")</f>
        <v>NO</v>
      </c>
      <c r="M378" s="5" t="str">
        <f>IFERROR(INDEX('Output Utente'!$U$2:$U$492,MATCH(375,'Output Utente'!$Q$2:$Q$492,0)),"")</f>
        <v>OK</v>
      </c>
      <c r="N378" s="5" t="str">
        <f>IFERROR(INDEX('Output Utente'!$AE$2:$AE$492,MATCH(375,'Output Utente'!$Q$2:$Q$492,0)),"")</f>
        <v>🟢 Riserve abbondanti</v>
      </c>
    </row>
    <row r="379" spans="1:14" ht="15" customHeight="1" x14ac:dyDescent="0.25">
      <c r="A379" s="41">
        <v>376</v>
      </c>
      <c r="B379" s="5">
        <f>IFERROR(INDEX('Output Utente'!$A$2:$A$492,MATCH(376,'Output Utente'!$Q$2:$Q$492,0)),"")</f>
        <v>7418</v>
      </c>
      <c r="C379" s="5" t="str">
        <f>IFERROR(INDEX('Output Utente'!$B$2:$B$492,MATCH(376,'Output Utente'!$Q$2:$Q$492,0)),"")</f>
        <v>C</v>
      </c>
      <c r="D379" s="5" t="str">
        <f>IFERROR(INDEX('Output Utente'!$C$2:$C$492,MATCH(376,'Output Utente'!$Q$2:$Q$492,0)),"")</f>
        <v>Chakvetadze</v>
      </c>
      <c r="E379" s="5" t="str">
        <f>IFERROR(INDEX('Input Giocatori 2026_27'!$D$3:$D$493,MATCH($B379,'Input Giocatori 2026_27'!$A$3:$A$493,0)),"")</f>
        <v>Udinese</v>
      </c>
      <c r="F379" s="42">
        <f>IFERROR(INDEX('Output Utente'!$N$2:$N$492,MATCH(376,'Output Utente'!$Q$2:$Q$492,0)),"")</f>
        <v>2</v>
      </c>
      <c r="G379" s="42">
        <f>IFERROR(INDEX('Output Utente'!$O$2:$O$492,MATCH(376,'Output Utente'!$Q$2:$Q$492,0)),"")</f>
        <v>6</v>
      </c>
      <c r="H379" s="5" t="str">
        <f>IFERROR(INDEX('Output Utente'!$P$2:$P$492,MATCH(376,'Output Utente'!$Q$2:$Q$492,0)),"")</f>
        <v>Scommessa/Riserva</v>
      </c>
      <c r="I379" s="42">
        <f>IFERROR(INDEX('Output Utente'!$F$2:$F$492,MATCH(376,'Output Utente'!$Q$2:$Q$492,0)),"")</f>
        <v>1</v>
      </c>
      <c r="J379" s="42">
        <f>IFERROR(INDEX('Output Utente'!$G$2:$G$492,MATCH(376,'Output Utente'!$Q$2:$Q$492,0)),"")</f>
        <v>1</v>
      </c>
      <c r="K379" s="42">
        <f>IFERROR(INDEX('Output Utente'!$H$2:$H$492,MATCH(376,'Output Utente'!$Q$2:$Q$492,0)),"")</f>
        <v>1</v>
      </c>
      <c r="L379" s="5" t="str">
        <f>IFERROR(INDEX('Output Utente'!$E$2:$E$492,MATCH(376,'Output Utente'!$Q$2:$Q$492,0)),"")</f>
        <v>NO</v>
      </c>
      <c r="M379" s="5" t="str">
        <f>IFERROR(INDEX('Output Utente'!$U$2:$U$492,MATCH(376,'Output Utente'!$Q$2:$Q$492,0)),"")</f>
        <v>OK</v>
      </c>
      <c r="N379" s="5" t="str">
        <f>IFERROR(INDEX('Output Utente'!$AE$2:$AE$492,MATCH(376,'Output Utente'!$Q$2:$Q$492,0)),"")</f>
        <v>🟢 Riserve abbondanti</v>
      </c>
    </row>
    <row r="380" spans="1:14" ht="15" customHeight="1" x14ac:dyDescent="0.25">
      <c r="A380" s="41">
        <v>377</v>
      </c>
      <c r="B380" s="5">
        <f>IFERROR(INDEX('Output Utente'!$A$2:$A$492,MATCH(377,'Output Utente'!$Q$2:$Q$492,0)),"")</f>
        <v>7411</v>
      </c>
      <c r="C380" s="5" t="str">
        <f>IFERROR(INDEX('Output Utente'!$B$2:$B$492,MATCH(377,'Output Utente'!$Q$2:$Q$492,0)),"")</f>
        <v>P</v>
      </c>
      <c r="D380" s="5" t="str">
        <f>IFERROR(INDEX('Output Utente'!$C$2:$C$492,MATCH(377,'Output Utente'!$Q$2:$Q$492,0)),"")</f>
        <v>Daffara</v>
      </c>
      <c r="E380" s="5" t="str">
        <f>IFERROR(INDEX('Input Giocatori 2026_27'!$D$3:$D$493,MATCH($B380,'Input Giocatori 2026_27'!$A$3:$A$493,0)),"")</f>
        <v>Parma</v>
      </c>
      <c r="F380" s="42">
        <f>IFERROR(INDEX('Output Utente'!$N$2:$N$492,MATCH(377,'Output Utente'!$Q$2:$Q$492,0)),"")</f>
        <v>7</v>
      </c>
      <c r="G380" s="42">
        <f>IFERROR(INDEX('Output Utente'!$O$2:$O$492,MATCH(377,'Output Utente'!$Q$2:$Q$492,0)),"")</f>
        <v>5</v>
      </c>
      <c r="H380" s="5" t="str">
        <f>IFERROR(INDEX('Output Utente'!$P$2:$P$492,MATCH(377,'Output Utente'!$Q$2:$Q$492,0)),"")</f>
        <v>Nella Media</v>
      </c>
      <c r="I380" s="42">
        <f>IFERROR(INDEX('Output Utente'!$F$2:$F$492,MATCH(377,'Output Utente'!$Q$2:$Q$492,0)),"")</f>
        <v>2</v>
      </c>
      <c r="J380" s="42">
        <f>IFERROR(INDEX('Output Utente'!$G$2:$G$492,MATCH(377,'Output Utente'!$Q$2:$Q$492,0)),"")</f>
        <v>1</v>
      </c>
      <c r="K380" s="42">
        <f>IFERROR(INDEX('Output Utente'!$H$2:$H$492,MATCH(377,'Output Utente'!$Q$2:$Q$492,0)),"")</f>
        <v>2</v>
      </c>
      <c r="L380" s="5" t="str">
        <f>IFERROR(INDEX('Output Utente'!$E$2:$E$492,MATCH(377,'Output Utente'!$Q$2:$Q$492,0)),"")</f>
        <v>NO</v>
      </c>
      <c r="M380" s="5" t="str">
        <f>IFERROR(INDEX('Output Utente'!$U$2:$U$492,MATCH(377,'Output Utente'!$Q$2:$Q$492,0)),"")</f>
        <v>OK</v>
      </c>
      <c r="N380" s="5" t="str">
        <f>IFERROR(INDEX('Output Utente'!$AE$2:$AE$492,MATCH(377,'Output Utente'!$Q$2:$Q$492,0)),"")</f>
        <v>🔴 Riserve scarse</v>
      </c>
    </row>
    <row r="381" spans="1:14" ht="15" customHeight="1" x14ac:dyDescent="0.25">
      <c r="A381" s="41">
        <v>378</v>
      </c>
      <c r="B381" s="5">
        <f>IFERROR(INDEX('Output Utente'!$A$2:$A$492,MATCH(378,'Output Utente'!$Q$2:$Q$492,0)),"")</f>
        <v>2814</v>
      </c>
      <c r="C381" s="5" t="str">
        <f>IFERROR(INDEX('Output Utente'!$B$2:$B$492,MATCH(378,'Output Utente'!$Q$2:$Q$492,0)),"")</f>
        <v>P</v>
      </c>
      <c r="D381" s="5" t="str">
        <f>IFERROR(INDEX('Output Utente'!$C$2:$C$492,MATCH(378,'Output Utente'!$Q$2:$Q$492,0)),"")</f>
        <v>Provedel</v>
      </c>
      <c r="E381" s="5" t="str">
        <f>IFERROR(INDEX('Input Giocatori 2026_27'!$D$3:$D$493,MATCH($B381,'Input Giocatori 2026_27'!$A$3:$A$493,0)),"")</f>
        <v>Inter</v>
      </c>
      <c r="F381" s="42">
        <f>IFERROR(INDEX('Output Utente'!$N$2:$N$492,MATCH(378,'Output Utente'!$Q$2:$Q$492,0)),"")</f>
        <v>2</v>
      </c>
      <c r="G381" s="42">
        <f>IFERROR(INDEX('Output Utente'!$O$2:$O$492,MATCH(378,'Output Utente'!$Q$2:$Q$492,0)),"")</f>
        <v>5</v>
      </c>
      <c r="H381" s="5" t="str">
        <f>IFERROR(INDEX('Output Utente'!$P$2:$P$492,MATCH(378,'Output Utente'!$Q$2:$Q$492,0)),"")</f>
        <v>Nella Media</v>
      </c>
      <c r="I381" s="42">
        <f>IFERROR(INDEX('Output Utente'!$F$2:$F$492,MATCH(378,'Output Utente'!$Q$2:$Q$492,0)),"")</f>
        <v>2</v>
      </c>
      <c r="J381" s="42">
        <f>IFERROR(INDEX('Output Utente'!$G$2:$G$492,MATCH(378,'Output Utente'!$Q$2:$Q$492,0)),"")</f>
        <v>1</v>
      </c>
      <c r="K381" s="42">
        <f>IFERROR(INDEX('Output Utente'!$H$2:$H$492,MATCH(378,'Output Utente'!$Q$2:$Q$492,0)),"")</f>
        <v>2</v>
      </c>
      <c r="L381" s="5" t="str">
        <f>IFERROR(INDEX('Output Utente'!$E$2:$E$492,MATCH(378,'Output Utente'!$Q$2:$Q$492,0)),"")</f>
        <v>NO</v>
      </c>
      <c r="M381" s="5" t="str">
        <f>IFERROR(INDEX('Output Utente'!$U$2:$U$492,MATCH(378,'Output Utente'!$Q$2:$Q$492,0)),"")</f>
        <v>OK</v>
      </c>
      <c r="N381" s="5" t="str">
        <f>IFERROR(INDEX('Output Utente'!$AE$2:$AE$492,MATCH(378,'Output Utente'!$Q$2:$Q$492,0)),"")</f>
        <v>🔴 Riserve scarse</v>
      </c>
    </row>
    <row r="382" spans="1:14" ht="15" customHeight="1" x14ac:dyDescent="0.25">
      <c r="A382" s="41">
        <v>379</v>
      </c>
      <c r="B382" s="5">
        <f>IFERROR(INDEX('Output Utente'!$A$2:$A$492,MATCH(379,'Output Utente'!$Q$2:$Q$492,0)),"")</f>
        <v>7326</v>
      </c>
      <c r="C382" s="5" t="str">
        <f>IFERROR(INDEX('Output Utente'!$B$2:$B$492,MATCH(379,'Output Utente'!$Q$2:$Q$492,0)),"")</f>
        <v>D</v>
      </c>
      <c r="D382" s="5" t="str">
        <f>IFERROR(INDEX('Output Utente'!$C$2:$C$492,MATCH(379,'Output Utente'!$Q$2:$Q$492,0)),"")</f>
        <v>Helland</v>
      </c>
      <c r="E382" s="5" t="str">
        <f>IFERROR(INDEX('Input Giocatori 2026_27'!$D$3:$D$493,MATCH($B382,'Input Giocatori 2026_27'!$A$3:$A$493,0)),"")</f>
        <v>Bologna</v>
      </c>
      <c r="F382" s="42">
        <f>IFERROR(INDEX('Output Utente'!$N$2:$N$492,MATCH(379,'Output Utente'!$Q$2:$Q$492,0)),"")</f>
        <v>2</v>
      </c>
      <c r="G382" s="42">
        <f>IFERROR(INDEX('Output Utente'!$O$2:$O$492,MATCH(379,'Output Utente'!$Q$2:$Q$492,0)),"")</f>
        <v>5</v>
      </c>
      <c r="H382" s="5" t="str">
        <f>IFERROR(INDEX('Output Utente'!$P$2:$P$492,MATCH(379,'Output Utente'!$Q$2:$Q$492,0)),"")</f>
        <v>Scommessa/Riserva</v>
      </c>
      <c r="I382" s="42">
        <f>IFERROR(INDEX('Output Utente'!$F$2:$F$492,MATCH(379,'Output Utente'!$Q$2:$Q$492,0)),"")</f>
        <v>1</v>
      </c>
      <c r="J382" s="42">
        <f>IFERROR(INDEX('Output Utente'!$G$2:$G$492,MATCH(379,'Output Utente'!$Q$2:$Q$492,0)),"")</f>
        <v>1</v>
      </c>
      <c r="K382" s="42">
        <f>IFERROR(INDEX('Output Utente'!$H$2:$H$492,MATCH(379,'Output Utente'!$Q$2:$Q$492,0)),"")</f>
        <v>1</v>
      </c>
      <c r="L382" s="5" t="str">
        <f>IFERROR(INDEX('Output Utente'!$E$2:$E$492,MATCH(379,'Output Utente'!$Q$2:$Q$492,0)),"")</f>
        <v>NO</v>
      </c>
      <c r="M382" s="5" t="str">
        <f>IFERROR(INDEX('Output Utente'!$U$2:$U$492,MATCH(379,'Output Utente'!$Q$2:$Q$492,0)),"")</f>
        <v>OK</v>
      </c>
      <c r="N382" s="5" t="str">
        <f>IFERROR(INDEX('Output Utente'!$AE$2:$AE$492,MATCH(379,'Output Utente'!$Q$2:$Q$492,0)),"")</f>
        <v>🟢 Riserve abbondanti</v>
      </c>
    </row>
    <row r="383" spans="1:14" ht="15" customHeight="1" x14ac:dyDescent="0.25">
      <c r="A383" s="41">
        <v>380</v>
      </c>
      <c r="B383" s="5">
        <f>IFERROR(INDEX('Output Utente'!$A$2:$A$492,MATCH(380,'Output Utente'!$Q$2:$Q$492,0)),"")</f>
        <v>6896</v>
      </c>
      <c r="C383" s="5" t="str">
        <f>IFERROR(INDEX('Output Utente'!$B$2:$B$492,MATCH(380,'Output Utente'!$Q$2:$Q$492,0)),"")</f>
        <v>D</v>
      </c>
      <c r="D383" s="5" t="str">
        <f>IFERROR(INDEX('Output Utente'!$C$2:$C$492,MATCH(380,'Output Utente'!$Q$2:$Q$492,0)),"")</f>
        <v>Van Der Brempt</v>
      </c>
      <c r="E383" s="5" t="str">
        <f>IFERROR(INDEX('Input Giocatori 2026_27'!$D$3:$D$493,MATCH($B383,'Input Giocatori 2026_27'!$A$3:$A$493,0)),"")</f>
        <v>Como</v>
      </c>
      <c r="F383" s="42">
        <f>IFERROR(INDEX('Output Utente'!$N$2:$N$492,MATCH(380,'Output Utente'!$Q$2:$Q$492,0)),"")</f>
        <v>2</v>
      </c>
      <c r="G383" s="42">
        <f>IFERROR(INDEX('Output Utente'!$O$2:$O$492,MATCH(380,'Output Utente'!$Q$2:$Q$492,0)),"")</f>
        <v>5</v>
      </c>
      <c r="H383" s="5" t="str">
        <f>IFERROR(INDEX('Output Utente'!$P$2:$P$492,MATCH(380,'Output Utente'!$Q$2:$Q$492,0)),"")</f>
        <v>Scommessa/Riserva</v>
      </c>
      <c r="I383" s="42">
        <f>IFERROR(INDEX('Output Utente'!$F$2:$F$492,MATCH(380,'Output Utente'!$Q$2:$Q$492,0)),"")</f>
        <v>1</v>
      </c>
      <c r="J383" s="42">
        <f>IFERROR(INDEX('Output Utente'!$G$2:$G$492,MATCH(380,'Output Utente'!$Q$2:$Q$492,0)),"")</f>
        <v>1</v>
      </c>
      <c r="K383" s="42">
        <f>IFERROR(INDEX('Output Utente'!$H$2:$H$492,MATCH(380,'Output Utente'!$Q$2:$Q$492,0)),"")</f>
        <v>1</v>
      </c>
      <c r="L383" s="5" t="str">
        <f>IFERROR(INDEX('Output Utente'!$E$2:$E$492,MATCH(380,'Output Utente'!$Q$2:$Q$492,0)),"")</f>
        <v>NO</v>
      </c>
      <c r="M383" s="5" t="str">
        <f>IFERROR(INDEX('Output Utente'!$U$2:$U$492,MATCH(380,'Output Utente'!$Q$2:$Q$492,0)),"")</f>
        <v>OK</v>
      </c>
      <c r="N383" s="5" t="str">
        <f>IFERROR(INDEX('Output Utente'!$AE$2:$AE$492,MATCH(380,'Output Utente'!$Q$2:$Q$492,0)),"")</f>
        <v>🟢 Riserve abbondanti</v>
      </c>
    </row>
    <row r="384" spans="1:14" ht="15" customHeight="1" x14ac:dyDescent="0.25">
      <c r="A384" s="41">
        <v>381</v>
      </c>
      <c r="B384" s="5">
        <f>IFERROR(INDEX('Output Utente'!$A$2:$A$492,MATCH(381,'Output Utente'!$Q$2:$Q$492,0)),"")</f>
        <v>6977</v>
      </c>
      <c r="C384" s="5" t="str">
        <f>IFERROR(INDEX('Output Utente'!$B$2:$B$492,MATCH(381,'Output Utente'!$Q$2:$Q$492,0)),"")</f>
        <v>D</v>
      </c>
      <c r="D384" s="5" t="str">
        <f>IFERROR(INDEX('Output Utente'!$C$2:$C$492,MATCH(381,'Output Utente'!$Q$2:$Q$492,0)),"")</f>
        <v>Otoa</v>
      </c>
      <c r="E384" s="5" t="str">
        <f>IFERROR(INDEX('Input Giocatori 2026_27'!$D$3:$D$493,MATCH($B384,'Input Giocatori 2026_27'!$A$3:$A$493,0)),"")</f>
        <v>Genoa</v>
      </c>
      <c r="F384" s="42">
        <f>IFERROR(INDEX('Output Utente'!$N$2:$N$492,MATCH(381,'Output Utente'!$Q$2:$Q$492,0)),"")</f>
        <v>2</v>
      </c>
      <c r="G384" s="42">
        <f>IFERROR(INDEX('Output Utente'!$O$2:$O$492,MATCH(381,'Output Utente'!$Q$2:$Q$492,0)),"")</f>
        <v>5</v>
      </c>
      <c r="H384" s="5" t="str">
        <f>IFERROR(INDEX('Output Utente'!$P$2:$P$492,MATCH(381,'Output Utente'!$Q$2:$Q$492,0)),"")</f>
        <v>Scommessa/Riserva</v>
      </c>
      <c r="I384" s="42">
        <f>IFERROR(INDEX('Output Utente'!$F$2:$F$492,MATCH(381,'Output Utente'!$Q$2:$Q$492,0)),"")</f>
        <v>1</v>
      </c>
      <c r="J384" s="42">
        <f>IFERROR(INDEX('Output Utente'!$G$2:$G$492,MATCH(381,'Output Utente'!$Q$2:$Q$492,0)),"")</f>
        <v>1</v>
      </c>
      <c r="K384" s="42">
        <f>IFERROR(INDEX('Output Utente'!$H$2:$H$492,MATCH(381,'Output Utente'!$Q$2:$Q$492,0)),"")</f>
        <v>1</v>
      </c>
      <c r="L384" s="5" t="str">
        <f>IFERROR(INDEX('Output Utente'!$E$2:$E$492,MATCH(381,'Output Utente'!$Q$2:$Q$492,0)),"")</f>
        <v>NO</v>
      </c>
      <c r="M384" s="5" t="str">
        <f>IFERROR(INDEX('Output Utente'!$U$2:$U$492,MATCH(381,'Output Utente'!$Q$2:$Q$492,0)),"")</f>
        <v>OK</v>
      </c>
      <c r="N384" s="5" t="str">
        <f>IFERROR(INDEX('Output Utente'!$AE$2:$AE$492,MATCH(381,'Output Utente'!$Q$2:$Q$492,0)),"")</f>
        <v>🟢 Riserve abbondanti</v>
      </c>
    </row>
    <row r="385" spans="1:14" ht="15" customHeight="1" x14ac:dyDescent="0.25">
      <c r="A385" s="41">
        <v>382</v>
      </c>
      <c r="B385" s="5">
        <f>IFERROR(INDEX('Output Utente'!$A$2:$A$492,MATCH(382,'Output Utente'!$Q$2:$Q$492,0)),"")</f>
        <v>791</v>
      </c>
      <c r="C385" s="5" t="str">
        <f>IFERROR(INDEX('Output Utente'!$B$2:$B$492,MATCH(382,'Output Utente'!$Q$2:$Q$492,0)),"")</f>
        <v>D</v>
      </c>
      <c r="D385" s="5" t="str">
        <f>IFERROR(INDEX('Output Utente'!$C$2:$C$492,MATCH(382,'Output Utente'!$Q$2:$Q$492,0)),"")</f>
        <v>Sabelli</v>
      </c>
      <c r="E385" s="5" t="str">
        <f>IFERROR(INDEX('Input Giocatori 2026_27'!$D$3:$D$493,MATCH($B385,'Input Giocatori 2026_27'!$A$3:$A$493,0)),"")</f>
        <v>Genoa</v>
      </c>
      <c r="F385" s="42">
        <f>IFERROR(INDEX('Output Utente'!$N$2:$N$492,MATCH(382,'Output Utente'!$Q$2:$Q$492,0)),"")</f>
        <v>2</v>
      </c>
      <c r="G385" s="42">
        <f>IFERROR(INDEX('Output Utente'!$O$2:$O$492,MATCH(382,'Output Utente'!$Q$2:$Q$492,0)),"")</f>
        <v>5</v>
      </c>
      <c r="H385" s="5" t="str">
        <f>IFERROR(INDEX('Output Utente'!$P$2:$P$492,MATCH(382,'Output Utente'!$Q$2:$Q$492,0)),"")</f>
        <v>Scommessa/Riserva</v>
      </c>
      <c r="I385" s="42">
        <f>IFERROR(INDEX('Output Utente'!$F$2:$F$492,MATCH(382,'Output Utente'!$Q$2:$Q$492,0)),"")</f>
        <v>1</v>
      </c>
      <c r="J385" s="42">
        <f>IFERROR(INDEX('Output Utente'!$G$2:$G$492,MATCH(382,'Output Utente'!$Q$2:$Q$492,0)),"")</f>
        <v>1</v>
      </c>
      <c r="K385" s="42">
        <f>IFERROR(INDEX('Output Utente'!$H$2:$H$492,MATCH(382,'Output Utente'!$Q$2:$Q$492,0)),"")</f>
        <v>1</v>
      </c>
      <c r="L385" s="5" t="str">
        <f>IFERROR(INDEX('Output Utente'!$E$2:$E$492,MATCH(382,'Output Utente'!$Q$2:$Q$492,0)),"")</f>
        <v>NO</v>
      </c>
      <c r="M385" s="5" t="str">
        <f>IFERROR(INDEX('Output Utente'!$U$2:$U$492,MATCH(382,'Output Utente'!$Q$2:$Q$492,0)),"")</f>
        <v>OK</v>
      </c>
      <c r="N385" s="5" t="str">
        <f>IFERROR(INDEX('Output Utente'!$AE$2:$AE$492,MATCH(382,'Output Utente'!$Q$2:$Q$492,0)),"")</f>
        <v>🟢 Riserve abbondanti</v>
      </c>
    </row>
    <row r="386" spans="1:14" ht="15" customHeight="1" x14ac:dyDescent="0.25">
      <c r="A386" s="41">
        <v>383</v>
      </c>
      <c r="B386" s="5">
        <f>IFERROR(INDEX('Output Utente'!$A$2:$A$492,MATCH(383,'Output Utente'!$Q$2:$Q$492,0)),"")</f>
        <v>2728</v>
      </c>
      <c r="C386" s="5" t="str">
        <f>IFERROR(INDEX('Output Utente'!$B$2:$B$492,MATCH(383,'Output Utente'!$Q$2:$Q$492,0)),"")</f>
        <v>D</v>
      </c>
      <c r="D386" s="5" t="str">
        <f>IFERROR(INDEX('Output Utente'!$C$2:$C$492,MATCH(383,'Output Utente'!$Q$2:$Q$492,0)),"")</f>
        <v>Pellegrini Lu.</v>
      </c>
      <c r="E386" s="5" t="str">
        <f>IFERROR(INDEX('Input Giocatori 2026_27'!$D$3:$D$493,MATCH($B386,'Input Giocatori 2026_27'!$A$3:$A$493,0)),"")</f>
        <v>Lazio</v>
      </c>
      <c r="F386" s="42">
        <f>IFERROR(INDEX('Output Utente'!$N$2:$N$492,MATCH(383,'Output Utente'!$Q$2:$Q$492,0)),"")</f>
        <v>2</v>
      </c>
      <c r="G386" s="42">
        <f>IFERROR(INDEX('Output Utente'!$O$2:$O$492,MATCH(383,'Output Utente'!$Q$2:$Q$492,0)),"")</f>
        <v>5</v>
      </c>
      <c r="H386" s="5" t="str">
        <f>IFERROR(INDEX('Output Utente'!$P$2:$P$492,MATCH(383,'Output Utente'!$Q$2:$Q$492,0)),"")</f>
        <v>Scommessa/Riserva</v>
      </c>
      <c r="I386" s="42">
        <f>IFERROR(INDEX('Output Utente'!$F$2:$F$492,MATCH(383,'Output Utente'!$Q$2:$Q$492,0)),"")</f>
        <v>1</v>
      </c>
      <c r="J386" s="42">
        <f>IFERROR(INDEX('Output Utente'!$G$2:$G$492,MATCH(383,'Output Utente'!$Q$2:$Q$492,0)),"")</f>
        <v>1</v>
      </c>
      <c r="K386" s="42">
        <f>IFERROR(INDEX('Output Utente'!$H$2:$H$492,MATCH(383,'Output Utente'!$Q$2:$Q$492,0)),"")</f>
        <v>1</v>
      </c>
      <c r="L386" s="5" t="str">
        <f>IFERROR(INDEX('Output Utente'!$E$2:$E$492,MATCH(383,'Output Utente'!$Q$2:$Q$492,0)),"")</f>
        <v>NO</v>
      </c>
      <c r="M386" s="5" t="str">
        <f>IFERROR(INDEX('Output Utente'!$U$2:$U$492,MATCH(383,'Output Utente'!$Q$2:$Q$492,0)),"")</f>
        <v>OK</v>
      </c>
      <c r="N386" s="5" t="str">
        <f>IFERROR(INDEX('Output Utente'!$AE$2:$AE$492,MATCH(383,'Output Utente'!$Q$2:$Q$492,0)),"")</f>
        <v>🟢 Riserve abbondanti</v>
      </c>
    </row>
    <row r="387" spans="1:14" ht="15" customHeight="1" x14ac:dyDescent="0.25">
      <c r="A387" s="41">
        <v>384</v>
      </c>
      <c r="B387" s="5">
        <f>IFERROR(INDEX('Output Utente'!$A$2:$A$492,MATCH(384,'Output Utente'!$Q$2:$Q$492,0)),"")</f>
        <v>252</v>
      </c>
      <c r="C387" s="5" t="str">
        <f>IFERROR(INDEX('Output Utente'!$B$2:$B$492,MATCH(384,'Output Utente'!$Q$2:$Q$492,0)),"")</f>
        <v>D</v>
      </c>
      <c r="D387" s="5" t="str">
        <f>IFERROR(INDEX('Output Utente'!$C$2:$C$492,MATCH(384,'Output Utente'!$Q$2:$Q$492,0)),"")</f>
        <v>Biraghi</v>
      </c>
      <c r="E387" s="5" t="str">
        <f>IFERROR(INDEX('Input Giocatori 2026_27'!$D$3:$D$493,MATCH($B387,'Input Giocatori 2026_27'!$A$3:$A$493,0)),"")</f>
        <v>Torino</v>
      </c>
      <c r="F387" s="42">
        <f>IFERROR(INDEX('Output Utente'!$N$2:$N$492,MATCH(384,'Output Utente'!$Q$2:$Q$492,0)),"")</f>
        <v>2</v>
      </c>
      <c r="G387" s="42">
        <f>IFERROR(INDEX('Output Utente'!$O$2:$O$492,MATCH(384,'Output Utente'!$Q$2:$Q$492,0)),"")</f>
        <v>5</v>
      </c>
      <c r="H387" s="5" t="str">
        <f>IFERROR(INDEX('Output Utente'!$P$2:$P$492,MATCH(384,'Output Utente'!$Q$2:$Q$492,0)),"")</f>
        <v>Scommessa/Riserva</v>
      </c>
      <c r="I387" s="42">
        <f>IFERROR(INDEX('Output Utente'!$F$2:$F$492,MATCH(384,'Output Utente'!$Q$2:$Q$492,0)),"")</f>
        <v>1</v>
      </c>
      <c r="J387" s="42">
        <f>IFERROR(INDEX('Output Utente'!$G$2:$G$492,MATCH(384,'Output Utente'!$Q$2:$Q$492,0)),"")</f>
        <v>1</v>
      </c>
      <c r="K387" s="42">
        <f>IFERROR(INDEX('Output Utente'!$H$2:$H$492,MATCH(384,'Output Utente'!$Q$2:$Q$492,0)),"")</f>
        <v>1</v>
      </c>
      <c r="L387" s="5" t="str">
        <f>IFERROR(INDEX('Output Utente'!$E$2:$E$492,MATCH(384,'Output Utente'!$Q$2:$Q$492,0)),"")</f>
        <v>NO</v>
      </c>
      <c r="M387" s="5" t="str">
        <f>IFERROR(INDEX('Output Utente'!$U$2:$U$492,MATCH(384,'Output Utente'!$Q$2:$Q$492,0)),"")</f>
        <v>OK</v>
      </c>
      <c r="N387" s="5" t="str">
        <f>IFERROR(INDEX('Output Utente'!$AE$2:$AE$492,MATCH(384,'Output Utente'!$Q$2:$Q$492,0)),"")</f>
        <v>🟢 Riserve abbondanti</v>
      </c>
    </row>
    <row r="388" spans="1:14" ht="15" customHeight="1" x14ac:dyDescent="0.25">
      <c r="A388" s="41">
        <v>385</v>
      </c>
      <c r="B388" s="5">
        <f>IFERROR(INDEX('Output Utente'!$A$2:$A$492,MATCH(385,'Output Utente'!$Q$2:$Q$492,0)),"")</f>
        <v>6925</v>
      </c>
      <c r="C388" s="5" t="str">
        <f>IFERROR(INDEX('Output Utente'!$B$2:$B$492,MATCH(385,'Output Utente'!$Q$2:$Q$492,0)),"")</f>
        <v>D</v>
      </c>
      <c r="D388" s="5" t="str">
        <f>IFERROR(INDEX('Output Utente'!$C$2:$C$492,MATCH(385,'Output Utente'!$Q$2:$Q$492,0)),"")</f>
        <v>Palma</v>
      </c>
      <c r="E388" s="5" t="str">
        <f>IFERROR(INDEX('Input Giocatori 2026_27'!$D$3:$D$493,MATCH($B388,'Input Giocatori 2026_27'!$A$3:$A$493,0)),"")</f>
        <v>Udinese</v>
      </c>
      <c r="F388" s="42">
        <f>IFERROR(INDEX('Output Utente'!$N$2:$N$492,MATCH(385,'Output Utente'!$Q$2:$Q$492,0)),"")</f>
        <v>2</v>
      </c>
      <c r="G388" s="42">
        <f>IFERROR(INDEX('Output Utente'!$O$2:$O$492,MATCH(385,'Output Utente'!$Q$2:$Q$492,0)),"")</f>
        <v>5</v>
      </c>
      <c r="H388" s="5" t="str">
        <f>IFERROR(INDEX('Output Utente'!$P$2:$P$492,MATCH(385,'Output Utente'!$Q$2:$Q$492,0)),"")</f>
        <v>Scommessa/Riserva</v>
      </c>
      <c r="I388" s="42">
        <f>IFERROR(INDEX('Output Utente'!$F$2:$F$492,MATCH(385,'Output Utente'!$Q$2:$Q$492,0)),"")</f>
        <v>1</v>
      </c>
      <c r="J388" s="42">
        <f>IFERROR(INDEX('Output Utente'!$G$2:$G$492,MATCH(385,'Output Utente'!$Q$2:$Q$492,0)),"")</f>
        <v>1</v>
      </c>
      <c r="K388" s="42">
        <f>IFERROR(INDEX('Output Utente'!$H$2:$H$492,MATCH(385,'Output Utente'!$Q$2:$Q$492,0)),"")</f>
        <v>1</v>
      </c>
      <c r="L388" s="5" t="str">
        <f>IFERROR(INDEX('Output Utente'!$E$2:$E$492,MATCH(385,'Output Utente'!$Q$2:$Q$492,0)),"")</f>
        <v>NO</v>
      </c>
      <c r="M388" s="5" t="str">
        <f>IFERROR(INDEX('Output Utente'!$U$2:$U$492,MATCH(385,'Output Utente'!$Q$2:$Q$492,0)),"")</f>
        <v>OK</v>
      </c>
      <c r="N388" s="5" t="str">
        <f>IFERROR(INDEX('Output Utente'!$AE$2:$AE$492,MATCH(385,'Output Utente'!$Q$2:$Q$492,0)),"")</f>
        <v>🟢 Riserve abbondanti</v>
      </c>
    </row>
    <row r="389" spans="1:14" ht="15" customHeight="1" x14ac:dyDescent="0.25">
      <c r="A389" s="41">
        <v>386</v>
      </c>
      <c r="B389" s="5">
        <f>IFERROR(INDEX('Output Utente'!$A$2:$A$492,MATCH(386,'Output Utente'!$Q$2:$Q$492,0)),"")</f>
        <v>7183</v>
      </c>
      <c r="C389" s="5" t="str">
        <f>IFERROR(INDEX('Output Utente'!$B$2:$B$492,MATCH(386,'Output Utente'!$Q$2:$Q$492,0)),"")</f>
        <v>C</v>
      </c>
      <c r="D389" s="5" t="str">
        <f>IFERROR(INDEX('Output Utente'!$C$2:$C$492,MATCH(386,'Output Utente'!$Q$2:$Q$492,0)),"")</f>
        <v>Aboukhlal</v>
      </c>
      <c r="E389" s="5" t="str">
        <f>IFERROR(INDEX('Input Giocatori 2026_27'!$D$3:$D$493,MATCH($B389,'Input Giocatori 2026_27'!$A$3:$A$493,0)),"")</f>
        <v>Torino</v>
      </c>
      <c r="F389" s="42">
        <f>IFERROR(INDEX('Output Utente'!$N$2:$N$492,MATCH(386,'Output Utente'!$Q$2:$Q$492,0)),"")</f>
        <v>3</v>
      </c>
      <c r="G389" s="42">
        <f>IFERROR(INDEX('Output Utente'!$O$2:$O$492,MATCH(386,'Output Utente'!$Q$2:$Q$492,0)),"")</f>
        <v>5</v>
      </c>
      <c r="H389" s="5" t="str">
        <f>IFERROR(INDEX('Output Utente'!$P$2:$P$492,MATCH(386,'Output Utente'!$Q$2:$Q$492,0)),"")</f>
        <v>Scommessa/Riserva</v>
      </c>
      <c r="I389" s="42">
        <f>IFERROR(INDEX('Output Utente'!$F$2:$F$492,MATCH(386,'Output Utente'!$Q$2:$Q$492,0)),"")</f>
        <v>1</v>
      </c>
      <c r="J389" s="42">
        <f>IFERROR(INDEX('Output Utente'!$G$2:$G$492,MATCH(386,'Output Utente'!$Q$2:$Q$492,0)),"")</f>
        <v>1</v>
      </c>
      <c r="K389" s="42">
        <f>IFERROR(INDEX('Output Utente'!$H$2:$H$492,MATCH(386,'Output Utente'!$Q$2:$Q$492,0)),"")</f>
        <v>1</v>
      </c>
      <c r="L389" s="5" t="str">
        <f>IFERROR(INDEX('Output Utente'!$E$2:$E$492,MATCH(386,'Output Utente'!$Q$2:$Q$492,0)),"")</f>
        <v>NO</v>
      </c>
      <c r="M389" s="5" t="str">
        <f>IFERROR(INDEX('Output Utente'!$U$2:$U$492,MATCH(386,'Output Utente'!$Q$2:$Q$492,0)),"")</f>
        <v>OK</v>
      </c>
      <c r="N389" s="5" t="str">
        <f>IFERROR(INDEX('Output Utente'!$AE$2:$AE$492,MATCH(386,'Output Utente'!$Q$2:$Q$492,0)),"")</f>
        <v>🟢 Riserve abbondanti</v>
      </c>
    </row>
    <row r="390" spans="1:14" ht="15" customHeight="1" x14ac:dyDescent="0.25">
      <c r="A390" s="41">
        <v>387</v>
      </c>
      <c r="B390" s="5">
        <f>IFERROR(INDEX('Output Utente'!$A$2:$A$492,MATCH(387,'Output Utente'!$Q$2:$Q$492,0)),"")</f>
        <v>6903</v>
      </c>
      <c r="C390" s="5" t="str">
        <f>IFERROR(INDEX('Output Utente'!$B$2:$B$492,MATCH(387,'Output Utente'!$Q$2:$Q$492,0)),"")</f>
        <v>C</v>
      </c>
      <c r="D390" s="5" t="str">
        <f>IFERROR(INDEX('Output Utente'!$C$2:$C$492,MATCH(387,'Output Utente'!$Q$2:$Q$492,0)),"")</f>
        <v>Hasa</v>
      </c>
      <c r="E390" s="5" t="str">
        <f>IFERROR(INDEX('Input Giocatori 2026_27'!$D$3:$D$493,MATCH($B390,'Input Giocatori 2026_27'!$A$3:$A$493,0)),"")</f>
        <v>Frosinone</v>
      </c>
      <c r="F390" s="42">
        <f>IFERROR(INDEX('Output Utente'!$N$2:$N$492,MATCH(387,'Output Utente'!$Q$2:$Q$492,0)),"")</f>
        <v>2</v>
      </c>
      <c r="G390" s="42">
        <f>IFERROR(INDEX('Output Utente'!$O$2:$O$492,MATCH(387,'Output Utente'!$Q$2:$Q$492,0)),"")</f>
        <v>5</v>
      </c>
      <c r="H390" s="5" t="str">
        <f>IFERROR(INDEX('Output Utente'!$P$2:$P$492,MATCH(387,'Output Utente'!$Q$2:$Q$492,0)),"")</f>
        <v>Scommessa/Riserva</v>
      </c>
      <c r="I390" s="42">
        <f>IFERROR(INDEX('Output Utente'!$F$2:$F$492,MATCH(387,'Output Utente'!$Q$2:$Q$492,0)),"")</f>
        <v>1</v>
      </c>
      <c r="J390" s="42">
        <f>IFERROR(INDEX('Output Utente'!$G$2:$G$492,MATCH(387,'Output Utente'!$Q$2:$Q$492,0)),"")</f>
        <v>1</v>
      </c>
      <c r="K390" s="42">
        <f>IFERROR(INDEX('Output Utente'!$H$2:$H$492,MATCH(387,'Output Utente'!$Q$2:$Q$492,0)),"")</f>
        <v>1</v>
      </c>
      <c r="L390" s="5" t="str">
        <f>IFERROR(INDEX('Output Utente'!$E$2:$E$492,MATCH(387,'Output Utente'!$Q$2:$Q$492,0)),"")</f>
        <v>NO</v>
      </c>
      <c r="M390" s="5" t="str">
        <f>IFERROR(INDEX('Output Utente'!$U$2:$U$492,MATCH(387,'Output Utente'!$Q$2:$Q$492,0)),"")</f>
        <v>OK</v>
      </c>
      <c r="N390" s="5" t="str">
        <f>IFERROR(INDEX('Output Utente'!$AE$2:$AE$492,MATCH(387,'Output Utente'!$Q$2:$Q$492,0)),"")</f>
        <v>🟢 Riserve abbondanti</v>
      </c>
    </row>
    <row r="391" spans="1:14" ht="15" customHeight="1" x14ac:dyDescent="0.25">
      <c r="A391" s="41">
        <v>388</v>
      </c>
      <c r="B391" s="5">
        <f>IFERROR(INDEX('Output Utente'!$A$2:$A$492,MATCH(388,'Output Utente'!$Q$2:$Q$492,0)),"")</f>
        <v>5457</v>
      </c>
      <c r="C391" s="5" t="str">
        <f>IFERROR(INDEX('Output Utente'!$B$2:$B$492,MATCH(388,'Output Utente'!$Q$2:$Q$492,0)),"")</f>
        <v>C</v>
      </c>
      <c r="D391" s="5" t="str">
        <f>IFERROR(INDEX('Output Utente'!$C$2:$C$492,MATCH(388,'Output Utente'!$Q$2:$Q$492,0)),"")</f>
        <v>Maleh</v>
      </c>
      <c r="E391" s="5" t="str">
        <f>IFERROR(INDEX('Input Giocatori 2026_27'!$D$3:$D$493,MATCH($B391,'Input Giocatori 2026_27'!$A$3:$A$493,0)),"")</f>
        <v>Lecce</v>
      </c>
      <c r="F391" s="42">
        <f>IFERROR(INDEX('Output Utente'!$N$2:$N$492,MATCH(388,'Output Utente'!$Q$2:$Q$492,0)),"")</f>
        <v>2</v>
      </c>
      <c r="G391" s="42">
        <f>IFERROR(INDEX('Output Utente'!$O$2:$O$492,MATCH(388,'Output Utente'!$Q$2:$Q$492,0)),"")</f>
        <v>5</v>
      </c>
      <c r="H391" s="5" t="str">
        <f>IFERROR(INDEX('Output Utente'!$P$2:$P$492,MATCH(388,'Output Utente'!$Q$2:$Q$492,0)),"")</f>
        <v>Scommessa/Riserva</v>
      </c>
      <c r="I391" s="42">
        <f>IFERROR(INDEX('Output Utente'!$F$2:$F$492,MATCH(388,'Output Utente'!$Q$2:$Q$492,0)),"")</f>
        <v>1</v>
      </c>
      <c r="J391" s="42">
        <f>IFERROR(INDEX('Output Utente'!$G$2:$G$492,MATCH(388,'Output Utente'!$Q$2:$Q$492,0)),"")</f>
        <v>1</v>
      </c>
      <c r="K391" s="42">
        <f>IFERROR(INDEX('Output Utente'!$H$2:$H$492,MATCH(388,'Output Utente'!$Q$2:$Q$492,0)),"")</f>
        <v>1</v>
      </c>
      <c r="L391" s="5" t="str">
        <f>IFERROR(INDEX('Output Utente'!$E$2:$E$492,MATCH(388,'Output Utente'!$Q$2:$Q$492,0)),"")</f>
        <v>NO</v>
      </c>
      <c r="M391" s="5" t="str">
        <f>IFERROR(INDEX('Output Utente'!$U$2:$U$492,MATCH(388,'Output Utente'!$Q$2:$Q$492,0)),"")</f>
        <v>OK</v>
      </c>
      <c r="N391" s="5" t="str">
        <f>IFERROR(INDEX('Output Utente'!$AE$2:$AE$492,MATCH(388,'Output Utente'!$Q$2:$Q$492,0)),"")</f>
        <v>🟢 Riserve abbondanti</v>
      </c>
    </row>
    <row r="392" spans="1:14" ht="15" customHeight="1" x14ac:dyDescent="0.25">
      <c r="A392" s="41">
        <v>389</v>
      </c>
      <c r="B392" s="5">
        <f>IFERROR(INDEX('Output Utente'!$A$2:$A$492,MATCH(389,'Output Utente'!$Q$2:$Q$492,0)),"")</f>
        <v>7138</v>
      </c>
      <c r="C392" s="5" t="str">
        <f>IFERROR(INDEX('Output Utente'!$B$2:$B$492,MATCH(389,'Output Utente'!$Q$2:$Q$492,0)),"")</f>
        <v>C</v>
      </c>
      <c r="D392" s="5" t="str">
        <f>IFERROR(INDEX('Output Utente'!$C$2:$C$492,MATCH(389,'Output Utente'!$Q$2:$Q$492,0)),"")</f>
        <v>Ordonez C.</v>
      </c>
      <c r="E392" s="5" t="str">
        <f>IFERROR(INDEX('Input Giocatori 2026_27'!$D$3:$D$493,MATCH($B392,'Input Giocatori 2026_27'!$A$3:$A$493,0)),"")</f>
        <v>Parma</v>
      </c>
      <c r="F392" s="42">
        <f>IFERROR(INDEX('Output Utente'!$N$2:$N$492,MATCH(389,'Output Utente'!$Q$2:$Q$492,0)),"")</f>
        <v>2</v>
      </c>
      <c r="G392" s="42">
        <f>IFERROR(INDEX('Output Utente'!$O$2:$O$492,MATCH(389,'Output Utente'!$Q$2:$Q$492,0)),"")</f>
        <v>5</v>
      </c>
      <c r="H392" s="5" t="str">
        <f>IFERROR(INDEX('Output Utente'!$P$2:$P$492,MATCH(389,'Output Utente'!$Q$2:$Q$492,0)),"")</f>
        <v>Scommessa/Riserva</v>
      </c>
      <c r="I392" s="42">
        <f>IFERROR(INDEX('Output Utente'!$F$2:$F$492,MATCH(389,'Output Utente'!$Q$2:$Q$492,0)),"")</f>
        <v>1</v>
      </c>
      <c r="J392" s="42">
        <f>IFERROR(INDEX('Output Utente'!$G$2:$G$492,MATCH(389,'Output Utente'!$Q$2:$Q$492,0)),"")</f>
        <v>1</v>
      </c>
      <c r="K392" s="42">
        <f>IFERROR(INDEX('Output Utente'!$H$2:$H$492,MATCH(389,'Output Utente'!$Q$2:$Q$492,0)),"")</f>
        <v>1</v>
      </c>
      <c r="L392" s="5" t="str">
        <f>IFERROR(INDEX('Output Utente'!$E$2:$E$492,MATCH(389,'Output Utente'!$Q$2:$Q$492,0)),"")</f>
        <v>NO</v>
      </c>
      <c r="M392" s="5" t="str">
        <f>IFERROR(INDEX('Output Utente'!$U$2:$U$492,MATCH(389,'Output Utente'!$Q$2:$Q$492,0)),"")</f>
        <v>OK</v>
      </c>
      <c r="N392" s="5" t="str">
        <f>IFERROR(INDEX('Output Utente'!$AE$2:$AE$492,MATCH(389,'Output Utente'!$Q$2:$Q$492,0)),"")</f>
        <v>🟢 Riserve abbondanti</v>
      </c>
    </row>
    <row r="393" spans="1:14" ht="15" customHeight="1" x14ac:dyDescent="0.25">
      <c r="A393" s="41">
        <v>390</v>
      </c>
      <c r="B393" s="5">
        <f>IFERROR(INDEX('Output Utente'!$A$2:$A$492,MATCH(390,'Output Utente'!$Q$2:$Q$492,0)),"")</f>
        <v>6219</v>
      </c>
      <c r="C393" s="5" t="str">
        <f>IFERROR(INDEX('Output Utente'!$B$2:$B$492,MATCH(390,'Output Utente'!$Q$2:$Q$492,0)),"")</f>
        <v>C</v>
      </c>
      <c r="D393" s="5" t="str">
        <f>IFERROR(INDEX('Output Utente'!$C$2:$C$492,MATCH(390,'Output Utente'!$Q$2:$Q$492,0)),"")</f>
        <v>Boloca</v>
      </c>
      <c r="E393" s="5" t="str">
        <f>IFERROR(INDEX('Input Giocatori 2026_27'!$D$3:$D$493,MATCH($B393,'Input Giocatori 2026_27'!$A$3:$A$493,0)),"")</f>
        <v>Sassuolo</v>
      </c>
      <c r="F393" s="42">
        <f>IFERROR(INDEX('Output Utente'!$N$2:$N$492,MATCH(390,'Output Utente'!$Q$2:$Q$492,0)),"")</f>
        <v>2</v>
      </c>
      <c r="G393" s="42">
        <f>IFERROR(INDEX('Output Utente'!$O$2:$O$492,MATCH(390,'Output Utente'!$Q$2:$Q$492,0)),"")</f>
        <v>5</v>
      </c>
      <c r="H393" s="5" t="str">
        <f>IFERROR(INDEX('Output Utente'!$P$2:$P$492,MATCH(390,'Output Utente'!$Q$2:$Q$492,0)),"")</f>
        <v>Scommessa/Riserva</v>
      </c>
      <c r="I393" s="42">
        <f>IFERROR(INDEX('Output Utente'!$F$2:$F$492,MATCH(390,'Output Utente'!$Q$2:$Q$492,0)),"")</f>
        <v>1</v>
      </c>
      <c r="J393" s="42">
        <f>IFERROR(INDEX('Output Utente'!$G$2:$G$492,MATCH(390,'Output Utente'!$Q$2:$Q$492,0)),"")</f>
        <v>1</v>
      </c>
      <c r="K393" s="42">
        <f>IFERROR(INDEX('Output Utente'!$H$2:$H$492,MATCH(390,'Output Utente'!$Q$2:$Q$492,0)),"")</f>
        <v>1</v>
      </c>
      <c r="L393" s="5" t="str">
        <f>IFERROR(INDEX('Output Utente'!$E$2:$E$492,MATCH(390,'Output Utente'!$Q$2:$Q$492,0)),"")</f>
        <v>NO</v>
      </c>
      <c r="M393" s="5" t="str">
        <f>IFERROR(INDEX('Output Utente'!$U$2:$U$492,MATCH(390,'Output Utente'!$Q$2:$Q$492,0)),"")</f>
        <v>OK</v>
      </c>
      <c r="N393" s="5" t="str">
        <f>IFERROR(INDEX('Output Utente'!$AE$2:$AE$492,MATCH(390,'Output Utente'!$Q$2:$Q$492,0)),"")</f>
        <v>🟢 Riserve abbondanti</v>
      </c>
    </row>
    <row r="394" spans="1:14" ht="15" customHeight="1" x14ac:dyDescent="0.25">
      <c r="A394" s="41">
        <v>391</v>
      </c>
      <c r="B394" s="5">
        <f>IFERROR(INDEX('Output Utente'!$A$2:$A$492,MATCH(391,'Output Utente'!$Q$2:$Q$492,0)),"")</f>
        <v>6246</v>
      </c>
      <c r="C394" s="5" t="str">
        <f>IFERROR(INDEX('Output Utente'!$B$2:$B$492,MATCH(391,'Output Utente'!$Q$2:$Q$492,0)),"")</f>
        <v>C</v>
      </c>
      <c r="D394" s="5" t="str">
        <f>IFERROR(INDEX('Output Utente'!$C$2:$C$492,MATCH(391,'Output Utente'!$Q$2:$Q$492,0)),"")</f>
        <v>Lipani</v>
      </c>
      <c r="E394" s="5" t="str">
        <f>IFERROR(INDEX('Input Giocatori 2026_27'!$D$3:$D$493,MATCH($B394,'Input Giocatori 2026_27'!$A$3:$A$493,0)),"")</f>
        <v>Sassuolo</v>
      </c>
      <c r="F394" s="42">
        <f>IFERROR(INDEX('Output Utente'!$N$2:$N$492,MATCH(391,'Output Utente'!$Q$2:$Q$492,0)),"")</f>
        <v>2</v>
      </c>
      <c r="G394" s="42">
        <f>IFERROR(INDEX('Output Utente'!$O$2:$O$492,MATCH(391,'Output Utente'!$Q$2:$Q$492,0)),"")</f>
        <v>5</v>
      </c>
      <c r="H394" s="5" t="str">
        <f>IFERROR(INDEX('Output Utente'!$P$2:$P$492,MATCH(391,'Output Utente'!$Q$2:$Q$492,0)),"")</f>
        <v>Scommessa/Riserva</v>
      </c>
      <c r="I394" s="42">
        <f>IFERROR(INDEX('Output Utente'!$F$2:$F$492,MATCH(391,'Output Utente'!$Q$2:$Q$492,0)),"")</f>
        <v>1</v>
      </c>
      <c r="J394" s="42">
        <f>IFERROR(INDEX('Output Utente'!$G$2:$G$492,MATCH(391,'Output Utente'!$Q$2:$Q$492,0)),"")</f>
        <v>1</v>
      </c>
      <c r="K394" s="42">
        <f>IFERROR(INDEX('Output Utente'!$H$2:$H$492,MATCH(391,'Output Utente'!$Q$2:$Q$492,0)),"")</f>
        <v>1</v>
      </c>
      <c r="L394" s="5" t="str">
        <f>IFERROR(INDEX('Output Utente'!$E$2:$E$492,MATCH(391,'Output Utente'!$Q$2:$Q$492,0)),"")</f>
        <v>NO</v>
      </c>
      <c r="M394" s="5" t="str">
        <f>IFERROR(INDEX('Output Utente'!$U$2:$U$492,MATCH(391,'Output Utente'!$Q$2:$Q$492,0)),"")</f>
        <v>OK</v>
      </c>
      <c r="N394" s="5" t="str">
        <f>IFERROR(INDEX('Output Utente'!$AE$2:$AE$492,MATCH(391,'Output Utente'!$Q$2:$Q$492,0)),"")</f>
        <v>🟢 Riserve abbondanti</v>
      </c>
    </row>
    <row r="395" spans="1:14" ht="15" customHeight="1" x14ac:dyDescent="0.25">
      <c r="A395" s="41">
        <v>392</v>
      </c>
      <c r="B395" s="5">
        <f>IFERROR(INDEX('Output Utente'!$A$2:$A$492,MATCH(392,'Output Utente'!$Q$2:$Q$492,0)),"")</f>
        <v>7128</v>
      </c>
      <c r="C395" s="5" t="str">
        <f>IFERROR(INDEX('Output Utente'!$B$2:$B$492,MATCH(392,'Output Utente'!$Q$2:$Q$492,0)),"")</f>
        <v>A</v>
      </c>
      <c r="D395" s="5" t="str">
        <f>IFERROR(INDEX('Output Utente'!$C$2:$C$492,MATCH(392,'Output Utente'!$Q$2:$Q$492,0)),"")</f>
        <v>Kuhn</v>
      </c>
      <c r="E395" s="5" t="str">
        <f>IFERROR(INDEX('Input Giocatori 2026_27'!$D$3:$D$493,MATCH($B395,'Input Giocatori 2026_27'!$A$3:$A$493,0)),"")</f>
        <v>Como</v>
      </c>
      <c r="F395" s="42">
        <f>IFERROR(INDEX('Output Utente'!$N$2:$N$492,MATCH(392,'Output Utente'!$Q$2:$Q$492,0)),"")</f>
        <v>3</v>
      </c>
      <c r="G395" s="42">
        <f>IFERROR(INDEX('Output Utente'!$O$2:$O$492,MATCH(392,'Output Utente'!$Q$2:$Q$492,0)),"")</f>
        <v>5</v>
      </c>
      <c r="H395" s="5" t="str">
        <f>IFERROR(INDEX('Output Utente'!$P$2:$P$492,MATCH(392,'Output Utente'!$Q$2:$Q$492,0)),"")</f>
        <v>Scommessa/Riserva</v>
      </c>
      <c r="I395" s="42">
        <f>IFERROR(INDEX('Output Utente'!$F$2:$F$492,MATCH(392,'Output Utente'!$Q$2:$Q$492,0)),"")</f>
        <v>2</v>
      </c>
      <c r="J395" s="42">
        <f>IFERROR(INDEX('Output Utente'!$G$2:$G$492,MATCH(392,'Output Utente'!$Q$2:$Q$492,0)),"")</f>
        <v>1</v>
      </c>
      <c r="K395" s="42">
        <f>IFERROR(INDEX('Output Utente'!$H$2:$H$492,MATCH(392,'Output Utente'!$Q$2:$Q$492,0)),"")</f>
        <v>2</v>
      </c>
      <c r="L395" s="5" t="str">
        <f>IFERROR(INDEX('Output Utente'!$E$2:$E$492,MATCH(392,'Output Utente'!$Q$2:$Q$492,0)),"")</f>
        <v>NO</v>
      </c>
      <c r="M395" s="5" t="str">
        <f>IFERROR(INDEX('Output Utente'!$U$2:$U$492,MATCH(392,'Output Utente'!$Q$2:$Q$492,0)),"")</f>
        <v>OK</v>
      </c>
      <c r="N395" s="5" t="str">
        <f>IFERROR(INDEX('Output Utente'!$AE$2:$AE$492,MATCH(392,'Output Utente'!$Q$2:$Q$492,0)),"")</f>
        <v>🟢 Riserve abbondanti</v>
      </c>
    </row>
    <row r="396" spans="1:14" ht="15" customHeight="1" x14ac:dyDescent="0.25">
      <c r="A396" s="41">
        <v>393</v>
      </c>
      <c r="B396" s="5">
        <f>IFERROR(INDEX('Output Utente'!$A$2:$A$492,MATCH(393,'Output Utente'!$Q$2:$Q$492,0)),"")</f>
        <v>383</v>
      </c>
      <c r="C396" s="5" t="str">
        <f>IFERROR(INDEX('Output Utente'!$B$2:$B$492,MATCH(393,'Output Utente'!$Q$2:$Q$492,0)),"")</f>
        <v>A</v>
      </c>
      <c r="D396" s="5" t="str">
        <f>IFERROR(INDEX('Output Utente'!$C$2:$C$492,MATCH(393,'Output Utente'!$Q$2:$Q$492,0)),"")</f>
        <v>Petagna</v>
      </c>
      <c r="E396" s="5" t="str">
        <f>IFERROR(INDEX('Input Giocatori 2026_27'!$D$3:$D$493,MATCH($B396,'Input Giocatori 2026_27'!$A$3:$A$493,0)),"")</f>
        <v>Monza</v>
      </c>
      <c r="F396" s="42">
        <f>IFERROR(INDEX('Output Utente'!$N$2:$N$492,MATCH(393,'Output Utente'!$Q$2:$Q$492,0)),"")</f>
        <v>2</v>
      </c>
      <c r="G396" s="42">
        <f>IFERROR(INDEX('Output Utente'!$O$2:$O$492,MATCH(393,'Output Utente'!$Q$2:$Q$492,0)),"")</f>
        <v>5</v>
      </c>
      <c r="H396" s="5" t="str">
        <f>IFERROR(INDEX('Output Utente'!$P$2:$P$492,MATCH(393,'Output Utente'!$Q$2:$Q$492,0)),"")</f>
        <v>Scommessa/Riserva</v>
      </c>
      <c r="I396" s="42">
        <f>IFERROR(INDEX('Output Utente'!$F$2:$F$492,MATCH(393,'Output Utente'!$Q$2:$Q$492,0)),"")</f>
        <v>2</v>
      </c>
      <c r="J396" s="42">
        <f>IFERROR(INDEX('Output Utente'!$G$2:$G$492,MATCH(393,'Output Utente'!$Q$2:$Q$492,0)),"")</f>
        <v>1</v>
      </c>
      <c r="K396" s="42">
        <f>IFERROR(INDEX('Output Utente'!$H$2:$H$492,MATCH(393,'Output Utente'!$Q$2:$Q$492,0)),"")</f>
        <v>2</v>
      </c>
      <c r="L396" s="5" t="str">
        <f>IFERROR(INDEX('Output Utente'!$E$2:$E$492,MATCH(393,'Output Utente'!$Q$2:$Q$492,0)),"")</f>
        <v>NO</v>
      </c>
      <c r="M396" s="5" t="str">
        <f>IFERROR(INDEX('Output Utente'!$U$2:$U$492,MATCH(393,'Output Utente'!$Q$2:$Q$492,0)),"")</f>
        <v>OK</v>
      </c>
      <c r="N396" s="5" t="str">
        <f>IFERROR(INDEX('Output Utente'!$AE$2:$AE$492,MATCH(393,'Output Utente'!$Q$2:$Q$492,0)),"")</f>
        <v>🟢 Riserve abbondanti</v>
      </c>
    </row>
    <row r="397" spans="1:14" ht="15" customHeight="1" x14ac:dyDescent="0.25">
      <c r="A397" s="41">
        <v>394</v>
      </c>
      <c r="B397" s="5">
        <f>IFERROR(INDEX('Output Utente'!$A$2:$A$492,MATCH(394,'Output Utente'!$Q$2:$Q$492,0)),"")</f>
        <v>6883</v>
      </c>
      <c r="C397" s="5" t="str">
        <f>IFERROR(INDEX('Output Utente'!$B$2:$B$492,MATCH(394,'Output Utente'!$Q$2:$Q$492,0)),"")</f>
        <v>D</v>
      </c>
      <c r="D397" s="5" t="str">
        <f>IFERROR(INDEX('Output Utente'!$C$2:$C$492,MATCH(394,'Output Utente'!$Q$2:$Q$492,0)),"")</f>
        <v>Jean</v>
      </c>
      <c r="E397" s="5" t="str">
        <f>IFERROR(INDEX('Input Giocatori 2026_27'!$D$3:$D$493,MATCH($B397,'Input Giocatori 2026_27'!$A$3:$A$493,0)),"")</f>
        <v>Lecce</v>
      </c>
      <c r="F397" s="42">
        <f>IFERROR(INDEX('Output Utente'!$N$2:$N$492,MATCH(394,'Output Utente'!$Q$2:$Q$492,0)),"")</f>
        <v>2</v>
      </c>
      <c r="G397" s="42">
        <f>IFERROR(INDEX('Output Utente'!$O$2:$O$492,MATCH(394,'Output Utente'!$Q$2:$Q$492,0)),"")</f>
        <v>4</v>
      </c>
      <c r="H397" s="5" t="str">
        <f>IFERROR(INDEX('Output Utente'!$P$2:$P$492,MATCH(394,'Output Utente'!$Q$2:$Q$492,0)),"")</f>
        <v>Scommessa/Riserva</v>
      </c>
      <c r="I397" s="42">
        <f>IFERROR(INDEX('Output Utente'!$F$2:$F$492,MATCH(394,'Output Utente'!$Q$2:$Q$492,0)),"")</f>
        <v>1</v>
      </c>
      <c r="J397" s="42">
        <f>IFERROR(INDEX('Output Utente'!$G$2:$G$492,MATCH(394,'Output Utente'!$Q$2:$Q$492,0)),"")</f>
        <v>1</v>
      </c>
      <c r="K397" s="42">
        <f>IFERROR(INDEX('Output Utente'!$H$2:$H$492,MATCH(394,'Output Utente'!$Q$2:$Q$492,0)),"")</f>
        <v>1</v>
      </c>
      <c r="L397" s="5" t="str">
        <f>IFERROR(INDEX('Output Utente'!$E$2:$E$492,MATCH(394,'Output Utente'!$Q$2:$Q$492,0)),"")</f>
        <v>NO</v>
      </c>
      <c r="M397" s="5" t="str">
        <f>IFERROR(INDEX('Output Utente'!$U$2:$U$492,MATCH(394,'Output Utente'!$Q$2:$Q$492,0)),"")</f>
        <v>OK</v>
      </c>
      <c r="N397" s="5" t="str">
        <f>IFERROR(INDEX('Output Utente'!$AE$2:$AE$492,MATCH(394,'Output Utente'!$Q$2:$Q$492,0)),"")</f>
        <v>🟢 Riserve abbondanti</v>
      </c>
    </row>
    <row r="398" spans="1:14" ht="15" customHeight="1" x14ac:dyDescent="0.25">
      <c r="A398" s="41">
        <v>395</v>
      </c>
      <c r="B398" s="5">
        <f>IFERROR(INDEX('Output Utente'!$A$2:$A$492,MATCH(395,'Output Utente'!$Q$2:$Q$492,0)),"")</f>
        <v>7525</v>
      </c>
      <c r="C398" s="5" t="str">
        <f>IFERROR(INDEX('Output Utente'!$B$2:$B$492,MATCH(395,'Output Utente'!$Q$2:$Q$492,0)),"")</f>
        <v>D</v>
      </c>
      <c r="D398" s="5" t="str">
        <f>IFERROR(INDEX('Output Utente'!$C$2:$C$492,MATCH(395,'Output Utente'!$Q$2:$Q$492,0)),"")</f>
        <v>Diawara S.</v>
      </c>
      <c r="E398" s="5" t="str">
        <f>IFERROR(INDEX('Input Giocatori 2026_27'!$D$3:$D$493,MATCH($B398,'Input Giocatori 2026_27'!$A$3:$A$493,0)),"")</f>
        <v>Milan</v>
      </c>
      <c r="F398" s="42">
        <f>IFERROR(INDEX('Output Utente'!$N$2:$N$492,MATCH(395,'Output Utente'!$Q$2:$Q$492,0)),"")</f>
        <v>2</v>
      </c>
      <c r="G398" s="42">
        <f>IFERROR(INDEX('Output Utente'!$O$2:$O$492,MATCH(395,'Output Utente'!$Q$2:$Q$492,0)),"")</f>
        <v>4</v>
      </c>
      <c r="H398" s="5" t="str">
        <f>IFERROR(INDEX('Output Utente'!$P$2:$P$492,MATCH(395,'Output Utente'!$Q$2:$Q$492,0)),"")</f>
        <v>Scommessa/Riserva</v>
      </c>
      <c r="I398" s="42">
        <f>IFERROR(INDEX('Output Utente'!$F$2:$F$492,MATCH(395,'Output Utente'!$Q$2:$Q$492,0)),"")</f>
        <v>1</v>
      </c>
      <c r="J398" s="42">
        <f>IFERROR(INDEX('Output Utente'!$G$2:$G$492,MATCH(395,'Output Utente'!$Q$2:$Q$492,0)),"")</f>
        <v>1</v>
      </c>
      <c r="K398" s="42">
        <f>IFERROR(INDEX('Output Utente'!$H$2:$H$492,MATCH(395,'Output Utente'!$Q$2:$Q$492,0)),"")</f>
        <v>1</v>
      </c>
      <c r="L398" s="5" t="str">
        <f>IFERROR(INDEX('Output Utente'!$E$2:$E$492,MATCH(395,'Output Utente'!$Q$2:$Q$492,0)),"")</f>
        <v>NO</v>
      </c>
      <c r="M398" s="5" t="str">
        <f>IFERROR(INDEX('Output Utente'!$U$2:$U$492,MATCH(395,'Output Utente'!$Q$2:$Q$492,0)),"")</f>
        <v>OK</v>
      </c>
      <c r="N398" s="5" t="str">
        <f>IFERROR(INDEX('Output Utente'!$AE$2:$AE$492,MATCH(395,'Output Utente'!$Q$2:$Q$492,0)),"")</f>
        <v>🟢 Riserve abbondanti</v>
      </c>
    </row>
    <row r="399" spans="1:14" ht="15" customHeight="1" x14ac:dyDescent="0.25">
      <c r="A399" s="41">
        <v>396</v>
      </c>
      <c r="B399" s="5">
        <f>IFERROR(INDEX('Output Utente'!$A$2:$A$492,MATCH(396,'Output Utente'!$Q$2:$Q$492,0)),"")</f>
        <v>5994</v>
      </c>
      <c r="C399" s="5" t="str">
        <f>IFERROR(INDEX('Output Utente'!$B$2:$B$492,MATCH(396,'Output Utente'!$Q$2:$Q$492,0)),"")</f>
        <v>D</v>
      </c>
      <c r="D399" s="5" t="str">
        <f>IFERROR(INDEX('Output Utente'!$C$2:$C$492,MATCH(396,'Output Utente'!$Q$2:$Q$492,0)),"")</f>
        <v>Ebosse</v>
      </c>
      <c r="E399" s="5" t="str">
        <f>IFERROR(INDEX('Input Giocatori 2026_27'!$D$3:$D$493,MATCH($B399,'Input Giocatori 2026_27'!$A$3:$A$493,0)),"")</f>
        <v>Udinese</v>
      </c>
      <c r="F399" s="42">
        <f>IFERROR(INDEX('Output Utente'!$N$2:$N$492,MATCH(396,'Output Utente'!$Q$2:$Q$492,0)),"")</f>
        <v>2</v>
      </c>
      <c r="G399" s="42">
        <f>IFERROR(INDEX('Output Utente'!$O$2:$O$492,MATCH(396,'Output Utente'!$Q$2:$Q$492,0)),"")</f>
        <v>4</v>
      </c>
      <c r="H399" s="5" t="str">
        <f>IFERROR(INDEX('Output Utente'!$P$2:$P$492,MATCH(396,'Output Utente'!$Q$2:$Q$492,0)),"")</f>
        <v>Scommessa/Riserva</v>
      </c>
      <c r="I399" s="42">
        <f>IFERROR(INDEX('Output Utente'!$F$2:$F$492,MATCH(396,'Output Utente'!$Q$2:$Q$492,0)),"")</f>
        <v>1</v>
      </c>
      <c r="J399" s="42">
        <f>IFERROR(INDEX('Output Utente'!$G$2:$G$492,MATCH(396,'Output Utente'!$Q$2:$Q$492,0)),"")</f>
        <v>1</v>
      </c>
      <c r="K399" s="42">
        <f>IFERROR(INDEX('Output Utente'!$H$2:$H$492,MATCH(396,'Output Utente'!$Q$2:$Q$492,0)),"")</f>
        <v>1</v>
      </c>
      <c r="L399" s="5" t="str">
        <f>IFERROR(INDEX('Output Utente'!$E$2:$E$492,MATCH(396,'Output Utente'!$Q$2:$Q$492,0)),"")</f>
        <v>NO</v>
      </c>
      <c r="M399" s="5" t="str">
        <f>IFERROR(INDEX('Output Utente'!$U$2:$U$492,MATCH(396,'Output Utente'!$Q$2:$Q$492,0)),"")</f>
        <v>OK</v>
      </c>
      <c r="N399" s="5" t="str">
        <f>IFERROR(INDEX('Output Utente'!$AE$2:$AE$492,MATCH(396,'Output Utente'!$Q$2:$Q$492,0)),"")</f>
        <v>🟢 Riserve abbondanti</v>
      </c>
    </row>
    <row r="400" spans="1:14" ht="15" customHeight="1" x14ac:dyDescent="0.25">
      <c r="A400" s="41">
        <v>397</v>
      </c>
      <c r="B400" s="5">
        <f>IFERROR(INDEX('Output Utente'!$A$2:$A$492,MATCH(397,'Output Utente'!$Q$2:$Q$492,0)),"")</f>
        <v>7478</v>
      </c>
      <c r="C400" s="5" t="str">
        <f>IFERROR(INDEX('Output Utente'!$B$2:$B$492,MATCH(397,'Output Utente'!$Q$2:$Q$492,0)),"")</f>
        <v>D</v>
      </c>
      <c r="D400" s="5" t="str">
        <f>IFERROR(INDEX('Output Utente'!$C$2:$C$492,MATCH(397,'Output Utente'!$Q$2:$Q$492,0)),"")</f>
        <v>Franjic</v>
      </c>
      <c r="E400" s="5" t="str">
        <f>IFERROR(INDEX('Input Giocatori 2026_27'!$D$3:$D$493,MATCH($B400,'Input Giocatori 2026_27'!$A$3:$A$493,0)),"")</f>
        <v>Venezia</v>
      </c>
      <c r="F400" s="42">
        <f>IFERROR(INDEX('Output Utente'!$N$2:$N$492,MATCH(397,'Output Utente'!$Q$2:$Q$492,0)),"")</f>
        <v>2</v>
      </c>
      <c r="G400" s="42">
        <f>IFERROR(INDEX('Output Utente'!$O$2:$O$492,MATCH(397,'Output Utente'!$Q$2:$Q$492,0)),"")</f>
        <v>4</v>
      </c>
      <c r="H400" s="5" t="str">
        <f>IFERROR(INDEX('Output Utente'!$P$2:$P$492,MATCH(397,'Output Utente'!$Q$2:$Q$492,0)),"")</f>
        <v>Scommessa/Riserva</v>
      </c>
      <c r="I400" s="42">
        <f>IFERROR(INDEX('Output Utente'!$F$2:$F$492,MATCH(397,'Output Utente'!$Q$2:$Q$492,0)),"")</f>
        <v>1</v>
      </c>
      <c r="J400" s="42">
        <f>IFERROR(INDEX('Output Utente'!$G$2:$G$492,MATCH(397,'Output Utente'!$Q$2:$Q$492,0)),"")</f>
        <v>1</v>
      </c>
      <c r="K400" s="42">
        <f>IFERROR(INDEX('Output Utente'!$H$2:$H$492,MATCH(397,'Output Utente'!$Q$2:$Q$492,0)),"")</f>
        <v>1</v>
      </c>
      <c r="L400" s="5" t="str">
        <f>IFERROR(INDEX('Output Utente'!$E$2:$E$492,MATCH(397,'Output Utente'!$Q$2:$Q$492,0)),"")</f>
        <v>NO</v>
      </c>
      <c r="M400" s="5" t="str">
        <f>IFERROR(INDEX('Output Utente'!$U$2:$U$492,MATCH(397,'Output Utente'!$Q$2:$Q$492,0)),"")</f>
        <v>OK</v>
      </c>
      <c r="N400" s="5" t="str">
        <f>IFERROR(INDEX('Output Utente'!$AE$2:$AE$492,MATCH(397,'Output Utente'!$Q$2:$Q$492,0)),"")</f>
        <v>🟢 Riserve abbondanti</v>
      </c>
    </row>
    <row r="401" spans="1:14" ht="15" customHeight="1" x14ac:dyDescent="0.25">
      <c r="A401" s="41">
        <v>398</v>
      </c>
      <c r="B401" s="5">
        <f>IFERROR(INDEX('Output Utente'!$A$2:$A$492,MATCH(398,'Output Utente'!$Q$2:$Q$492,0)),"")</f>
        <v>6681</v>
      </c>
      <c r="C401" s="5" t="str">
        <f>IFERROR(INDEX('Output Utente'!$B$2:$B$492,MATCH(398,'Output Utente'!$Q$2:$Q$492,0)),"")</f>
        <v>D</v>
      </c>
      <c r="D401" s="5" t="str">
        <f>IFERROR(INDEX('Output Utente'!$C$2:$C$492,MATCH(398,'Output Utente'!$Q$2:$Q$492,0)),"")</f>
        <v>Sagrado</v>
      </c>
      <c r="E401" s="5" t="str">
        <f>IFERROR(INDEX('Input Giocatori 2026_27'!$D$3:$D$493,MATCH($B401,'Input Giocatori 2026_27'!$A$3:$A$493,0)),"")</f>
        <v>Venezia</v>
      </c>
      <c r="F401" s="42">
        <f>IFERROR(INDEX('Output Utente'!$N$2:$N$492,MATCH(398,'Output Utente'!$Q$2:$Q$492,0)),"")</f>
        <v>2</v>
      </c>
      <c r="G401" s="42">
        <f>IFERROR(INDEX('Output Utente'!$O$2:$O$492,MATCH(398,'Output Utente'!$Q$2:$Q$492,0)),"")</f>
        <v>4</v>
      </c>
      <c r="H401" s="5" t="str">
        <f>IFERROR(INDEX('Output Utente'!$P$2:$P$492,MATCH(398,'Output Utente'!$Q$2:$Q$492,0)),"")</f>
        <v>Scommessa/Riserva</v>
      </c>
      <c r="I401" s="42">
        <f>IFERROR(INDEX('Output Utente'!$F$2:$F$492,MATCH(398,'Output Utente'!$Q$2:$Q$492,0)),"")</f>
        <v>1</v>
      </c>
      <c r="J401" s="42">
        <f>IFERROR(INDEX('Output Utente'!$G$2:$G$492,MATCH(398,'Output Utente'!$Q$2:$Q$492,0)),"")</f>
        <v>1</v>
      </c>
      <c r="K401" s="42">
        <f>IFERROR(INDEX('Output Utente'!$H$2:$H$492,MATCH(398,'Output Utente'!$Q$2:$Q$492,0)),"")</f>
        <v>1</v>
      </c>
      <c r="L401" s="5" t="str">
        <f>IFERROR(INDEX('Output Utente'!$E$2:$E$492,MATCH(398,'Output Utente'!$Q$2:$Q$492,0)),"")</f>
        <v>NO</v>
      </c>
      <c r="M401" s="5" t="str">
        <f>IFERROR(INDEX('Output Utente'!$U$2:$U$492,MATCH(398,'Output Utente'!$Q$2:$Q$492,0)),"")</f>
        <v>OK</v>
      </c>
      <c r="N401" s="5" t="str">
        <f>IFERROR(INDEX('Output Utente'!$AE$2:$AE$492,MATCH(398,'Output Utente'!$Q$2:$Q$492,0)),"")</f>
        <v>🟢 Riserve abbondanti</v>
      </c>
    </row>
    <row r="402" spans="1:14" ht="15" customHeight="1" x14ac:dyDescent="0.25">
      <c r="A402" s="41">
        <v>399</v>
      </c>
      <c r="B402" s="5">
        <f>IFERROR(INDEX('Output Utente'!$A$2:$A$492,MATCH(399,'Output Utente'!$Q$2:$Q$492,0)),"")</f>
        <v>6225</v>
      </c>
      <c r="C402" s="5" t="str">
        <f>IFERROR(INDEX('Output Utente'!$B$2:$B$492,MATCH(399,'Output Utente'!$Q$2:$Q$492,0)),"")</f>
        <v>C</v>
      </c>
      <c r="D402" s="5" t="str">
        <f>IFERROR(INDEX('Output Utente'!$C$2:$C$492,MATCH(399,'Output Utente'!$Q$2:$Q$492,0)),"")</f>
        <v>El Azzouzi O.</v>
      </c>
      <c r="E402" s="5" t="str">
        <f>IFERROR(INDEX('Input Giocatori 2026_27'!$D$3:$D$493,MATCH($B402,'Input Giocatori 2026_27'!$A$3:$A$493,0)),"")</f>
        <v>Bologna</v>
      </c>
      <c r="F402" s="42">
        <f>IFERROR(INDEX('Output Utente'!$N$2:$N$492,MATCH(399,'Output Utente'!$Q$2:$Q$492,0)),"")</f>
        <v>2</v>
      </c>
      <c r="G402" s="42">
        <f>IFERROR(INDEX('Output Utente'!$O$2:$O$492,MATCH(399,'Output Utente'!$Q$2:$Q$492,0)),"")</f>
        <v>4</v>
      </c>
      <c r="H402" s="5" t="str">
        <f>IFERROR(INDEX('Output Utente'!$P$2:$P$492,MATCH(399,'Output Utente'!$Q$2:$Q$492,0)),"")</f>
        <v>Scommessa/Riserva</v>
      </c>
      <c r="I402" s="42">
        <f>IFERROR(INDEX('Output Utente'!$F$2:$F$492,MATCH(399,'Output Utente'!$Q$2:$Q$492,0)),"")</f>
        <v>1</v>
      </c>
      <c r="J402" s="42">
        <f>IFERROR(INDEX('Output Utente'!$G$2:$G$492,MATCH(399,'Output Utente'!$Q$2:$Q$492,0)),"")</f>
        <v>1</v>
      </c>
      <c r="K402" s="42">
        <f>IFERROR(INDEX('Output Utente'!$H$2:$H$492,MATCH(399,'Output Utente'!$Q$2:$Q$492,0)),"")</f>
        <v>1</v>
      </c>
      <c r="L402" s="5" t="str">
        <f>IFERROR(INDEX('Output Utente'!$E$2:$E$492,MATCH(399,'Output Utente'!$Q$2:$Q$492,0)),"")</f>
        <v>NO</v>
      </c>
      <c r="M402" s="5" t="str">
        <f>IFERROR(INDEX('Output Utente'!$U$2:$U$492,MATCH(399,'Output Utente'!$Q$2:$Q$492,0)),"")</f>
        <v>OK</v>
      </c>
      <c r="N402" s="5" t="str">
        <f>IFERROR(INDEX('Output Utente'!$AE$2:$AE$492,MATCH(399,'Output Utente'!$Q$2:$Q$492,0)),"")</f>
        <v>🟢 Riserve abbondanti</v>
      </c>
    </row>
    <row r="403" spans="1:14" ht="15" customHeight="1" x14ac:dyDescent="0.25">
      <c r="A403" s="41">
        <v>400</v>
      </c>
      <c r="B403" s="5">
        <f>IFERROR(INDEX('Output Utente'!$A$2:$A$492,MATCH(400,'Output Utente'!$Q$2:$Q$492,0)),"")</f>
        <v>6917</v>
      </c>
      <c r="C403" s="5" t="str">
        <f>IFERROR(INDEX('Output Utente'!$B$2:$B$492,MATCH(400,'Output Utente'!$Q$2:$Q$492,0)),"")</f>
        <v>C</v>
      </c>
      <c r="D403" s="5" t="str">
        <f>IFERROR(INDEX('Output Utente'!$C$2:$C$492,MATCH(400,'Output Utente'!$Q$2:$Q$492,0)),"")</f>
        <v>Masini</v>
      </c>
      <c r="E403" s="5" t="str">
        <f>IFERROR(INDEX('Input Giocatori 2026_27'!$D$3:$D$493,MATCH($B403,'Input Giocatori 2026_27'!$A$3:$A$493,0)),"")</f>
        <v>Genoa</v>
      </c>
      <c r="F403" s="42">
        <f>IFERROR(INDEX('Output Utente'!$N$2:$N$492,MATCH(400,'Output Utente'!$Q$2:$Q$492,0)),"")</f>
        <v>2</v>
      </c>
      <c r="G403" s="42">
        <f>IFERROR(INDEX('Output Utente'!$O$2:$O$492,MATCH(400,'Output Utente'!$Q$2:$Q$492,0)),"")</f>
        <v>4</v>
      </c>
      <c r="H403" s="5" t="str">
        <f>IFERROR(INDEX('Output Utente'!$P$2:$P$492,MATCH(400,'Output Utente'!$Q$2:$Q$492,0)),"")</f>
        <v>Scommessa/Riserva</v>
      </c>
      <c r="I403" s="42">
        <f>IFERROR(INDEX('Output Utente'!$F$2:$F$492,MATCH(400,'Output Utente'!$Q$2:$Q$492,0)),"")</f>
        <v>1</v>
      </c>
      <c r="J403" s="42">
        <f>IFERROR(INDEX('Output Utente'!$G$2:$G$492,MATCH(400,'Output Utente'!$Q$2:$Q$492,0)),"")</f>
        <v>1</v>
      </c>
      <c r="K403" s="42">
        <f>IFERROR(INDEX('Output Utente'!$H$2:$H$492,MATCH(400,'Output Utente'!$Q$2:$Q$492,0)),"")</f>
        <v>1</v>
      </c>
      <c r="L403" s="5" t="str">
        <f>IFERROR(INDEX('Output Utente'!$E$2:$E$492,MATCH(400,'Output Utente'!$Q$2:$Q$492,0)),"")</f>
        <v>NO</v>
      </c>
      <c r="M403" s="5" t="str">
        <f>IFERROR(INDEX('Output Utente'!$U$2:$U$492,MATCH(400,'Output Utente'!$Q$2:$Q$492,0)),"")</f>
        <v>OK</v>
      </c>
      <c r="N403" s="5" t="str">
        <f>IFERROR(INDEX('Output Utente'!$AE$2:$AE$492,MATCH(400,'Output Utente'!$Q$2:$Q$492,0)),"")</f>
        <v>🟢 Riserve abbondanti</v>
      </c>
    </row>
    <row r="404" spans="1:14" ht="15" customHeight="1" x14ac:dyDescent="0.25">
      <c r="A404" s="41">
        <v>401</v>
      </c>
      <c r="B404" s="5">
        <f>IFERROR(INDEX('Output Utente'!$A$2:$A$492,MATCH(401,'Output Utente'!$Q$2:$Q$492,0)),"")</f>
        <v>526</v>
      </c>
      <c r="C404" s="5" t="str">
        <f>IFERROR(INDEX('Output Utente'!$B$2:$B$492,MATCH(401,'Output Utente'!$Q$2:$Q$492,0)),"")</f>
        <v>C</v>
      </c>
      <c r="D404" s="5" t="str">
        <f>IFERROR(INDEX('Output Utente'!$C$2:$C$492,MATCH(401,'Output Utente'!$Q$2:$Q$492,0)),"")</f>
        <v>Duncan</v>
      </c>
      <c r="E404" s="5" t="str">
        <f>IFERROR(INDEX('Input Giocatori 2026_27'!$D$3:$D$493,MATCH($B404,'Input Giocatori 2026_27'!$A$3:$A$493,0)),"")</f>
        <v>Venezia</v>
      </c>
      <c r="F404" s="42">
        <f>IFERROR(INDEX('Output Utente'!$N$2:$N$492,MATCH(401,'Output Utente'!$Q$2:$Q$492,0)),"")</f>
        <v>2</v>
      </c>
      <c r="G404" s="42">
        <f>IFERROR(INDEX('Output Utente'!$O$2:$O$492,MATCH(401,'Output Utente'!$Q$2:$Q$492,0)),"")</f>
        <v>4</v>
      </c>
      <c r="H404" s="5" t="str">
        <f>IFERROR(INDEX('Output Utente'!$P$2:$P$492,MATCH(401,'Output Utente'!$Q$2:$Q$492,0)),"")</f>
        <v>Scommessa/Riserva</v>
      </c>
      <c r="I404" s="42">
        <f>IFERROR(INDEX('Output Utente'!$F$2:$F$492,MATCH(401,'Output Utente'!$Q$2:$Q$492,0)),"")</f>
        <v>1</v>
      </c>
      <c r="J404" s="42">
        <f>IFERROR(INDEX('Output Utente'!$G$2:$G$492,MATCH(401,'Output Utente'!$Q$2:$Q$492,0)),"")</f>
        <v>1</v>
      </c>
      <c r="K404" s="42">
        <f>IFERROR(INDEX('Output Utente'!$H$2:$H$492,MATCH(401,'Output Utente'!$Q$2:$Q$492,0)),"")</f>
        <v>1</v>
      </c>
      <c r="L404" s="5" t="str">
        <f>IFERROR(INDEX('Output Utente'!$E$2:$E$492,MATCH(401,'Output Utente'!$Q$2:$Q$492,0)),"")</f>
        <v>NO</v>
      </c>
      <c r="M404" s="5" t="str">
        <f>IFERROR(INDEX('Output Utente'!$U$2:$U$492,MATCH(401,'Output Utente'!$Q$2:$Q$492,0)),"")</f>
        <v>OK</v>
      </c>
      <c r="N404" s="5" t="str">
        <f>IFERROR(INDEX('Output Utente'!$AE$2:$AE$492,MATCH(401,'Output Utente'!$Q$2:$Q$492,0)),"")</f>
        <v>🟢 Riserve abbondanti</v>
      </c>
    </row>
    <row r="405" spans="1:14" ht="15" customHeight="1" x14ac:dyDescent="0.25">
      <c r="A405" s="41">
        <v>402</v>
      </c>
      <c r="B405" s="5">
        <f>IFERROR(INDEX('Output Utente'!$A$2:$A$492,MATCH(402,'Output Utente'!$Q$2:$Q$492,0)),"")</f>
        <v>7249</v>
      </c>
      <c r="C405" s="5" t="str">
        <f>IFERROR(INDEX('Output Utente'!$B$2:$B$492,MATCH(402,'Output Utente'!$Q$2:$Q$492,0)),"")</f>
        <v>A</v>
      </c>
      <c r="D405" s="5" t="str">
        <f>IFERROR(INDEX('Output Utente'!$C$2:$C$492,MATCH(402,'Output Utente'!$Q$2:$Q$492,0)),"")</f>
        <v xml:space="preserve">Buksa </v>
      </c>
      <c r="E405" s="5" t="str">
        <f>IFERROR(INDEX('Input Giocatori 2026_27'!$D$3:$D$493,MATCH($B405,'Input Giocatori 2026_27'!$A$3:$A$493,0)),"")</f>
        <v>Udinese</v>
      </c>
      <c r="F405" s="42">
        <f>IFERROR(INDEX('Output Utente'!$N$2:$N$492,MATCH(402,'Output Utente'!$Q$2:$Q$492,0)),"")</f>
        <v>2</v>
      </c>
      <c r="G405" s="42">
        <f>IFERROR(INDEX('Output Utente'!$O$2:$O$492,MATCH(402,'Output Utente'!$Q$2:$Q$492,0)),"")</f>
        <v>4</v>
      </c>
      <c r="H405" s="5" t="str">
        <f>IFERROR(INDEX('Output Utente'!$P$2:$P$492,MATCH(402,'Output Utente'!$Q$2:$Q$492,0)),"")</f>
        <v>Scommessa/Riserva</v>
      </c>
      <c r="I405" s="42">
        <f>IFERROR(INDEX('Output Utente'!$F$2:$F$492,MATCH(402,'Output Utente'!$Q$2:$Q$492,0)),"")</f>
        <v>1</v>
      </c>
      <c r="J405" s="42">
        <f>IFERROR(INDEX('Output Utente'!$G$2:$G$492,MATCH(402,'Output Utente'!$Q$2:$Q$492,0)),"")</f>
        <v>1</v>
      </c>
      <c r="K405" s="42">
        <f>IFERROR(INDEX('Output Utente'!$H$2:$H$492,MATCH(402,'Output Utente'!$Q$2:$Q$492,0)),"")</f>
        <v>1</v>
      </c>
      <c r="L405" s="5" t="str">
        <f>IFERROR(INDEX('Output Utente'!$E$2:$E$492,MATCH(402,'Output Utente'!$Q$2:$Q$492,0)),"")</f>
        <v>NO</v>
      </c>
      <c r="M405" s="5" t="str">
        <f>IFERROR(INDEX('Output Utente'!$U$2:$U$492,MATCH(402,'Output Utente'!$Q$2:$Q$492,0)),"")</f>
        <v>OK</v>
      </c>
      <c r="N405" s="5" t="str">
        <f>IFERROR(INDEX('Output Utente'!$AE$2:$AE$492,MATCH(402,'Output Utente'!$Q$2:$Q$492,0)),"")</f>
        <v>🟢 Riserve abbondanti</v>
      </c>
    </row>
    <row r="406" spans="1:14" ht="15" customHeight="1" x14ac:dyDescent="0.25">
      <c r="A406" s="41">
        <v>403</v>
      </c>
      <c r="B406" s="5">
        <f>IFERROR(INDEX('Output Utente'!$A$2:$A$492,MATCH(403,'Output Utente'!$Q$2:$Q$492,0)),"")</f>
        <v>6815</v>
      </c>
      <c r="C406" s="5" t="str">
        <f>IFERROR(INDEX('Output Utente'!$B$2:$B$492,MATCH(403,'Output Utente'!$Q$2:$Q$492,0)),"")</f>
        <v>C</v>
      </c>
      <c r="D406" s="5" t="str">
        <f>IFERROR(INDEX('Output Utente'!$C$2:$C$492,MATCH(403,'Output Utente'!$Q$2:$Q$492,0)),"")</f>
        <v>Fadera</v>
      </c>
      <c r="E406" s="5" t="str">
        <f>IFERROR(INDEX('Input Giocatori 2026_27'!$D$3:$D$493,MATCH($B406,'Input Giocatori 2026_27'!$A$3:$A$493,0)),"")</f>
        <v>Como</v>
      </c>
      <c r="F406" s="42">
        <f>IFERROR(INDEX('Output Utente'!$N$2:$N$492,MATCH(403,'Output Utente'!$Q$2:$Q$492,0)),"")</f>
        <v>2</v>
      </c>
      <c r="G406" s="42">
        <f>IFERROR(INDEX('Output Utente'!$O$2:$O$492,MATCH(403,'Output Utente'!$Q$2:$Q$492,0)),"")</f>
        <v>3</v>
      </c>
      <c r="H406" s="5" t="str">
        <f>IFERROR(INDEX('Output Utente'!$P$2:$P$492,MATCH(403,'Output Utente'!$Q$2:$Q$492,0)),"")</f>
        <v>Scommessa/Riserva</v>
      </c>
      <c r="I406" s="42">
        <f>IFERROR(INDEX('Output Utente'!$F$2:$F$492,MATCH(403,'Output Utente'!$Q$2:$Q$492,0)),"")</f>
        <v>0</v>
      </c>
      <c r="J406" s="42">
        <f>IFERROR(INDEX('Output Utente'!$G$2:$G$492,MATCH(403,'Output Utente'!$Q$2:$Q$492,0)),"")</f>
        <v>1</v>
      </c>
      <c r="K406" s="42">
        <f>IFERROR(INDEX('Output Utente'!$H$2:$H$492,MATCH(403,'Output Utente'!$Q$2:$Q$492,0)),"")</f>
        <v>0</v>
      </c>
      <c r="L406" s="5" t="str">
        <f>IFERROR(INDEX('Output Utente'!$E$2:$E$492,MATCH(403,'Output Utente'!$Q$2:$Q$492,0)),"")</f>
        <v>NO</v>
      </c>
      <c r="M406" s="5" t="str">
        <f>IFERROR(INDEX('Output Utente'!$U$2:$U$492,MATCH(403,'Output Utente'!$Q$2:$Q$492,0)),"")</f>
        <v>OK</v>
      </c>
      <c r="N406" s="5" t="str">
        <f>IFERROR(INDEX('Output Utente'!$AE$2:$AE$492,MATCH(403,'Output Utente'!$Q$2:$Q$492,0)),"")</f>
        <v>🟢 Riserve abbondanti</v>
      </c>
    </row>
    <row r="407" spans="1:14" ht="15" customHeight="1" x14ac:dyDescent="0.25">
      <c r="A407" s="41">
        <v>404</v>
      </c>
      <c r="B407" s="5">
        <f>IFERROR(INDEX('Output Utente'!$A$2:$A$492,MATCH(404,'Output Utente'!$Q$2:$Q$492,0)),"")</f>
        <v>6672</v>
      </c>
      <c r="C407" s="5" t="str">
        <f>IFERROR(INDEX('Output Utente'!$B$2:$B$492,MATCH(404,'Output Utente'!$Q$2:$Q$492,0)),"")</f>
        <v>D</v>
      </c>
      <c r="D407" s="5" t="str">
        <f>IFERROR(INDEX('Output Utente'!$C$2:$C$492,MATCH(404,'Output Utente'!$Q$2:$Q$492,0)),"")</f>
        <v>Idzes</v>
      </c>
      <c r="E407" s="5" t="str">
        <f>IFERROR(INDEX('Input Giocatori 2026_27'!$D$3:$D$493,MATCH($B407,'Input Giocatori 2026_27'!$A$3:$A$493,0)),"")</f>
        <v>Sassuolo</v>
      </c>
      <c r="F407" s="42">
        <f>IFERROR(INDEX('Output Utente'!$N$2:$N$492,MATCH(404,'Output Utente'!$Q$2:$Q$492,0)),"")</f>
        <v>7</v>
      </c>
      <c r="G407" s="42">
        <f>IFERROR(INDEX('Output Utente'!$O$2:$O$492,MATCH(404,'Output Utente'!$Q$2:$Q$492,0)),"")</f>
        <v>1</v>
      </c>
      <c r="H407" s="5" t="str">
        <f>IFERROR(INDEX('Output Utente'!$P$2:$P$492,MATCH(404,'Output Utente'!$Q$2:$Q$492,0)),"")</f>
        <v>Scommessa/Riserva</v>
      </c>
      <c r="I407" s="42">
        <f>IFERROR(INDEX('Output Utente'!$F$2:$F$492,MATCH(404,'Output Utente'!$Q$2:$Q$492,0)),"")</f>
        <v>0</v>
      </c>
      <c r="J407" s="42">
        <f>IFERROR(INDEX('Output Utente'!$G$2:$G$492,MATCH(404,'Output Utente'!$Q$2:$Q$492,0)),"")</f>
        <v>1</v>
      </c>
      <c r="K407" s="42">
        <f>IFERROR(INDEX('Output Utente'!$H$2:$H$492,MATCH(404,'Output Utente'!$Q$2:$Q$492,0)),"")</f>
        <v>0</v>
      </c>
      <c r="L407" s="5" t="str">
        <f>IFERROR(INDEX('Output Utente'!$E$2:$E$492,MATCH(404,'Output Utente'!$Q$2:$Q$492,0)),"")</f>
        <v>NO</v>
      </c>
      <c r="M407" s="5" t="str">
        <f>IFERROR(INDEX('Output Utente'!$U$2:$U$492,MATCH(404,'Output Utente'!$Q$2:$Q$492,0)),"")</f>
        <v>OK</v>
      </c>
      <c r="N407" s="5" t="str">
        <f>IFERROR(INDEX('Output Utente'!$AE$2:$AE$492,MATCH(404,'Output Utente'!$Q$2:$Q$492,0)),"")</f>
        <v>🟢 Riserve abbondanti</v>
      </c>
    </row>
    <row r="408" spans="1:14" ht="15" customHeight="1" x14ac:dyDescent="0.25">
      <c r="A408" s="41">
        <v>405</v>
      </c>
      <c r="B408" s="5" t="str">
        <f>IFERROR(INDEX('Output Utente'!$A$2:$A$492,MATCH(405,'Output Utente'!$Q$2:$Q$492,0)),"")</f>
        <v/>
      </c>
      <c r="C408" s="5" t="str">
        <f>IFERROR(INDEX('Output Utente'!$B$2:$B$492,MATCH(405,'Output Utente'!$Q$2:$Q$492,0)),"")</f>
        <v/>
      </c>
      <c r="D408" s="5" t="str">
        <f>IFERROR(INDEX('Output Utente'!$C$2:$C$492,MATCH(405,'Output Utente'!$Q$2:$Q$492,0)),"")</f>
        <v/>
      </c>
      <c r="E408" s="5" t="str">
        <f>IFERROR(INDEX('Input Giocatori 2026_27'!$D$3:$D$493,MATCH($B408,'Input Giocatori 2026_27'!$A$3:$A$493,0)),"")</f>
        <v/>
      </c>
      <c r="F408" s="42" t="str">
        <f>IFERROR(INDEX('Output Utente'!$N$2:$N$492,MATCH(405,'Output Utente'!$Q$2:$Q$492,0)),"")</f>
        <v/>
      </c>
      <c r="G408" s="42" t="str">
        <f>IFERROR(INDEX('Output Utente'!$O$2:$O$492,MATCH(405,'Output Utente'!$Q$2:$Q$492,0)),"")</f>
        <v/>
      </c>
      <c r="H408" s="5" t="str">
        <f>IFERROR(INDEX('Output Utente'!$P$2:$P$492,MATCH(405,'Output Utente'!$Q$2:$Q$492,0)),"")</f>
        <v/>
      </c>
      <c r="I408" s="42" t="str">
        <f>IFERROR(INDEX('Output Utente'!$F$2:$F$492,MATCH(405,'Output Utente'!$Q$2:$Q$492,0)),"")</f>
        <v/>
      </c>
      <c r="J408" s="42" t="str">
        <f>IFERROR(INDEX('Output Utente'!$G$2:$G$492,MATCH(405,'Output Utente'!$Q$2:$Q$492,0)),"")</f>
        <v/>
      </c>
      <c r="K408" s="42" t="str">
        <f>IFERROR(INDEX('Output Utente'!$H$2:$H$492,MATCH(405,'Output Utente'!$Q$2:$Q$492,0)),"")</f>
        <v/>
      </c>
      <c r="L408" s="5" t="str">
        <f>IFERROR(INDEX('Output Utente'!$E$2:$E$492,MATCH(405,'Output Utente'!$Q$2:$Q$492,0)),"")</f>
        <v/>
      </c>
      <c r="M408" s="5" t="str">
        <f>IFERROR(INDEX('Output Utente'!$U$2:$U$492,MATCH(405,'Output Utente'!$Q$2:$Q$492,0)),"")</f>
        <v/>
      </c>
      <c r="N408" s="5" t="str">
        <f>IFERROR(INDEX('Output Utente'!$AE$2:$AE$492,MATCH(405,'Output Utente'!$Q$2:$Q$492,0)),"")</f>
        <v/>
      </c>
    </row>
    <row r="409" spans="1:14" ht="15" customHeight="1" x14ac:dyDescent="0.25">
      <c r="A409" s="41">
        <v>406</v>
      </c>
      <c r="B409" s="5" t="str">
        <f>IFERROR(INDEX('Output Utente'!$A$2:$A$492,MATCH(406,'Output Utente'!$Q$2:$Q$492,0)),"")</f>
        <v/>
      </c>
      <c r="C409" s="5" t="str">
        <f>IFERROR(INDEX('Output Utente'!$B$2:$B$492,MATCH(406,'Output Utente'!$Q$2:$Q$492,0)),"")</f>
        <v/>
      </c>
      <c r="D409" s="5" t="str">
        <f>IFERROR(INDEX('Output Utente'!$C$2:$C$492,MATCH(406,'Output Utente'!$Q$2:$Q$492,0)),"")</f>
        <v/>
      </c>
      <c r="E409" s="5" t="str">
        <f>IFERROR(INDEX('Input Giocatori 2026_27'!$D$3:$D$493,MATCH($B409,'Input Giocatori 2026_27'!$A$3:$A$493,0)),"")</f>
        <v/>
      </c>
      <c r="F409" s="42" t="str">
        <f>IFERROR(INDEX('Output Utente'!$N$2:$N$492,MATCH(406,'Output Utente'!$Q$2:$Q$492,0)),"")</f>
        <v/>
      </c>
      <c r="G409" s="42" t="str">
        <f>IFERROR(INDEX('Output Utente'!$O$2:$O$492,MATCH(406,'Output Utente'!$Q$2:$Q$492,0)),"")</f>
        <v/>
      </c>
      <c r="H409" s="5" t="str">
        <f>IFERROR(INDEX('Output Utente'!$P$2:$P$492,MATCH(406,'Output Utente'!$Q$2:$Q$492,0)),"")</f>
        <v/>
      </c>
      <c r="I409" s="42" t="str">
        <f>IFERROR(INDEX('Output Utente'!$F$2:$F$492,MATCH(406,'Output Utente'!$Q$2:$Q$492,0)),"")</f>
        <v/>
      </c>
      <c r="J409" s="42" t="str">
        <f>IFERROR(INDEX('Output Utente'!$G$2:$G$492,MATCH(406,'Output Utente'!$Q$2:$Q$492,0)),"")</f>
        <v/>
      </c>
      <c r="K409" s="42" t="str">
        <f>IFERROR(INDEX('Output Utente'!$H$2:$H$492,MATCH(406,'Output Utente'!$Q$2:$Q$492,0)),"")</f>
        <v/>
      </c>
      <c r="L409" s="5" t="str">
        <f>IFERROR(INDEX('Output Utente'!$E$2:$E$492,MATCH(406,'Output Utente'!$Q$2:$Q$492,0)),"")</f>
        <v/>
      </c>
      <c r="M409" s="5" t="str">
        <f>IFERROR(INDEX('Output Utente'!$U$2:$U$492,MATCH(406,'Output Utente'!$Q$2:$Q$492,0)),"")</f>
        <v/>
      </c>
      <c r="N409" s="5" t="str">
        <f>IFERROR(INDEX('Output Utente'!$AE$2:$AE$492,MATCH(406,'Output Utente'!$Q$2:$Q$492,0)),"")</f>
        <v/>
      </c>
    </row>
    <row r="410" spans="1:14" ht="15" customHeight="1" x14ac:dyDescent="0.25">
      <c r="A410" s="41">
        <v>407</v>
      </c>
      <c r="B410" s="5" t="str">
        <f>IFERROR(INDEX('Output Utente'!$A$2:$A$492,MATCH(407,'Output Utente'!$Q$2:$Q$492,0)),"")</f>
        <v/>
      </c>
      <c r="C410" s="5" t="str">
        <f>IFERROR(INDEX('Output Utente'!$B$2:$B$492,MATCH(407,'Output Utente'!$Q$2:$Q$492,0)),"")</f>
        <v/>
      </c>
      <c r="D410" s="5" t="str">
        <f>IFERROR(INDEX('Output Utente'!$C$2:$C$492,MATCH(407,'Output Utente'!$Q$2:$Q$492,0)),"")</f>
        <v/>
      </c>
      <c r="E410" s="5" t="str">
        <f>IFERROR(INDEX('Input Giocatori 2026_27'!$D$3:$D$493,MATCH($B410,'Input Giocatori 2026_27'!$A$3:$A$493,0)),"")</f>
        <v/>
      </c>
      <c r="F410" s="42" t="str">
        <f>IFERROR(INDEX('Output Utente'!$N$2:$N$492,MATCH(407,'Output Utente'!$Q$2:$Q$492,0)),"")</f>
        <v/>
      </c>
      <c r="G410" s="42" t="str">
        <f>IFERROR(INDEX('Output Utente'!$O$2:$O$492,MATCH(407,'Output Utente'!$Q$2:$Q$492,0)),"")</f>
        <v/>
      </c>
      <c r="H410" s="5" t="str">
        <f>IFERROR(INDEX('Output Utente'!$P$2:$P$492,MATCH(407,'Output Utente'!$Q$2:$Q$492,0)),"")</f>
        <v/>
      </c>
      <c r="I410" s="42" t="str">
        <f>IFERROR(INDEX('Output Utente'!$F$2:$F$492,MATCH(407,'Output Utente'!$Q$2:$Q$492,0)),"")</f>
        <v/>
      </c>
      <c r="J410" s="42" t="str">
        <f>IFERROR(INDEX('Output Utente'!$G$2:$G$492,MATCH(407,'Output Utente'!$Q$2:$Q$492,0)),"")</f>
        <v/>
      </c>
      <c r="K410" s="42" t="str">
        <f>IFERROR(INDEX('Output Utente'!$H$2:$H$492,MATCH(407,'Output Utente'!$Q$2:$Q$492,0)),"")</f>
        <v/>
      </c>
      <c r="L410" s="5" t="str">
        <f>IFERROR(INDEX('Output Utente'!$E$2:$E$492,MATCH(407,'Output Utente'!$Q$2:$Q$492,0)),"")</f>
        <v/>
      </c>
      <c r="M410" s="5" t="str">
        <f>IFERROR(INDEX('Output Utente'!$U$2:$U$492,MATCH(407,'Output Utente'!$Q$2:$Q$492,0)),"")</f>
        <v/>
      </c>
      <c r="N410" s="5" t="str">
        <f>IFERROR(INDEX('Output Utente'!$AE$2:$AE$492,MATCH(407,'Output Utente'!$Q$2:$Q$492,0)),"")</f>
        <v/>
      </c>
    </row>
    <row r="411" spans="1:14" ht="15" customHeight="1" x14ac:dyDescent="0.25">
      <c r="A411" s="41">
        <v>408</v>
      </c>
      <c r="B411" s="5" t="str">
        <f>IFERROR(INDEX('Output Utente'!$A$2:$A$492,MATCH(408,'Output Utente'!$Q$2:$Q$492,0)),"")</f>
        <v/>
      </c>
      <c r="C411" s="5" t="str">
        <f>IFERROR(INDEX('Output Utente'!$B$2:$B$492,MATCH(408,'Output Utente'!$Q$2:$Q$492,0)),"")</f>
        <v/>
      </c>
      <c r="D411" s="5" t="str">
        <f>IFERROR(INDEX('Output Utente'!$C$2:$C$492,MATCH(408,'Output Utente'!$Q$2:$Q$492,0)),"")</f>
        <v/>
      </c>
      <c r="E411" s="5" t="str">
        <f>IFERROR(INDEX('Input Giocatori 2026_27'!$D$3:$D$493,MATCH($B411,'Input Giocatori 2026_27'!$A$3:$A$493,0)),"")</f>
        <v/>
      </c>
      <c r="F411" s="42" t="str">
        <f>IFERROR(INDEX('Output Utente'!$N$2:$N$492,MATCH(408,'Output Utente'!$Q$2:$Q$492,0)),"")</f>
        <v/>
      </c>
      <c r="G411" s="42" t="str">
        <f>IFERROR(INDEX('Output Utente'!$O$2:$O$492,MATCH(408,'Output Utente'!$Q$2:$Q$492,0)),"")</f>
        <v/>
      </c>
      <c r="H411" s="5" t="str">
        <f>IFERROR(INDEX('Output Utente'!$P$2:$P$492,MATCH(408,'Output Utente'!$Q$2:$Q$492,0)),"")</f>
        <v/>
      </c>
      <c r="I411" s="42" t="str">
        <f>IFERROR(INDEX('Output Utente'!$F$2:$F$492,MATCH(408,'Output Utente'!$Q$2:$Q$492,0)),"")</f>
        <v/>
      </c>
      <c r="J411" s="42" t="str">
        <f>IFERROR(INDEX('Output Utente'!$G$2:$G$492,MATCH(408,'Output Utente'!$Q$2:$Q$492,0)),"")</f>
        <v/>
      </c>
      <c r="K411" s="42" t="str">
        <f>IFERROR(INDEX('Output Utente'!$H$2:$H$492,MATCH(408,'Output Utente'!$Q$2:$Q$492,0)),"")</f>
        <v/>
      </c>
      <c r="L411" s="5" t="str">
        <f>IFERROR(INDEX('Output Utente'!$E$2:$E$492,MATCH(408,'Output Utente'!$Q$2:$Q$492,0)),"")</f>
        <v/>
      </c>
      <c r="M411" s="5" t="str">
        <f>IFERROR(INDEX('Output Utente'!$U$2:$U$492,MATCH(408,'Output Utente'!$Q$2:$Q$492,0)),"")</f>
        <v/>
      </c>
      <c r="N411" s="5" t="str">
        <f>IFERROR(INDEX('Output Utente'!$AE$2:$AE$492,MATCH(408,'Output Utente'!$Q$2:$Q$492,0)),"")</f>
        <v/>
      </c>
    </row>
    <row r="412" spans="1:14" ht="15" customHeight="1" x14ac:dyDescent="0.25">
      <c r="A412" s="41">
        <v>409</v>
      </c>
      <c r="B412" s="5" t="str">
        <f>IFERROR(INDEX('Output Utente'!$A$2:$A$492,MATCH(409,'Output Utente'!$Q$2:$Q$492,0)),"")</f>
        <v/>
      </c>
      <c r="C412" s="5" t="str">
        <f>IFERROR(INDEX('Output Utente'!$B$2:$B$492,MATCH(409,'Output Utente'!$Q$2:$Q$492,0)),"")</f>
        <v/>
      </c>
      <c r="D412" s="5" t="str">
        <f>IFERROR(INDEX('Output Utente'!$C$2:$C$492,MATCH(409,'Output Utente'!$Q$2:$Q$492,0)),"")</f>
        <v/>
      </c>
      <c r="E412" s="5" t="str">
        <f>IFERROR(INDEX('Input Giocatori 2026_27'!$D$3:$D$493,MATCH($B412,'Input Giocatori 2026_27'!$A$3:$A$493,0)),"")</f>
        <v/>
      </c>
      <c r="F412" s="42" t="str">
        <f>IFERROR(INDEX('Output Utente'!$N$2:$N$492,MATCH(409,'Output Utente'!$Q$2:$Q$492,0)),"")</f>
        <v/>
      </c>
      <c r="G412" s="42" t="str">
        <f>IFERROR(INDEX('Output Utente'!$O$2:$O$492,MATCH(409,'Output Utente'!$Q$2:$Q$492,0)),"")</f>
        <v/>
      </c>
      <c r="H412" s="5" t="str">
        <f>IFERROR(INDEX('Output Utente'!$P$2:$P$492,MATCH(409,'Output Utente'!$Q$2:$Q$492,0)),"")</f>
        <v/>
      </c>
      <c r="I412" s="42" t="str">
        <f>IFERROR(INDEX('Output Utente'!$F$2:$F$492,MATCH(409,'Output Utente'!$Q$2:$Q$492,0)),"")</f>
        <v/>
      </c>
      <c r="J412" s="42" t="str">
        <f>IFERROR(INDEX('Output Utente'!$G$2:$G$492,MATCH(409,'Output Utente'!$Q$2:$Q$492,0)),"")</f>
        <v/>
      </c>
      <c r="K412" s="42" t="str">
        <f>IFERROR(INDEX('Output Utente'!$H$2:$H$492,MATCH(409,'Output Utente'!$Q$2:$Q$492,0)),"")</f>
        <v/>
      </c>
      <c r="L412" s="5" t="str">
        <f>IFERROR(INDEX('Output Utente'!$E$2:$E$492,MATCH(409,'Output Utente'!$Q$2:$Q$492,0)),"")</f>
        <v/>
      </c>
      <c r="M412" s="5" t="str">
        <f>IFERROR(INDEX('Output Utente'!$U$2:$U$492,MATCH(409,'Output Utente'!$Q$2:$Q$492,0)),"")</f>
        <v/>
      </c>
      <c r="N412" s="5" t="str">
        <f>IFERROR(INDEX('Output Utente'!$AE$2:$AE$492,MATCH(409,'Output Utente'!$Q$2:$Q$492,0)),"")</f>
        <v/>
      </c>
    </row>
    <row r="413" spans="1:14" ht="15" customHeight="1" x14ac:dyDescent="0.25">
      <c r="A413" s="41">
        <v>410</v>
      </c>
      <c r="B413" s="5" t="str">
        <f>IFERROR(INDEX('Output Utente'!$A$2:$A$492,MATCH(410,'Output Utente'!$Q$2:$Q$492,0)),"")</f>
        <v/>
      </c>
      <c r="C413" s="5" t="str">
        <f>IFERROR(INDEX('Output Utente'!$B$2:$B$492,MATCH(410,'Output Utente'!$Q$2:$Q$492,0)),"")</f>
        <v/>
      </c>
      <c r="D413" s="5" t="str">
        <f>IFERROR(INDEX('Output Utente'!$C$2:$C$492,MATCH(410,'Output Utente'!$Q$2:$Q$492,0)),"")</f>
        <v/>
      </c>
      <c r="E413" s="5" t="str">
        <f>IFERROR(INDEX('Input Giocatori 2026_27'!$D$3:$D$493,MATCH($B413,'Input Giocatori 2026_27'!$A$3:$A$493,0)),"")</f>
        <v/>
      </c>
      <c r="F413" s="42" t="str">
        <f>IFERROR(INDEX('Output Utente'!$N$2:$N$492,MATCH(410,'Output Utente'!$Q$2:$Q$492,0)),"")</f>
        <v/>
      </c>
      <c r="G413" s="42" t="str">
        <f>IFERROR(INDEX('Output Utente'!$O$2:$O$492,MATCH(410,'Output Utente'!$Q$2:$Q$492,0)),"")</f>
        <v/>
      </c>
      <c r="H413" s="5" t="str">
        <f>IFERROR(INDEX('Output Utente'!$P$2:$P$492,MATCH(410,'Output Utente'!$Q$2:$Q$492,0)),"")</f>
        <v/>
      </c>
      <c r="I413" s="42" t="str">
        <f>IFERROR(INDEX('Output Utente'!$F$2:$F$492,MATCH(410,'Output Utente'!$Q$2:$Q$492,0)),"")</f>
        <v/>
      </c>
      <c r="J413" s="42" t="str">
        <f>IFERROR(INDEX('Output Utente'!$G$2:$G$492,MATCH(410,'Output Utente'!$Q$2:$Q$492,0)),"")</f>
        <v/>
      </c>
      <c r="K413" s="42" t="str">
        <f>IFERROR(INDEX('Output Utente'!$H$2:$H$492,MATCH(410,'Output Utente'!$Q$2:$Q$492,0)),"")</f>
        <v/>
      </c>
      <c r="L413" s="5" t="str">
        <f>IFERROR(INDEX('Output Utente'!$E$2:$E$492,MATCH(410,'Output Utente'!$Q$2:$Q$492,0)),"")</f>
        <v/>
      </c>
      <c r="M413" s="5" t="str">
        <f>IFERROR(INDEX('Output Utente'!$U$2:$U$492,MATCH(410,'Output Utente'!$Q$2:$Q$492,0)),"")</f>
        <v/>
      </c>
      <c r="N413" s="5" t="str">
        <f>IFERROR(INDEX('Output Utente'!$AE$2:$AE$492,MATCH(410,'Output Utente'!$Q$2:$Q$492,0)),"")</f>
        <v/>
      </c>
    </row>
    <row r="414" spans="1:14" ht="15" customHeight="1" x14ac:dyDescent="0.25">
      <c r="A414" s="41">
        <v>411</v>
      </c>
      <c r="B414" s="5" t="str">
        <f>IFERROR(INDEX('Output Utente'!$A$2:$A$492,MATCH(411,'Output Utente'!$Q$2:$Q$492,0)),"")</f>
        <v/>
      </c>
      <c r="C414" s="5" t="str">
        <f>IFERROR(INDEX('Output Utente'!$B$2:$B$492,MATCH(411,'Output Utente'!$Q$2:$Q$492,0)),"")</f>
        <v/>
      </c>
      <c r="D414" s="5" t="str">
        <f>IFERROR(INDEX('Output Utente'!$C$2:$C$492,MATCH(411,'Output Utente'!$Q$2:$Q$492,0)),"")</f>
        <v/>
      </c>
      <c r="E414" s="5" t="str">
        <f>IFERROR(INDEX('Input Giocatori 2026_27'!$D$3:$D$493,MATCH($B414,'Input Giocatori 2026_27'!$A$3:$A$493,0)),"")</f>
        <v/>
      </c>
      <c r="F414" s="42" t="str">
        <f>IFERROR(INDEX('Output Utente'!$N$2:$N$492,MATCH(411,'Output Utente'!$Q$2:$Q$492,0)),"")</f>
        <v/>
      </c>
      <c r="G414" s="42" t="str">
        <f>IFERROR(INDEX('Output Utente'!$O$2:$O$492,MATCH(411,'Output Utente'!$Q$2:$Q$492,0)),"")</f>
        <v/>
      </c>
      <c r="H414" s="5" t="str">
        <f>IFERROR(INDEX('Output Utente'!$P$2:$P$492,MATCH(411,'Output Utente'!$Q$2:$Q$492,0)),"")</f>
        <v/>
      </c>
      <c r="I414" s="42" t="str">
        <f>IFERROR(INDEX('Output Utente'!$F$2:$F$492,MATCH(411,'Output Utente'!$Q$2:$Q$492,0)),"")</f>
        <v/>
      </c>
      <c r="J414" s="42" t="str">
        <f>IFERROR(INDEX('Output Utente'!$G$2:$G$492,MATCH(411,'Output Utente'!$Q$2:$Q$492,0)),"")</f>
        <v/>
      </c>
      <c r="K414" s="42" t="str">
        <f>IFERROR(INDEX('Output Utente'!$H$2:$H$492,MATCH(411,'Output Utente'!$Q$2:$Q$492,0)),"")</f>
        <v/>
      </c>
      <c r="L414" s="5" t="str">
        <f>IFERROR(INDEX('Output Utente'!$E$2:$E$492,MATCH(411,'Output Utente'!$Q$2:$Q$492,0)),"")</f>
        <v/>
      </c>
      <c r="M414" s="5" t="str">
        <f>IFERROR(INDEX('Output Utente'!$U$2:$U$492,MATCH(411,'Output Utente'!$Q$2:$Q$492,0)),"")</f>
        <v/>
      </c>
      <c r="N414" s="5" t="str">
        <f>IFERROR(INDEX('Output Utente'!$AE$2:$AE$492,MATCH(411,'Output Utente'!$Q$2:$Q$492,0)),"")</f>
        <v/>
      </c>
    </row>
    <row r="415" spans="1:14" ht="15" customHeight="1" x14ac:dyDescent="0.25">
      <c r="A415" s="41">
        <v>412</v>
      </c>
      <c r="B415" s="5" t="str">
        <f>IFERROR(INDEX('Output Utente'!$A$2:$A$492,MATCH(412,'Output Utente'!$Q$2:$Q$492,0)),"")</f>
        <v/>
      </c>
      <c r="C415" s="5" t="str">
        <f>IFERROR(INDEX('Output Utente'!$B$2:$B$492,MATCH(412,'Output Utente'!$Q$2:$Q$492,0)),"")</f>
        <v/>
      </c>
      <c r="D415" s="5" t="str">
        <f>IFERROR(INDEX('Output Utente'!$C$2:$C$492,MATCH(412,'Output Utente'!$Q$2:$Q$492,0)),"")</f>
        <v/>
      </c>
      <c r="E415" s="5" t="str">
        <f>IFERROR(INDEX('Input Giocatori 2026_27'!$D$3:$D$493,MATCH($B415,'Input Giocatori 2026_27'!$A$3:$A$493,0)),"")</f>
        <v/>
      </c>
      <c r="F415" s="42" t="str">
        <f>IFERROR(INDEX('Output Utente'!$N$2:$N$492,MATCH(412,'Output Utente'!$Q$2:$Q$492,0)),"")</f>
        <v/>
      </c>
      <c r="G415" s="42" t="str">
        <f>IFERROR(INDEX('Output Utente'!$O$2:$O$492,MATCH(412,'Output Utente'!$Q$2:$Q$492,0)),"")</f>
        <v/>
      </c>
      <c r="H415" s="5" t="str">
        <f>IFERROR(INDEX('Output Utente'!$P$2:$P$492,MATCH(412,'Output Utente'!$Q$2:$Q$492,0)),"")</f>
        <v/>
      </c>
      <c r="I415" s="42" t="str">
        <f>IFERROR(INDEX('Output Utente'!$F$2:$F$492,MATCH(412,'Output Utente'!$Q$2:$Q$492,0)),"")</f>
        <v/>
      </c>
      <c r="J415" s="42" t="str">
        <f>IFERROR(INDEX('Output Utente'!$G$2:$G$492,MATCH(412,'Output Utente'!$Q$2:$Q$492,0)),"")</f>
        <v/>
      </c>
      <c r="K415" s="42" t="str">
        <f>IFERROR(INDEX('Output Utente'!$H$2:$H$492,MATCH(412,'Output Utente'!$Q$2:$Q$492,0)),"")</f>
        <v/>
      </c>
      <c r="L415" s="5" t="str">
        <f>IFERROR(INDEX('Output Utente'!$E$2:$E$492,MATCH(412,'Output Utente'!$Q$2:$Q$492,0)),"")</f>
        <v/>
      </c>
      <c r="M415" s="5" t="str">
        <f>IFERROR(INDEX('Output Utente'!$U$2:$U$492,MATCH(412,'Output Utente'!$Q$2:$Q$492,0)),"")</f>
        <v/>
      </c>
      <c r="N415" s="5" t="str">
        <f>IFERROR(INDEX('Output Utente'!$AE$2:$AE$492,MATCH(412,'Output Utente'!$Q$2:$Q$492,0)),"")</f>
        <v/>
      </c>
    </row>
    <row r="416" spans="1:14" ht="15" customHeight="1" x14ac:dyDescent="0.25">
      <c r="A416" s="41">
        <v>413</v>
      </c>
      <c r="B416" s="5" t="str">
        <f>IFERROR(INDEX('Output Utente'!$A$2:$A$492,MATCH(413,'Output Utente'!$Q$2:$Q$492,0)),"")</f>
        <v/>
      </c>
      <c r="C416" s="5" t="str">
        <f>IFERROR(INDEX('Output Utente'!$B$2:$B$492,MATCH(413,'Output Utente'!$Q$2:$Q$492,0)),"")</f>
        <v/>
      </c>
      <c r="D416" s="5" t="str">
        <f>IFERROR(INDEX('Output Utente'!$C$2:$C$492,MATCH(413,'Output Utente'!$Q$2:$Q$492,0)),"")</f>
        <v/>
      </c>
      <c r="E416" s="5" t="str">
        <f>IFERROR(INDEX('Input Giocatori 2026_27'!$D$3:$D$493,MATCH($B416,'Input Giocatori 2026_27'!$A$3:$A$493,0)),"")</f>
        <v/>
      </c>
      <c r="F416" s="42" t="str">
        <f>IFERROR(INDEX('Output Utente'!$N$2:$N$492,MATCH(413,'Output Utente'!$Q$2:$Q$492,0)),"")</f>
        <v/>
      </c>
      <c r="G416" s="42" t="str">
        <f>IFERROR(INDEX('Output Utente'!$O$2:$O$492,MATCH(413,'Output Utente'!$Q$2:$Q$492,0)),"")</f>
        <v/>
      </c>
      <c r="H416" s="5" t="str">
        <f>IFERROR(INDEX('Output Utente'!$P$2:$P$492,MATCH(413,'Output Utente'!$Q$2:$Q$492,0)),"")</f>
        <v/>
      </c>
      <c r="I416" s="42" t="str">
        <f>IFERROR(INDEX('Output Utente'!$F$2:$F$492,MATCH(413,'Output Utente'!$Q$2:$Q$492,0)),"")</f>
        <v/>
      </c>
      <c r="J416" s="42" t="str">
        <f>IFERROR(INDEX('Output Utente'!$G$2:$G$492,MATCH(413,'Output Utente'!$Q$2:$Q$492,0)),"")</f>
        <v/>
      </c>
      <c r="K416" s="42" t="str">
        <f>IFERROR(INDEX('Output Utente'!$H$2:$H$492,MATCH(413,'Output Utente'!$Q$2:$Q$492,0)),"")</f>
        <v/>
      </c>
      <c r="L416" s="5" t="str">
        <f>IFERROR(INDEX('Output Utente'!$E$2:$E$492,MATCH(413,'Output Utente'!$Q$2:$Q$492,0)),"")</f>
        <v/>
      </c>
      <c r="M416" s="5" t="str">
        <f>IFERROR(INDEX('Output Utente'!$U$2:$U$492,MATCH(413,'Output Utente'!$Q$2:$Q$492,0)),"")</f>
        <v/>
      </c>
      <c r="N416" s="5" t="str">
        <f>IFERROR(INDEX('Output Utente'!$AE$2:$AE$492,MATCH(413,'Output Utente'!$Q$2:$Q$492,0)),"")</f>
        <v/>
      </c>
    </row>
    <row r="417" spans="1:14" ht="15" customHeight="1" x14ac:dyDescent="0.25">
      <c r="A417" s="41">
        <v>414</v>
      </c>
      <c r="B417" s="5" t="str">
        <f>IFERROR(INDEX('Output Utente'!$A$2:$A$492,MATCH(414,'Output Utente'!$Q$2:$Q$492,0)),"")</f>
        <v/>
      </c>
      <c r="C417" s="5" t="str">
        <f>IFERROR(INDEX('Output Utente'!$B$2:$B$492,MATCH(414,'Output Utente'!$Q$2:$Q$492,0)),"")</f>
        <v/>
      </c>
      <c r="D417" s="5" t="str">
        <f>IFERROR(INDEX('Output Utente'!$C$2:$C$492,MATCH(414,'Output Utente'!$Q$2:$Q$492,0)),"")</f>
        <v/>
      </c>
      <c r="E417" s="5" t="str">
        <f>IFERROR(INDEX('Input Giocatori 2026_27'!$D$3:$D$493,MATCH($B417,'Input Giocatori 2026_27'!$A$3:$A$493,0)),"")</f>
        <v/>
      </c>
      <c r="F417" s="42" t="str">
        <f>IFERROR(INDEX('Output Utente'!$N$2:$N$492,MATCH(414,'Output Utente'!$Q$2:$Q$492,0)),"")</f>
        <v/>
      </c>
      <c r="G417" s="42" t="str">
        <f>IFERROR(INDEX('Output Utente'!$O$2:$O$492,MATCH(414,'Output Utente'!$Q$2:$Q$492,0)),"")</f>
        <v/>
      </c>
      <c r="H417" s="5" t="str">
        <f>IFERROR(INDEX('Output Utente'!$P$2:$P$492,MATCH(414,'Output Utente'!$Q$2:$Q$492,0)),"")</f>
        <v/>
      </c>
      <c r="I417" s="42" t="str">
        <f>IFERROR(INDEX('Output Utente'!$F$2:$F$492,MATCH(414,'Output Utente'!$Q$2:$Q$492,0)),"")</f>
        <v/>
      </c>
      <c r="J417" s="42" t="str">
        <f>IFERROR(INDEX('Output Utente'!$G$2:$G$492,MATCH(414,'Output Utente'!$Q$2:$Q$492,0)),"")</f>
        <v/>
      </c>
      <c r="K417" s="42" t="str">
        <f>IFERROR(INDEX('Output Utente'!$H$2:$H$492,MATCH(414,'Output Utente'!$Q$2:$Q$492,0)),"")</f>
        <v/>
      </c>
      <c r="L417" s="5" t="str">
        <f>IFERROR(INDEX('Output Utente'!$E$2:$E$492,MATCH(414,'Output Utente'!$Q$2:$Q$492,0)),"")</f>
        <v/>
      </c>
      <c r="M417" s="5" t="str">
        <f>IFERROR(INDEX('Output Utente'!$U$2:$U$492,MATCH(414,'Output Utente'!$Q$2:$Q$492,0)),"")</f>
        <v/>
      </c>
      <c r="N417" s="5" t="str">
        <f>IFERROR(INDEX('Output Utente'!$AE$2:$AE$492,MATCH(414,'Output Utente'!$Q$2:$Q$492,0)),"")</f>
        <v/>
      </c>
    </row>
    <row r="418" spans="1:14" ht="15" customHeight="1" x14ac:dyDescent="0.25">
      <c r="A418" s="41">
        <v>415</v>
      </c>
      <c r="B418" s="5" t="str">
        <f>IFERROR(INDEX('Output Utente'!$A$2:$A$492,MATCH(415,'Output Utente'!$Q$2:$Q$492,0)),"")</f>
        <v/>
      </c>
      <c r="C418" s="5" t="str">
        <f>IFERROR(INDEX('Output Utente'!$B$2:$B$492,MATCH(415,'Output Utente'!$Q$2:$Q$492,0)),"")</f>
        <v/>
      </c>
      <c r="D418" s="5" t="str">
        <f>IFERROR(INDEX('Output Utente'!$C$2:$C$492,MATCH(415,'Output Utente'!$Q$2:$Q$492,0)),"")</f>
        <v/>
      </c>
      <c r="E418" s="5" t="str">
        <f>IFERROR(INDEX('Input Giocatori 2026_27'!$D$3:$D$493,MATCH($B418,'Input Giocatori 2026_27'!$A$3:$A$493,0)),"")</f>
        <v/>
      </c>
      <c r="F418" s="42" t="str">
        <f>IFERROR(INDEX('Output Utente'!$N$2:$N$492,MATCH(415,'Output Utente'!$Q$2:$Q$492,0)),"")</f>
        <v/>
      </c>
      <c r="G418" s="42" t="str">
        <f>IFERROR(INDEX('Output Utente'!$O$2:$O$492,MATCH(415,'Output Utente'!$Q$2:$Q$492,0)),"")</f>
        <v/>
      </c>
      <c r="H418" s="5" t="str">
        <f>IFERROR(INDEX('Output Utente'!$P$2:$P$492,MATCH(415,'Output Utente'!$Q$2:$Q$492,0)),"")</f>
        <v/>
      </c>
      <c r="I418" s="42" t="str">
        <f>IFERROR(INDEX('Output Utente'!$F$2:$F$492,MATCH(415,'Output Utente'!$Q$2:$Q$492,0)),"")</f>
        <v/>
      </c>
      <c r="J418" s="42" t="str">
        <f>IFERROR(INDEX('Output Utente'!$G$2:$G$492,MATCH(415,'Output Utente'!$Q$2:$Q$492,0)),"")</f>
        <v/>
      </c>
      <c r="K418" s="42" t="str">
        <f>IFERROR(INDEX('Output Utente'!$H$2:$H$492,MATCH(415,'Output Utente'!$Q$2:$Q$492,0)),"")</f>
        <v/>
      </c>
      <c r="L418" s="5" t="str">
        <f>IFERROR(INDEX('Output Utente'!$E$2:$E$492,MATCH(415,'Output Utente'!$Q$2:$Q$492,0)),"")</f>
        <v/>
      </c>
      <c r="M418" s="5" t="str">
        <f>IFERROR(INDEX('Output Utente'!$U$2:$U$492,MATCH(415,'Output Utente'!$Q$2:$Q$492,0)),"")</f>
        <v/>
      </c>
      <c r="N418" s="5" t="str">
        <f>IFERROR(INDEX('Output Utente'!$AE$2:$AE$492,MATCH(415,'Output Utente'!$Q$2:$Q$492,0)),"")</f>
        <v/>
      </c>
    </row>
    <row r="419" spans="1:14" ht="15" customHeight="1" x14ac:dyDescent="0.25">
      <c r="A419" s="41">
        <v>416</v>
      </c>
      <c r="B419" s="5" t="str">
        <f>IFERROR(INDEX('Output Utente'!$A$2:$A$492,MATCH(416,'Output Utente'!$Q$2:$Q$492,0)),"")</f>
        <v/>
      </c>
      <c r="C419" s="5" t="str">
        <f>IFERROR(INDEX('Output Utente'!$B$2:$B$492,MATCH(416,'Output Utente'!$Q$2:$Q$492,0)),"")</f>
        <v/>
      </c>
      <c r="D419" s="5" t="str">
        <f>IFERROR(INDEX('Output Utente'!$C$2:$C$492,MATCH(416,'Output Utente'!$Q$2:$Q$492,0)),"")</f>
        <v/>
      </c>
      <c r="E419" s="5" t="str">
        <f>IFERROR(INDEX('Input Giocatori 2026_27'!$D$3:$D$493,MATCH($B419,'Input Giocatori 2026_27'!$A$3:$A$493,0)),"")</f>
        <v/>
      </c>
      <c r="F419" s="42" t="str">
        <f>IFERROR(INDEX('Output Utente'!$N$2:$N$492,MATCH(416,'Output Utente'!$Q$2:$Q$492,0)),"")</f>
        <v/>
      </c>
      <c r="G419" s="42" t="str">
        <f>IFERROR(INDEX('Output Utente'!$O$2:$O$492,MATCH(416,'Output Utente'!$Q$2:$Q$492,0)),"")</f>
        <v/>
      </c>
      <c r="H419" s="5" t="str">
        <f>IFERROR(INDEX('Output Utente'!$P$2:$P$492,MATCH(416,'Output Utente'!$Q$2:$Q$492,0)),"")</f>
        <v/>
      </c>
      <c r="I419" s="42" t="str">
        <f>IFERROR(INDEX('Output Utente'!$F$2:$F$492,MATCH(416,'Output Utente'!$Q$2:$Q$492,0)),"")</f>
        <v/>
      </c>
      <c r="J419" s="42" t="str">
        <f>IFERROR(INDEX('Output Utente'!$G$2:$G$492,MATCH(416,'Output Utente'!$Q$2:$Q$492,0)),"")</f>
        <v/>
      </c>
      <c r="K419" s="42" t="str">
        <f>IFERROR(INDEX('Output Utente'!$H$2:$H$492,MATCH(416,'Output Utente'!$Q$2:$Q$492,0)),"")</f>
        <v/>
      </c>
      <c r="L419" s="5" t="str">
        <f>IFERROR(INDEX('Output Utente'!$E$2:$E$492,MATCH(416,'Output Utente'!$Q$2:$Q$492,0)),"")</f>
        <v/>
      </c>
      <c r="M419" s="5" t="str">
        <f>IFERROR(INDEX('Output Utente'!$U$2:$U$492,MATCH(416,'Output Utente'!$Q$2:$Q$492,0)),"")</f>
        <v/>
      </c>
      <c r="N419" s="5" t="str">
        <f>IFERROR(INDEX('Output Utente'!$AE$2:$AE$492,MATCH(416,'Output Utente'!$Q$2:$Q$492,0)),"")</f>
        <v/>
      </c>
    </row>
    <row r="420" spans="1:14" ht="15" customHeight="1" x14ac:dyDescent="0.25">
      <c r="A420" s="41">
        <v>417</v>
      </c>
      <c r="B420" s="5" t="str">
        <f>IFERROR(INDEX('Output Utente'!$A$2:$A$492,MATCH(417,'Output Utente'!$Q$2:$Q$492,0)),"")</f>
        <v/>
      </c>
      <c r="C420" s="5" t="str">
        <f>IFERROR(INDEX('Output Utente'!$B$2:$B$492,MATCH(417,'Output Utente'!$Q$2:$Q$492,0)),"")</f>
        <v/>
      </c>
      <c r="D420" s="5" t="str">
        <f>IFERROR(INDEX('Output Utente'!$C$2:$C$492,MATCH(417,'Output Utente'!$Q$2:$Q$492,0)),"")</f>
        <v/>
      </c>
      <c r="E420" s="5" t="str">
        <f>IFERROR(INDEX('Input Giocatori 2026_27'!$D$3:$D$493,MATCH($B420,'Input Giocatori 2026_27'!$A$3:$A$493,0)),"")</f>
        <v/>
      </c>
      <c r="F420" s="42" t="str">
        <f>IFERROR(INDEX('Output Utente'!$N$2:$N$492,MATCH(417,'Output Utente'!$Q$2:$Q$492,0)),"")</f>
        <v/>
      </c>
      <c r="G420" s="42" t="str">
        <f>IFERROR(INDEX('Output Utente'!$O$2:$O$492,MATCH(417,'Output Utente'!$Q$2:$Q$492,0)),"")</f>
        <v/>
      </c>
      <c r="H420" s="5" t="str">
        <f>IFERROR(INDEX('Output Utente'!$P$2:$P$492,MATCH(417,'Output Utente'!$Q$2:$Q$492,0)),"")</f>
        <v/>
      </c>
      <c r="I420" s="42" t="str">
        <f>IFERROR(INDEX('Output Utente'!$F$2:$F$492,MATCH(417,'Output Utente'!$Q$2:$Q$492,0)),"")</f>
        <v/>
      </c>
      <c r="J420" s="42" t="str">
        <f>IFERROR(INDEX('Output Utente'!$G$2:$G$492,MATCH(417,'Output Utente'!$Q$2:$Q$492,0)),"")</f>
        <v/>
      </c>
      <c r="K420" s="42" t="str">
        <f>IFERROR(INDEX('Output Utente'!$H$2:$H$492,MATCH(417,'Output Utente'!$Q$2:$Q$492,0)),"")</f>
        <v/>
      </c>
      <c r="L420" s="5" t="str">
        <f>IFERROR(INDEX('Output Utente'!$E$2:$E$492,MATCH(417,'Output Utente'!$Q$2:$Q$492,0)),"")</f>
        <v/>
      </c>
      <c r="M420" s="5" t="str">
        <f>IFERROR(INDEX('Output Utente'!$U$2:$U$492,MATCH(417,'Output Utente'!$Q$2:$Q$492,0)),"")</f>
        <v/>
      </c>
      <c r="N420" s="5" t="str">
        <f>IFERROR(INDEX('Output Utente'!$AE$2:$AE$492,MATCH(417,'Output Utente'!$Q$2:$Q$492,0)),"")</f>
        <v/>
      </c>
    </row>
    <row r="421" spans="1:14" ht="15" customHeight="1" x14ac:dyDescent="0.25">
      <c r="A421" s="41">
        <v>418</v>
      </c>
      <c r="B421" s="5" t="str">
        <f>IFERROR(INDEX('Output Utente'!$A$2:$A$492,MATCH(418,'Output Utente'!$Q$2:$Q$492,0)),"")</f>
        <v/>
      </c>
      <c r="C421" s="5" t="str">
        <f>IFERROR(INDEX('Output Utente'!$B$2:$B$492,MATCH(418,'Output Utente'!$Q$2:$Q$492,0)),"")</f>
        <v/>
      </c>
      <c r="D421" s="5" t="str">
        <f>IFERROR(INDEX('Output Utente'!$C$2:$C$492,MATCH(418,'Output Utente'!$Q$2:$Q$492,0)),"")</f>
        <v/>
      </c>
      <c r="E421" s="5" t="str">
        <f>IFERROR(INDEX('Input Giocatori 2026_27'!$D$3:$D$493,MATCH($B421,'Input Giocatori 2026_27'!$A$3:$A$493,0)),"")</f>
        <v/>
      </c>
      <c r="F421" s="42" t="str">
        <f>IFERROR(INDEX('Output Utente'!$N$2:$N$492,MATCH(418,'Output Utente'!$Q$2:$Q$492,0)),"")</f>
        <v/>
      </c>
      <c r="G421" s="42" t="str">
        <f>IFERROR(INDEX('Output Utente'!$O$2:$O$492,MATCH(418,'Output Utente'!$Q$2:$Q$492,0)),"")</f>
        <v/>
      </c>
      <c r="H421" s="5" t="str">
        <f>IFERROR(INDEX('Output Utente'!$P$2:$P$492,MATCH(418,'Output Utente'!$Q$2:$Q$492,0)),"")</f>
        <v/>
      </c>
      <c r="I421" s="42" t="str">
        <f>IFERROR(INDEX('Output Utente'!$F$2:$F$492,MATCH(418,'Output Utente'!$Q$2:$Q$492,0)),"")</f>
        <v/>
      </c>
      <c r="J421" s="42" t="str">
        <f>IFERROR(INDEX('Output Utente'!$G$2:$G$492,MATCH(418,'Output Utente'!$Q$2:$Q$492,0)),"")</f>
        <v/>
      </c>
      <c r="K421" s="42" t="str">
        <f>IFERROR(INDEX('Output Utente'!$H$2:$H$492,MATCH(418,'Output Utente'!$Q$2:$Q$492,0)),"")</f>
        <v/>
      </c>
      <c r="L421" s="5" t="str">
        <f>IFERROR(INDEX('Output Utente'!$E$2:$E$492,MATCH(418,'Output Utente'!$Q$2:$Q$492,0)),"")</f>
        <v/>
      </c>
      <c r="M421" s="5" t="str">
        <f>IFERROR(INDEX('Output Utente'!$U$2:$U$492,MATCH(418,'Output Utente'!$Q$2:$Q$492,0)),"")</f>
        <v/>
      </c>
      <c r="N421" s="5" t="str">
        <f>IFERROR(INDEX('Output Utente'!$AE$2:$AE$492,MATCH(418,'Output Utente'!$Q$2:$Q$492,0)),"")</f>
        <v/>
      </c>
    </row>
    <row r="422" spans="1:14" ht="15" customHeight="1" x14ac:dyDescent="0.25">
      <c r="A422" s="41">
        <v>419</v>
      </c>
      <c r="B422" s="5" t="str">
        <f>IFERROR(INDEX('Output Utente'!$A$2:$A$492,MATCH(419,'Output Utente'!$Q$2:$Q$492,0)),"")</f>
        <v/>
      </c>
      <c r="C422" s="5" t="str">
        <f>IFERROR(INDEX('Output Utente'!$B$2:$B$492,MATCH(419,'Output Utente'!$Q$2:$Q$492,0)),"")</f>
        <v/>
      </c>
      <c r="D422" s="5" t="str">
        <f>IFERROR(INDEX('Output Utente'!$C$2:$C$492,MATCH(419,'Output Utente'!$Q$2:$Q$492,0)),"")</f>
        <v/>
      </c>
      <c r="E422" s="5" t="str">
        <f>IFERROR(INDEX('Input Giocatori 2026_27'!$D$3:$D$493,MATCH($B422,'Input Giocatori 2026_27'!$A$3:$A$493,0)),"")</f>
        <v/>
      </c>
      <c r="F422" s="42" t="str">
        <f>IFERROR(INDEX('Output Utente'!$N$2:$N$492,MATCH(419,'Output Utente'!$Q$2:$Q$492,0)),"")</f>
        <v/>
      </c>
      <c r="G422" s="42" t="str">
        <f>IFERROR(INDEX('Output Utente'!$O$2:$O$492,MATCH(419,'Output Utente'!$Q$2:$Q$492,0)),"")</f>
        <v/>
      </c>
      <c r="H422" s="5" t="str">
        <f>IFERROR(INDEX('Output Utente'!$P$2:$P$492,MATCH(419,'Output Utente'!$Q$2:$Q$492,0)),"")</f>
        <v/>
      </c>
      <c r="I422" s="42" t="str">
        <f>IFERROR(INDEX('Output Utente'!$F$2:$F$492,MATCH(419,'Output Utente'!$Q$2:$Q$492,0)),"")</f>
        <v/>
      </c>
      <c r="J422" s="42" t="str">
        <f>IFERROR(INDEX('Output Utente'!$G$2:$G$492,MATCH(419,'Output Utente'!$Q$2:$Q$492,0)),"")</f>
        <v/>
      </c>
      <c r="K422" s="42" t="str">
        <f>IFERROR(INDEX('Output Utente'!$H$2:$H$492,MATCH(419,'Output Utente'!$Q$2:$Q$492,0)),"")</f>
        <v/>
      </c>
      <c r="L422" s="5" t="str">
        <f>IFERROR(INDEX('Output Utente'!$E$2:$E$492,MATCH(419,'Output Utente'!$Q$2:$Q$492,0)),"")</f>
        <v/>
      </c>
      <c r="M422" s="5" t="str">
        <f>IFERROR(INDEX('Output Utente'!$U$2:$U$492,MATCH(419,'Output Utente'!$Q$2:$Q$492,0)),"")</f>
        <v/>
      </c>
      <c r="N422" s="5" t="str">
        <f>IFERROR(INDEX('Output Utente'!$AE$2:$AE$492,MATCH(419,'Output Utente'!$Q$2:$Q$492,0)),"")</f>
        <v/>
      </c>
    </row>
    <row r="423" spans="1:14" ht="15" customHeight="1" x14ac:dyDescent="0.25">
      <c r="A423" s="41">
        <v>420</v>
      </c>
      <c r="B423" s="5" t="str">
        <f>IFERROR(INDEX('Output Utente'!$A$2:$A$492,MATCH(420,'Output Utente'!$Q$2:$Q$492,0)),"")</f>
        <v/>
      </c>
      <c r="C423" s="5" t="str">
        <f>IFERROR(INDEX('Output Utente'!$B$2:$B$492,MATCH(420,'Output Utente'!$Q$2:$Q$492,0)),"")</f>
        <v/>
      </c>
      <c r="D423" s="5" t="str">
        <f>IFERROR(INDEX('Output Utente'!$C$2:$C$492,MATCH(420,'Output Utente'!$Q$2:$Q$492,0)),"")</f>
        <v/>
      </c>
      <c r="E423" s="5" t="str">
        <f>IFERROR(INDEX('Input Giocatori 2026_27'!$D$3:$D$493,MATCH($B423,'Input Giocatori 2026_27'!$A$3:$A$493,0)),"")</f>
        <v/>
      </c>
      <c r="F423" s="42" t="str">
        <f>IFERROR(INDEX('Output Utente'!$N$2:$N$492,MATCH(420,'Output Utente'!$Q$2:$Q$492,0)),"")</f>
        <v/>
      </c>
      <c r="G423" s="42" t="str">
        <f>IFERROR(INDEX('Output Utente'!$O$2:$O$492,MATCH(420,'Output Utente'!$Q$2:$Q$492,0)),"")</f>
        <v/>
      </c>
      <c r="H423" s="5" t="str">
        <f>IFERROR(INDEX('Output Utente'!$P$2:$P$492,MATCH(420,'Output Utente'!$Q$2:$Q$492,0)),"")</f>
        <v/>
      </c>
      <c r="I423" s="42" t="str">
        <f>IFERROR(INDEX('Output Utente'!$F$2:$F$492,MATCH(420,'Output Utente'!$Q$2:$Q$492,0)),"")</f>
        <v/>
      </c>
      <c r="J423" s="42" t="str">
        <f>IFERROR(INDEX('Output Utente'!$G$2:$G$492,MATCH(420,'Output Utente'!$Q$2:$Q$492,0)),"")</f>
        <v/>
      </c>
      <c r="K423" s="42" t="str">
        <f>IFERROR(INDEX('Output Utente'!$H$2:$H$492,MATCH(420,'Output Utente'!$Q$2:$Q$492,0)),"")</f>
        <v/>
      </c>
      <c r="L423" s="5" t="str">
        <f>IFERROR(INDEX('Output Utente'!$E$2:$E$492,MATCH(420,'Output Utente'!$Q$2:$Q$492,0)),"")</f>
        <v/>
      </c>
      <c r="M423" s="5" t="str">
        <f>IFERROR(INDEX('Output Utente'!$U$2:$U$492,MATCH(420,'Output Utente'!$Q$2:$Q$492,0)),"")</f>
        <v/>
      </c>
      <c r="N423" s="5" t="str">
        <f>IFERROR(INDEX('Output Utente'!$AE$2:$AE$492,MATCH(420,'Output Utente'!$Q$2:$Q$492,0)),"")</f>
        <v/>
      </c>
    </row>
    <row r="424" spans="1:14" ht="15" customHeight="1" x14ac:dyDescent="0.25">
      <c r="A424" s="41">
        <v>421</v>
      </c>
      <c r="B424" s="5" t="str">
        <f>IFERROR(INDEX('Output Utente'!$A$2:$A$492,MATCH(421,'Output Utente'!$Q$2:$Q$492,0)),"")</f>
        <v/>
      </c>
      <c r="C424" s="5" t="str">
        <f>IFERROR(INDEX('Output Utente'!$B$2:$B$492,MATCH(421,'Output Utente'!$Q$2:$Q$492,0)),"")</f>
        <v/>
      </c>
      <c r="D424" s="5" t="str">
        <f>IFERROR(INDEX('Output Utente'!$C$2:$C$492,MATCH(421,'Output Utente'!$Q$2:$Q$492,0)),"")</f>
        <v/>
      </c>
      <c r="E424" s="5" t="str">
        <f>IFERROR(INDEX('Input Giocatori 2026_27'!$D$3:$D$493,MATCH($B424,'Input Giocatori 2026_27'!$A$3:$A$493,0)),"")</f>
        <v/>
      </c>
      <c r="F424" s="42" t="str">
        <f>IFERROR(INDEX('Output Utente'!$N$2:$N$492,MATCH(421,'Output Utente'!$Q$2:$Q$492,0)),"")</f>
        <v/>
      </c>
      <c r="G424" s="42" t="str">
        <f>IFERROR(INDEX('Output Utente'!$O$2:$O$492,MATCH(421,'Output Utente'!$Q$2:$Q$492,0)),"")</f>
        <v/>
      </c>
      <c r="H424" s="5" t="str">
        <f>IFERROR(INDEX('Output Utente'!$P$2:$P$492,MATCH(421,'Output Utente'!$Q$2:$Q$492,0)),"")</f>
        <v/>
      </c>
      <c r="I424" s="42" t="str">
        <f>IFERROR(INDEX('Output Utente'!$F$2:$F$492,MATCH(421,'Output Utente'!$Q$2:$Q$492,0)),"")</f>
        <v/>
      </c>
      <c r="J424" s="42" t="str">
        <f>IFERROR(INDEX('Output Utente'!$G$2:$G$492,MATCH(421,'Output Utente'!$Q$2:$Q$492,0)),"")</f>
        <v/>
      </c>
      <c r="K424" s="42" t="str">
        <f>IFERROR(INDEX('Output Utente'!$H$2:$H$492,MATCH(421,'Output Utente'!$Q$2:$Q$492,0)),"")</f>
        <v/>
      </c>
      <c r="L424" s="5" t="str">
        <f>IFERROR(INDEX('Output Utente'!$E$2:$E$492,MATCH(421,'Output Utente'!$Q$2:$Q$492,0)),"")</f>
        <v/>
      </c>
      <c r="M424" s="5" t="str">
        <f>IFERROR(INDEX('Output Utente'!$U$2:$U$492,MATCH(421,'Output Utente'!$Q$2:$Q$492,0)),"")</f>
        <v/>
      </c>
      <c r="N424" s="5" t="str">
        <f>IFERROR(INDEX('Output Utente'!$AE$2:$AE$492,MATCH(421,'Output Utente'!$Q$2:$Q$492,0)),"")</f>
        <v/>
      </c>
    </row>
    <row r="425" spans="1:14" ht="15" customHeight="1" x14ac:dyDescent="0.25">
      <c r="A425" s="41">
        <v>422</v>
      </c>
      <c r="B425" s="5" t="str">
        <f>IFERROR(INDEX('Output Utente'!$A$2:$A$492,MATCH(422,'Output Utente'!$Q$2:$Q$492,0)),"")</f>
        <v/>
      </c>
      <c r="C425" s="5" t="str">
        <f>IFERROR(INDEX('Output Utente'!$B$2:$B$492,MATCH(422,'Output Utente'!$Q$2:$Q$492,0)),"")</f>
        <v/>
      </c>
      <c r="D425" s="5" t="str">
        <f>IFERROR(INDEX('Output Utente'!$C$2:$C$492,MATCH(422,'Output Utente'!$Q$2:$Q$492,0)),"")</f>
        <v/>
      </c>
      <c r="E425" s="5" t="str">
        <f>IFERROR(INDEX('Input Giocatori 2026_27'!$D$3:$D$493,MATCH($B425,'Input Giocatori 2026_27'!$A$3:$A$493,0)),"")</f>
        <v/>
      </c>
      <c r="F425" s="42" t="str">
        <f>IFERROR(INDEX('Output Utente'!$N$2:$N$492,MATCH(422,'Output Utente'!$Q$2:$Q$492,0)),"")</f>
        <v/>
      </c>
      <c r="G425" s="42" t="str">
        <f>IFERROR(INDEX('Output Utente'!$O$2:$O$492,MATCH(422,'Output Utente'!$Q$2:$Q$492,0)),"")</f>
        <v/>
      </c>
      <c r="H425" s="5" t="str">
        <f>IFERROR(INDEX('Output Utente'!$P$2:$P$492,MATCH(422,'Output Utente'!$Q$2:$Q$492,0)),"")</f>
        <v/>
      </c>
      <c r="I425" s="42" t="str">
        <f>IFERROR(INDEX('Output Utente'!$F$2:$F$492,MATCH(422,'Output Utente'!$Q$2:$Q$492,0)),"")</f>
        <v/>
      </c>
      <c r="J425" s="42" t="str">
        <f>IFERROR(INDEX('Output Utente'!$G$2:$G$492,MATCH(422,'Output Utente'!$Q$2:$Q$492,0)),"")</f>
        <v/>
      </c>
      <c r="K425" s="42" t="str">
        <f>IFERROR(INDEX('Output Utente'!$H$2:$H$492,MATCH(422,'Output Utente'!$Q$2:$Q$492,0)),"")</f>
        <v/>
      </c>
      <c r="L425" s="5" t="str">
        <f>IFERROR(INDEX('Output Utente'!$E$2:$E$492,MATCH(422,'Output Utente'!$Q$2:$Q$492,0)),"")</f>
        <v/>
      </c>
      <c r="M425" s="5" t="str">
        <f>IFERROR(INDEX('Output Utente'!$U$2:$U$492,MATCH(422,'Output Utente'!$Q$2:$Q$492,0)),"")</f>
        <v/>
      </c>
      <c r="N425" s="5" t="str">
        <f>IFERROR(INDEX('Output Utente'!$AE$2:$AE$492,MATCH(422,'Output Utente'!$Q$2:$Q$492,0)),"")</f>
        <v/>
      </c>
    </row>
    <row r="426" spans="1:14" ht="15" customHeight="1" x14ac:dyDescent="0.25">
      <c r="A426" s="41">
        <v>423</v>
      </c>
      <c r="B426" s="5" t="str">
        <f>IFERROR(INDEX('Output Utente'!$A$2:$A$492,MATCH(423,'Output Utente'!$Q$2:$Q$492,0)),"")</f>
        <v/>
      </c>
      <c r="C426" s="5" t="str">
        <f>IFERROR(INDEX('Output Utente'!$B$2:$B$492,MATCH(423,'Output Utente'!$Q$2:$Q$492,0)),"")</f>
        <v/>
      </c>
      <c r="D426" s="5" t="str">
        <f>IFERROR(INDEX('Output Utente'!$C$2:$C$492,MATCH(423,'Output Utente'!$Q$2:$Q$492,0)),"")</f>
        <v/>
      </c>
      <c r="E426" s="5" t="str">
        <f>IFERROR(INDEX('Input Giocatori 2026_27'!$D$3:$D$493,MATCH($B426,'Input Giocatori 2026_27'!$A$3:$A$493,0)),"")</f>
        <v/>
      </c>
      <c r="F426" s="42" t="str">
        <f>IFERROR(INDEX('Output Utente'!$N$2:$N$492,MATCH(423,'Output Utente'!$Q$2:$Q$492,0)),"")</f>
        <v/>
      </c>
      <c r="G426" s="42" t="str">
        <f>IFERROR(INDEX('Output Utente'!$O$2:$O$492,MATCH(423,'Output Utente'!$Q$2:$Q$492,0)),"")</f>
        <v/>
      </c>
      <c r="H426" s="5" t="str">
        <f>IFERROR(INDEX('Output Utente'!$P$2:$P$492,MATCH(423,'Output Utente'!$Q$2:$Q$492,0)),"")</f>
        <v/>
      </c>
      <c r="I426" s="42" t="str">
        <f>IFERROR(INDEX('Output Utente'!$F$2:$F$492,MATCH(423,'Output Utente'!$Q$2:$Q$492,0)),"")</f>
        <v/>
      </c>
      <c r="J426" s="42" t="str">
        <f>IFERROR(INDEX('Output Utente'!$G$2:$G$492,MATCH(423,'Output Utente'!$Q$2:$Q$492,0)),"")</f>
        <v/>
      </c>
      <c r="K426" s="42" t="str">
        <f>IFERROR(INDEX('Output Utente'!$H$2:$H$492,MATCH(423,'Output Utente'!$Q$2:$Q$492,0)),"")</f>
        <v/>
      </c>
      <c r="L426" s="5" t="str">
        <f>IFERROR(INDEX('Output Utente'!$E$2:$E$492,MATCH(423,'Output Utente'!$Q$2:$Q$492,0)),"")</f>
        <v/>
      </c>
      <c r="M426" s="5" t="str">
        <f>IFERROR(INDEX('Output Utente'!$U$2:$U$492,MATCH(423,'Output Utente'!$Q$2:$Q$492,0)),"")</f>
        <v/>
      </c>
      <c r="N426" s="5" t="str">
        <f>IFERROR(INDEX('Output Utente'!$AE$2:$AE$492,MATCH(423,'Output Utente'!$Q$2:$Q$492,0)),"")</f>
        <v/>
      </c>
    </row>
    <row r="427" spans="1:14" ht="15" customHeight="1" x14ac:dyDescent="0.25">
      <c r="A427" s="41">
        <v>424</v>
      </c>
      <c r="B427" s="5" t="str">
        <f>IFERROR(INDEX('Output Utente'!$A$2:$A$492,MATCH(424,'Output Utente'!$Q$2:$Q$492,0)),"")</f>
        <v/>
      </c>
      <c r="C427" s="5" t="str">
        <f>IFERROR(INDEX('Output Utente'!$B$2:$B$492,MATCH(424,'Output Utente'!$Q$2:$Q$492,0)),"")</f>
        <v/>
      </c>
      <c r="D427" s="5" t="str">
        <f>IFERROR(INDEX('Output Utente'!$C$2:$C$492,MATCH(424,'Output Utente'!$Q$2:$Q$492,0)),"")</f>
        <v/>
      </c>
      <c r="E427" s="5" t="str">
        <f>IFERROR(INDEX('Input Giocatori 2026_27'!$D$3:$D$493,MATCH($B427,'Input Giocatori 2026_27'!$A$3:$A$493,0)),"")</f>
        <v/>
      </c>
      <c r="F427" s="42" t="str">
        <f>IFERROR(INDEX('Output Utente'!$N$2:$N$492,MATCH(424,'Output Utente'!$Q$2:$Q$492,0)),"")</f>
        <v/>
      </c>
      <c r="G427" s="42" t="str">
        <f>IFERROR(INDEX('Output Utente'!$O$2:$O$492,MATCH(424,'Output Utente'!$Q$2:$Q$492,0)),"")</f>
        <v/>
      </c>
      <c r="H427" s="5" t="str">
        <f>IFERROR(INDEX('Output Utente'!$P$2:$P$492,MATCH(424,'Output Utente'!$Q$2:$Q$492,0)),"")</f>
        <v/>
      </c>
      <c r="I427" s="42" t="str">
        <f>IFERROR(INDEX('Output Utente'!$F$2:$F$492,MATCH(424,'Output Utente'!$Q$2:$Q$492,0)),"")</f>
        <v/>
      </c>
      <c r="J427" s="42" t="str">
        <f>IFERROR(INDEX('Output Utente'!$G$2:$G$492,MATCH(424,'Output Utente'!$Q$2:$Q$492,0)),"")</f>
        <v/>
      </c>
      <c r="K427" s="42" t="str">
        <f>IFERROR(INDEX('Output Utente'!$H$2:$H$492,MATCH(424,'Output Utente'!$Q$2:$Q$492,0)),"")</f>
        <v/>
      </c>
      <c r="L427" s="5" t="str">
        <f>IFERROR(INDEX('Output Utente'!$E$2:$E$492,MATCH(424,'Output Utente'!$Q$2:$Q$492,0)),"")</f>
        <v/>
      </c>
      <c r="M427" s="5" t="str">
        <f>IFERROR(INDEX('Output Utente'!$U$2:$U$492,MATCH(424,'Output Utente'!$Q$2:$Q$492,0)),"")</f>
        <v/>
      </c>
      <c r="N427" s="5" t="str">
        <f>IFERROR(INDEX('Output Utente'!$AE$2:$AE$492,MATCH(424,'Output Utente'!$Q$2:$Q$492,0)),"")</f>
        <v/>
      </c>
    </row>
    <row r="428" spans="1:14" ht="15" customHeight="1" x14ac:dyDescent="0.25">
      <c r="A428" s="41">
        <v>425</v>
      </c>
      <c r="B428" s="5" t="str">
        <f>IFERROR(INDEX('Output Utente'!$A$2:$A$492,MATCH(425,'Output Utente'!$Q$2:$Q$492,0)),"")</f>
        <v/>
      </c>
      <c r="C428" s="5" t="str">
        <f>IFERROR(INDEX('Output Utente'!$B$2:$B$492,MATCH(425,'Output Utente'!$Q$2:$Q$492,0)),"")</f>
        <v/>
      </c>
      <c r="D428" s="5" t="str">
        <f>IFERROR(INDEX('Output Utente'!$C$2:$C$492,MATCH(425,'Output Utente'!$Q$2:$Q$492,0)),"")</f>
        <v/>
      </c>
      <c r="E428" s="5" t="str">
        <f>IFERROR(INDEX('Input Giocatori 2026_27'!$D$3:$D$493,MATCH($B428,'Input Giocatori 2026_27'!$A$3:$A$493,0)),"")</f>
        <v/>
      </c>
      <c r="F428" s="42" t="str">
        <f>IFERROR(INDEX('Output Utente'!$N$2:$N$492,MATCH(425,'Output Utente'!$Q$2:$Q$492,0)),"")</f>
        <v/>
      </c>
      <c r="G428" s="42" t="str">
        <f>IFERROR(INDEX('Output Utente'!$O$2:$O$492,MATCH(425,'Output Utente'!$Q$2:$Q$492,0)),"")</f>
        <v/>
      </c>
      <c r="H428" s="5" t="str">
        <f>IFERROR(INDEX('Output Utente'!$P$2:$P$492,MATCH(425,'Output Utente'!$Q$2:$Q$492,0)),"")</f>
        <v/>
      </c>
      <c r="I428" s="42" t="str">
        <f>IFERROR(INDEX('Output Utente'!$F$2:$F$492,MATCH(425,'Output Utente'!$Q$2:$Q$492,0)),"")</f>
        <v/>
      </c>
      <c r="J428" s="42" t="str">
        <f>IFERROR(INDEX('Output Utente'!$G$2:$G$492,MATCH(425,'Output Utente'!$Q$2:$Q$492,0)),"")</f>
        <v/>
      </c>
      <c r="K428" s="42" t="str">
        <f>IFERROR(INDEX('Output Utente'!$H$2:$H$492,MATCH(425,'Output Utente'!$Q$2:$Q$492,0)),"")</f>
        <v/>
      </c>
      <c r="L428" s="5" t="str">
        <f>IFERROR(INDEX('Output Utente'!$E$2:$E$492,MATCH(425,'Output Utente'!$Q$2:$Q$492,0)),"")</f>
        <v/>
      </c>
      <c r="M428" s="5" t="str">
        <f>IFERROR(INDEX('Output Utente'!$U$2:$U$492,MATCH(425,'Output Utente'!$Q$2:$Q$492,0)),"")</f>
        <v/>
      </c>
      <c r="N428" s="5" t="str">
        <f>IFERROR(INDEX('Output Utente'!$AE$2:$AE$492,MATCH(425,'Output Utente'!$Q$2:$Q$492,0)),"")</f>
        <v/>
      </c>
    </row>
    <row r="429" spans="1:14" ht="15" customHeight="1" x14ac:dyDescent="0.25">
      <c r="A429" s="41">
        <v>426</v>
      </c>
      <c r="B429" s="5" t="str">
        <f>IFERROR(INDEX('Output Utente'!$A$2:$A$492,MATCH(426,'Output Utente'!$Q$2:$Q$492,0)),"")</f>
        <v/>
      </c>
      <c r="C429" s="5" t="str">
        <f>IFERROR(INDEX('Output Utente'!$B$2:$B$492,MATCH(426,'Output Utente'!$Q$2:$Q$492,0)),"")</f>
        <v/>
      </c>
      <c r="D429" s="5" t="str">
        <f>IFERROR(INDEX('Output Utente'!$C$2:$C$492,MATCH(426,'Output Utente'!$Q$2:$Q$492,0)),"")</f>
        <v/>
      </c>
      <c r="E429" s="5" t="str">
        <f>IFERROR(INDEX('Input Giocatori 2026_27'!$D$3:$D$493,MATCH($B429,'Input Giocatori 2026_27'!$A$3:$A$493,0)),"")</f>
        <v/>
      </c>
      <c r="F429" s="42" t="str">
        <f>IFERROR(INDEX('Output Utente'!$N$2:$N$492,MATCH(426,'Output Utente'!$Q$2:$Q$492,0)),"")</f>
        <v/>
      </c>
      <c r="G429" s="42" t="str">
        <f>IFERROR(INDEX('Output Utente'!$O$2:$O$492,MATCH(426,'Output Utente'!$Q$2:$Q$492,0)),"")</f>
        <v/>
      </c>
      <c r="H429" s="5" t="str">
        <f>IFERROR(INDEX('Output Utente'!$P$2:$P$492,MATCH(426,'Output Utente'!$Q$2:$Q$492,0)),"")</f>
        <v/>
      </c>
      <c r="I429" s="42" t="str">
        <f>IFERROR(INDEX('Output Utente'!$F$2:$F$492,MATCH(426,'Output Utente'!$Q$2:$Q$492,0)),"")</f>
        <v/>
      </c>
      <c r="J429" s="42" t="str">
        <f>IFERROR(INDEX('Output Utente'!$G$2:$G$492,MATCH(426,'Output Utente'!$Q$2:$Q$492,0)),"")</f>
        <v/>
      </c>
      <c r="K429" s="42" t="str">
        <f>IFERROR(INDEX('Output Utente'!$H$2:$H$492,MATCH(426,'Output Utente'!$Q$2:$Q$492,0)),"")</f>
        <v/>
      </c>
      <c r="L429" s="5" t="str">
        <f>IFERROR(INDEX('Output Utente'!$E$2:$E$492,MATCH(426,'Output Utente'!$Q$2:$Q$492,0)),"")</f>
        <v/>
      </c>
      <c r="M429" s="5" t="str">
        <f>IFERROR(INDEX('Output Utente'!$U$2:$U$492,MATCH(426,'Output Utente'!$Q$2:$Q$492,0)),"")</f>
        <v/>
      </c>
      <c r="N429" s="5" t="str">
        <f>IFERROR(INDEX('Output Utente'!$AE$2:$AE$492,MATCH(426,'Output Utente'!$Q$2:$Q$492,0)),"")</f>
        <v/>
      </c>
    </row>
    <row r="430" spans="1:14" ht="15" customHeight="1" x14ac:dyDescent="0.25">
      <c r="A430" s="41">
        <v>427</v>
      </c>
      <c r="B430" s="5" t="str">
        <f>IFERROR(INDEX('Output Utente'!$A$2:$A$492,MATCH(427,'Output Utente'!$Q$2:$Q$492,0)),"")</f>
        <v/>
      </c>
      <c r="C430" s="5" t="str">
        <f>IFERROR(INDEX('Output Utente'!$B$2:$B$492,MATCH(427,'Output Utente'!$Q$2:$Q$492,0)),"")</f>
        <v/>
      </c>
      <c r="D430" s="5" t="str">
        <f>IFERROR(INDEX('Output Utente'!$C$2:$C$492,MATCH(427,'Output Utente'!$Q$2:$Q$492,0)),"")</f>
        <v/>
      </c>
      <c r="E430" s="5" t="str">
        <f>IFERROR(INDEX('Input Giocatori 2026_27'!$D$3:$D$493,MATCH($B430,'Input Giocatori 2026_27'!$A$3:$A$493,0)),"")</f>
        <v/>
      </c>
      <c r="F430" s="42" t="str">
        <f>IFERROR(INDEX('Output Utente'!$N$2:$N$492,MATCH(427,'Output Utente'!$Q$2:$Q$492,0)),"")</f>
        <v/>
      </c>
      <c r="G430" s="42" t="str">
        <f>IFERROR(INDEX('Output Utente'!$O$2:$O$492,MATCH(427,'Output Utente'!$Q$2:$Q$492,0)),"")</f>
        <v/>
      </c>
      <c r="H430" s="5" t="str">
        <f>IFERROR(INDEX('Output Utente'!$P$2:$P$492,MATCH(427,'Output Utente'!$Q$2:$Q$492,0)),"")</f>
        <v/>
      </c>
      <c r="I430" s="42" t="str">
        <f>IFERROR(INDEX('Output Utente'!$F$2:$F$492,MATCH(427,'Output Utente'!$Q$2:$Q$492,0)),"")</f>
        <v/>
      </c>
      <c r="J430" s="42" t="str">
        <f>IFERROR(INDEX('Output Utente'!$G$2:$G$492,MATCH(427,'Output Utente'!$Q$2:$Q$492,0)),"")</f>
        <v/>
      </c>
      <c r="K430" s="42" t="str">
        <f>IFERROR(INDEX('Output Utente'!$H$2:$H$492,MATCH(427,'Output Utente'!$Q$2:$Q$492,0)),"")</f>
        <v/>
      </c>
      <c r="L430" s="5" t="str">
        <f>IFERROR(INDEX('Output Utente'!$E$2:$E$492,MATCH(427,'Output Utente'!$Q$2:$Q$492,0)),"")</f>
        <v/>
      </c>
      <c r="M430" s="5" t="str">
        <f>IFERROR(INDEX('Output Utente'!$U$2:$U$492,MATCH(427,'Output Utente'!$Q$2:$Q$492,0)),"")</f>
        <v/>
      </c>
      <c r="N430" s="5" t="str">
        <f>IFERROR(INDEX('Output Utente'!$AE$2:$AE$492,MATCH(427,'Output Utente'!$Q$2:$Q$492,0)),"")</f>
        <v/>
      </c>
    </row>
    <row r="431" spans="1:14" ht="15" customHeight="1" x14ac:dyDescent="0.25">
      <c r="A431" s="41">
        <v>428</v>
      </c>
      <c r="B431" s="5" t="str">
        <f>IFERROR(INDEX('Output Utente'!$A$2:$A$492,MATCH(428,'Output Utente'!$Q$2:$Q$492,0)),"")</f>
        <v/>
      </c>
      <c r="C431" s="5" t="str">
        <f>IFERROR(INDEX('Output Utente'!$B$2:$B$492,MATCH(428,'Output Utente'!$Q$2:$Q$492,0)),"")</f>
        <v/>
      </c>
      <c r="D431" s="5" t="str">
        <f>IFERROR(INDEX('Output Utente'!$C$2:$C$492,MATCH(428,'Output Utente'!$Q$2:$Q$492,0)),"")</f>
        <v/>
      </c>
      <c r="E431" s="5" t="str">
        <f>IFERROR(INDEX('Input Giocatori 2026_27'!$D$3:$D$493,MATCH($B431,'Input Giocatori 2026_27'!$A$3:$A$493,0)),"")</f>
        <v/>
      </c>
      <c r="F431" s="42" t="str">
        <f>IFERROR(INDEX('Output Utente'!$N$2:$N$492,MATCH(428,'Output Utente'!$Q$2:$Q$492,0)),"")</f>
        <v/>
      </c>
      <c r="G431" s="42" t="str">
        <f>IFERROR(INDEX('Output Utente'!$O$2:$O$492,MATCH(428,'Output Utente'!$Q$2:$Q$492,0)),"")</f>
        <v/>
      </c>
      <c r="H431" s="5" t="str">
        <f>IFERROR(INDEX('Output Utente'!$P$2:$P$492,MATCH(428,'Output Utente'!$Q$2:$Q$492,0)),"")</f>
        <v/>
      </c>
      <c r="I431" s="42" t="str">
        <f>IFERROR(INDEX('Output Utente'!$F$2:$F$492,MATCH(428,'Output Utente'!$Q$2:$Q$492,0)),"")</f>
        <v/>
      </c>
      <c r="J431" s="42" t="str">
        <f>IFERROR(INDEX('Output Utente'!$G$2:$G$492,MATCH(428,'Output Utente'!$Q$2:$Q$492,0)),"")</f>
        <v/>
      </c>
      <c r="K431" s="42" t="str">
        <f>IFERROR(INDEX('Output Utente'!$H$2:$H$492,MATCH(428,'Output Utente'!$Q$2:$Q$492,0)),"")</f>
        <v/>
      </c>
      <c r="L431" s="5" t="str">
        <f>IFERROR(INDEX('Output Utente'!$E$2:$E$492,MATCH(428,'Output Utente'!$Q$2:$Q$492,0)),"")</f>
        <v/>
      </c>
      <c r="M431" s="5" t="str">
        <f>IFERROR(INDEX('Output Utente'!$U$2:$U$492,MATCH(428,'Output Utente'!$Q$2:$Q$492,0)),"")</f>
        <v/>
      </c>
      <c r="N431" s="5" t="str">
        <f>IFERROR(INDEX('Output Utente'!$AE$2:$AE$492,MATCH(428,'Output Utente'!$Q$2:$Q$492,0)),"")</f>
        <v/>
      </c>
    </row>
    <row r="432" spans="1:14" ht="15" customHeight="1" x14ac:dyDescent="0.25">
      <c r="A432" s="41">
        <v>429</v>
      </c>
      <c r="B432" s="5" t="str">
        <f>IFERROR(INDEX('Output Utente'!$A$2:$A$492,MATCH(429,'Output Utente'!$Q$2:$Q$492,0)),"")</f>
        <v/>
      </c>
      <c r="C432" s="5" t="str">
        <f>IFERROR(INDEX('Output Utente'!$B$2:$B$492,MATCH(429,'Output Utente'!$Q$2:$Q$492,0)),"")</f>
        <v/>
      </c>
      <c r="D432" s="5" t="str">
        <f>IFERROR(INDEX('Output Utente'!$C$2:$C$492,MATCH(429,'Output Utente'!$Q$2:$Q$492,0)),"")</f>
        <v/>
      </c>
      <c r="E432" s="5" t="str">
        <f>IFERROR(INDEX('Input Giocatori 2026_27'!$D$3:$D$493,MATCH($B432,'Input Giocatori 2026_27'!$A$3:$A$493,0)),"")</f>
        <v/>
      </c>
      <c r="F432" s="42" t="str">
        <f>IFERROR(INDEX('Output Utente'!$N$2:$N$492,MATCH(429,'Output Utente'!$Q$2:$Q$492,0)),"")</f>
        <v/>
      </c>
      <c r="G432" s="42" t="str">
        <f>IFERROR(INDEX('Output Utente'!$O$2:$O$492,MATCH(429,'Output Utente'!$Q$2:$Q$492,0)),"")</f>
        <v/>
      </c>
      <c r="H432" s="5" t="str">
        <f>IFERROR(INDEX('Output Utente'!$P$2:$P$492,MATCH(429,'Output Utente'!$Q$2:$Q$492,0)),"")</f>
        <v/>
      </c>
      <c r="I432" s="42" t="str">
        <f>IFERROR(INDEX('Output Utente'!$F$2:$F$492,MATCH(429,'Output Utente'!$Q$2:$Q$492,0)),"")</f>
        <v/>
      </c>
      <c r="J432" s="42" t="str">
        <f>IFERROR(INDEX('Output Utente'!$G$2:$G$492,MATCH(429,'Output Utente'!$Q$2:$Q$492,0)),"")</f>
        <v/>
      </c>
      <c r="K432" s="42" t="str">
        <f>IFERROR(INDEX('Output Utente'!$H$2:$H$492,MATCH(429,'Output Utente'!$Q$2:$Q$492,0)),"")</f>
        <v/>
      </c>
      <c r="L432" s="5" t="str">
        <f>IFERROR(INDEX('Output Utente'!$E$2:$E$492,MATCH(429,'Output Utente'!$Q$2:$Q$492,0)),"")</f>
        <v/>
      </c>
      <c r="M432" s="5" t="str">
        <f>IFERROR(INDEX('Output Utente'!$U$2:$U$492,MATCH(429,'Output Utente'!$Q$2:$Q$492,0)),"")</f>
        <v/>
      </c>
      <c r="N432" s="5" t="str">
        <f>IFERROR(INDEX('Output Utente'!$AE$2:$AE$492,MATCH(429,'Output Utente'!$Q$2:$Q$492,0)),"")</f>
        <v/>
      </c>
    </row>
    <row r="433" spans="1:14" ht="15" customHeight="1" x14ac:dyDescent="0.25">
      <c r="A433" s="41">
        <v>430</v>
      </c>
      <c r="B433" s="5" t="str">
        <f>IFERROR(INDEX('Output Utente'!$A$2:$A$492,MATCH(430,'Output Utente'!$Q$2:$Q$492,0)),"")</f>
        <v/>
      </c>
      <c r="C433" s="5" t="str">
        <f>IFERROR(INDEX('Output Utente'!$B$2:$B$492,MATCH(430,'Output Utente'!$Q$2:$Q$492,0)),"")</f>
        <v/>
      </c>
      <c r="D433" s="5" t="str">
        <f>IFERROR(INDEX('Output Utente'!$C$2:$C$492,MATCH(430,'Output Utente'!$Q$2:$Q$492,0)),"")</f>
        <v/>
      </c>
      <c r="E433" s="5" t="str">
        <f>IFERROR(INDEX('Input Giocatori 2026_27'!$D$3:$D$493,MATCH($B433,'Input Giocatori 2026_27'!$A$3:$A$493,0)),"")</f>
        <v/>
      </c>
      <c r="F433" s="42" t="str">
        <f>IFERROR(INDEX('Output Utente'!$N$2:$N$492,MATCH(430,'Output Utente'!$Q$2:$Q$492,0)),"")</f>
        <v/>
      </c>
      <c r="G433" s="42" t="str">
        <f>IFERROR(INDEX('Output Utente'!$O$2:$O$492,MATCH(430,'Output Utente'!$Q$2:$Q$492,0)),"")</f>
        <v/>
      </c>
      <c r="H433" s="5" t="str">
        <f>IFERROR(INDEX('Output Utente'!$P$2:$P$492,MATCH(430,'Output Utente'!$Q$2:$Q$492,0)),"")</f>
        <v/>
      </c>
      <c r="I433" s="42" t="str">
        <f>IFERROR(INDEX('Output Utente'!$F$2:$F$492,MATCH(430,'Output Utente'!$Q$2:$Q$492,0)),"")</f>
        <v/>
      </c>
      <c r="J433" s="42" t="str">
        <f>IFERROR(INDEX('Output Utente'!$G$2:$G$492,MATCH(430,'Output Utente'!$Q$2:$Q$492,0)),"")</f>
        <v/>
      </c>
      <c r="K433" s="42" t="str">
        <f>IFERROR(INDEX('Output Utente'!$H$2:$H$492,MATCH(430,'Output Utente'!$Q$2:$Q$492,0)),"")</f>
        <v/>
      </c>
      <c r="L433" s="5" t="str">
        <f>IFERROR(INDEX('Output Utente'!$E$2:$E$492,MATCH(430,'Output Utente'!$Q$2:$Q$492,0)),"")</f>
        <v/>
      </c>
      <c r="M433" s="5" t="str">
        <f>IFERROR(INDEX('Output Utente'!$U$2:$U$492,MATCH(430,'Output Utente'!$Q$2:$Q$492,0)),"")</f>
        <v/>
      </c>
      <c r="N433" s="5" t="str">
        <f>IFERROR(INDEX('Output Utente'!$AE$2:$AE$492,MATCH(430,'Output Utente'!$Q$2:$Q$492,0)),"")</f>
        <v/>
      </c>
    </row>
    <row r="434" spans="1:14" ht="15" customHeight="1" x14ac:dyDescent="0.25">
      <c r="A434" s="41">
        <v>431</v>
      </c>
      <c r="B434" s="5" t="str">
        <f>IFERROR(INDEX('Output Utente'!$A$2:$A$492,MATCH(431,'Output Utente'!$Q$2:$Q$492,0)),"")</f>
        <v/>
      </c>
      <c r="C434" s="5" t="str">
        <f>IFERROR(INDEX('Output Utente'!$B$2:$B$492,MATCH(431,'Output Utente'!$Q$2:$Q$492,0)),"")</f>
        <v/>
      </c>
      <c r="D434" s="5" t="str">
        <f>IFERROR(INDEX('Output Utente'!$C$2:$C$492,MATCH(431,'Output Utente'!$Q$2:$Q$492,0)),"")</f>
        <v/>
      </c>
      <c r="E434" s="5" t="str">
        <f>IFERROR(INDEX('Input Giocatori 2026_27'!$D$3:$D$493,MATCH($B434,'Input Giocatori 2026_27'!$A$3:$A$493,0)),"")</f>
        <v/>
      </c>
      <c r="F434" s="42" t="str">
        <f>IFERROR(INDEX('Output Utente'!$N$2:$N$492,MATCH(431,'Output Utente'!$Q$2:$Q$492,0)),"")</f>
        <v/>
      </c>
      <c r="G434" s="42" t="str">
        <f>IFERROR(INDEX('Output Utente'!$O$2:$O$492,MATCH(431,'Output Utente'!$Q$2:$Q$492,0)),"")</f>
        <v/>
      </c>
      <c r="H434" s="5" t="str">
        <f>IFERROR(INDEX('Output Utente'!$P$2:$P$492,MATCH(431,'Output Utente'!$Q$2:$Q$492,0)),"")</f>
        <v/>
      </c>
      <c r="I434" s="42" t="str">
        <f>IFERROR(INDEX('Output Utente'!$F$2:$F$492,MATCH(431,'Output Utente'!$Q$2:$Q$492,0)),"")</f>
        <v/>
      </c>
      <c r="J434" s="42" t="str">
        <f>IFERROR(INDEX('Output Utente'!$G$2:$G$492,MATCH(431,'Output Utente'!$Q$2:$Q$492,0)),"")</f>
        <v/>
      </c>
      <c r="K434" s="42" t="str">
        <f>IFERROR(INDEX('Output Utente'!$H$2:$H$492,MATCH(431,'Output Utente'!$Q$2:$Q$492,0)),"")</f>
        <v/>
      </c>
      <c r="L434" s="5" t="str">
        <f>IFERROR(INDEX('Output Utente'!$E$2:$E$492,MATCH(431,'Output Utente'!$Q$2:$Q$492,0)),"")</f>
        <v/>
      </c>
      <c r="M434" s="5" t="str">
        <f>IFERROR(INDEX('Output Utente'!$U$2:$U$492,MATCH(431,'Output Utente'!$Q$2:$Q$492,0)),"")</f>
        <v/>
      </c>
      <c r="N434" s="5" t="str">
        <f>IFERROR(INDEX('Output Utente'!$AE$2:$AE$492,MATCH(431,'Output Utente'!$Q$2:$Q$492,0)),"")</f>
        <v/>
      </c>
    </row>
    <row r="435" spans="1:14" ht="15" customHeight="1" x14ac:dyDescent="0.25">
      <c r="A435" s="41">
        <v>432</v>
      </c>
      <c r="B435" s="5" t="str">
        <f>IFERROR(INDEX('Output Utente'!$A$2:$A$492,MATCH(432,'Output Utente'!$Q$2:$Q$492,0)),"")</f>
        <v/>
      </c>
      <c r="C435" s="5" t="str">
        <f>IFERROR(INDEX('Output Utente'!$B$2:$B$492,MATCH(432,'Output Utente'!$Q$2:$Q$492,0)),"")</f>
        <v/>
      </c>
      <c r="D435" s="5" t="str">
        <f>IFERROR(INDEX('Output Utente'!$C$2:$C$492,MATCH(432,'Output Utente'!$Q$2:$Q$492,0)),"")</f>
        <v/>
      </c>
      <c r="E435" s="5" t="str">
        <f>IFERROR(INDEX('Input Giocatori 2026_27'!$D$3:$D$493,MATCH($B435,'Input Giocatori 2026_27'!$A$3:$A$493,0)),"")</f>
        <v/>
      </c>
      <c r="F435" s="42" t="str">
        <f>IFERROR(INDEX('Output Utente'!$N$2:$N$492,MATCH(432,'Output Utente'!$Q$2:$Q$492,0)),"")</f>
        <v/>
      </c>
      <c r="G435" s="42" t="str">
        <f>IFERROR(INDEX('Output Utente'!$O$2:$O$492,MATCH(432,'Output Utente'!$Q$2:$Q$492,0)),"")</f>
        <v/>
      </c>
      <c r="H435" s="5" t="str">
        <f>IFERROR(INDEX('Output Utente'!$P$2:$P$492,MATCH(432,'Output Utente'!$Q$2:$Q$492,0)),"")</f>
        <v/>
      </c>
      <c r="I435" s="42" t="str">
        <f>IFERROR(INDEX('Output Utente'!$F$2:$F$492,MATCH(432,'Output Utente'!$Q$2:$Q$492,0)),"")</f>
        <v/>
      </c>
      <c r="J435" s="42" t="str">
        <f>IFERROR(INDEX('Output Utente'!$G$2:$G$492,MATCH(432,'Output Utente'!$Q$2:$Q$492,0)),"")</f>
        <v/>
      </c>
      <c r="K435" s="42" t="str">
        <f>IFERROR(INDEX('Output Utente'!$H$2:$H$492,MATCH(432,'Output Utente'!$Q$2:$Q$492,0)),"")</f>
        <v/>
      </c>
      <c r="L435" s="5" t="str">
        <f>IFERROR(INDEX('Output Utente'!$E$2:$E$492,MATCH(432,'Output Utente'!$Q$2:$Q$492,0)),"")</f>
        <v/>
      </c>
      <c r="M435" s="5" t="str">
        <f>IFERROR(INDEX('Output Utente'!$U$2:$U$492,MATCH(432,'Output Utente'!$Q$2:$Q$492,0)),"")</f>
        <v/>
      </c>
      <c r="N435" s="5" t="str">
        <f>IFERROR(INDEX('Output Utente'!$AE$2:$AE$492,MATCH(432,'Output Utente'!$Q$2:$Q$492,0)),"")</f>
        <v/>
      </c>
    </row>
    <row r="436" spans="1:14" ht="15" customHeight="1" x14ac:dyDescent="0.25">
      <c r="A436" s="41">
        <v>433</v>
      </c>
      <c r="B436" s="5" t="str">
        <f>IFERROR(INDEX('Output Utente'!$A$2:$A$492,MATCH(433,'Output Utente'!$Q$2:$Q$492,0)),"")</f>
        <v/>
      </c>
      <c r="C436" s="5" t="str">
        <f>IFERROR(INDEX('Output Utente'!$B$2:$B$492,MATCH(433,'Output Utente'!$Q$2:$Q$492,0)),"")</f>
        <v/>
      </c>
      <c r="D436" s="5" t="str">
        <f>IFERROR(INDEX('Output Utente'!$C$2:$C$492,MATCH(433,'Output Utente'!$Q$2:$Q$492,0)),"")</f>
        <v/>
      </c>
      <c r="E436" s="5" t="str">
        <f>IFERROR(INDEX('Input Giocatori 2026_27'!$D$3:$D$493,MATCH($B436,'Input Giocatori 2026_27'!$A$3:$A$493,0)),"")</f>
        <v/>
      </c>
      <c r="F436" s="42" t="str">
        <f>IFERROR(INDEX('Output Utente'!$N$2:$N$492,MATCH(433,'Output Utente'!$Q$2:$Q$492,0)),"")</f>
        <v/>
      </c>
      <c r="G436" s="42" t="str">
        <f>IFERROR(INDEX('Output Utente'!$O$2:$O$492,MATCH(433,'Output Utente'!$Q$2:$Q$492,0)),"")</f>
        <v/>
      </c>
      <c r="H436" s="5" t="str">
        <f>IFERROR(INDEX('Output Utente'!$P$2:$P$492,MATCH(433,'Output Utente'!$Q$2:$Q$492,0)),"")</f>
        <v/>
      </c>
      <c r="I436" s="42" t="str">
        <f>IFERROR(INDEX('Output Utente'!$F$2:$F$492,MATCH(433,'Output Utente'!$Q$2:$Q$492,0)),"")</f>
        <v/>
      </c>
      <c r="J436" s="42" t="str">
        <f>IFERROR(INDEX('Output Utente'!$G$2:$G$492,MATCH(433,'Output Utente'!$Q$2:$Q$492,0)),"")</f>
        <v/>
      </c>
      <c r="K436" s="42" t="str">
        <f>IFERROR(INDEX('Output Utente'!$H$2:$H$492,MATCH(433,'Output Utente'!$Q$2:$Q$492,0)),"")</f>
        <v/>
      </c>
      <c r="L436" s="5" t="str">
        <f>IFERROR(INDEX('Output Utente'!$E$2:$E$492,MATCH(433,'Output Utente'!$Q$2:$Q$492,0)),"")</f>
        <v/>
      </c>
      <c r="M436" s="5" t="str">
        <f>IFERROR(INDEX('Output Utente'!$U$2:$U$492,MATCH(433,'Output Utente'!$Q$2:$Q$492,0)),"")</f>
        <v/>
      </c>
      <c r="N436" s="5" t="str">
        <f>IFERROR(INDEX('Output Utente'!$AE$2:$AE$492,MATCH(433,'Output Utente'!$Q$2:$Q$492,0)),"")</f>
        <v/>
      </c>
    </row>
    <row r="437" spans="1:14" ht="15" customHeight="1" x14ac:dyDescent="0.25">
      <c r="A437" s="41">
        <v>434</v>
      </c>
      <c r="B437" s="5" t="str">
        <f>IFERROR(INDEX('Output Utente'!$A$2:$A$492,MATCH(434,'Output Utente'!$Q$2:$Q$492,0)),"")</f>
        <v/>
      </c>
      <c r="C437" s="5" t="str">
        <f>IFERROR(INDEX('Output Utente'!$B$2:$B$492,MATCH(434,'Output Utente'!$Q$2:$Q$492,0)),"")</f>
        <v/>
      </c>
      <c r="D437" s="5" t="str">
        <f>IFERROR(INDEX('Output Utente'!$C$2:$C$492,MATCH(434,'Output Utente'!$Q$2:$Q$492,0)),"")</f>
        <v/>
      </c>
      <c r="E437" s="5" t="str">
        <f>IFERROR(INDEX('Input Giocatori 2026_27'!$D$3:$D$493,MATCH($B437,'Input Giocatori 2026_27'!$A$3:$A$493,0)),"")</f>
        <v/>
      </c>
      <c r="F437" s="42" t="str">
        <f>IFERROR(INDEX('Output Utente'!$N$2:$N$492,MATCH(434,'Output Utente'!$Q$2:$Q$492,0)),"")</f>
        <v/>
      </c>
      <c r="G437" s="42" t="str">
        <f>IFERROR(INDEX('Output Utente'!$O$2:$O$492,MATCH(434,'Output Utente'!$Q$2:$Q$492,0)),"")</f>
        <v/>
      </c>
      <c r="H437" s="5" t="str">
        <f>IFERROR(INDEX('Output Utente'!$P$2:$P$492,MATCH(434,'Output Utente'!$Q$2:$Q$492,0)),"")</f>
        <v/>
      </c>
      <c r="I437" s="42" t="str">
        <f>IFERROR(INDEX('Output Utente'!$F$2:$F$492,MATCH(434,'Output Utente'!$Q$2:$Q$492,0)),"")</f>
        <v/>
      </c>
      <c r="J437" s="42" t="str">
        <f>IFERROR(INDEX('Output Utente'!$G$2:$G$492,MATCH(434,'Output Utente'!$Q$2:$Q$492,0)),"")</f>
        <v/>
      </c>
      <c r="K437" s="42" t="str">
        <f>IFERROR(INDEX('Output Utente'!$H$2:$H$492,MATCH(434,'Output Utente'!$Q$2:$Q$492,0)),"")</f>
        <v/>
      </c>
      <c r="L437" s="5" t="str">
        <f>IFERROR(INDEX('Output Utente'!$E$2:$E$492,MATCH(434,'Output Utente'!$Q$2:$Q$492,0)),"")</f>
        <v/>
      </c>
      <c r="M437" s="5" t="str">
        <f>IFERROR(INDEX('Output Utente'!$U$2:$U$492,MATCH(434,'Output Utente'!$Q$2:$Q$492,0)),"")</f>
        <v/>
      </c>
      <c r="N437" s="5" t="str">
        <f>IFERROR(INDEX('Output Utente'!$AE$2:$AE$492,MATCH(434,'Output Utente'!$Q$2:$Q$492,0)),"")</f>
        <v/>
      </c>
    </row>
    <row r="438" spans="1:14" ht="15" customHeight="1" x14ac:dyDescent="0.25">
      <c r="A438" s="41">
        <v>435</v>
      </c>
      <c r="B438" s="5" t="str">
        <f>IFERROR(INDEX('Output Utente'!$A$2:$A$492,MATCH(435,'Output Utente'!$Q$2:$Q$492,0)),"")</f>
        <v/>
      </c>
      <c r="C438" s="5" t="str">
        <f>IFERROR(INDEX('Output Utente'!$B$2:$B$492,MATCH(435,'Output Utente'!$Q$2:$Q$492,0)),"")</f>
        <v/>
      </c>
      <c r="D438" s="5" t="str">
        <f>IFERROR(INDEX('Output Utente'!$C$2:$C$492,MATCH(435,'Output Utente'!$Q$2:$Q$492,0)),"")</f>
        <v/>
      </c>
      <c r="E438" s="5" t="str">
        <f>IFERROR(INDEX('Input Giocatori 2026_27'!$D$3:$D$493,MATCH($B438,'Input Giocatori 2026_27'!$A$3:$A$493,0)),"")</f>
        <v/>
      </c>
      <c r="F438" s="42" t="str">
        <f>IFERROR(INDEX('Output Utente'!$N$2:$N$492,MATCH(435,'Output Utente'!$Q$2:$Q$492,0)),"")</f>
        <v/>
      </c>
      <c r="G438" s="42" t="str">
        <f>IFERROR(INDEX('Output Utente'!$O$2:$O$492,MATCH(435,'Output Utente'!$Q$2:$Q$492,0)),"")</f>
        <v/>
      </c>
      <c r="H438" s="5" t="str">
        <f>IFERROR(INDEX('Output Utente'!$P$2:$P$492,MATCH(435,'Output Utente'!$Q$2:$Q$492,0)),"")</f>
        <v/>
      </c>
      <c r="I438" s="42" t="str">
        <f>IFERROR(INDEX('Output Utente'!$F$2:$F$492,MATCH(435,'Output Utente'!$Q$2:$Q$492,0)),"")</f>
        <v/>
      </c>
      <c r="J438" s="42" t="str">
        <f>IFERROR(INDEX('Output Utente'!$G$2:$G$492,MATCH(435,'Output Utente'!$Q$2:$Q$492,0)),"")</f>
        <v/>
      </c>
      <c r="K438" s="42" t="str">
        <f>IFERROR(INDEX('Output Utente'!$H$2:$H$492,MATCH(435,'Output Utente'!$Q$2:$Q$492,0)),"")</f>
        <v/>
      </c>
      <c r="L438" s="5" t="str">
        <f>IFERROR(INDEX('Output Utente'!$E$2:$E$492,MATCH(435,'Output Utente'!$Q$2:$Q$492,0)),"")</f>
        <v/>
      </c>
      <c r="M438" s="5" t="str">
        <f>IFERROR(INDEX('Output Utente'!$U$2:$U$492,MATCH(435,'Output Utente'!$Q$2:$Q$492,0)),"")</f>
        <v/>
      </c>
      <c r="N438" s="5" t="str">
        <f>IFERROR(INDEX('Output Utente'!$AE$2:$AE$492,MATCH(435,'Output Utente'!$Q$2:$Q$492,0)),"")</f>
        <v/>
      </c>
    </row>
    <row r="439" spans="1:14" ht="15" customHeight="1" x14ac:dyDescent="0.25">
      <c r="A439" s="41">
        <v>436</v>
      </c>
      <c r="B439" s="5" t="str">
        <f>IFERROR(INDEX('Output Utente'!$A$2:$A$492,MATCH(436,'Output Utente'!$Q$2:$Q$492,0)),"")</f>
        <v/>
      </c>
      <c r="C439" s="5" t="str">
        <f>IFERROR(INDEX('Output Utente'!$B$2:$B$492,MATCH(436,'Output Utente'!$Q$2:$Q$492,0)),"")</f>
        <v/>
      </c>
      <c r="D439" s="5" t="str">
        <f>IFERROR(INDEX('Output Utente'!$C$2:$C$492,MATCH(436,'Output Utente'!$Q$2:$Q$492,0)),"")</f>
        <v/>
      </c>
      <c r="E439" s="5" t="str">
        <f>IFERROR(INDEX('Input Giocatori 2026_27'!$D$3:$D$493,MATCH($B439,'Input Giocatori 2026_27'!$A$3:$A$493,0)),"")</f>
        <v/>
      </c>
      <c r="F439" s="42" t="str">
        <f>IFERROR(INDEX('Output Utente'!$N$2:$N$492,MATCH(436,'Output Utente'!$Q$2:$Q$492,0)),"")</f>
        <v/>
      </c>
      <c r="G439" s="42" t="str">
        <f>IFERROR(INDEX('Output Utente'!$O$2:$O$492,MATCH(436,'Output Utente'!$Q$2:$Q$492,0)),"")</f>
        <v/>
      </c>
      <c r="H439" s="5" t="str">
        <f>IFERROR(INDEX('Output Utente'!$P$2:$P$492,MATCH(436,'Output Utente'!$Q$2:$Q$492,0)),"")</f>
        <v/>
      </c>
      <c r="I439" s="42" t="str">
        <f>IFERROR(INDEX('Output Utente'!$F$2:$F$492,MATCH(436,'Output Utente'!$Q$2:$Q$492,0)),"")</f>
        <v/>
      </c>
      <c r="J439" s="42" t="str">
        <f>IFERROR(INDEX('Output Utente'!$G$2:$G$492,MATCH(436,'Output Utente'!$Q$2:$Q$492,0)),"")</f>
        <v/>
      </c>
      <c r="K439" s="42" t="str">
        <f>IFERROR(INDEX('Output Utente'!$H$2:$H$492,MATCH(436,'Output Utente'!$Q$2:$Q$492,0)),"")</f>
        <v/>
      </c>
      <c r="L439" s="5" t="str">
        <f>IFERROR(INDEX('Output Utente'!$E$2:$E$492,MATCH(436,'Output Utente'!$Q$2:$Q$492,0)),"")</f>
        <v/>
      </c>
      <c r="M439" s="5" t="str">
        <f>IFERROR(INDEX('Output Utente'!$U$2:$U$492,MATCH(436,'Output Utente'!$Q$2:$Q$492,0)),"")</f>
        <v/>
      </c>
      <c r="N439" s="5" t="str">
        <f>IFERROR(INDEX('Output Utente'!$AE$2:$AE$492,MATCH(436,'Output Utente'!$Q$2:$Q$492,0)),"")</f>
        <v/>
      </c>
    </row>
    <row r="440" spans="1:14" ht="15" customHeight="1" x14ac:dyDescent="0.25">
      <c r="A440" s="41">
        <v>437</v>
      </c>
      <c r="B440" s="5" t="str">
        <f>IFERROR(INDEX('Output Utente'!$A$2:$A$492,MATCH(437,'Output Utente'!$Q$2:$Q$492,0)),"")</f>
        <v/>
      </c>
      <c r="C440" s="5" t="str">
        <f>IFERROR(INDEX('Output Utente'!$B$2:$B$492,MATCH(437,'Output Utente'!$Q$2:$Q$492,0)),"")</f>
        <v/>
      </c>
      <c r="D440" s="5" t="str">
        <f>IFERROR(INDEX('Output Utente'!$C$2:$C$492,MATCH(437,'Output Utente'!$Q$2:$Q$492,0)),"")</f>
        <v/>
      </c>
      <c r="E440" s="5" t="str">
        <f>IFERROR(INDEX('Input Giocatori 2026_27'!$D$3:$D$493,MATCH($B440,'Input Giocatori 2026_27'!$A$3:$A$493,0)),"")</f>
        <v/>
      </c>
      <c r="F440" s="42" t="str">
        <f>IFERROR(INDEX('Output Utente'!$N$2:$N$492,MATCH(437,'Output Utente'!$Q$2:$Q$492,0)),"")</f>
        <v/>
      </c>
      <c r="G440" s="42" t="str">
        <f>IFERROR(INDEX('Output Utente'!$O$2:$O$492,MATCH(437,'Output Utente'!$Q$2:$Q$492,0)),"")</f>
        <v/>
      </c>
      <c r="H440" s="5" t="str">
        <f>IFERROR(INDEX('Output Utente'!$P$2:$P$492,MATCH(437,'Output Utente'!$Q$2:$Q$492,0)),"")</f>
        <v/>
      </c>
      <c r="I440" s="42" t="str">
        <f>IFERROR(INDEX('Output Utente'!$F$2:$F$492,MATCH(437,'Output Utente'!$Q$2:$Q$492,0)),"")</f>
        <v/>
      </c>
      <c r="J440" s="42" t="str">
        <f>IFERROR(INDEX('Output Utente'!$G$2:$G$492,MATCH(437,'Output Utente'!$Q$2:$Q$492,0)),"")</f>
        <v/>
      </c>
      <c r="K440" s="42" t="str">
        <f>IFERROR(INDEX('Output Utente'!$H$2:$H$492,MATCH(437,'Output Utente'!$Q$2:$Q$492,0)),"")</f>
        <v/>
      </c>
      <c r="L440" s="5" t="str">
        <f>IFERROR(INDEX('Output Utente'!$E$2:$E$492,MATCH(437,'Output Utente'!$Q$2:$Q$492,0)),"")</f>
        <v/>
      </c>
      <c r="M440" s="5" t="str">
        <f>IFERROR(INDEX('Output Utente'!$U$2:$U$492,MATCH(437,'Output Utente'!$Q$2:$Q$492,0)),"")</f>
        <v/>
      </c>
      <c r="N440" s="5" t="str">
        <f>IFERROR(INDEX('Output Utente'!$AE$2:$AE$492,MATCH(437,'Output Utente'!$Q$2:$Q$492,0)),"")</f>
        <v/>
      </c>
    </row>
    <row r="441" spans="1:14" ht="15" customHeight="1" x14ac:dyDescent="0.25">
      <c r="A441" s="41">
        <v>438</v>
      </c>
      <c r="B441" s="5" t="str">
        <f>IFERROR(INDEX('Output Utente'!$A$2:$A$492,MATCH(438,'Output Utente'!$Q$2:$Q$492,0)),"")</f>
        <v/>
      </c>
      <c r="C441" s="5" t="str">
        <f>IFERROR(INDEX('Output Utente'!$B$2:$B$492,MATCH(438,'Output Utente'!$Q$2:$Q$492,0)),"")</f>
        <v/>
      </c>
      <c r="D441" s="5" t="str">
        <f>IFERROR(INDEX('Output Utente'!$C$2:$C$492,MATCH(438,'Output Utente'!$Q$2:$Q$492,0)),"")</f>
        <v/>
      </c>
      <c r="E441" s="5" t="str">
        <f>IFERROR(INDEX('Input Giocatori 2026_27'!$D$3:$D$493,MATCH($B441,'Input Giocatori 2026_27'!$A$3:$A$493,0)),"")</f>
        <v/>
      </c>
      <c r="F441" s="42" t="str">
        <f>IFERROR(INDEX('Output Utente'!$N$2:$N$492,MATCH(438,'Output Utente'!$Q$2:$Q$492,0)),"")</f>
        <v/>
      </c>
      <c r="G441" s="42" t="str">
        <f>IFERROR(INDEX('Output Utente'!$O$2:$O$492,MATCH(438,'Output Utente'!$Q$2:$Q$492,0)),"")</f>
        <v/>
      </c>
      <c r="H441" s="5" t="str">
        <f>IFERROR(INDEX('Output Utente'!$P$2:$P$492,MATCH(438,'Output Utente'!$Q$2:$Q$492,0)),"")</f>
        <v/>
      </c>
      <c r="I441" s="42" t="str">
        <f>IFERROR(INDEX('Output Utente'!$F$2:$F$492,MATCH(438,'Output Utente'!$Q$2:$Q$492,0)),"")</f>
        <v/>
      </c>
      <c r="J441" s="42" t="str">
        <f>IFERROR(INDEX('Output Utente'!$G$2:$G$492,MATCH(438,'Output Utente'!$Q$2:$Q$492,0)),"")</f>
        <v/>
      </c>
      <c r="K441" s="42" t="str">
        <f>IFERROR(INDEX('Output Utente'!$H$2:$H$492,MATCH(438,'Output Utente'!$Q$2:$Q$492,0)),"")</f>
        <v/>
      </c>
      <c r="L441" s="5" t="str">
        <f>IFERROR(INDEX('Output Utente'!$E$2:$E$492,MATCH(438,'Output Utente'!$Q$2:$Q$492,0)),"")</f>
        <v/>
      </c>
      <c r="M441" s="5" t="str">
        <f>IFERROR(INDEX('Output Utente'!$U$2:$U$492,MATCH(438,'Output Utente'!$Q$2:$Q$492,0)),"")</f>
        <v/>
      </c>
      <c r="N441" s="5" t="str">
        <f>IFERROR(INDEX('Output Utente'!$AE$2:$AE$492,MATCH(438,'Output Utente'!$Q$2:$Q$492,0)),"")</f>
        <v/>
      </c>
    </row>
    <row r="442" spans="1:14" ht="15" customHeight="1" x14ac:dyDescent="0.25">
      <c r="A442" s="41">
        <v>439</v>
      </c>
      <c r="B442" s="5" t="str">
        <f>IFERROR(INDEX('Output Utente'!$A$2:$A$492,MATCH(439,'Output Utente'!$Q$2:$Q$492,0)),"")</f>
        <v/>
      </c>
      <c r="C442" s="5" t="str">
        <f>IFERROR(INDEX('Output Utente'!$B$2:$B$492,MATCH(439,'Output Utente'!$Q$2:$Q$492,0)),"")</f>
        <v/>
      </c>
      <c r="D442" s="5" t="str">
        <f>IFERROR(INDEX('Output Utente'!$C$2:$C$492,MATCH(439,'Output Utente'!$Q$2:$Q$492,0)),"")</f>
        <v/>
      </c>
      <c r="E442" s="5" t="str">
        <f>IFERROR(INDEX('Input Giocatori 2026_27'!$D$3:$D$493,MATCH($B442,'Input Giocatori 2026_27'!$A$3:$A$493,0)),"")</f>
        <v/>
      </c>
      <c r="F442" s="42" t="str">
        <f>IFERROR(INDEX('Output Utente'!$N$2:$N$492,MATCH(439,'Output Utente'!$Q$2:$Q$492,0)),"")</f>
        <v/>
      </c>
      <c r="G442" s="42" t="str">
        <f>IFERROR(INDEX('Output Utente'!$O$2:$O$492,MATCH(439,'Output Utente'!$Q$2:$Q$492,0)),"")</f>
        <v/>
      </c>
      <c r="H442" s="5" t="str">
        <f>IFERROR(INDEX('Output Utente'!$P$2:$P$492,MATCH(439,'Output Utente'!$Q$2:$Q$492,0)),"")</f>
        <v/>
      </c>
      <c r="I442" s="42" t="str">
        <f>IFERROR(INDEX('Output Utente'!$F$2:$F$492,MATCH(439,'Output Utente'!$Q$2:$Q$492,0)),"")</f>
        <v/>
      </c>
      <c r="J442" s="42" t="str">
        <f>IFERROR(INDEX('Output Utente'!$G$2:$G$492,MATCH(439,'Output Utente'!$Q$2:$Q$492,0)),"")</f>
        <v/>
      </c>
      <c r="K442" s="42" t="str">
        <f>IFERROR(INDEX('Output Utente'!$H$2:$H$492,MATCH(439,'Output Utente'!$Q$2:$Q$492,0)),"")</f>
        <v/>
      </c>
      <c r="L442" s="5" t="str">
        <f>IFERROR(INDEX('Output Utente'!$E$2:$E$492,MATCH(439,'Output Utente'!$Q$2:$Q$492,0)),"")</f>
        <v/>
      </c>
      <c r="M442" s="5" t="str">
        <f>IFERROR(INDEX('Output Utente'!$U$2:$U$492,MATCH(439,'Output Utente'!$Q$2:$Q$492,0)),"")</f>
        <v/>
      </c>
      <c r="N442" s="5" t="str">
        <f>IFERROR(INDEX('Output Utente'!$AE$2:$AE$492,MATCH(439,'Output Utente'!$Q$2:$Q$492,0)),"")</f>
        <v/>
      </c>
    </row>
    <row r="443" spans="1:14" ht="15" customHeight="1" x14ac:dyDescent="0.25">
      <c r="A443" s="41">
        <v>440</v>
      </c>
      <c r="B443" s="5" t="str">
        <f>IFERROR(INDEX('Output Utente'!$A$2:$A$492,MATCH(440,'Output Utente'!$Q$2:$Q$492,0)),"")</f>
        <v/>
      </c>
      <c r="C443" s="5" t="str">
        <f>IFERROR(INDEX('Output Utente'!$B$2:$B$492,MATCH(440,'Output Utente'!$Q$2:$Q$492,0)),"")</f>
        <v/>
      </c>
      <c r="D443" s="5" t="str">
        <f>IFERROR(INDEX('Output Utente'!$C$2:$C$492,MATCH(440,'Output Utente'!$Q$2:$Q$492,0)),"")</f>
        <v/>
      </c>
      <c r="E443" s="5" t="str">
        <f>IFERROR(INDEX('Input Giocatori 2026_27'!$D$3:$D$493,MATCH($B443,'Input Giocatori 2026_27'!$A$3:$A$493,0)),"")</f>
        <v/>
      </c>
      <c r="F443" s="42" t="str">
        <f>IFERROR(INDEX('Output Utente'!$N$2:$N$492,MATCH(440,'Output Utente'!$Q$2:$Q$492,0)),"")</f>
        <v/>
      </c>
      <c r="G443" s="42" t="str">
        <f>IFERROR(INDEX('Output Utente'!$O$2:$O$492,MATCH(440,'Output Utente'!$Q$2:$Q$492,0)),"")</f>
        <v/>
      </c>
      <c r="H443" s="5" t="str">
        <f>IFERROR(INDEX('Output Utente'!$P$2:$P$492,MATCH(440,'Output Utente'!$Q$2:$Q$492,0)),"")</f>
        <v/>
      </c>
      <c r="I443" s="42" t="str">
        <f>IFERROR(INDEX('Output Utente'!$F$2:$F$492,MATCH(440,'Output Utente'!$Q$2:$Q$492,0)),"")</f>
        <v/>
      </c>
      <c r="J443" s="42" t="str">
        <f>IFERROR(INDEX('Output Utente'!$G$2:$G$492,MATCH(440,'Output Utente'!$Q$2:$Q$492,0)),"")</f>
        <v/>
      </c>
      <c r="K443" s="42" t="str">
        <f>IFERROR(INDEX('Output Utente'!$H$2:$H$492,MATCH(440,'Output Utente'!$Q$2:$Q$492,0)),"")</f>
        <v/>
      </c>
      <c r="L443" s="5" t="str">
        <f>IFERROR(INDEX('Output Utente'!$E$2:$E$492,MATCH(440,'Output Utente'!$Q$2:$Q$492,0)),"")</f>
        <v/>
      </c>
      <c r="M443" s="5" t="str">
        <f>IFERROR(INDEX('Output Utente'!$U$2:$U$492,MATCH(440,'Output Utente'!$Q$2:$Q$492,0)),"")</f>
        <v/>
      </c>
      <c r="N443" s="5" t="str">
        <f>IFERROR(INDEX('Output Utente'!$AE$2:$AE$492,MATCH(440,'Output Utente'!$Q$2:$Q$492,0)),"")</f>
        <v/>
      </c>
    </row>
    <row r="444" spans="1:14" ht="15" customHeight="1" x14ac:dyDescent="0.25">
      <c r="A444" s="41">
        <v>441</v>
      </c>
      <c r="B444" s="5" t="str">
        <f>IFERROR(INDEX('Output Utente'!$A$2:$A$492,MATCH(441,'Output Utente'!$Q$2:$Q$492,0)),"")</f>
        <v/>
      </c>
      <c r="C444" s="5" t="str">
        <f>IFERROR(INDEX('Output Utente'!$B$2:$B$492,MATCH(441,'Output Utente'!$Q$2:$Q$492,0)),"")</f>
        <v/>
      </c>
      <c r="D444" s="5" t="str">
        <f>IFERROR(INDEX('Output Utente'!$C$2:$C$492,MATCH(441,'Output Utente'!$Q$2:$Q$492,0)),"")</f>
        <v/>
      </c>
      <c r="E444" s="5" t="str">
        <f>IFERROR(INDEX('Input Giocatori 2026_27'!$D$3:$D$493,MATCH($B444,'Input Giocatori 2026_27'!$A$3:$A$493,0)),"")</f>
        <v/>
      </c>
      <c r="F444" s="42" t="str">
        <f>IFERROR(INDEX('Output Utente'!$N$2:$N$492,MATCH(441,'Output Utente'!$Q$2:$Q$492,0)),"")</f>
        <v/>
      </c>
      <c r="G444" s="42" t="str">
        <f>IFERROR(INDEX('Output Utente'!$O$2:$O$492,MATCH(441,'Output Utente'!$Q$2:$Q$492,0)),"")</f>
        <v/>
      </c>
      <c r="H444" s="5" t="str">
        <f>IFERROR(INDEX('Output Utente'!$P$2:$P$492,MATCH(441,'Output Utente'!$Q$2:$Q$492,0)),"")</f>
        <v/>
      </c>
      <c r="I444" s="42" t="str">
        <f>IFERROR(INDEX('Output Utente'!$F$2:$F$492,MATCH(441,'Output Utente'!$Q$2:$Q$492,0)),"")</f>
        <v/>
      </c>
      <c r="J444" s="42" t="str">
        <f>IFERROR(INDEX('Output Utente'!$G$2:$G$492,MATCH(441,'Output Utente'!$Q$2:$Q$492,0)),"")</f>
        <v/>
      </c>
      <c r="K444" s="42" t="str">
        <f>IFERROR(INDEX('Output Utente'!$H$2:$H$492,MATCH(441,'Output Utente'!$Q$2:$Q$492,0)),"")</f>
        <v/>
      </c>
      <c r="L444" s="5" t="str">
        <f>IFERROR(INDEX('Output Utente'!$E$2:$E$492,MATCH(441,'Output Utente'!$Q$2:$Q$492,0)),"")</f>
        <v/>
      </c>
      <c r="M444" s="5" t="str">
        <f>IFERROR(INDEX('Output Utente'!$U$2:$U$492,MATCH(441,'Output Utente'!$Q$2:$Q$492,0)),"")</f>
        <v/>
      </c>
      <c r="N444" s="5" t="str">
        <f>IFERROR(INDEX('Output Utente'!$AE$2:$AE$492,MATCH(441,'Output Utente'!$Q$2:$Q$492,0)),"")</f>
        <v/>
      </c>
    </row>
    <row r="445" spans="1:14" ht="15" customHeight="1" x14ac:dyDescent="0.25">
      <c r="A445" s="41">
        <v>442</v>
      </c>
      <c r="B445" s="5" t="str">
        <f>IFERROR(INDEX('Output Utente'!$A$2:$A$492,MATCH(442,'Output Utente'!$Q$2:$Q$492,0)),"")</f>
        <v/>
      </c>
      <c r="C445" s="5" t="str">
        <f>IFERROR(INDEX('Output Utente'!$B$2:$B$492,MATCH(442,'Output Utente'!$Q$2:$Q$492,0)),"")</f>
        <v/>
      </c>
      <c r="D445" s="5" t="str">
        <f>IFERROR(INDEX('Output Utente'!$C$2:$C$492,MATCH(442,'Output Utente'!$Q$2:$Q$492,0)),"")</f>
        <v/>
      </c>
      <c r="E445" s="5" t="str">
        <f>IFERROR(INDEX('Input Giocatori 2026_27'!$D$3:$D$493,MATCH($B445,'Input Giocatori 2026_27'!$A$3:$A$493,0)),"")</f>
        <v/>
      </c>
      <c r="F445" s="42" t="str">
        <f>IFERROR(INDEX('Output Utente'!$N$2:$N$492,MATCH(442,'Output Utente'!$Q$2:$Q$492,0)),"")</f>
        <v/>
      </c>
      <c r="G445" s="42" t="str">
        <f>IFERROR(INDEX('Output Utente'!$O$2:$O$492,MATCH(442,'Output Utente'!$Q$2:$Q$492,0)),"")</f>
        <v/>
      </c>
      <c r="H445" s="5" t="str">
        <f>IFERROR(INDEX('Output Utente'!$P$2:$P$492,MATCH(442,'Output Utente'!$Q$2:$Q$492,0)),"")</f>
        <v/>
      </c>
      <c r="I445" s="42" t="str">
        <f>IFERROR(INDEX('Output Utente'!$F$2:$F$492,MATCH(442,'Output Utente'!$Q$2:$Q$492,0)),"")</f>
        <v/>
      </c>
      <c r="J445" s="42" t="str">
        <f>IFERROR(INDEX('Output Utente'!$G$2:$G$492,MATCH(442,'Output Utente'!$Q$2:$Q$492,0)),"")</f>
        <v/>
      </c>
      <c r="K445" s="42" t="str">
        <f>IFERROR(INDEX('Output Utente'!$H$2:$H$492,MATCH(442,'Output Utente'!$Q$2:$Q$492,0)),"")</f>
        <v/>
      </c>
      <c r="L445" s="5" t="str">
        <f>IFERROR(INDEX('Output Utente'!$E$2:$E$492,MATCH(442,'Output Utente'!$Q$2:$Q$492,0)),"")</f>
        <v/>
      </c>
      <c r="M445" s="5" t="str">
        <f>IFERROR(INDEX('Output Utente'!$U$2:$U$492,MATCH(442,'Output Utente'!$Q$2:$Q$492,0)),"")</f>
        <v/>
      </c>
      <c r="N445" s="5" t="str">
        <f>IFERROR(INDEX('Output Utente'!$AE$2:$AE$492,MATCH(442,'Output Utente'!$Q$2:$Q$492,0)),"")</f>
        <v/>
      </c>
    </row>
    <row r="446" spans="1:14" ht="15" customHeight="1" x14ac:dyDescent="0.25">
      <c r="A446" s="41">
        <v>443</v>
      </c>
      <c r="B446" s="5" t="str">
        <f>IFERROR(INDEX('Output Utente'!$A$2:$A$492,MATCH(443,'Output Utente'!$Q$2:$Q$492,0)),"")</f>
        <v/>
      </c>
      <c r="C446" s="5" t="str">
        <f>IFERROR(INDEX('Output Utente'!$B$2:$B$492,MATCH(443,'Output Utente'!$Q$2:$Q$492,0)),"")</f>
        <v/>
      </c>
      <c r="D446" s="5" t="str">
        <f>IFERROR(INDEX('Output Utente'!$C$2:$C$492,MATCH(443,'Output Utente'!$Q$2:$Q$492,0)),"")</f>
        <v/>
      </c>
      <c r="E446" s="5" t="str">
        <f>IFERROR(INDEX('Input Giocatori 2026_27'!$D$3:$D$493,MATCH($B446,'Input Giocatori 2026_27'!$A$3:$A$493,0)),"")</f>
        <v/>
      </c>
      <c r="F446" s="42" t="str">
        <f>IFERROR(INDEX('Output Utente'!$N$2:$N$492,MATCH(443,'Output Utente'!$Q$2:$Q$492,0)),"")</f>
        <v/>
      </c>
      <c r="G446" s="42" t="str">
        <f>IFERROR(INDEX('Output Utente'!$O$2:$O$492,MATCH(443,'Output Utente'!$Q$2:$Q$492,0)),"")</f>
        <v/>
      </c>
      <c r="H446" s="5" t="str">
        <f>IFERROR(INDEX('Output Utente'!$P$2:$P$492,MATCH(443,'Output Utente'!$Q$2:$Q$492,0)),"")</f>
        <v/>
      </c>
      <c r="I446" s="42" t="str">
        <f>IFERROR(INDEX('Output Utente'!$F$2:$F$492,MATCH(443,'Output Utente'!$Q$2:$Q$492,0)),"")</f>
        <v/>
      </c>
      <c r="J446" s="42" t="str">
        <f>IFERROR(INDEX('Output Utente'!$G$2:$G$492,MATCH(443,'Output Utente'!$Q$2:$Q$492,0)),"")</f>
        <v/>
      </c>
      <c r="K446" s="42" t="str">
        <f>IFERROR(INDEX('Output Utente'!$H$2:$H$492,MATCH(443,'Output Utente'!$Q$2:$Q$492,0)),"")</f>
        <v/>
      </c>
      <c r="L446" s="5" t="str">
        <f>IFERROR(INDEX('Output Utente'!$E$2:$E$492,MATCH(443,'Output Utente'!$Q$2:$Q$492,0)),"")</f>
        <v/>
      </c>
      <c r="M446" s="5" t="str">
        <f>IFERROR(INDEX('Output Utente'!$U$2:$U$492,MATCH(443,'Output Utente'!$Q$2:$Q$492,0)),"")</f>
        <v/>
      </c>
      <c r="N446" s="5" t="str">
        <f>IFERROR(INDEX('Output Utente'!$AE$2:$AE$492,MATCH(443,'Output Utente'!$Q$2:$Q$492,0)),"")</f>
        <v/>
      </c>
    </row>
    <row r="447" spans="1:14" ht="15" customHeight="1" x14ac:dyDescent="0.25">
      <c r="A447" s="41">
        <v>444</v>
      </c>
      <c r="B447" s="5" t="str">
        <f>IFERROR(INDEX('Output Utente'!$A$2:$A$492,MATCH(444,'Output Utente'!$Q$2:$Q$492,0)),"")</f>
        <v/>
      </c>
      <c r="C447" s="5" t="str">
        <f>IFERROR(INDEX('Output Utente'!$B$2:$B$492,MATCH(444,'Output Utente'!$Q$2:$Q$492,0)),"")</f>
        <v/>
      </c>
      <c r="D447" s="5" t="str">
        <f>IFERROR(INDEX('Output Utente'!$C$2:$C$492,MATCH(444,'Output Utente'!$Q$2:$Q$492,0)),"")</f>
        <v/>
      </c>
      <c r="E447" s="5" t="str">
        <f>IFERROR(INDEX('Input Giocatori 2026_27'!$D$3:$D$493,MATCH($B447,'Input Giocatori 2026_27'!$A$3:$A$493,0)),"")</f>
        <v/>
      </c>
      <c r="F447" s="42" t="str">
        <f>IFERROR(INDEX('Output Utente'!$N$2:$N$492,MATCH(444,'Output Utente'!$Q$2:$Q$492,0)),"")</f>
        <v/>
      </c>
      <c r="G447" s="42" t="str">
        <f>IFERROR(INDEX('Output Utente'!$O$2:$O$492,MATCH(444,'Output Utente'!$Q$2:$Q$492,0)),"")</f>
        <v/>
      </c>
      <c r="H447" s="5" t="str">
        <f>IFERROR(INDEX('Output Utente'!$P$2:$P$492,MATCH(444,'Output Utente'!$Q$2:$Q$492,0)),"")</f>
        <v/>
      </c>
      <c r="I447" s="42" t="str">
        <f>IFERROR(INDEX('Output Utente'!$F$2:$F$492,MATCH(444,'Output Utente'!$Q$2:$Q$492,0)),"")</f>
        <v/>
      </c>
      <c r="J447" s="42" t="str">
        <f>IFERROR(INDEX('Output Utente'!$G$2:$G$492,MATCH(444,'Output Utente'!$Q$2:$Q$492,0)),"")</f>
        <v/>
      </c>
      <c r="K447" s="42" t="str">
        <f>IFERROR(INDEX('Output Utente'!$H$2:$H$492,MATCH(444,'Output Utente'!$Q$2:$Q$492,0)),"")</f>
        <v/>
      </c>
      <c r="L447" s="5" t="str">
        <f>IFERROR(INDEX('Output Utente'!$E$2:$E$492,MATCH(444,'Output Utente'!$Q$2:$Q$492,0)),"")</f>
        <v/>
      </c>
      <c r="M447" s="5" t="str">
        <f>IFERROR(INDEX('Output Utente'!$U$2:$U$492,MATCH(444,'Output Utente'!$Q$2:$Q$492,0)),"")</f>
        <v/>
      </c>
      <c r="N447" s="5" t="str">
        <f>IFERROR(INDEX('Output Utente'!$AE$2:$AE$492,MATCH(444,'Output Utente'!$Q$2:$Q$492,0)),"")</f>
        <v/>
      </c>
    </row>
    <row r="448" spans="1:14" ht="15" customHeight="1" x14ac:dyDescent="0.25">
      <c r="A448" s="41">
        <v>445</v>
      </c>
      <c r="B448" s="5" t="str">
        <f>IFERROR(INDEX('Output Utente'!$A$2:$A$492,MATCH(445,'Output Utente'!$Q$2:$Q$492,0)),"")</f>
        <v/>
      </c>
      <c r="C448" s="5" t="str">
        <f>IFERROR(INDEX('Output Utente'!$B$2:$B$492,MATCH(445,'Output Utente'!$Q$2:$Q$492,0)),"")</f>
        <v/>
      </c>
      <c r="D448" s="5" t="str">
        <f>IFERROR(INDEX('Output Utente'!$C$2:$C$492,MATCH(445,'Output Utente'!$Q$2:$Q$492,0)),"")</f>
        <v/>
      </c>
      <c r="E448" s="5" t="str">
        <f>IFERROR(INDEX('Input Giocatori 2026_27'!$D$3:$D$493,MATCH($B448,'Input Giocatori 2026_27'!$A$3:$A$493,0)),"")</f>
        <v/>
      </c>
      <c r="F448" s="42" t="str">
        <f>IFERROR(INDEX('Output Utente'!$N$2:$N$492,MATCH(445,'Output Utente'!$Q$2:$Q$492,0)),"")</f>
        <v/>
      </c>
      <c r="G448" s="42" t="str">
        <f>IFERROR(INDEX('Output Utente'!$O$2:$O$492,MATCH(445,'Output Utente'!$Q$2:$Q$492,0)),"")</f>
        <v/>
      </c>
      <c r="H448" s="5" t="str">
        <f>IFERROR(INDEX('Output Utente'!$P$2:$P$492,MATCH(445,'Output Utente'!$Q$2:$Q$492,0)),"")</f>
        <v/>
      </c>
      <c r="I448" s="42" t="str">
        <f>IFERROR(INDEX('Output Utente'!$F$2:$F$492,MATCH(445,'Output Utente'!$Q$2:$Q$492,0)),"")</f>
        <v/>
      </c>
      <c r="J448" s="42" t="str">
        <f>IFERROR(INDEX('Output Utente'!$G$2:$G$492,MATCH(445,'Output Utente'!$Q$2:$Q$492,0)),"")</f>
        <v/>
      </c>
      <c r="K448" s="42" t="str">
        <f>IFERROR(INDEX('Output Utente'!$H$2:$H$492,MATCH(445,'Output Utente'!$Q$2:$Q$492,0)),"")</f>
        <v/>
      </c>
      <c r="L448" s="5" t="str">
        <f>IFERROR(INDEX('Output Utente'!$E$2:$E$492,MATCH(445,'Output Utente'!$Q$2:$Q$492,0)),"")</f>
        <v/>
      </c>
      <c r="M448" s="5" t="str">
        <f>IFERROR(INDEX('Output Utente'!$U$2:$U$492,MATCH(445,'Output Utente'!$Q$2:$Q$492,0)),"")</f>
        <v/>
      </c>
      <c r="N448" s="5" t="str">
        <f>IFERROR(INDEX('Output Utente'!$AE$2:$AE$492,MATCH(445,'Output Utente'!$Q$2:$Q$492,0)),"")</f>
        <v/>
      </c>
    </row>
    <row r="449" spans="1:14" ht="15" customHeight="1" x14ac:dyDescent="0.25">
      <c r="A449" s="41">
        <v>446</v>
      </c>
      <c r="B449" s="5" t="str">
        <f>IFERROR(INDEX('Output Utente'!$A$2:$A$492,MATCH(446,'Output Utente'!$Q$2:$Q$492,0)),"")</f>
        <v/>
      </c>
      <c r="C449" s="5" t="str">
        <f>IFERROR(INDEX('Output Utente'!$B$2:$B$492,MATCH(446,'Output Utente'!$Q$2:$Q$492,0)),"")</f>
        <v/>
      </c>
      <c r="D449" s="5" t="str">
        <f>IFERROR(INDEX('Output Utente'!$C$2:$C$492,MATCH(446,'Output Utente'!$Q$2:$Q$492,0)),"")</f>
        <v/>
      </c>
      <c r="E449" s="5" t="str">
        <f>IFERROR(INDEX('Input Giocatori 2026_27'!$D$3:$D$493,MATCH($B449,'Input Giocatori 2026_27'!$A$3:$A$493,0)),"")</f>
        <v/>
      </c>
      <c r="F449" s="42" t="str">
        <f>IFERROR(INDEX('Output Utente'!$N$2:$N$492,MATCH(446,'Output Utente'!$Q$2:$Q$492,0)),"")</f>
        <v/>
      </c>
      <c r="G449" s="42" t="str">
        <f>IFERROR(INDEX('Output Utente'!$O$2:$O$492,MATCH(446,'Output Utente'!$Q$2:$Q$492,0)),"")</f>
        <v/>
      </c>
      <c r="H449" s="5" t="str">
        <f>IFERROR(INDEX('Output Utente'!$P$2:$P$492,MATCH(446,'Output Utente'!$Q$2:$Q$492,0)),"")</f>
        <v/>
      </c>
      <c r="I449" s="42" t="str">
        <f>IFERROR(INDEX('Output Utente'!$F$2:$F$492,MATCH(446,'Output Utente'!$Q$2:$Q$492,0)),"")</f>
        <v/>
      </c>
      <c r="J449" s="42" t="str">
        <f>IFERROR(INDEX('Output Utente'!$G$2:$G$492,MATCH(446,'Output Utente'!$Q$2:$Q$492,0)),"")</f>
        <v/>
      </c>
      <c r="K449" s="42" t="str">
        <f>IFERROR(INDEX('Output Utente'!$H$2:$H$492,MATCH(446,'Output Utente'!$Q$2:$Q$492,0)),"")</f>
        <v/>
      </c>
      <c r="L449" s="5" t="str">
        <f>IFERROR(INDEX('Output Utente'!$E$2:$E$492,MATCH(446,'Output Utente'!$Q$2:$Q$492,0)),"")</f>
        <v/>
      </c>
      <c r="M449" s="5" t="str">
        <f>IFERROR(INDEX('Output Utente'!$U$2:$U$492,MATCH(446,'Output Utente'!$Q$2:$Q$492,0)),"")</f>
        <v/>
      </c>
      <c r="N449" s="5" t="str">
        <f>IFERROR(INDEX('Output Utente'!$AE$2:$AE$492,MATCH(446,'Output Utente'!$Q$2:$Q$492,0)),"")</f>
        <v/>
      </c>
    </row>
    <row r="450" spans="1:14" ht="15" customHeight="1" x14ac:dyDescent="0.25">
      <c r="A450" s="41">
        <v>447</v>
      </c>
      <c r="B450" s="5" t="str">
        <f>IFERROR(INDEX('Output Utente'!$A$2:$A$492,MATCH(447,'Output Utente'!$Q$2:$Q$492,0)),"")</f>
        <v/>
      </c>
      <c r="C450" s="5" t="str">
        <f>IFERROR(INDEX('Output Utente'!$B$2:$B$492,MATCH(447,'Output Utente'!$Q$2:$Q$492,0)),"")</f>
        <v/>
      </c>
      <c r="D450" s="5" t="str">
        <f>IFERROR(INDEX('Output Utente'!$C$2:$C$492,MATCH(447,'Output Utente'!$Q$2:$Q$492,0)),"")</f>
        <v/>
      </c>
      <c r="E450" s="5" t="str">
        <f>IFERROR(INDEX('Input Giocatori 2026_27'!$D$3:$D$493,MATCH($B450,'Input Giocatori 2026_27'!$A$3:$A$493,0)),"")</f>
        <v/>
      </c>
      <c r="F450" s="42" t="str">
        <f>IFERROR(INDEX('Output Utente'!$N$2:$N$492,MATCH(447,'Output Utente'!$Q$2:$Q$492,0)),"")</f>
        <v/>
      </c>
      <c r="G450" s="42" t="str">
        <f>IFERROR(INDEX('Output Utente'!$O$2:$O$492,MATCH(447,'Output Utente'!$Q$2:$Q$492,0)),"")</f>
        <v/>
      </c>
      <c r="H450" s="5" t="str">
        <f>IFERROR(INDEX('Output Utente'!$P$2:$P$492,MATCH(447,'Output Utente'!$Q$2:$Q$492,0)),"")</f>
        <v/>
      </c>
      <c r="I450" s="42" t="str">
        <f>IFERROR(INDEX('Output Utente'!$F$2:$F$492,MATCH(447,'Output Utente'!$Q$2:$Q$492,0)),"")</f>
        <v/>
      </c>
      <c r="J450" s="42" t="str">
        <f>IFERROR(INDEX('Output Utente'!$G$2:$G$492,MATCH(447,'Output Utente'!$Q$2:$Q$492,0)),"")</f>
        <v/>
      </c>
      <c r="K450" s="42" t="str">
        <f>IFERROR(INDEX('Output Utente'!$H$2:$H$492,MATCH(447,'Output Utente'!$Q$2:$Q$492,0)),"")</f>
        <v/>
      </c>
      <c r="L450" s="5" t="str">
        <f>IFERROR(INDEX('Output Utente'!$E$2:$E$492,MATCH(447,'Output Utente'!$Q$2:$Q$492,0)),"")</f>
        <v/>
      </c>
      <c r="M450" s="5" t="str">
        <f>IFERROR(INDEX('Output Utente'!$U$2:$U$492,MATCH(447,'Output Utente'!$Q$2:$Q$492,0)),"")</f>
        <v/>
      </c>
      <c r="N450" s="5" t="str">
        <f>IFERROR(INDEX('Output Utente'!$AE$2:$AE$492,MATCH(447,'Output Utente'!$Q$2:$Q$492,0)),"")</f>
        <v/>
      </c>
    </row>
    <row r="451" spans="1:14" ht="15" customHeight="1" x14ac:dyDescent="0.25">
      <c r="A451" s="41">
        <v>448</v>
      </c>
      <c r="B451" s="5" t="str">
        <f>IFERROR(INDEX('Output Utente'!$A$2:$A$492,MATCH(448,'Output Utente'!$Q$2:$Q$492,0)),"")</f>
        <v/>
      </c>
      <c r="C451" s="5" t="str">
        <f>IFERROR(INDEX('Output Utente'!$B$2:$B$492,MATCH(448,'Output Utente'!$Q$2:$Q$492,0)),"")</f>
        <v/>
      </c>
      <c r="D451" s="5" t="str">
        <f>IFERROR(INDEX('Output Utente'!$C$2:$C$492,MATCH(448,'Output Utente'!$Q$2:$Q$492,0)),"")</f>
        <v/>
      </c>
      <c r="E451" s="5" t="str">
        <f>IFERROR(INDEX('Input Giocatori 2026_27'!$D$3:$D$493,MATCH($B451,'Input Giocatori 2026_27'!$A$3:$A$493,0)),"")</f>
        <v/>
      </c>
      <c r="F451" s="42" t="str">
        <f>IFERROR(INDEX('Output Utente'!$N$2:$N$492,MATCH(448,'Output Utente'!$Q$2:$Q$492,0)),"")</f>
        <v/>
      </c>
      <c r="G451" s="42" t="str">
        <f>IFERROR(INDEX('Output Utente'!$O$2:$O$492,MATCH(448,'Output Utente'!$Q$2:$Q$492,0)),"")</f>
        <v/>
      </c>
      <c r="H451" s="5" t="str">
        <f>IFERROR(INDEX('Output Utente'!$P$2:$P$492,MATCH(448,'Output Utente'!$Q$2:$Q$492,0)),"")</f>
        <v/>
      </c>
      <c r="I451" s="42" t="str">
        <f>IFERROR(INDEX('Output Utente'!$F$2:$F$492,MATCH(448,'Output Utente'!$Q$2:$Q$492,0)),"")</f>
        <v/>
      </c>
      <c r="J451" s="42" t="str">
        <f>IFERROR(INDEX('Output Utente'!$G$2:$G$492,MATCH(448,'Output Utente'!$Q$2:$Q$492,0)),"")</f>
        <v/>
      </c>
      <c r="K451" s="42" t="str">
        <f>IFERROR(INDEX('Output Utente'!$H$2:$H$492,MATCH(448,'Output Utente'!$Q$2:$Q$492,0)),"")</f>
        <v/>
      </c>
      <c r="L451" s="5" t="str">
        <f>IFERROR(INDEX('Output Utente'!$E$2:$E$492,MATCH(448,'Output Utente'!$Q$2:$Q$492,0)),"")</f>
        <v/>
      </c>
      <c r="M451" s="5" t="str">
        <f>IFERROR(INDEX('Output Utente'!$U$2:$U$492,MATCH(448,'Output Utente'!$Q$2:$Q$492,0)),"")</f>
        <v/>
      </c>
      <c r="N451" s="5" t="str">
        <f>IFERROR(INDEX('Output Utente'!$AE$2:$AE$492,MATCH(448,'Output Utente'!$Q$2:$Q$492,0)),"")</f>
        <v/>
      </c>
    </row>
    <row r="452" spans="1:14" ht="15" customHeight="1" x14ac:dyDescent="0.25">
      <c r="A452" s="41">
        <v>449</v>
      </c>
      <c r="B452" s="5" t="str">
        <f>IFERROR(INDEX('Output Utente'!$A$2:$A$492,MATCH(449,'Output Utente'!$Q$2:$Q$492,0)),"")</f>
        <v/>
      </c>
      <c r="C452" s="5" t="str">
        <f>IFERROR(INDEX('Output Utente'!$B$2:$B$492,MATCH(449,'Output Utente'!$Q$2:$Q$492,0)),"")</f>
        <v/>
      </c>
      <c r="D452" s="5" t="str">
        <f>IFERROR(INDEX('Output Utente'!$C$2:$C$492,MATCH(449,'Output Utente'!$Q$2:$Q$492,0)),"")</f>
        <v/>
      </c>
      <c r="E452" s="5" t="str">
        <f>IFERROR(INDEX('Input Giocatori 2026_27'!$D$3:$D$493,MATCH($B452,'Input Giocatori 2026_27'!$A$3:$A$493,0)),"")</f>
        <v/>
      </c>
      <c r="F452" s="42" t="str">
        <f>IFERROR(INDEX('Output Utente'!$N$2:$N$492,MATCH(449,'Output Utente'!$Q$2:$Q$492,0)),"")</f>
        <v/>
      </c>
      <c r="G452" s="42" t="str">
        <f>IFERROR(INDEX('Output Utente'!$O$2:$O$492,MATCH(449,'Output Utente'!$Q$2:$Q$492,0)),"")</f>
        <v/>
      </c>
      <c r="H452" s="5" t="str">
        <f>IFERROR(INDEX('Output Utente'!$P$2:$P$492,MATCH(449,'Output Utente'!$Q$2:$Q$492,0)),"")</f>
        <v/>
      </c>
      <c r="I452" s="42" t="str">
        <f>IFERROR(INDEX('Output Utente'!$F$2:$F$492,MATCH(449,'Output Utente'!$Q$2:$Q$492,0)),"")</f>
        <v/>
      </c>
      <c r="J452" s="42" t="str">
        <f>IFERROR(INDEX('Output Utente'!$G$2:$G$492,MATCH(449,'Output Utente'!$Q$2:$Q$492,0)),"")</f>
        <v/>
      </c>
      <c r="K452" s="42" t="str">
        <f>IFERROR(INDEX('Output Utente'!$H$2:$H$492,MATCH(449,'Output Utente'!$Q$2:$Q$492,0)),"")</f>
        <v/>
      </c>
      <c r="L452" s="5" t="str">
        <f>IFERROR(INDEX('Output Utente'!$E$2:$E$492,MATCH(449,'Output Utente'!$Q$2:$Q$492,0)),"")</f>
        <v/>
      </c>
      <c r="M452" s="5" t="str">
        <f>IFERROR(INDEX('Output Utente'!$U$2:$U$492,MATCH(449,'Output Utente'!$Q$2:$Q$492,0)),"")</f>
        <v/>
      </c>
      <c r="N452" s="5" t="str">
        <f>IFERROR(INDEX('Output Utente'!$AE$2:$AE$492,MATCH(449,'Output Utente'!$Q$2:$Q$492,0)),"")</f>
        <v/>
      </c>
    </row>
    <row r="453" spans="1:14" ht="15" customHeight="1" x14ac:dyDescent="0.25">
      <c r="A453" s="41">
        <v>450</v>
      </c>
      <c r="B453" s="5" t="str">
        <f>IFERROR(INDEX('Output Utente'!$A$2:$A$492,MATCH(450,'Output Utente'!$Q$2:$Q$492,0)),"")</f>
        <v/>
      </c>
      <c r="C453" s="5" t="str">
        <f>IFERROR(INDEX('Output Utente'!$B$2:$B$492,MATCH(450,'Output Utente'!$Q$2:$Q$492,0)),"")</f>
        <v/>
      </c>
      <c r="D453" s="5" t="str">
        <f>IFERROR(INDEX('Output Utente'!$C$2:$C$492,MATCH(450,'Output Utente'!$Q$2:$Q$492,0)),"")</f>
        <v/>
      </c>
      <c r="E453" s="5" t="str">
        <f>IFERROR(INDEX('Input Giocatori 2026_27'!$D$3:$D$493,MATCH($B453,'Input Giocatori 2026_27'!$A$3:$A$493,0)),"")</f>
        <v/>
      </c>
      <c r="F453" s="42" t="str">
        <f>IFERROR(INDEX('Output Utente'!$N$2:$N$492,MATCH(450,'Output Utente'!$Q$2:$Q$492,0)),"")</f>
        <v/>
      </c>
      <c r="G453" s="42" t="str">
        <f>IFERROR(INDEX('Output Utente'!$O$2:$O$492,MATCH(450,'Output Utente'!$Q$2:$Q$492,0)),"")</f>
        <v/>
      </c>
      <c r="H453" s="5" t="str">
        <f>IFERROR(INDEX('Output Utente'!$P$2:$P$492,MATCH(450,'Output Utente'!$Q$2:$Q$492,0)),"")</f>
        <v/>
      </c>
      <c r="I453" s="42" t="str">
        <f>IFERROR(INDEX('Output Utente'!$F$2:$F$492,MATCH(450,'Output Utente'!$Q$2:$Q$492,0)),"")</f>
        <v/>
      </c>
      <c r="J453" s="42" t="str">
        <f>IFERROR(INDEX('Output Utente'!$G$2:$G$492,MATCH(450,'Output Utente'!$Q$2:$Q$492,0)),"")</f>
        <v/>
      </c>
      <c r="K453" s="42" t="str">
        <f>IFERROR(INDEX('Output Utente'!$H$2:$H$492,MATCH(450,'Output Utente'!$Q$2:$Q$492,0)),"")</f>
        <v/>
      </c>
      <c r="L453" s="5" t="str">
        <f>IFERROR(INDEX('Output Utente'!$E$2:$E$492,MATCH(450,'Output Utente'!$Q$2:$Q$492,0)),"")</f>
        <v/>
      </c>
      <c r="M453" s="5" t="str">
        <f>IFERROR(INDEX('Output Utente'!$U$2:$U$492,MATCH(450,'Output Utente'!$Q$2:$Q$492,0)),"")</f>
        <v/>
      </c>
      <c r="N453" s="5" t="str">
        <f>IFERROR(INDEX('Output Utente'!$AE$2:$AE$492,MATCH(450,'Output Utente'!$Q$2:$Q$492,0)),"")</f>
        <v/>
      </c>
    </row>
    <row r="454" spans="1:14" ht="15" customHeight="1" x14ac:dyDescent="0.25">
      <c r="A454" s="41">
        <v>451</v>
      </c>
      <c r="B454" s="5" t="str">
        <f>IFERROR(INDEX('Output Utente'!$A$2:$A$492,MATCH(451,'Output Utente'!$Q$2:$Q$492,0)),"")</f>
        <v/>
      </c>
      <c r="C454" s="5" t="str">
        <f>IFERROR(INDEX('Output Utente'!$B$2:$B$492,MATCH(451,'Output Utente'!$Q$2:$Q$492,0)),"")</f>
        <v/>
      </c>
      <c r="D454" s="5" t="str">
        <f>IFERROR(INDEX('Output Utente'!$C$2:$C$492,MATCH(451,'Output Utente'!$Q$2:$Q$492,0)),"")</f>
        <v/>
      </c>
      <c r="E454" s="5" t="str">
        <f>IFERROR(INDEX('Input Giocatori 2026_27'!$D$3:$D$493,MATCH($B454,'Input Giocatori 2026_27'!$A$3:$A$493,0)),"")</f>
        <v/>
      </c>
      <c r="F454" s="42" t="str">
        <f>IFERROR(INDEX('Output Utente'!$N$2:$N$492,MATCH(451,'Output Utente'!$Q$2:$Q$492,0)),"")</f>
        <v/>
      </c>
      <c r="G454" s="42" t="str">
        <f>IFERROR(INDEX('Output Utente'!$O$2:$O$492,MATCH(451,'Output Utente'!$Q$2:$Q$492,0)),"")</f>
        <v/>
      </c>
      <c r="H454" s="5" t="str">
        <f>IFERROR(INDEX('Output Utente'!$P$2:$P$492,MATCH(451,'Output Utente'!$Q$2:$Q$492,0)),"")</f>
        <v/>
      </c>
      <c r="I454" s="42" t="str">
        <f>IFERROR(INDEX('Output Utente'!$F$2:$F$492,MATCH(451,'Output Utente'!$Q$2:$Q$492,0)),"")</f>
        <v/>
      </c>
      <c r="J454" s="42" t="str">
        <f>IFERROR(INDEX('Output Utente'!$G$2:$G$492,MATCH(451,'Output Utente'!$Q$2:$Q$492,0)),"")</f>
        <v/>
      </c>
      <c r="K454" s="42" t="str">
        <f>IFERROR(INDEX('Output Utente'!$H$2:$H$492,MATCH(451,'Output Utente'!$Q$2:$Q$492,0)),"")</f>
        <v/>
      </c>
      <c r="L454" s="5" t="str">
        <f>IFERROR(INDEX('Output Utente'!$E$2:$E$492,MATCH(451,'Output Utente'!$Q$2:$Q$492,0)),"")</f>
        <v/>
      </c>
      <c r="M454" s="5" t="str">
        <f>IFERROR(INDEX('Output Utente'!$U$2:$U$492,MATCH(451,'Output Utente'!$Q$2:$Q$492,0)),"")</f>
        <v/>
      </c>
      <c r="N454" s="5" t="str">
        <f>IFERROR(INDEX('Output Utente'!$AE$2:$AE$492,MATCH(451,'Output Utente'!$Q$2:$Q$492,0)),"")</f>
        <v/>
      </c>
    </row>
    <row r="455" spans="1:14" ht="15" customHeight="1" x14ac:dyDescent="0.25">
      <c r="A455" s="41">
        <v>452</v>
      </c>
      <c r="B455" s="5" t="str">
        <f>IFERROR(INDEX('Output Utente'!$A$2:$A$492,MATCH(452,'Output Utente'!$Q$2:$Q$492,0)),"")</f>
        <v/>
      </c>
      <c r="C455" s="5" t="str">
        <f>IFERROR(INDEX('Output Utente'!$B$2:$B$492,MATCH(452,'Output Utente'!$Q$2:$Q$492,0)),"")</f>
        <v/>
      </c>
      <c r="D455" s="5" t="str">
        <f>IFERROR(INDEX('Output Utente'!$C$2:$C$492,MATCH(452,'Output Utente'!$Q$2:$Q$492,0)),"")</f>
        <v/>
      </c>
      <c r="E455" s="5" t="str">
        <f>IFERROR(INDEX('Input Giocatori 2026_27'!$D$3:$D$493,MATCH($B455,'Input Giocatori 2026_27'!$A$3:$A$493,0)),"")</f>
        <v/>
      </c>
      <c r="F455" s="42" t="str">
        <f>IFERROR(INDEX('Output Utente'!$N$2:$N$492,MATCH(452,'Output Utente'!$Q$2:$Q$492,0)),"")</f>
        <v/>
      </c>
      <c r="G455" s="42" t="str">
        <f>IFERROR(INDEX('Output Utente'!$O$2:$O$492,MATCH(452,'Output Utente'!$Q$2:$Q$492,0)),"")</f>
        <v/>
      </c>
      <c r="H455" s="5" t="str">
        <f>IFERROR(INDEX('Output Utente'!$P$2:$P$492,MATCH(452,'Output Utente'!$Q$2:$Q$492,0)),"")</f>
        <v/>
      </c>
      <c r="I455" s="42" t="str">
        <f>IFERROR(INDEX('Output Utente'!$F$2:$F$492,MATCH(452,'Output Utente'!$Q$2:$Q$492,0)),"")</f>
        <v/>
      </c>
      <c r="J455" s="42" t="str">
        <f>IFERROR(INDEX('Output Utente'!$G$2:$G$492,MATCH(452,'Output Utente'!$Q$2:$Q$492,0)),"")</f>
        <v/>
      </c>
      <c r="K455" s="42" t="str">
        <f>IFERROR(INDEX('Output Utente'!$H$2:$H$492,MATCH(452,'Output Utente'!$Q$2:$Q$492,0)),"")</f>
        <v/>
      </c>
      <c r="L455" s="5" t="str">
        <f>IFERROR(INDEX('Output Utente'!$E$2:$E$492,MATCH(452,'Output Utente'!$Q$2:$Q$492,0)),"")</f>
        <v/>
      </c>
      <c r="M455" s="5" t="str">
        <f>IFERROR(INDEX('Output Utente'!$U$2:$U$492,MATCH(452,'Output Utente'!$Q$2:$Q$492,0)),"")</f>
        <v/>
      </c>
      <c r="N455" s="5" t="str">
        <f>IFERROR(INDEX('Output Utente'!$AE$2:$AE$492,MATCH(452,'Output Utente'!$Q$2:$Q$492,0)),"")</f>
        <v/>
      </c>
    </row>
    <row r="456" spans="1:14" ht="15" customHeight="1" x14ac:dyDescent="0.25">
      <c r="A456" s="41">
        <v>453</v>
      </c>
      <c r="B456" s="5" t="str">
        <f>IFERROR(INDEX('Output Utente'!$A$2:$A$492,MATCH(453,'Output Utente'!$Q$2:$Q$492,0)),"")</f>
        <v/>
      </c>
      <c r="C456" s="5" t="str">
        <f>IFERROR(INDEX('Output Utente'!$B$2:$B$492,MATCH(453,'Output Utente'!$Q$2:$Q$492,0)),"")</f>
        <v/>
      </c>
      <c r="D456" s="5" t="str">
        <f>IFERROR(INDEX('Output Utente'!$C$2:$C$492,MATCH(453,'Output Utente'!$Q$2:$Q$492,0)),"")</f>
        <v/>
      </c>
      <c r="E456" s="5" t="str">
        <f>IFERROR(INDEX('Input Giocatori 2026_27'!$D$3:$D$493,MATCH($B456,'Input Giocatori 2026_27'!$A$3:$A$493,0)),"")</f>
        <v/>
      </c>
      <c r="F456" s="42" t="str">
        <f>IFERROR(INDEX('Output Utente'!$N$2:$N$492,MATCH(453,'Output Utente'!$Q$2:$Q$492,0)),"")</f>
        <v/>
      </c>
      <c r="G456" s="42" t="str">
        <f>IFERROR(INDEX('Output Utente'!$O$2:$O$492,MATCH(453,'Output Utente'!$Q$2:$Q$492,0)),"")</f>
        <v/>
      </c>
      <c r="H456" s="5" t="str">
        <f>IFERROR(INDEX('Output Utente'!$P$2:$P$492,MATCH(453,'Output Utente'!$Q$2:$Q$492,0)),"")</f>
        <v/>
      </c>
      <c r="I456" s="42" t="str">
        <f>IFERROR(INDEX('Output Utente'!$F$2:$F$492,MATCH(453,'Output Utente'!$Q$2:$Q$492,0)),"")</f>
        <v/>
      </c>
      <c r="J456" s="42" t="str">
        <f>IFERROR(INDEX('Output Utente'!$G$2:$G$492,MATCH(453,'Output Utente'!$Q$2:$Q$492,0)),"")</f>
        <v/>
      </c>
      <c r="K456" s="42" t="str">
        <f>IFERROR(INDEX('Output Utente'!$H$2:$H$492,MATCH(453,'Output Utente'!$Q$2:$Q$492,0)),"")</f>
        <v/>
      </c>
      <c r="L456" s="5" t="str">
        <f>IFERROR(INDEX('Output Utente'!$E$2:$E$492,MATCH(453,'Output Utente'!$Q$2:$Q$492,0)),"")</f>
        <v/>
      </c>
      <c r="M456" s="5" t="str">
        <f>IFERROR(INDEX('Output Utente'!$U$2:$U$492,MATCH(453,'Output Utente'!$Q$2:$Q$492,0)),"")</f>
        <v/>
      </c>
      <c r="N456" s="5" t="str">
        <f>IFERROR(INDEX('Output Utente'!$AE$2:$AE$492,MATCH(453,'Output Utente'!$Q$2:$Q$492,0)),"")</f>
        <v/>
      </c>
    </row>
    <row r="457" spans="1:14" ht="15" customHeight="1" x14ac:dyDescent="0.25">
      <c r="A457" s="41">
        <v>454</v>
      </c>
      <c r="B457" s="5" t="str">
        <f>IFERROR(INDEX('Output Utente'!$A$2:$A$492,MATCH(454,'Output Utente'!$Q$2:$Q$492,0)),"")</f>
        <v/>
      </c>
      <c r="C457" s="5" t="str">
        <f>IFERROR(INDEX('Output Utente'!$B$2:$B$492,MATCH(454,'Output Utente'!$Q$2:$Q$492,0)),"")</f>
        <v/>
      </c>
      <c r="D457" s="5" t="str">
        <f>IFERROR(INDEX('Output Utente'!$C$2:$C$492,MATCH(454,'Output Utente'!$Q$2:$Q$492,0)),"")</f>
        <v/>
      </c>
      <c r="E457" s="5" t="str">
        <f>IFERROR(INDEX('Input Giocatori 2026_27'!$D$3:$D$493,MATCH($B457,'Input Giocatori 2026_27'!$A$3:$A$493,0)),"")</f>
        <v/>
      </c>
      <c r="F457" s="42" t="str">
        <f>IFERROR(INDEX('Output Utente'!$N$2:$N$492,MATCH(454,'Output Utente'!$Q$2:$Q$492,0)),"")</f>
        <v/>
      </c>
      <c r="G457" s="42" t="str">
        <f>IFERROR(INDEX('Output Utente'!$O$2:$O$492,MATCH(454,'Output Utente'!$Q$2:$Q$492,0)),"")</f>
        <v/>
      </c>
      <c r="H457" s="5" t="str">
        <f>IFERROR(INDEX('Output Utente'!$P$2:$P$492,MATCH(454,'Output Utente'!$Q$2:$Q$492,0)),"")</f>
        <v/>
      </c>
      <c r="I457" s="42" t="str">
        <f>IFERROR(INDEX('Output Utente'!$F$2:$F$492,MATCH(454,'Output Utente'!$Q$2:$Q$492,0)),"")</f>
        <v/>
      </c>
      <c r="J457" s="42" t="str">
        <f>IFERROR(INDEX('Output Utente'!$G$2:$G$492,MATCH(454,'Output Utente'!$Q$2:$Q$492,0)),"")</f>
        <v/>
      </c>
      <c r="K457" s="42" t="str">
        <f>IFERROR(INDEX('Output Utente'!$H$2:$H$492,MATCH(454,'Output Utente'!$Q$2:$Q$492,0)),"")</f>
        <v/>
      </c>
      <c r="L457" s="5" t="str">
        <f>IFERROR(INDEX('Output Utente'!$E$2:$E$492,MATCH(454,'Output Utente'!$Q$2:$Q$492,0)),"")</f>
        <v/>
      </c>
      <c r="M457" s="5" t="str">
        <f>IFERROR(INDEX('Output Utente'!$U$2:$U$492,MATCH(454,'Output Utente'!$Q$2:$Q$492,0)),"")</f>
        <v/>
      </c>
      <c r="N457" s="5" t="str">
        <f>IFERROR(INDEX('Output Utente'!$AE$2:$AE$492,MATCH(454,'Output Utente'!$Q$2:$Q$492,0)),"")</f>
        <v/>
      </c>
    </row>
    <row r="458" spans="1:14" ht="15" customHeight="1" x14ac:dyDescent="0.25">
      <c r="A458" s="41">
        <v>455</v>
      </c>
      <c r="B458" s="5" t="str">
        <f>IFERROR(INDEX('Output Utente'!$A$2:$A$492,MATCH(455,'Output Utente'!$Q$2:$Q$492,0)),"")</f>
        <v/>
      </c>
      <c r="C458" s="5" t="str">
        <f>IFERROR(INDEX('Output Utente'!$B$2:$B$492,MATCH(455,'Output Utente'!$Q$2:$Q$492,0)),"")</f>
        <v/>
      </c>
      <c r="D458" s="5" t="str">
        <f>IFERROR(INDEX('Output Utente'!$C$2:$C$492,MATCH(455,'Output Utente'!$Q$2:$Q$492,0)),"")</f>
        <v/>
      </c>
      <c r="E458" s="5" t="str">
        <f>IFERROR(INDEX('Input Giocatori 2026_27'!$D$3:$D$493,MATCH($B458,'Input Giocatori 2026_27'!$A$3:$A$493,0)),"")</f>
        <v/>
      </c>
      <c r="F458" s="42" t="str">
        <f>IFERROR(INDEX('Output Utente'!$N$2:$N$492,MATCH(455,'Output Utente'!$Q$2:$Q$492,0)),"")</f>
        <v/>
      </c>
      <c r="G458" s="42" t="str">
        <f>IFERROR(INDEX('Output Utente'!$O$2:$O$492,MATCH(455,'Output Utente'!$Q$2:$Q$492,0)),"")</f>
        <v/>
      </c>
      <c r="H458" s="5" t="str">
        <f>IFERROR(INDEX('Output Utente'!$P$2:$P$492,MATCH(455,'Output Utente'!$Q$2:$Q$492,0)),"")</f>
        <v/>
      </c>
      <c r="I458" s="42" t="str">
        <f>IFERROR(INDEX('Output Utente'!$F$2:$F$492,MATCH(455,'Output Utente'!$Q$2:$Q$492,0)),"")</f>
        <v/>
      </c>
      <c r="J458" s="42" t="str">
        <f>IFERROR(INDEX('Output Utente'!$G$2:$G$492,MATCH(455,'Output Utente'!$Q$2:$Q$492,0)),"")</f>
        <v/>
      </c>
      <c r="K458" s="42" t="str">
        <f>IFERROR(INDEX('Output Utente'!$H$2:$H$492,MATCH(455,'Output Utente'!$Q$2:$Q$492,0)),"")</f>
        <v/>
      </c>
      <c r="L458" s="5" t="str">
        <f>IFERROR(INDEX('Output Utente'!$E$2:$E$492,MATCH(455,'Output Utente'!$Q$2:$Q$492,0)),"")</f>
        <v/>
      </c>
      <c r="M458" s="5" t="str">
        <f>IFERROR(INDEX('Output Utente'!$U$2:$U$492,MATCH(455,'Output Utente'!$Q$2:$Q$492,0)),"")</f>
        <v/>
      </c>
      <c r="N458" s="5" t="str">
        <f>IFERROR(INDEX('Output Utente'!$AE$2:$AE$492,MATCH(455,'Output Utente'!$Q$2:$Q$492,0)),"")</f>
        <v/>
      </c>
    </row>
    <row r="459" spans="1:14" ht="15" customHeight="1" x14ac:dyDescent="0.25">
      <c r="A459" s="41">
        <v>456</v>
      </c>
      <c r="B459" s="5" t="str">
        <f>IFERROR(INDEX('Output Utente'!$A$2:$A$492,MATCH(456,'Output Utente'!$Q$2:$Q$492,0)),"")</f>
        <v/>
      </c>
      <c r="C459" s="5" t="str">
        <f>IFERROR(INDEX('Output Utente'!$B$2:$B$492,MATCH(456,'Output Utente'!$Q$2:$Q$492,0)),"")</f>
        <v/>
      </c>
      <c r="D459" s="5" t="str">
        <f>IFERROR(INDEX('Output Utente'!$C$2:$C$492,MATCH(456,'Output Utente'!$Q$2:$Q$492,0)),"")</f>
        <v/>
      </c>
      <c r="E459" s="5" t="str">
        <f>IFERROR(INDEX('Input Giocatori 2026_27'!$D$3:$D$493,MATCH($B459,'Input Giocatori 2026_27'!$A$3:$A$493,0)),"")</f>
        <v/>
      </c>
      <c r="F459" s="42" t="str">
        <f>IFERROR(INDEX('Output Utente'!$N$2:$N$492,MATCH(456,'Output Utente'!$Q$2:$Q$492,0)),"")</f>
        <v/>
      </c>
      <c r="G459" s="42" t="str">
        <f>IFERROR(INDEX('Output Utente'!$O$2:$O$492,MATCH(456,'Output Utente'!$Q$2:$Q$492,0)),"")</f>
        <v/>
      </c>
      <c r="H459" s="5" t="str">
        <f>IFERROR(INDEX('Output Utente'!$P$2:$P$492,MATCH(456,'Output Utente'!$Q$2:$Q$492,0)),"")</f>
        <v/>
      </c>
      <c r="I459" s="42" t="str">
        <f>IFERROR(INDEX('Output Utente'!$F$2:$F$492,MATCH(456,'Output Utente'!$Q$2:$Q$492,0)),"")</f>
        <v/>
      </c>
      <c r="J459" s="42" t="str">
        <f>IFERROR(INDEX('Output Utente'!$G$2:$G$492,MATCH(456,'Output Utente'!$Q$2:$Q$492,0)),"")</f>
        <v/>
      </c>
      <c r="K459" s="42" t="str">
        <f>IFERROR(INDEX('Output Utente'!$H$2:$H$492,MATCH(456,'Output Utente'!$Q$2:$Q$492,0)),"")</f>
        <v/>
      </c>
      <c r="L459" s="5" t="str">
        <f>IFERROR(INDEX('Output Utente'!$E$2:$E$492,MATCH(456,'Output Utente'!$Q$2:$Q$492,0)),"")</f>
        <v/>
      </c>
      <c r="M459" s="5" t="str">
        <f>IFERROR(INDEX('Output Utente'!$U$2:$U$492,MATCH(456,'Output Utente'!$Q$2:$Q$492,0)),"")</f>
        <v/>
      </c>
      <c r="N459" s="5" t="str">
        <f>IFERROR(INDEX('Output Utente'!$AE$2:$AE$492,MATCH(456,'Output Utente'!$Q$2:$Q$492,0)),"")</f>
        <v/>
      </c>
    </row>
    <row r="460" spans="1:14" ht="15" customHeight="1" x14ac:dyDescent="0.25">
      <c r="A460" s="41">
        <v>457</v>
      </c>
      <c r="B460" s="5" t="str">
        <f>IFERROR(INDEX('Output Utente'!$A$2:$A$492,MATCH(457,'Output Utente'!$Q$2:$Q$492,0)),"")</f>
        <v/>
      </c>
      <c r="C460" s="5" t="str">
        <f>IFERROR(INDEX('Output Utente'!$B$2:$B$492,MATCH(457,'Output Utente'!$Q$2:$Q$492,0)),"")</f>
        <v/>
      </c>
      <c r="D460" s="5" t="str">
        <f>IFERROR(INDEX('Output Utente'!$C$2:$C$492,MATCH(457,'Output Utente'!$Q$2:$Q$492,0)),"")</f>
        <v/>
      </c>
      <c r="E460" s="5" t="str">
        <f>IFERROR(INDEX('Input Giocatori 2026_27'!$D$3:$D$493,MATCH($B460,'Input Giocatori 2026_27'!$A$3:$A$493,0)),"")</f>
        <v/>
      </c>
      <c r="F460" s="42" t="str">
        <f>IFERROR(INDEX('Output Utente'!$N$2:$N$492,MATCH(457,'Output Utente'!$Q$2:$Q$492,0)),"")</f>
        <v/>
      </c>
      <c r="G460" s="42" t="str">
        <f>IFERROR(INDEX('Output Utente'!$O$2:$O$492,MATCH(457,'Output Utente'!$Q$2:$Q$492,0)),"")</f>
        <v/>
      </c>
      <c r="H460" s="5" t="str">
        <f>IFERROR(INDEX('Output Utente'!$P$2:$P$492,MATCH(457,'Output Utente'!$Q$2:$Q$492,0)),"")</f>
        <v/>
      </c>
      <c r="I460" s="42" t="str">
        <f>IFERROR(INDEX('Output Utente'!$F$2:$F$492,MATCH(457,'Output Utente'!$Q$2:$Q$492,0)),"")</f>
        <v/>
      </c>
      <c r="J460" s="42" t="str">
        <f>IFERROR(INDEX('Output Utente'!$G$2:$G$492,MATCH(457,'Output Utente'!$Q$2:$Q$492,0)),"")</f>
        <v/>
      </c>
      <c r="K460" s="42" t="str">
        <f>IFERROR(INDEX('Output Utente'!$H$2:$H$492,MATCH(457,'Output Utente'!$Q$2:$Q$492,0)),"")</f>
        <v/>
      </c>
      <c r="L460" s="5" t="str">
        <f>IFERROR(INDEX('Output Utente'!$E$2:$E$492,MATCH(457,'Output Utente'!$Q$2:$Q$492,0)),"")</f>
        <v/>
      </c>
      <c r="M460" s="5" t="str">
        <f>IFERROR(INDEX('Output Utente'!$U$2:$U$492,MATCH(457,'Output Utente'!$Q$2:$Q$492,0)),"")</f>
        <v/>
      </c>
      <c r="N460" s="5" t="str">
        <f>IFERROR(INDEX('Output Utente'!$AE$2:$AE$492,MATCH(457,'Output Utente'!$Q$2:$Q$492,0)),"")</f>
        <v/>
      </c>
    </row>
    <row r="461" spans="1:14" ht="15" customHeight="1" x14ac:dyDescent="0.25">
      <c r="A461" s="41">
        <v>458</v>
      </c>
      <c r="B461" s="5" t="str">
        <f>IFERROR(INDEX('Output Utente'!$A$2:$A$492,MATCH(458,'Output Utente'!$Q$2:$Q$492,0)),"")</f>
        <v/>
      </c>
      <c r="C461" s="5" t="str">
        <f>IFERROR(INDEX('Output Utente'!$B$2:$B$492,MATCH(458,'Output Utente'!$Q$2:$Q$492,0)),"")</f>
        <v/>
      </c>
      <c r="D461" s="5" t="str">
        <f>IFERROR(INDEX('Output Utente'!$C$2:$C$492,MATCH(458,'Output Utente'!$Q$2:$Q$492,0)),"")</f>
        <v/>
      </c>
      <c r="E461" s="5" t="str">
        <f>IFERROR(INDEX('Input Giocatori 2026_27'!$D$3:$D$493,MATCH($B461,'Input Giocatori 2026_27'!$A$3:$A$493,0)),"")</f>
        <v/>
      </c>
      <c r="F461" s="42" t="str">
        <f>IFERROR(INDEX('Output Utente'!$N$2:$N$492,MATCH(458,'Output Utente'!$Q$2:$Q$492,0)),"")</f>
        <v/>
      </c>
      <c r="G461" s="42" t="str">
        <f>IFERROR(INDEX('Output Utente'!$O$2:$O$492,MATCH(458,'Output Utente'!$Q$2:$Q$492,0)),"")</f>
        <v/>
      </c>
      <c r="H461" s="5" t="str">
        <f>IFERROR(INDEX('Output Utente'!$P$2:$P$492,MATCH(458,'Output Utente'!$Q$2:$Q$492,0)),"")</f>
        <v/>
      </c>
      <c r="I461" s="42" t="str">
        <f>IFERROR(INDEX('Output Utente'!$F$2:$F$492,MATCH(458,'Output Utente'!$Q$2:$Q$492,0)),"")</f>
        <v/>
      </c>
      <c r="J461" s="42" t="str">
        <f>IFERROR(INDEX('Output Utente'!$G$2:$G$492,MATCH(458,'Output Utente'!$Q$2:$Q$492,0)),"")</f>
        <v/>
      </c>
      <c r="K461" s="42" t="str">
        <f>IFERROR(INDEX('Output Utente'!$H$2:$H$492,MATCH(458,'Output Utente'!$Q$2:$Q$492,0)),"")</f>
        <v/>
      </c>
      <c r="L461" s="5" t="str">
        <f>IFERROR(INDEX('Output Utente'!$E$2:$E$492,MATCH(458,'Output Utente'!$Q$2:$Q$492,0)),"")</f>
        <v/>
      </c>
      <c r="M461" s="5" t="str">
        <f>IFERROR(INDEX('Output Utente'!$U$2:$U$492,MATCH(458,'Output Utente'!$Q$2:$Q$492,0)),"")</f>
        <v/>
      </c>
      <c r="N461" s="5" t="str">
        <f>IFERROR(INDEX('Output Utente'!$AE$2:$AE$492,MATCH(458,'Output Utente'!$Q$2:$Q$492,0)),"")</f>
        <v/>
      </c>
    </row>
    <row r="462" spans="1:14" ht="15" customHeight="1" x14ac:dyDescent="0.25">
      <c r="A462" s="41">
        <v>459</v>
      </c>
      <c r="B462" s="5" t="str">
        <f>IFERROR(INDEX('Output Utente'!$A$2:$A$492,MATCH(459,'Output Utente'!$Q$2:$Q$492,0)),"")</f>
        <v/>
      </c>
      <c r="C462" s="5" t="str">
        <f>IFERROR(INDEX('Output Utente'!$B$2:$B$492,MATCH(459,'Output Utente'!$Q$2:$Q$492,0)),"")</f>
        <v/>
      </c>
      <c r="D462" s="5" t="str">
        <f>IFERROR(INDEX('Output Utente'!$C$2:$C$492,MATCH(459,'Output Utente'!$Q$2:$Q$492,0)),"")</f>
        <v/>
      </c>
      <c r="E462" s="5" t="str">
        <f>IFERROR(INDEX('Input Giocatori 2026_27'!$D$3:$D$493,MATCH($B462,'Input Giocatori 2026_27'!$A$3:$A$493,0)),"")</f>
        <v/>
      </c>
      <c r="F462" s="42" t="str">
        <f>IFERROR(INDEX('Output Utente'!$N$2:$N$492,MATCH(459,'Output Utente'!$Q$2:$Q$492,0)),"")</f>
        <v/>
      </c>
      <c r="G462" s="42" t="str">
        <f>IFERROR(INDEX('Output Utente'!$O$2:$O$492,MATCH(459,'Output Utente'!$Q$2:$Q$492,0)),"")</f>
        <v/>
      </c>
      <c r="H462" s="5" t="str">
        <f>IFERROR(INDEX('Output Utente'!$P$2:$P$492,MATCH(459,'Output Utente'!$Q$2:$Q$492,0)),"")</f>
        <v/>
      </c>
      <c r="I462" s="42" t="str">
        <f>IFERROR(INDEX('Output Utente'!$F$2:$F$492,MATCH(459,'Output Utente'!$Q$2:$Q$492,0)),"")</f>
        <v/>
      </c>
      <c r="J462" s="42" t="str">
        <f>IFERROR(INDEX('Output Utente'!$G$2:$G$492,MATCH(459,'Output Utente'!$Q$2:$Q$492,0)),"")</f>
        <v/>
      </c>
      <c r="K462" s="42" t="str">
        <f>IFERROR(INDEX('Output Utente'!$H$2:$H$492,MATCH(459,'Output Utente'!$Q$2:$Q$492,0)),"")</f>
        <v/>
      </c>
      <c r="L462" s="5" t="str">
        <f>IFERROR(INDEX('Output Utente'!$E$2:$E$492,MATCH(459,'Output Utente'!$Q$2:$Q$492,0)),"")</f>
        <v/>
      </c>
      <c r="M462" s="5" t="str">
        <f>IFERROR(INDEX('Output Utente'!$U$2:$U$492,MATCH(459,'Output Utente'!$Q$2:$Q$492,0)),"")</f>
        <v/>
      </c>
      <c r="N462" s="5" t="str">
        <f>IFERROR(INDEX('Output Utente'!$AE$2:$AE$492,MATCH(459,'Output Utente'!$Q$2:$Q$492,0)),"")</f>
        <v/>
      </c>
    </row>
    <row r="463" spans="1:14" ht="15" customHeight="1" x14ac:dyDescent="0.25">
      <c r="A463" s="41">
        <v>460</v>
      </c>
      <c r="B463" s="5" t="str">
        <f>IFERROR(INDEX('Output Utente'!$A$2:$A$492,MATCH(460,'Output Utente'!$Q$2:$Q$492,0)),"")</f>
        <v/>
      </c>
      <c r="C463" s="5" t="str">
        <f>IFERROR(INDEX('Output Utente'!$B$2:$B$492,MATCH(460,'Output Utente'!$Q$2:$Q$492,0)),"")</f>
        <v/>
      </c>
      <c r="D463" s="5" t="str">
        <f>IFERROR(INDEX('Output Utente'!$C$2:$C$492,MATCH(460,'Output Utente'!$Q$2:$Q$492,0)),"")</f>
        <v/>
      </c>
      <c r="E463" s="5" t="str">
        <f>IFERROR(INDEX('Input Giocatori 2026_27'!$D$3:$D$493,MATCH($B463,'Input Giocatori 2026_27'!$A$3:$A$493,0)),"")</f>
        <v/>
      </c>
      <c r="F463" s="42" t="str">
        <f>IFERROR(INDEX('Output Utente'!$N$2:$N$492,MATCH(460,'Output Utente'!$Q$2:$Q$492,0)),"")</f>
        <v/>
      </c>
      <c r="G463" s="42" t="str">
        <f>IFERROR(INDEX('Output Utente'!$O$2:$O$492,MATCH(460,'Output Utente'!$Q$2:$Q$492,0)),"")</f>
        <v/>
      </c>
      <c r="H463" s="5" t="str">
        <f>IFERROR(INDEX('Output Utente'!$P$2:$P$492,MATCH(460,'Output Utente'!$Q$2:$Q$492,0)),"")</f>
        <v/>
      </c>
      <c r="I463" s="42" t="str">
        <f>IFERROR(INDEX('Output Utente'!$F$2:$F$492,MATCH(460,'Output Utente'!$Q$2:$Q$492,0)),"")</f>
        <v/>
      </c>
      <c r="J463" s="42" t="str">
        <f>IFERROR(INDEX('Output Utente'!$G$2:$G$492,MATCH(460,'Output Utente'!$Q$2:$Q$492,0)),"")</f>
        <v/>
      </c>
      <c r="K463" s="42" t="str">
        <f>IFERROR(INDEX('Output Utente'!$H$2:$H$492,MATCH(460,'Output Utente'!$Q$2:$Q$492,0)),"")</f>
        <v/>
      </c>
      <c r="L463" s="5" t="str">
        <f>IFERROR(INDEX('Output Utente'!$E$2:$E$492,MATCH(460,'Output Utente'!$Q$2:$Q$492,0)),"")</f>
        <v/>
      </c>
      <c r="M463" s="5" t="str">
        <f>IFERROR(INDEX('Output Utente'!$U$2:$U$492,MATCH(460,'Output Utente'!$Q$2:$Q$492,0)),"")</f>
        <v/>
      </c>
      <c r="N463" s="5" t="str">
        <f>IFERROR(INDEX('Output Utente'!$AE$2:$AE$492,MATCH(460,'Output Utente'!$Q$2:$Q$492,0)),"")</f>
        <v/>
      </c>
    </row>
    <row r="464" spans="1:14" ht="15" customHeight="1" x14ac:dyDescent="0.25">
      <c r="A464" s="41">
        <v>461</v>
      </c>
      <c r="B464" s="5" t="str">
        <f>IFERROR(INDEX('Output Utente'!$A$2:$A$492,MATCH(461,'Output Utente'!$Q$2:$Q$492,0)),"")</f>
        <v/>
      </c>
      <c r="C464" s="5" t="str">
        <f>IFERROR(INDEX('Output Utente'!$B$2:$B$492,MATCH(461,'Output Utente'!$Q$2:$Q$492,0)),"")</f>
        <v/>
      </c>
      <c r="D464" s="5" t="str">
        <f>IFERROR(INDEX('Output Utente'!$C$2:$C$492,MATCH(461,'Output Utente'!$Q$2:$Q$492,0)),"")</f>
        <v/>
      </c>
      <c r="E464" s="5" t="str">
        <f>IFERROR(INDEX('Input Giocatori 2026_27'!$D$3:$D$493,MATCH($B464,'Input Giocatori 2026_27'!$A$3:$A$493,0)),"")</f>
        <v/>
      </c>
      <c r="F464" s="42" t="str">
        <f>IFERROR(INDEX('Output Utente'!$N$2:$N$492,MATCH(461,'Output Utente'!$Q$2:$Q$492,0)),"")</f>
        <v/>
      </c>
      <c r="G464" s="42" t="str">
        <f>IFERROR(INDEX('Output Utente'!$O$2:$O$492,MATCH(461,'Output Utente'!$Q$2:$Q$492,0)),"")</f>
        <v/>
      </c>
      <c r="H464" s="5" t="str">
        <f>IFERROR(INDEX('Output Utente'!$P$2:$P$492,MATCH(461,'Output Utente'!$Q$2:$Q$492,0)),"")</f>
        <v/>
      </c>
      <c r="I464" s="42" t="str">
        <f>IFERROR(INDEX('Output Utente'!$F$2:$F$492,MATCH(461,'Output Utente'!$Q$2:$Q$492,0)),"")</f>
        <v/>
      </c>
      <c r="J464" s="42" t="str">
        <f>IFERROR(INDEX('Output Utente'!$G$2:$G$492,MATCH(461,'Output Utente'!$Q$2:$Q$492,0)),"")</f>
        <v/>
      </c>
      <c r="K464" s="42" t="str">
        <f>IFERROR(INDEX('Output Utente'!$H$2:$H$492,MATCH(461,'Output Utente'!$Q$2:$Q$492,0)),"")</f>
        <v/>
      </c>
      <c r="L464" s="5" t="str">
        <f>IFERROR(INDEX('Output Utente'!$E$2:$E$492,MATCH(461,'Output Utente'!$Q$2:$Q$492,0)),"")</f>
        <v/>
      </c>
      <c r="M464" s="5" t="str">
        <f>IFERROR(INDEX('Output Utente'!$U$2:$U$492,MATCH(461,'Output Utente'!$Q$2:$Q$492,0)),"")</f>
        <v/>
      </c>
      <c r="N464" s="5" t="str">
        <f>IFERROR(INDEX('Output Utente'!$AE$2:$AE$492,MATCH(461,'Output Utente'!$Q$2:$Q$492,0)),"")</f>
        <v/>
      </c>
    </row>
    <row r="465" spans="1:14" ht="15" customHeight="1" x14ac:dyDescent="0.25">
      <c r="A465" s="41">
        <v>462</v>
      </c>
      <c r="B465" s="5" t="str">
        <f>IFERROR(INDEX('Output Utente'!$A$2:$A$492,MATCH(462,'Output Utente'!$Q$2:$Q$492,0)),"")</f>
        <v/>
      </c>
      <c r="C465" s="5" t="str">
        <f>IFERROR(INDEX('Output Utente'!$B$2:$B$492,MATCH(462,'Output Utente'!$Q$2:$Q$492,0)),"")</f>
        <v/>
      </c>
      <c r="D465" s="5" t="str">
        <f>IFERROR(INDEX('Output Utente'!$C$2:$C$492,MATCH(462,'Output Utente'!$Q$2:$Q$492,0)),"")</f>
        <v/>
      </c>
      <c r="E465" s="5" t="str">
        <f>IFERROR(INDEX('Input Giocatori 2026_27'!$D$3:$D$493,MATCH($B465,'Input Giocatori 2026_27'!$A$3:$A$493,0)),"")</f>
        <v/>
      </c>
      <c r="F465" s="42" t="str">
        <f>IFERROR(INDEX('Output Utente'!$N$2:$N$492,MATCH(462,'Output Utente'!$Q$2:$Q$492,0)),"")</f>
        <v/>
      </c>
      <c r="G465" s="42" t="str">
        <f>IFERROR(INDEX('Output Utente'!$O$2:$O$492,MATCH(462,'Output Utente'!$Q$2:$Q$492,0)),"")</f>
        <v/>
      </c>
      <c r="H465" s="5" t="str">
        <f>IFERROR(INDEX('Output Utente'!$P$2:$P$492,MATCH(462,'Output Utente'!$Q$2:$Q$492,0)),"")</f>
        <v/>
      </c>
      <c r="I465" s="42" t="str">
        <f>IFERROR(INDEX('Output Utente'!$F$2:$F$492,MATCH(462,'Output Utente'!$Q$2:$Q$492,0)),"")</f>
        <v/>
      </c>
      <c r="J465" s="42" t="str">
        <f>IFERROR(INDEX('Output Utente'!$G$2:$G$492,MATCH(462,'Output Utente'!$Q$2:$Q$492,0)),"")</f>
        <v/>
      </c>
      <c r="K465" s="42" t="str">
        <f>IFERROR(INDEX('Output Utente'!$H$2:$H$492,MATCH(462,'Output Utente'!$Q$2:$Q$492,0)),"")</f>
        <v/>
      </c>
      <c r="L465" s="5" t="str">
        <f>IFERROR(INDEX('Output Utente'!$E$2:$E$492,MATCH(462,'Output Utente'!$Q$2:$Q$492,0)),"")</f>
        <v/>
      </c>
      <c r="M465" s="5" t="str">
        <f>IFERROR(INDEX('Output Utente'!$U$2:$U$492,MATCH(462,'Output Utente'!$Q$2:$Q$492,0)),"")</f>
        <v/>
      </c>
      <c r="N465" s="5" t="str">
        <f>IFERROR(INDEX('Output Utente'!$AE$2:$AE$492,MATCH(462,'Output Utente'!$Q$2:$Q$492,0)),"")</f>
        <v/>
      </c>
    </row>
    <row r="466" spans="1:14" ht="15" customHeight="1" x14ac:dyDescent="0.25">
      <c r="A466" s="41">
        <v>463</v>
      </c>
      <c r="B466" s="5" t="str">
        <f>IFERROR(INDEX('Output Utente'!$A$2:$A$492,MATCH(463,'Output Utente'!$Q$2:$Q$492,0)),"")</f>
        <v/>
      </c>
      <c r="C466" s="5" t="str">
        <f>IFERROR(INDEX('Output Utente'!$B$2:$B$492,MATCH(463,'Output Utente'!$Q$2:$Q$492,0)),"")</f>
        <v/>
      </c>
      <c r="D466" s="5" t="str">
        <f>IFERROR(INDEX('Output Utente'!$C$2:$C$492,MATCH(463,'Output Utente'!$Q$2:$Q$492,0)),"")</f>
        <v/>
      </c>
      <c r="E466" s="5" t="str">
        <f>IFERROR(INDEX('Input Giocatori 2026_27'!$D$3:$D$493,MATCH($B466,'Input Giocatori 2026_27'!$A$3:$A$493,0)),"")</f>
        <v/>
      </c>
      <c r="F466" s="42" t="str">
        <f>IFERROR(INDEX('Output Utente'!$N$2:$N$492,MATCH(463,'Output Utente'!$Q$2:$Q$492,0)),"")</f>
        <v/>
      </c>
      <c r="G466" s="42" t="str">
        <f>IFERROR(INDEX('Output Utente'!$O$2:$O$492,MATCH(463,'Output Utente'!$Q$2:$Q$492,0)),"")</f>
        <v/>
      </c>
      <c r="H466" s="5" t="str">
        <f>IFERROR(INDEX('Output Utente'!$P$2:$P$492,MATCH(463,'Output Utente'!$Q$2:$Q$492,0)),"")</f>
        <v/>
      </c>
      <c r="I466" s="42" t="str">
        <f>IFERROR(INDEX('Output Utente'!$F$2:$F$492,MATCH(463,'Output Utente'!$Q$2:$Q$492,0)),"")</f>
        <v/>
      </c>
      <c r="J466" s="42" t="str">
        <f>IFERROR(INDEX('Output Utente'!$G$2:$G$492,MATCH(463,'Output Utente'!$Q$2:$Q$492,0)),"")</f>
        <v/>
      </c>
      <c r="K466" s="42" t="str">
        <f>IFERROR(INDEX('Output Utente'!$H$2:$H$492,MATCH(463,'Output Utente'!$Q$2:$Q$492,0)),"")</f>
        <v/>
      </c>
      <c r="L466" s="5" t="str">
        <f>IFERROR(INDEX('Output Utente'!$E$2:$E$492,MATCH(463,'Output Utente'!$Q$2:$Q$492,0)),"")</f>
        <v/>
      </c>
      <c r="M466" s="5" t="str">
        <f>IFERROR(INDEX('Output Utente'!$U$2:$U$492,MATCH(463,'Output Utente'!$Q$2:$Q$492,0)),"")</f>
        <v/>
      </c>
      <c r="N466" s="5" t="str">
        <f>IFERROR(INDEX('Output Utente'!$AE$2:$AE$492,MATCH(463,'Output Utente'!$Q$2:$Q$492,0)),"")</f>
        <v/>
      </c>
    </row>
    <row r="467" spans="1:14" ht="15" customHeight="1" x14ac:dyDescent="0.25">
      <c r="A467" s="41">
        <v>464</v>
      </c>
      <c r="B467" s="5" t="str">
        <f>IFERROR(INDEX('Output Utente'!$A$2:$A$492,MATCH(464,'Output Utente'!$Q$2:$Q$492,0)),"")</f>
        <v/>
      </c>
      <c r="C467" s="5" t="str">
        <f>IFERROR(INDEX('Output Utente'!$B$2:$B$492,MATCH(464,'Output Utente'!$Q$2:$Q$492,0)),"")</f>
        <v/>
      </c>
      <c r="D467" s="5" t="str">
        <f>IFERROR(INDEX('Output Utente'!$C$2:$C$492,MATCH(464,'Output Utente'!$Q$2:$Q$492,0)),"")</f>
        <v/>
      </c>
      <c r="E467" s="5" t="str">
        <f>IFERROR(INDEX('Input Giocatori 2026_27'!$D$3:$D$493,MATCH($B467,'Input Giocatori 2026_27'!$A$3:$A$493,0)),"")</f>
        <v/>
      </c>
      <c r="F467" s="42" t="str">
        <f>IFERROR(INDEX('Output Utente'!$N$2:$N$492,MATCH(464,'Output Utente'!$Q$2:$Q$492,0)),"")</f>
        <v/>
      </c>
      <c r="G467" s="42" t="str">
        <f>IFERROR(INDEX('Output Utente'!$O$2:$O$492,MATCH(464,'Output Utente'!$Q$2:$Q$492,0)),"")</f>
        <v/>
      </c>
      <c r="H467" s="5" t="str">
        <f>IFERROR(INDEX('Output Utente'!$P$2:$P$492,MATCH(464,'Output Utente'!$Q$2:$Q$492,0)),"")</f>
        <v/>
      </c>
      <c r="I467" s="42" t="str">
        <f>IFERROR(INDEX('Output Utente'!$F$2:$F$492,MATCH(464,'Output Utente'!$Q$2:$Q$492,0)),"")</f>
        <v/>
      </c>
      <c r="J467" s="42" t="str">
        <f>IFERROR(INDEX('Output Utente'!$G$2:$G$492,MATCH(464,'Output Utente'!$Q$2:$Q$492,0)),"")</f>
        <v/>
      </c>
      <c r="K467" s="42" t="str">
        <f>IFERROR(INDEX('Output Utente'!$H$2:$H$492,MATCH(464,'Output Utente'!$Q$2:$Q$492,0)),"")</f>
        <v/>
      </c>
      <c r="L467" s="5" t="str">
        <f>IFERROR(INDEX('Output Utente'!$E$2:$E$492,MATCH(464,'Output Utente'!$Q$2:$Q$492,0)),"")</f>
        <v/>
      </c>
      <c r="M467" s="5" t="str">
        <f>IFERROR(INDEX('Output Utente'!$U$2:$U$492,MATCH(464,'Output Utente'!$Q$2:$Q$492,0)),"")</f>
        <v/>
      </c>
      <c r="N467" s="5" t="str">
        <f>IFERROR(INDEX('Output Utente'!$AE$2:$AE$492,MATCH(464,'Output Utente'!$Q$2:$Q$492,0)),"")</f>
        <v/>
      </c>
    </row>
    <row r="468" spans="1:14" ht="15" customHeight="1" x14ac:dyDescent="0.25">
      <c r="A468" s="41">
        <v>465</v>
      </c>
      <c r="B468" s="5" t="str">
        <f>IFERROR(INDEX('Output Utente'!$A$2:$A$492,MATCH(465,'Output Utente'!$Q$2:$Q$492,0)),"")</f>
        <v/>
      </c>
      <c r="C468" s="5" t="str">
        <f>IFERROR(INDEX('Output Utente'!$B$2:$B$492,MATCH(465,'Output Utente'!$Q$2:$Q$492,0)),"")</f>
        <v/>
      </c>
      <c r="D468" s="5" t="str">
        <f>IFERROR(INDEX('Output Utente'!$C$2:$C$492,MATCH(465,'Output Utente'!$Q$2:$Q$492,0)),"")</f>
        <v/>
      </c>
      <c r="E468" s="5" t="str">
        <f>IFERROR(INDEX('Input Giocatori 2026_27'!$D$3:$D$493,MATCH($B468,'Input Giocatori 2026_27'!$A$3:$A$493,0)),"")</f>
        <v/>
      </c>
      <c r="F468" s="42" t="str">
        <f>IFERROR(INDEX('Output Utente'!$N$2:$N$492,MATCH(465,'Output Utente'!$Q$2:$Q$492,0)),"")</f>
        <v/>
      </c>
      <c r="G468" s="42" t="str">
        <f>IFERROR(INDEX('Output Utente'!$O$2:$O$492,MATCH(465,'Output Utente'!$Q$2:$Q$492,0)),"")</f>
        <v/>
      </c>
      <c r="H468" s="5" t="str">
        <f>IFERROR(INDEX('Output Utente'!$P$2:$P$492,MATCH(465,'Output Utente'!$Q$2:$Q$492,0)),"")</f>
        <v/>
      </c>
      <c r="I468" s="42" t="str">
        <f>IFERROR(INDEX('Output Utente'!$F$2:$F$492,MATCH(465,'Output Utente'!$Q$2:$Q$492,0)),"")</f>
        <v/>
      </c>
      <c r="J468" s="42" t="str">
        <f>IFERROR(INDEX('Output Utente'!$G$2:$G$492,MATCH(465,'Output Utente'!$Q$2:$Q$492,0)),"")</f>
        <v/>
      </c>
      <c r="K468" s="42" t="str">
        <f>IFERROR(INDEX('Output Utente'!$H$2:$H$492,MATCH(465,'Output Utente'!$Q$2:$Q$492,0)),"")</f>
        <v/>
      </c>
      <c r="L468" s="5" t="str">
        <f>IFERROR(INDEX('Output Utente'!$E$2:$E$492,MATCH(465,'Output Utente'!$Q$2:$Q$492,0)),"")</f>
        <v/>
      </c>
      <c r="M468" s="5" t="str">
        <f>IFERROR(INDEX('Output Utente'!$U$2:$U$492,MATCH(465,'Output Utente'!$Q$2:$Q$492,0)),"")</f>
        <v/>
      </c>
      <c r="N468" s="5" t="str">
        <f>IFERROR(INDEX('Output Utente'!$AE$2:$AE$492,MATCH(465,'Output Utente'!$Q$2:$Q$492,0)),"")</f>
        <v/>
      </c>
    </row>
    <row r="469" spans="1:14" ht="15" customHeight="1" x14ac:dyDescent="0.25">
      <c r="A469" s="41">
        <v>466</v>
      </c>
      <c r="B469" s="5" t="str">
        <f>IFERROR(INDEX('Output Utente'!$A$2:$A$492,MATCH(466,'Output Utente'!$Q$2:$Q$492,0)),"")</f>
        <v/>
      </c>
      <c r="C469" s="5" t="str">
        <f>IFERROR(INDEX('Output Utente'!$B$2:$B$492,MATCH(466,'Output Utente'!$Q$2:$Q$492,0)),"")</f>
        <v/>
      </c>
      <c r="D469" s="5" t="str">
        <f>IFERROR(INDEX('Output Utente'!$C$2:$C$492,MATCH(466,'Output Utente'!$Q$2:$Q$492,0)),"")</f>
        <v/>
      </c>
      <c r="E469" s="5" t="str">
        <f>IFERROR(INDEX('Input Giocatori 2026_27'!$D$3:$D$493,MATCH($B469,'Input Giocatori 2026_27'!$A$3:$A$493,0)),"")</f>
        <v/>
      </c>
      <c r="F469" s="42" t="str">
        <f>IFERROR(INDEX('Output Utente'!$N$2:$N$492,MATCH(466,'Output Utente'!$Q$2:$Q$492,0)),"")</f>
        <v/>
      </c>
      <c r="G469" s="42" t="str">
        <f>IFERROR(INDEX('Output Utente'!$O$2:$O$492,MATCH(466,'Output Utente'!$Q$2:$Q$492,0)),"")</f>
        <v/>
      </c>
      <c r="H469" s="5" t="str">
        <f>IFERROR(INDEX('Output Utente'!$P$2:$P$492,MATCH(466,'Output Utente'!$Q$2:$Q$492,0)),"")</f>
        <v/>
      </c>
      <c r="I469" s="42" t="str">
        <f>IFERROR(INDEX('Output Utente'!$F$2:$F$492,MATCH(466,'Output Utente'!$Q$2:$Q$492,0)),"")</f>
        <v/>
      </c>
      <c r="J469" s="42" t="str">
        <f>IFERROR(INDEX('Output Utente'!$G$2:$G$492,MATCH(466,'Output Utente'!$Q$2:$Q$492,0)),"")</f>
        <v/>
      </c>
      <c r="K469" s="42" t="str">
        <f>IFERROR(INDEX('Output Utente'!$H$2:$H$492,MATCH(466,'Output Utente'!$Q$2:$Q$492,0)),"")</f>
        <v/>
      </c>
      <c r="L469" s="5" t="str">
        <f>IFERROR(INDEX('Output Utente'!$E$2:$E$492,MATCH(466,'Output Utente'!$Q$2:$Q$492,0)),"")</f>
        <v/>
      </c>
      <c r="M469" s="5" t="str">
        <f>IFERROR(INDEX('Output Utente'!$U$2:$U$492,MATCH(466,'Output Utente'!$Q$2:$Q$492,0)),"")</f>
        <v/>
      </c>
      <c r="N469" s="5" t="str">
        <f>IFERROR(INDEX('Output Utente'!$AE$2:$AE$492,MATCH(466,'Output Utente'!$Q$2:$Q$492,0)),"")</f>
        <v/>
      </c>
    </row>
    <row r="470" spans="1:14" ht="15" customHeight="1" x14ac:dyDescent="0.25">
      <c r="A470" s="41">
        <v>467</v>
      </c>
      <c r="B470" s="5" t="str">
        <f>IFERROR(INDEX('Output Utente'!$A$2:$A$492,MATCH(467,'Output Utente'!$Q$2:$Q$492,0)),"")</f>
        <v/>
      </c>
      <c r="C470" s="5" t="str">
        <f>IFERROR(INDEX('Output Utente'!$B$2:$B$492,MATCH(467,'Output Utente'!$Q$2:$Q$492,0)),"")</f>
        <v/>
      </c>
      <c r="D470" s="5" t="str">
        <f>IFERROR(INDEX('Output Utente'!$C$2:$C$492,MATCH(467,'Output Utente'!$Q$2:$Q$492,0)),"")</f>
        <v/>
      </c>
      <c r="E470" s="5" t="str">
        <f>IFERROR(INDEX('Input Giocatori 2026_27'!$D$3:$D$493,MATCH($B470,'Input Giocatori 2026_27'!$A$3:$A$493,0)),"")</f>
        <v/>
      </c>
      <c r="F470" s="42" t="str">
        <f>IFERROR(INDEX('Output Utente'!$N$2:$N$492,MATCH(467,'Output Utente'!$Q$2:$Q$492,0)),"")</f>
        <v/>
      </c>
      <c r="G470" s="42" t="str">
        <f>IFERROR(INDEX('Output Utente'!$O$2:$O$492,MATCH(467,'Output Utente'!$Q$2:$Q$492,0)),"")</f>
        <v/>
      </c>
      <c r="H470" s="5" t="str">
        <f>IFERROR(INDEX('Output Utente'!$P$2:$P$492,MATCH(467,'Output Utente'!$Q$2:$Q$492,0)),"")</f>
        <v/>
      </c>
      <c r="I470" s="42" t="str">
        <f>IFERROR(INDEX('Output Utente'!$F$2:$F$492,MATCH(467,'Output Utente'!$Q$2:$Q$492,0)),"")</f>
        <v/>
      </c>
      <c r="J470" s="42" t="str">
        <f>IFERROR(INDEX('Output Utente'!$G$2:$G$492,MATCH(467,'Output Utente'!$Q$2:$Q$492,0)),"")</f>
        <v/>
      </c>
      <c r="K470" s="42" t="str">
        <f>IFERROR(INDEX('Output Utente'!$H$2:$H$492,MATCH(467,'Output Utente'!$Q$2:$Q$492,0)),"")</f>
        <v/>
      </c>
      <c r="L470" s="5" t="str">
        <f>IFERROR(INDEX('Output Utente'!$E$2:$E$492,MATCH(467,'Output Utente'!$Q$2:$Q$492,0)),"")</f>
        <v/>
      </c>
      <c r="M470" s="5" t="str">
        <f>IFERROR(INDEX('Output Utente'!$U$2:$U$492,MATCH(467,'Output Utente'!$Q$2:$Q$492,0)),"")</f>
        <v/>
      </c>
      <c r="N470" s="5" t="str">
        <f>IFERROR(INDEX('Output Utente'!$AE$2:$AE$492,MATCH(467,'Output Utente'!$Q$2:$Q$492,0)),"")</f>
        <v/>
      </c>
    </row>
    <row r="471" spans="1:14" ht="15" customHeight="1" x14ac:dyDescent="0.25">
      <c r="A471" s="41">
        <v>468</v>
      </c>
      <c r="B471" s="5" t="str">
        <f>IFERROR(INDEX('Output Utente'!$A$2:$A$492,MATCH(468,'Output Utente'!$Q$2:$Q$492,0)),"")</f>
        <v/>
      </c>
      <c r="C471" s="5" t="str">
        <f>IFERROR(INDEX('Output Utente'!$B$2:$B$492,MATCH(468,'Output Utente'!$Q$2:$Q$492,0)),"")</f>
        <v/>
      </c>
      <c r="D471" s="5" t="str">
        <f>IFERROR(INDEX('Output Utente'!$C$2:$C$492,MATCH(468,'Output Utente'!$Q$2:$Q$492,0)),"")</f>
        <v/>
      </c>
      <c r="E471" s="5" t="str">
        <f>IFERROR(INDEX('Input Giocatori 2026_27'!$D$3:$D$493,MATCH($B471,'Input Giocatori 2026_27'!$A$3:$A$493,0)),"")</f>
        <v/>
      </c>
      <c r="F471" s="42" t="str">
        <f>IFERROR(INDEX('Output Utente'!$N$2:$N$492,MATCH(468,'Output Utente'!$Q$2:$Q$492,0)),"")</f>
        <v/>
      </c>
      <c r="G471" s="42" t="str">
        <f>IFERROR(INDEX('Output Utente'!$O$2:$O$492,MATCH(468,'Output Utente'!$Q$2:$Q$492,0)),"")</f>
        <v/>
      </c>
      <c r="H471" s="5" t="str">
        <f>IFERROR(INDEX('Output Utente'!$P$2:$P$492,MATCH(468,'Output Utente'!$Q$2:$Q$492,0)),"")</f>
        <v/>
      </c>
      <c r="I471" s="42" t="str">
        <f>IFERROR(INDEX('Output Utente'!$F$2:$F$492,MATCH(468,'Output Utente'!$Q$2:$Q$492,0)),"")</f>
        <v/>
      </c>
      <c r="J471" s="42" t="str">
        <f>IFERROR(INDEX('Output Utente'!$G$2:$G$492,MATCH(468,'Output Utente'!$Q$2:$Q$492,0)),"")</f>
        <v/>
      </c>
      <c r="K471" s="42" t="str">
        <f>IFERROR(INDEX('Output Utente'!$H$2:$H$492,MATCH(468,'Output Utente'!$Q$2:$Q$492,0)),"")</f>
        <v/>
      </c>
      <c r="L471" s="5" t="str">
        <f>IFERROR(INDEX('Output Utente'!$E$2:$E$492,MATCH(468,'Output Utente'!$Q$2:$Q$492,0)),"")</f>
        <v/>
      </c>
      <c r="M471" s="5" t="str">
        <f>IFERROR(INDEX('Output Utente'!$U$2:$U$492,MATCH(468,'Output Utente'!$Q$2:$Q$492,0)),"")</f>
        <v/>
      </c>
      <c r="N471" s="5" t="str">
        <f>IFERROR(INDEX('Output Utente'!$AE$2:$AE$492,MATCH(468,'Output Utente'!$Q$2:$Q$492,0)),"")</f>
        <v/>
      </c>
    </row>
    <row r="472" spans="1:14" ht="15" customHeight="1" x14ac:dyDescent="0.25">
      <c r="A472" s="41">
        <v>469</v>
      </c>
      <c r="B472" s="5" t="str">
        <f>IFERROR(INDEX('Output Utente'!$A$2:$A$492,MATCH(469,'Output Utente'!$Q$2:$Q$492,0)),"")</f>
        <v/>
      </c>
      <c r="C472" s="5" t="str">
        <f>IFERROR(INDEX('Output Utente'!$B$2:$B$492,MATCH(469,'Output Utente'!$Q$2:$Q$492,0)),"")</f>
        <v/>
      </c>
      <c r="D472" s="5" t="str">
        <f>IFERROR(INDEX('Output Utente'!$C$2:$C$492,MATCH(469,'Output Utente'!$Q$2:$Q$492,0)),"")</f>
        <v/>
      </c>
      <c r="E472" s="5" t="str">
        <f>IFERROR(INDEX('Input Giocatori 2026_27'!$D$3:$D$493,MATCH($B472,'Input Giocatori 2026_27'!$A$3:$A$493,0)),"")</f>
        <v/>
      </c>
      <c r="F472" s="42" t="str">
        <f>IFERROR(INDEX('Output Utente'!$N$2:$N$492,MATCH(469,'Output Utente'!$Q$2:$Q$492,0)),"")</f>
        <v/>
      </c>
      <c r="G472" s="42" t="str">
        <f>IFERROR(INDEX('Output Utente'!$O$2:$O$492,MATCH(469,'Output Utente'!$Q$2:$Q$492,0)),"")</f>
        <v/>
      </c>
      <c r="H472" s="5" t="str">
        <f>IFERROR(INDEX('Output Utente'!$P$2:$P$492,MATCH(469,'Output Utente'!$Q$2:$Q$492,0)),"")</f>
        <v/>
      </c>
      <c r="I472" s="42" t="str">
        <f>IFERROR(INDEX('Output Utente'!$F$2:$F$492,MATCH(469,'Output Utente'!$Q$2:$Q$492,0)),"")</f>
        <v/>
      </c>
      <c r="J472" s="42" t="str">
        <f>IFERROR(INDEX('Output Utente'!$G$2:$G$492,MATCH(469,'Output Utente'!$Q$2:$Q$492,0)),"")</f>
        <v/>
      </c>
      <c r="K472" s="42" t="str">
        <f>IFERROR(INDEX('Output Utente'!$H$2:$H$492,MATCH(469,'Output Utente'!$Q$2:$Q$492,0)),"")</f>
        <v/>
      </c>
      <c r="L472" s="5" t="str">
        <f>IFERROR(INDEX('Output Utente'!$E$2:$E$492,MATCH(469,'Output Utente'!$Q$2:$Q$492,0)),"")</f>
        <v/>
      </c>
      <c r="M472" s="5" t="str">
        <f>IFERROR(INDEX('Output Utente'!$U$2:$U$492,MATCH(469,'Output Utente'!$Q$2:$Q$492,0)),"")</f>
        <v/>
      </c>
      <c r="N472" s="5" t="str">
        <f>IFERROR(INDEX('Output Utente'!$AE$2:$AE$492,MATCH(469,'Output Utente'!$Q$2:$Q$492,0)),"")</f>
        <v/>
      </c>
    </row>
    <row r="473" spans="1:14" ht="15" customHeight="1" x14ac:dyDescent="0.25">
      <c r="A473" s="41">
        <v>470</v>
      </c>
      <c r="B473" s="5" t="str">
        <f>IFERROR(INDEX('Output Utente'!$A$2:$A$492,MATCH(470,'Output Utente'!$Q$2:$Q$492,0)),"")</f>
        <v/>
      </c>
      <c r="C473" s="5" t="str">
        <f>IFERROR(INDEX('Output Utente'!$B$2:$B$492,MATCH(470,'Output Utente'!$Q$2:$Q$492,0)),"")</f>
        <v/>
      </c>
      <c r="D473" s="5" t="str">
        <f>IFERROR(INDEX('Output Utente'!$C$2:$C$492,MATCH(470,'Output Utente'!$Q$2:$Q$492,0)),"")</f>
        <v/>
      </c>
      <c r="E473" s="5" t="str">
        <f>IFERROR(INDEX('Input Giocatori 2026_27'!$D$3:$D$493,MATCH($B473,'Input Giocatori 2026_27'!$A$3:$A$493,0)),"")</f>
        <v/>
      </c>
      <c r="F473" s="42" t="str">
        <f>IFERROR(INDEX('Output Utente'!$N$2:$N$492,MATCH(470,'Output Utente'!$Q$2:$Q$492,0)),"")</f>
        <v/>
      </c>
      <c r="G473" s="42" t="str">
        <f>IFERROR(INDEX('Output Utente'!$O$2:$O$492,MATCH(470,'Output Utente'!$Q$2:$Q$492,0)),"")</f>
        <v/>
      </c>
      <c r="H473" s="5" t="str">
        <f>IFERROR(INDEX('Output Utente'!$P$2:$P$492,MATCH(470,'Output Utente'!$Q$2:$Q$492,0)),"")</f>
        <v/>
      </c>
      <c r="I473" s="42" t="str">
        <f>IFERROR(INDEX('Output Utente'!$F$2:$F$492,MATCH(470,'Output Utente'!$Q$2:$Q$492,0)),"")</f>
        <v/>
      </c>
      <c r="J473" s="42" t="str">
        <f>IFERROR(INDEX('Output Utente'!$G$2:$G$492,MATCH(470,'Output Utente'!$Q$2:$Q$492,0)),"")</f>
        <v/>
      </c>
      <c r="K473" s="42" t="str">
        <f>IFERROR(INDEX('Output Utente'!$H$2:$H$492,MATCH(470,'Output Utente'!$Q$2:$Q$492,0)),"")</f>
        <v/>
      </c>
      <c r="L473" s="5" t="str">
        <f>IFERROR(INDEX('Output Utente'!$E$2:$E$492,MATCH(470,'Output Utente'!$Q$2:$Q$492,0)),"")</f>
        <v/>
      </c>
      <c r="M473" s="5" t="str">
        <f>IFERROR(INDEX('Output Utente'!$U$2:$U$492,MATCH(470,'Output Utente'!$Q$2:$Q$492,0)),"")</f>
        <v/>
      </c>
      <c r="N473" s="5" t="str">
        <f>IFERROR(INDEX('Output Utente'!$AE$2:$AE$492,MATCH(470,'Output Utente'!$Q$2:$Q$492,0)),"")</f>
        <v/>
      </c>
    </row>
    <row r="474" spans="1:14" ht="15" customHeight="1" x14ac:dyDescent="0.25">
      <c r="A474" s="41">
        <v>471</v>
      </c>
      <c r="B474" s="5" t="str">
        <f>IFERROR(INDEX('Output Utente'!$A$2:$A$492,MATCH(471,'Output Utente'!$Q$2:$Q$492,0)),"")</f>
        <v/>
      </c>
      <c r="C474" s="5" t="str">
        <f>IFERROR(INDEX('Output Utente'!$B$2:$B$492,MATCH(471,'Output Utente'!$Q$2:$Q$492,0)),"")</f>
        <v/>
      </c>
      <c r="D474" s="5" t="str">
        <f>IFERROR(INDEX('Output Utente'!$C$2:$C$492,MATCH(471,'Output Utente'!$Q$2:$Q$492,0)),"")</f>
        <v/>
      </c>
      <c r="E474" s="5" t="str">
        <f>IFERROR(INDEX('Input Giocatori 2026_27'!$D$3:$D$493,MATCH($B474,'Input Giocatori 2026_27'!$A$3:$A$493,0)),"")</f>
        <v/>
      </c>
      <c r="F474" s="42" t="str">
        <f>IFERROR(INDEX('Output Utente'!$N$2:$N$492,MATCH(471,'Output Utente'!$Q$2:$Q$492,0)),"")</f>
        <v/>
      </c>
      <c r="G474" s="42" t="str">
        <f>IFERROR(INDEX('Output Utente'!$O$2:$O$492,MATCH(471,'Output Utente'!$Q$2:$Q$492,0)),"")</f>
        <v/>
      </c>
      <c r="H474" s="5" t="str">
        <f>IFERROR(INDEX('Output Utente'!$P$2:$P$492,MATCH(471,'Output Utente'!$Q$2:$Q$492,0)),"")</f>
        <v/>
      </c>
      <c r="I474" s="42" t="str">
        <f>IFERROR(INDEX('Output Utente'!$F$2:$F$492,MATCH(471,'Output Utente'!$Q$2:$Q$492,0)),"")</f>
        <v/>
      </c>
      <c r="J474" s="42" t="str">
        <f>IFERROR(INDEX('Output Utente'!$G$2:$G$492,MATCH(471,'Output Utente'!$Q$2:$Q$492,0)),"")</f>
        <v/>
      </c>
      <c r="K474" s="42" t="str">
        <f>IFERROR(INDEX('Output Utente'!$H$2:$H$492,MATCH(471,'Output Utente'!$Q$2:$Q$492,0)),"")</f>
        <v/>
      </c>
      <c r="L474" s="5" t="str">
        <f>IFERROR(INDEX('Output Utente'!$E$2:$E$492,MATCH(471,'Output Utente'!$Q$2:$Q$492,0)),"")</f>
        <v/>
      </c>
      <c r="M474" s="5" t="str">
        <f>IFERROR(INDEX('Output Utente'!$U$2:$U$492,MATCH(471,'Output Utente'!$Q$2:$Q$492,0)),"")</f>
        <v/>
      </c>
      <c r="N474" s="5" t="str">
        <f>IFERROR(INDEX('Output Utente'!$AE$2:$AE$492,MATCH(471,'Output Utente'!$Q$2:$Q$492,0)),"")</f>
        <v/>
      </c>
    </row>
    <row r="475" spans="1:14" ht="15" customHeight="1" x14ac:dyDescent="0.25">
      <c r="A475" s="41">
        <v>472</v>
      </c>
      <c r="B475" s="5" t="str">
        <f>IFERROR(INDEX('Output Utente'!$A$2:$A$492,MATCH(472,'Output Utente'!$Q$2:$Q$492,0)),"")</f>
        <v/>
      </c>
      <c r="C475" s="5" t="str">
        <f>IFERROR(INDEX('Output Utente'!$B$2:$B$492,MATCH(472,'Output Utente'!$Q$2:$Q$492,0)),"")</f>
        <v/>
      </c>
      <c r="D475" s="5" t="str">
        <f>IFERROR(INDEX('Output Utente'!$C$2:$C$492,MATCH(472,'Output Utente'!$Q$2:$Q$492,0)),"")</f>
        <v/>
      </c>
      <c r="E475" s="5" t="str">
        <f>IFERROR(INDEX('Input Giocatori 2026_27'!$D$3:$D$493,MATCH($B475,'Input Giocatori 2026_27'!$A$3:$A$493,0)),"")</f>
        <v/>
      </c>
      <c r="F475" s="42" t="str">
        <f>IFERROR(INDEX('Output Utente'!$N$2:$N$492,MATCH(472,'Output Utente'!$Q$2:$Q$492,0)),"")</f>
        <v/>
      </c>
      <c r="G475" s="42" t="str">
        <f>IFERROR(INDEX('Output Utente'!$O$2:$O$492,MATCH(472,'Output Utente'!$Q$2:$Q$492,0)),"")</f>
        <v/>
      </c>
      <c r="H475" s="5" t="str">
        <f>IFERROR(INDEX('Output Utente'!$P$2:$P$492,MATCH(472,'Output Utente'!$Q$2:$Q$492,0)),"")</f>
        <v/>
      </c>
      <c r="I475" s="42" t="str">
        <f>IFERROR(INDEX('Output Utente'!$F$2:$F$492,MATCH(472,'Output Utente'!$Q$2:$Q$492,0)),"")</f>
        <v/>
      </c>
      <c r="J475" s="42" t="str">
        <f>IFERROR(INDEX('Output Utente'!$G$2:$G$492,MATCH(472,'Output Utente'!$Q$2:$Q$492,0)),"")</f>
        <v/>
      </c>
      <c r="K475" s="42" t="str">
        <f>IFERROR(INDEX('Output Utente'!$H$2:$H$492,MATCH(472,'Output Utente'!$Q$2:$Q$492,0)),"")</f>
        <v/>
      </c>
      <c r="L475" s="5" t="str">
        <f>IFERROR(INDEX('Output Utente'!$E$2:$E$492,MATCH(472,'Output Utente'!$Q$2:$Q$492,0)),"")</f>
        <v/>
      </c>
      <c r="M475" s="5" t="str">
        <f>IFERROR(INDEX('Output Utente'!$U$2:$U$492,MATCH(472,'Output Utente'!$Q$2:$Q$492,0)),"")</f>
        <v/>
      </c>
      <c r="N475" s="5" t="str">
        <f>IFERROR(INDEX('Output Utente'!$AE$2:$AE$492,MATCH(472,'Output Utente'!$Q$2:$Q$492,0)),"")</f>
        <v/>
      </c>
    </row>
    <row r="476" spans="1:14" ht="15" customHeight="1" x14ac:dyDescent="0.25">
      <c r="A476" s="41">
        <v>473</v>
      </c>
      <c r="B476" s="5" t="str">
        <f>IFERROR(INDEX('Output Utente'!$A$2:$A$492,MATCH(473,'Output Utente'!$Q$2:$Q$492,0)),"")</f>
        <v/>
      </c>
      <c r="C476" s="5" t="str">
        <f>IFERROR(INDEX('Output Utente'!$B$2:$B$492,MATCH(473,'Output Utente'!$Q$2:$Q$492,0)),"")</f>
        <v/>
      </c>
      <c r="D476" s="5" t="str">
        <f>IFERROR(INDEX('Output Utente'!$C$2:$C$492,MATCH(473,'Output Utente'!$Q$2:$Q$492,0)),"")</f>
        <v/>
      </c>
      <c r="E476" s="5" t="str">
        <f>IFERROR(INDEX('Input Giocatori 2026_27'!$D$3:$D$493,MATCH($B476,'Input Giocatori 2026_27'!$A$3:$A$493,0)),"")</f>
        <v/>
      </c>
      <c r="F476" s="42" t="str">
        <f>IFERROR(INDEX('Output Utente'!$N$2:$N$492,MATCH(473,'Output Utente'!$Q$2:$Q$492,0)),"")</f>
        <v/>
      </c>
      <c r="G476" s="42" t="str">
        <f>IFERROR(INDEX('Output Utente'!$O$2:$O$492,MATCH(473,'Output Utente'!$Q$2:$Q$492,0)),"")</f>
        <v/>
      </c>
      <c r="H476" s="5" t="str">
        <f>IFERROR(INDEX('Output Utente'!$P$2:$P$492,MATCH(473,'Output Utente'!$Q$2:$Q$492,0)),"")</f>
        <v/>
      </c>
      <c r="I476" s="42" t="str">
        <f>IFERROR(INDEX('Output Utente'!$F$2:$F$492,MATCH(473,'Output Utente'!$Q$2:$Q$492,0)),"")</f>
        <v/>
      </c>
      <c r="J476" s="42" t="str">
        <f>IFERROR(INDEX('Output Utente'!$G$2:$G$492,MATCH(473,'Output Utente'!$Q$2:$Q$492,0)),"")</f>
        <v/>
      </c>
      <c r="K476" s="42" t="str">
        <f>IFERROR(INDEX('Output Utente'!$H$2:$H$492,MATCH(473,'Output Utente'!$Q$2:$Q$492,0)),"")</f>
        <v/>
      </c>
      <c r="L476" s="5" t="str">
        <f>IFERROR(INDEX('Output Utente'!$E$2:$E$492,MATCH(473,'Output Utente'!$Q$2:$Q$492,0)),"")</f>
        <v/>
      </c>
      <c r="M476" s="5" t="str">
        <f>IFERROR(INDEX('Output Utente'!$U$2:$U$492,MATCH(473,'Output Utente'!$Q$2:$Q$492,0)),"")</f>
        <v/>
      </c>
      <c r="N476" s="5" t="str">
        <f>IFERROR(INDEX('Output Utente'!$AE$2:$AE$492,MATCH(473,'Output Utente'!$Q$2:$Q$492,0)),"")</f>
        <v/>
      </c>
    </row>
    <row r="477" spans="1:14" ht="15" customHeight="1" x14ac:dyDescent="0.25">
      <c r="A477" s="41">
        <v>474</v>
      </c>
      <c r="B477" s="5" t="str">
        <f>IFERROR(INDEX('Output Utente'!$A$2:$A$492,MATCH(474,'Output Utente'!$Q$2:$Q$492,0)),"")</f>
        <v/>
      </c>
      <c r="C477" s="5" t="str">
        <f>IFERROR(INDEX('Output Utente'!$B$2:$B$492,MATCH(474,'Output Utente'!$Q$2:$Q$492,0)),"")</f>
        <v/>
      </c>
      <c r="D477" s="5" t="str">
        <f>IFERROR(INDEX('Output Utente'!$C$2:$C$492,MATCH(474,'Output Utente'!$Q$2:$Q$492,0)),"")</f>
        <v/>
      </c>
      <c r="E477" s="5" t="str">
        <f>IFERROR(INDEX('Input Giocatori 2026_27'!$D$3:$D$493,MATCH($B477,'Input Giocatori 2026_27'!$A$3:$A$493,0)),"")</f>
        <v/>
      </c>
      <c r="F477" s="42" t="str">
        <f>IFERROR(INDEX('Output Utente'!$N$2:$N$492,MATCH(474,'Output Utente'!$Q$2:$Q$492,0)),"")</f>
        <v/>
      </c>
      <c r="G477" s="42" t="str">
        <f>IFERROR(INDEX('Output Utente'!$O$2:$O$492,MATCH(474,'Output Utente'!$Q$2:$Q$492,0)),"")</f>
        <v/>
      </c>
      <c r="H477" s="5" t="str">
        <f>IFERROR(INDEX('Output Utente'!$P$2:$P$492,MATCH(474,'Output Utente'!$Q$2:$Q$492,0)),"")</f>
        <v/>
      </c>
      <c r="I477" s="42" t="str">
        <f>IFERROR(INDEX('Output Utente'!$F$2:$F$492,MATCH(474,'Output Utente'!$Q$2:$Q$492,0)),"")</f>
        <v/>
      </c>
      <c r="J477" s="42" t="str">
        <f>IFERROR(INDEX('Output Utente'!$G$2:$G$492,MATCH(474,'Output Utente'!$Q$2:$Q$492,0)),"")</f>
        <v/>
      </c>
      <c r="K477" s="42" t="str">
        <f>IFERROR(INDEX('Output Utente'!$H$2:$H$492,MATCH(474,'Output Utente'!$Q$2:$Q$492,0)),"")</f>
        <v/>
      </c>
      <c r="L477" s="5" t="str">
        <f>IFERROR(INDEX('Output Utente'!$E$2:$E$492,MATCH(474,'Output Utente'!$Q$2:$Q$492,0)),"")</f>
        <v/>
      </c>
      <c r="M477" s="5" t="str">
        <f>IFERROR(INDEX('Output Utente'!$U$2:$U$492,MATCH(474,'Output Utente'!$Q$2:$Q$492,0)),"")</f>
        <v/>
      </c>
      <c r="N477" s="5" t="str">
        <f>IFERROR(INDEX('Output Utente'!$AE$2:$AE$492,MATCH(474,'Output Utente'!$Q$2:$Q$492,0)),"")</f>
        <v/>
      </c>
    </row>
    <row r="478" spans="1:14" ht="15" customHeight="1" x14ac:dyDescent="0.25">
      <c r="A478" s="41">
        <v>475</v>
      </c>
      <c r="B478" s="5" t="str">
        <f>IFERROR(INDEX('Output Utente'!$A$2:$A$492,MATCH(475,'Output Utente'!$Q$2:$Q$492,0)),"")</f>
        <v/>
      </c>
      <c r="C478" s="5" t="str">
        <f>IFERROR(INDEX('Output Utente'!$B$2:$B$492,MATCH(475,'Output Utente'!$Q$2:$Q$492,0)),"")</f>
        <v/>
      </c>
      <c r="D478" s="5" t="str">
        <f>IFERROR(INDEX('Output Utente'!$C$2:$C$492,MATCH(475,'Output Utente'!$Q$2:$Q$492,0)),"")</f>
        <v/>
      </c>
      <c r="E478" s="5" t="str">
        <f>IFERROR(INDEX('Input Giocatori 2026_27'!$D$3:$D$493,MATCH($B478,'Input Giocatori 2026_27'!$A$3:$A$493,0)),"")</f>
        <v/>
      </c>
      <c r="F478" s="42" t="str">
        <f>IFERROR(INDEX('Output Utente'!$N$2:$N$492,MATCH(475,'Output Utente'!$Q$2:$Q$492,0)),"")</f>
        <v/>
      </c>
      <c r="G478" s="42" t="str">
        <f>IFERROR(INDEX('Output Utente'!$O$2:$O$492,MATCH(475,'Output Utente'!$Q$2:$Q$492,0)),"")</f>
        <v/>
      </c>
      <c r="H478" s="5" t="str">
        <f>IFERROR(INDEX('Output Utente'!$P$2:$P$492,MATCH(475,'Output Utente'!$Q$2:$Q$492,0)),"")</f>
        <v/>
      </c>
      <c r="I478" s="42" t="str">
        <f>IFERROR(INDEX('Output Utente'!$F$2:$F$492,MATCH(475,'Output Utente'!$Q$2:$Q$492,0)),"")</f>
        <v/>
      </c>
      <c r="J478" s="42" t="str">
        <f>IFERROR(INDEX('Output Utente'!$G$2:$G$492,MATCH(475,'Output Utente'!$Q$2:$Q$492,0)),"")</f>
        <v/>
      </c>
      <c r="K478" s="42" t="str">
        <f>IFERROR(INDEX('Output Utente'!$H$2:$H$492,MATCH(475,'Output Utente'!$Q$2:$Q$492,0)),"")</f>
        <v/>
      </c>
      <c r="L478" s="5" t="str">
        <f>IFERROR(INDEX('Output Utente'!$E$2:$E$492,MATCH(475,'Output Utente'!$Q$2:$Q$492,0)),"")</f>
        <v/>
      </c>
      <c r="M478" s="5" t="str">
        <f>IFERROR(INDEX('Output Utente'!$U$2:$U$492,MATCH(475,'Output Utente'!$Q$2:$Q$492,0)),"")</f>
        <v/>
      </c>
      <c r="N478" s="5" t="str">
        <f>IFERROR(INDEX('Output Utente'!$AE$2:$AE$492,MATCH(475,'Output Utente'!$Q$2:$Q$492,0)),"")</f>
        <v/>
      </c>
    </row>
    <row r="479" spans="1:14" ht="15" customHeight="1" x14ac:dyDescent="0.25">
      <c r="A479" s="41">
        <v>476</v>
      </c>
      <c r="B479" s="5" t="str">
        <f>IFERROR(INDEX('Output Utente'!$A$2:$A$492,MATCH(476,'Output Utente'!$Q$2:$Q$492,0)),"")</f>
        <v/>
      </c>
      <c r="C479" s="5" t="str">
        <f>IFERROR(INDEX('Output Utente'!$B$2:$B$492,MATCH(476,'Output Utente'!$Q$2:$Q$492,0)),"")</f>
        <v/>
      </c>
      <c r="D479" s="5" t="str">
        <f>IFERROR(INDEX('Output Utente'!$C$2:$C$492,MATCH(476,'Output Utente'!$Q$2:$Q$492,0)),"")</f>
        <v/>
      </c>
      <c r="E479" s="5" t="str">
        <f>IFERROR(INDEX('Input Giocatori 2026_27'!$D$3:$D$493,MATCH($B479,'Input Giocatori 2026_27'!$A$3:$A$493,0)),"")</f>
        <v/>
      </c>
      <c r="F479" s="42" t="str">
        <f>IFERROR(INDEX('Output Utente'!$N$2:$N$492,MATCH(476,'Output Utente'!$Q$2:$Q$492,0)),"")</f>
        <v/>
      </c>
      <c r="G479" s="42" t="str">
        <f>IFERROR(INDEX('Output Utente'!$O$2:$O$492,MATCH(476,'Output Utente'!$Q$2:$Q$492,0)),"")</f>
        <v/>
      </c>
      <c r="H479" s="5" t="str">
        <f>IFERROR(INDEX('Output Utente'!$P$2:$P$492,MATCH(476,'Output Utente'!$Q$2:$Q$492,0)),"")</f>
        <v/>
      </c>
      <c r="I479" s="42" t="str">
        <f>IFERROR(INDEX('Output Utente'!$F$2:$F$492,MATCH(476,'Output Utente'!$Q$2:$Q$492,0)),"")</f>
        <v/>
      </c>
      <c r="J479" s="42" t="str">
        <f>IFERROR(INDEX('Output Utente'!$G$2:$G$492,MATCH(476,'Output Utente'!$Q$2:$Q$492,0)),"")</f>
        <v/>
      </c>
      <c r="K479" s="42" t="str">
        <f>IFERROR(INDEX('Output Utente'!$H$2:$H$492,MATCH(476,'Output Utente'!$Q$2:$Q$492,0)),"")</f>
        <v/>
      </c>
      <c r="L479" s="5" t="str">
        <f>IFERROR(INDEX('Output Utente'!$E$2:$E$492,MATCH(476,'Output Utente'!$Q$2:$Q$492,0)),"")</f>
        <v/>
      </c>
      <c r="M479" s="5" t="str">
        <f>IFERROR(INDEX('Output Utente'!$U$2:$U$492,MATCH(476,'Output Utente'!$Q$2:$Q$492,0)),"")</f>
        <v/>
      </c>
      <c r="N479" s="5" t="str">
        <f>IFERROR(INDEX('Output Utente'!$AE$2:$AE$492,MATCH(476,'Output Utente'!$Q$2:$Q$492,0)),"")</f>
        <v/>
      </c>
    </row>
    <row r="480" spans="1:14" ht="15" customHeight="1" x14ac:dyDescent="0.25">
      <c r="A480" s="41">
        <v>477</v>
      </c>
      <c r="B480" s="5" t="str">
        <f>IFERROR(INDEX('Output Utente'!$A$2:$A$492,MATCH(477,'Output Utente'!$Q$2:$Q$492,0)),"")</f>
        <v/>
      </c>
      <c r="C480" s="5" t="str">
        <f>IFERROR(INDEX('Output Utente'!$B$2:$B$492,MATCH(477,'Output Utente'!$Q$2:$Q$492,0)),"")</f>
        <v/>
      </c>
      <c r="D480" s="5" t="str">
        <f>IFERROR(INDEX('Output Utente'!$C$2:$C$492,MATCH(477,'Output Utente'!$Q$2:$Q$492,0)),"")</f>
        <v/>
      </c>
      <c r="E480" s="5" t="str">
        <f>IFERROR(INDEX('Input Giocatori 2026_27'!$D$3:$D$493,MATCH($B480,'Input Giocatori 2026_27'!$A$3:$A$493,0)),"")</f>
        <v/>
      </c>
      <c r="F480" s="42" t="str">
        <f>IFERROR(INDEX('Output Utente'!$N$2:$N$492,MATCH(477,'Output Utente'!$Q$2:$Q$492,0)),"")</f>
        <v/>
      </c>
      <c r="G480" s="42" t="str">
        <f>IFERROR(INDEX('Output Utente'!$O$2:$O$492,MATCH(477,'Output Utente'!$Q$2:$Q$492,0)),"")</f>
        <v/>
      </c>
      <c r="H480" s="5" t="str">
        <f>IFERROR(INDEX('Output Utente'!$P$2:$P$492,MATCH(477,'Output Utente'!$Q$2:$Q$492,0)),"")</f>
        <v/>
      </c>
      <c r="I480" s="42" t="str">
        <f>IFERROR(INDEX('Output Utente'!$F$2:$F$492,MATCH(477,'Output Utente'!$Q$2:$Q$492,0)),"")</f>
        <v/>
      </c>
      <c r="J480" s="42" t="str">
        <f>IFERROR(INDEX('Output Utente'!$G$2:$G$492,MATCH(477,'Output Utente'!$Q$2:$Q$492,0)),"")</f>
        <v/>
      </c>
      <c r="K480" s="42" t="str">
        <f>IFERROR(INDEX('Output Utente'!$H$2:$H$492,MATCH(477,'Output Utente'!$Q$2:$Q$492,0)),"")</f>
        <v/>
      </c>
      <c r="L480" s="5" t="str">
        <f>IFERROR(INDEX('Output Utente'!$E$2:$E$492,MATCH(477,'Output Utente'!$Q$2:$Q$492,0)),"")</f>
        <v/>
      </c>
      <c r="M480" s="5" t="str">
        <f>IFERROR(INDEX('Output Utente'!$U$2:$U$492,MATCH(477,'Output Utente'!$Q$2:$Q$492,0)),"")</f>
        <v/>
      </c>
      <c r="N480" s="5" t="str">
        <f>IFERROR(INDEX('Output Utente'!$AE$2:$AE$492,MATCH(477,'Output Utente'!$Q$2:$Q$492,0)),"")</f>
        <v/>
      </c>
    </row>
    <row r="481" spans="1:14" ht="15" customHeight="1" x14ac:dyDescent="0.25">
      <c r="A481" s="41">
        <v>478</v>
      </c>
      <c r="B481" s="5" t="str">
        <f>IFERROR(INDEX('Output Utente'!$A$2:$A$492,MATCH(478,'Output Utente'!$Q$2:$Q$492,0)),"")</f>
        <v/>
      </c>
      <c r="C481" s="5" t="str">
        <f>IFERROR(INDEX('Output Utente'!$B$2:$B$492,MATCH(478,'Output Utente'!$Q$2:$Q$492,0)),"")</f>
        <v/>
      </c>
      <c r="D481" s="5" t="str">
        <f>IFERROR(INDEX('Output Utente'!$C$2:$C$492,MATCH(478,'Output Utente'!$Q$2:$Q$492,0)),"")</f>
        <v/>
      </c>
      <c r="E481" s="5" t="str">
        <f>IFERROR(INDEX('Input Giocatori 2026_27'!$D$3:$D$493,MATCH($B481,'Input Giocatori 2026_27'!$A$3:$A$493,0)),"")</f>
        <v/>
      </c>
      <c r="F481" s="42" t="str">
        <f>IFERROR(INDEX('Output Utente'!$N$2:$N$492,MATCH(478,'Output Utente'!$Q$2:$Q$492,0)),"")</f>
        <v/>
      </c>
      <c r="G481" s="42" t="str">
        <f>IFERROR(INDEX('Output Utente'!$O$2:$O$492,MATCH(478,'Output Utente'!$Q$2:$Q$492,0)),"")</f>
        <v/>
      </c>
      <c r="H481" s="5" t="str">
        <f>IFERROR(INDEX('Output Utente'!$P$2:$P$492,MATCH(478,'Output Utente'!$Q$2:$Q$492,0)),"")</f>
        <v/>
      </c>
      <c r="I481" s="42" t="str">
        <f>IFERROR(INDEX('Output Utente'!$F$2:$F$492,MATCH(478,'Output Utente'!$Q$2:$Q$492,0)),"")</f>
        <v/>
      </c>
      <c r="J481" s="42" t="str">
        <f>IFERROR(INDEX('Output Utente'!$G$2:$G$492,MATCH(478,'Output Utente'!$Q$2:$Q$492,0)),"")</f>
        <v/>
      </c>
      <c r="K481" s="42" t="str">
        <f>IFERROR(INDEX('Output Utente'!$H$2:$H$492,MATCH(478,'Output Utente'!$Q$2:$Q$492,0)),"")</f>
        <v/>
      </c>
      <c r="L481" s="5" t="str">
        <f>IFERROR(INDEX('Output Utente'!$E$2:$E$492,MATCH(478,'Output Utente'!$Q$2:$Q$492,0)),"")</f>
        <v/>
      </c>
      <c r="M481" s="5" t="str">
        <f>IFERROR(INDEX('Output Utente'!$U$2:$U$492,MATCH(478,'Output Utente'!$Q$2:$Q$492,0)),"")</f>
        <v/>
      </c>
      <c r="N481" s="5" t="str">
        <f>IFERROR(INDEX('Output Utente'!$AE$2:$AE$492,MATCH(478,'Output Utente'!$Q$2:$Q$492,0)),"")</f>
        <v/>
      </c>
    </row>
    <row r="482" spans="1:14" ht="15" customHeight="1" x14ac:dyDescent="0.25">
      <c r="A482" s="41">
        <v>479</v>
      </c>
      <c r="B482" s="5" t="str">
        <f>IFERROR(INDEX('Output Utente'!$A$2:$A$492,MATCH(479,'Output Utente'!$Q$2:$Q$492,0)),"")</f>
        <v/>
      </c>
      <c r="C482" s="5" t="str">
        <f>IFERROR(INDEX('Output Utente'!$B$2:$B$492,MATCH(479,'Output Utente'!$Q$2:$Q$492,0)),"")</f>
        <v/>
      </c>
      <c r="D482" s="5" t="str">
        <f>IFERROR(INDEX('Output Utente'!$C$2:$C$492,MATCH(479,'Output Utente'!$Q$2:$Q$492,0)),"")</f>
        <v/>
      </c>
      <c r="E482" s="5" t="str">
        <f>IFERROR(INDEX('Input Giocatori 2026_27'!$D$3:$D$493,MATCH($B482,'Input Giocatori 2026_27'!$A$3:$A$493,0)),"")</f>
        <v/>
      </c>
      <c r="F482" s="42" t="str">
        <f>IFERROR(INDEX('Output Utente'!$N$2:$N$492,MATCH(479,'Output Utente'!$Q$2:$Q$492,0)),"")</f>
        <v/>
      </c>
      <c r="G482" s="42" t="str">
        <f>IFERROR(INDEX('Output Utente'!$O$2:$O$492,MATCH(479,'Output Utente'!$Q$2:$Q$492,0)),"")</f>
        <v/>
      </c>
      <c r="H482" s="5" t="str">
        <f>IFERROR(INDEX('Output Utente'!$P$2:$P$492,MATCH(479,'Output Utente'!$Q$2:$Q$492,0)),"")</f>
        <v/>
      </c>
      <c r="I482" s="42" t="str">
        <f>IFERROR(INDEX('Output Utente'!$F$2:$F$492,MATCH(479,'Output Utente'!$Q$2:$Q$492,0)),"")</f>
        <v/>
      </c>
      <c r="J482" s="42" t="str">
        <f>IFERROR(INDEX('Output Utente'!$G$2:$G$492,MATCH(479,'Output Utente'!$Q$2:$Q$492,0)),"")</f>
        <v/>
      </c>
      <c r="K482" s="42" t="str">
        <f>IFERROR(INDEX('Output Utente'!$H$2:$H$492,MATCH(479,'Output Utente'!$Q$2:$Q$492,0)),"")</f>
        <v/>
      </c>
      <c r="L482" s="5" t="str">
        <f>IFERROR(INDEX('Output Utente'!$E$2:$E$492,MATCH(479,'Output Utente'!$Q$2:$Q$492,0)),"")</f>
        <v/>
      </c>
      <c r="M482" s="5" t="str">
        <f>IFERROR(INDEX('Output Utente'!$U$2:$U$492,MATCH(479,'Output Utente'!$Q$2:$Q$492,0)),"")</f>
        <v/>
      </c>
      <c r="N482" s="5" t="str">
        <f>IFERROR(INDEX('Output Utente'!$AE$2:$AE$492,MATCH(479,'Output Utente'!$Q$2:$Q$492,0)),"")</f>
        <v/>
      </c>
    </row>
    <row r="483" spans="1:14" ht="15" customHeight="1" x14ac:dyDescent="0.25">
      <c r="A483" s="41">
        <v>480</v>
      </c>
      <c r="B483" s="5" t="str">
        <f>IFERROR(INDEX('Output Utente'!$A$2:$A$492,MATCH(480,'Output Utente'!$Q$2:$Q$492,0)),"")</f>
        <v/>
      </c>
      <c r="C483" s="5" t="str">
        <f>IFERROR(INDEX('Output Utente'!$B$2:$B$492,MATCH(480,'Output Utente'!$Q$2:$Q$492,0)),"")</f>
        <v/>
      </c>
      <c r="D483" s="5" t="str">
        <f>IFERROR(INDEX('Output Utente'!$C$2:$C$492,MATCH(480,'Output Utente'!$Q$2:$Q$492,0)),"")</f>
        <v/>
      </c>
      <c r="E483" s="5" t="str">
        <f>IFERROR(INDEX('Input Giocatori 2026_27'!$D$3:$D$493,MATCH($B483,'Input Giocatori 2026_27'!$A$3:$A$493,0)),"")</f>
        <v/>
      </c>
      <c r="F483" s="42" t="str">
        <f>IFERROR(INDEX('Output Utente'!$N$2:$N$492,MATCH(480,'Output Utente'!$Q$2:$Q$492,0)),"")</f>
        <v/>
      </c>
      <c r="G483" s="42" t="str">
        <f>IFERROR(INDEX('Output Utente'!$O$2:$O$492,MATCH(480,'Output Utente'!$Q$2:$Q$492,0)),"")</f>
        <v/>
      </c>
      <c r="H483" s="5" t="str">
        <f>IFERROR(INDEX('Output Utente'!$P$2:$P$492,MATCH(480,'Output Utente'!$Q$2:$Q$492,0)),"")</f>
        <v/>
      </c>
      <c r="I483" s="42" t="str">
        <f>IFERROR(INDEX('Output Utente'!$F$2:$F$492,MATCH(480,'Output Utente'!$Q$2:$Q$492,0)),"")</f>
        <v/>
      </c>
      <c r="J483" s="42" t="str">
        <f>IFERROR(INDEX('Output Utente'!$G$2:$G$492,MATCH(480,'Output Utente'!$Q$2:$Q$492,0)),"")</f>
        <v/>
      </c>
      <c r="K483" s="42" t="str">
        <f>IFERROR(INDEX('Output Utente'!$H$2:$H$492,MATCH(480,'Output Utente'!$Q$2:$Q$492,0)),"")</f>
        <v/>
      </c>
      <c r="L483" s="5" t="str">
        <f>IFERROR(INDEX('Output Utente'!$E$2:$E$492,MATCH(480,'Output Utente'!$Q$2:$Q$492,0)),"")</f>
        <v/>
      </c>
      <c r="M483" s="5" t="str">
        <f>IFERROR(INDEX('Output Utente'!$U$2:$U$492,MATCH(480,'Output Utente'!$Q$2:$Q$492,0)),"")</f>
        <v/>
      </c>
      <c r="N483" s="5" t="str">
        <f>IFERROR(INDEX('Output Utente'!$AE$2:$AE$492,MATCH(480,'Output Utente'!$Q$2:$Q$492,0)),"")</f>
        <v/>
      </c>
    </row>
    <row r="484" spans="1:14" ht="15" customHeight="1" x14ac:dyDescent="0.25">
      <c r="A484" s="41">
        <v>481</v>
      </c>
      <c r="B484" s="5" t="str">
        <f>IFERROR(INDEX('Output Utente'!$A$2:$A$492,MATCH(481,'Output Utente'!$Q$2:$Q$492,0)),"")</f>
        <v/>
      </c>
      <c r="C484" s="5" t="str">
        <f>IFERROR(INDEX('Output Utente'!$B$2:$B$492,MATCH(481,'Output Utente'!$Q$2:$Q$492,0)),"")</f>
        <v/>
      </c>
      <c r="D484" s="5" t="str">
        <f>IFERROR(INDEX('Output Utente'!$C$2:$C$492,MATCH(481,'Output Utente'!$Q$2:$Q$492,0)),"")</f>
        <v/>
      </c>
      <c r="E484" s="5" t="str">
        <f>IFERROR(INDEX('Input Giocatori 2026_27'!$D$3:$D$493,MATCH($B484,'Input Giocatori 2026_27'!$A$3:$A$493,0)),"")</f>
        <v/>
      </c>
      <c r="F484" s="42" t="str">
        <f>IFERROR(INDEX('Output Utente'!$N$2:$N$492,MATCH(481,'Output Utente'!$Q$2:$Q$492,0)),"")</f>
        <v/>
      </c>
      <c r="G484" s="42" t="str">
        <f>IFERROR(INDEX('Output Utente'!$O$2:$O$492,MATCH(481,'Output Utente'!$Q$2:$Q$492,0)),"")</f>
        <v/>
      </c>
      <c r="H484" s="5" t="str">
        <f>IFERROR(INDEX('Output Utente'!$P$2:$P$492,MATCH(481,'Output Utente'!$Q$2:$Q$492,0)),"")</f>
        <v/>
      </c>
      <c r="I484" s="42" t="str">
        <f>IFERROR(INDEX('Output Utente'!$F$2:$F$492,MATCH(481,'Output Utente'!$Q$2:$Q$492,0)),"")</f>
        <v/>
      </c>
      <c r="J484" s="42" t="str">
        <f>IFERROR(INDEX('Output Utente'!$G$2:$G$492,MATCH(481,'Output Utente'!$Q$2:$Q$492,0)),"")</f>
        <v/>
      </c>
      <c r="K484" s="42" t="str">
        <f>IFERROR(INDEX('Output Utente'!$H$2:$H$492,MATCH(481,'Output Utente'!$Q$2:$Q$492,0)),"")</f>
        <v/>
      </c>
      <c r="L484" s="5" t="str">
        <f>IFERROR(INDEX('Output Utente'!$E$2:$E$492,MATCH(481,'Output Utente'!$Q$2:$Q$492,0)),"")</f>
        <v/>
      </c>
      <c r="M484" s="5" t="str">
        <f>IFERROR(INDEX('Output Utente'!$U$2:$U$492,MATCH(481,'Output Utente'!$Q$2:$Q$492,0)),"")</f>
        <v/>
      </c>
      <c r="N484" s="5" t="str">
        <f>IFERROR(INDEX('Output Utente'!$AE$2:$AE$492,MATCH(481,'Output Utente'!$Q$2:$Q$492,0)),"")</f>
        <v/>
      </c>
    </row>
    <row r="485" spans="1:14" ht="15" customHeight="1" x14ac:dyDescent="0.25">
      <c r="A485" s="41">
        <v>482</v>
      </c>
      <c r="B485" s="5" t="str">
        <f>IFERROR(INDEX('Output Utente'!$A$2:$A$492,MATCH(482,'Output Utente'!$Q$2:$Q$492,0)),"")</f>
        <v/>
      </c>
      <c r="C485" s="5" t="str">
        <f>IFERROR(INDEX('Output Utente'!$B$2:$B$492,MATCH(482,'Output Utente'!$Q$2:$Q$492,0)),"")</f>
        <v/>
      </c>
      <c r="D485" s="5" t="str">
        <f>IFERROR(INDEX('Output Utente'!$C$2:$C$492,MATCH(482,'Output Utente'!$Q$2:$Q$492,0)),"")</f>
        <v/>
      </c>
      <c r="E485" s="5" t="str">
        <f>IFERROR(INDEX('Input Giocatori 2026_27'!$D$3:$D$493,MATCH($B485,'Input Giocatori 2026_27'!$A$3:$A$493,0)),"")</f>
        <v/>
      </c>
      <c r="F485" s="42" t="str">
        <f>IFERROR(INDEX('Output Utente'!$N$2:$N$492,MATCH(482,'Output Utente'!$Q$2:$Q$492,0)),"")</f>
        <v/>
      </c>
      <c r="G485" s="42" t="str">
        <f>IFERROR(INDEX('Output Utente'!$O$2:$O$492,MATCH(482,'Output Utente'!$Q$2:$Q$492,0)),"")</f>
        <v/>
      </c>
      <c r="H485" s="5" t="str">
        <f>IFERROR(INDEX('Output Utente'!$P$2:$P$492,MATCH(482,'Output Utente'!$Q$2:$Q$492,0)),"")</f>
        <v/>
      </c>
      <c r="I485" s="42" t="str">
        <f>IFERROR(INDEX('Output Utente'!$F$2:$F$492,MATCH(482,'Output Utente'!$Q$2:$Q$492,0)),"")</f>
        <v/>
      </c>
      <c r="J485" s="42" t="str">
        <f>IFERROR(INDEX('Output Utente'!$G$2:$G$492,MATCH(482,'Output Utente'!$Q$2:$Q$492,0)),"")</f>
        <v/>
      </c>
      <c r="K485" s="42" t="str">
        <f>IFERROR(INDEX('Output Utente'!$H$2:$H$492,MATCH(482,'Output Utente'!$Q$2:$Q$492,0)),"")</f>
        <v/>
      </c>
      <c r="L485" s="5" t="str">
        <f>IFERROR(INDEX('Output Utente'!$E$2:$E$492,MATCH(482,'Output Utente'!$Q$2:$Q$492,0)),"")</f>
        <v/>
      </c>
      <c r="M485" s="5" t="str">
        <f>IFERROR(INDEX('Output Utente'!$U$2:$U$492,MATCH(482,'Output Utente'!$Q$2:$Q$492,0)),"")</f>
        <v/>
      </c>
      <c r="N485" s="5" t="str">
        <f>IFERROR(INDEX('Output Utente'!$AE$2:$AE$492,MATCH(482,'Output Utente'!$Q$2:$Q$492,0)),"")</f>
        <v/>
      </c>
    </row>
    <row r="486" spans="1:14" ht="15" customHeight="1" x14ac:dyDescent="0.25">
      <c r="A486" s="41">
        <v>483</v>
      </c>
      <c r="B486" s="5" t="str">
        <f>IFERROR(INDEX('Output Utente'!$A$2:$A$492,MATCH(483,'Output Utente'!$Q$2:$Q$492,0)),"")</f>
        <v/>
      </c>
      <c r="C486" s="5" t="str">
        <f>IFERROR(INDEX('Output Utente'!$B$2:$B$492,MATCH(483,'Output Utente'!$Q$2:$Q$492,0)),"")</f>
        <v/>
      </c>
      <c r="D486" s="5" t="str">
        <f>IFERROR(INDEX('Output Utente'!$C$2:$C$492,MATCH(483,'Output Utente'!$Q$2:$Q$492,0)),"")</f>
        <v/>
      </c>
      <c r="E486" s="5" t="str">
        <f>IFERROR(INDEX('Input Giocatori 2026_27'!$D$3:$D$493,MATCH($B486,'Input Giocatori 2026_27'!$A$3:$A$493,0)),"")</f>
        <v/>
      </c>
      <c r="F486" s="42" t="str">
        <f>IFERROR(INDEX('Output Utente'!$N$2:$N$492,MATCH(483,'Output Utente'!$Q$2:$Q$492,0)),"")</f>
        <v/>
      </c>
      <c r="G486" s="42" t="str">
        <f>IFERROR(INDEX('Output Utente'!$O$2:$O$492,MATCH(483,'Output Utente'!$Q$2:$Q$492,0)),"")</f>
        <v/>
      </c>
      <c r="H486" s="5" t="str">
        <f>IFERROR(INDEX('Output Utente'!$P$2:$P$492,MATCH(483,'Output Utente'!$Q$2:$Q$492,0)),"")</f>
        <v/>
      </c>
      <c r="I486" s="42" t="str">
        <f>IFERROR(INDEX('Output Utente'!$F$2:$F$492,MATCH(483,'Output Utente'!$Q$2:$Q$492,0)),"")</f>
        <v/>
      </c>
      <c r="J486" s="42" t="str">
        <f>IFERROR(INDEX('Output Utente'!$G$2:$G$492,MATCH(483,'Output Utente'!$Q$2:$Q$492,0)),"")</f>
        <v/>
      </c>
      <c r="K486" s="42" t="str">
        <f>IFERROR(INDEX('Output Utente'!$H$2:$H$492,MATCH(483,'Output Utente'!$Q$2:$Q$492,0)),"")</f>
        <v/>
      </c>
      <c r="L486" s="5" t="str">
        <f>IFERROR(INDEX('Output Utente'!$E$2:$E$492,MATCH(483,'Output Utente'!$Q$2:$Q$492,0)),"")</f>
        <v/>
      </c>
      <c r="M486" s="5" t="str">
        <f>IFERROR(INDEX('Output Utente'!$U$2:$U$492,MATCH(483,'Output Utente'!$Q$2:$Q$492,0)),"")</f>
        <v/>
      </c>
      <c r="N486" s="5" t="str">
        <f>IFERROR(INDEX('Output Utente'!$AE$2:$AE$492,MATCH(483,'Output Utente'!$Q$2:$Q$492,0)),"")</f>
        <v/>
      </c>
    </row>
    <row r="487" spans="1:14" ht="15" customHeight="1" x14ac:dyDescent="0.25">
      <c r="A487" s="41">
        <v>484</v>
      </c>
      <c r="B487" s="5" t="str">
        <f>IFERROR(INDEX('Output Utente'!$A$2:$A$492,MATCH(484,'Output Utente'!$Q$2:$Q$492,0)),"")</f>
        <v/>
      </c>
      <c r="C487" s="5" t="str">
        <f>IFERROR(INDEX('Output Utente'!$B$2:$B$492,MATCH(484,'Output Utente'!$Q$2:$Q$492,0)),"")</f>
        <v/>
      </c>
      <c r="D487" s="5" t="str">
        <f>IFERROR(INDEX('Output Utente'!$C$2:$C$492,MATCH(484,'Output Utente'!$Q$2:$Q$492,0)),"")</f>
        <v/>
      </c>
      <c r="E487" s="5" t="str">
        <f>IFERROR(INDEX('Input Giocatori 2026_27'!$D$3:$D$493,MATCH($B487,'Input Giocatori 2026_27'!$A$3:$A$493,0)),"")</f>
        <v/>
      </c>
      <c r="F487" s="42" t="str">
        <f>IFERROR(INDEX('Output Utente'!$N$2:$N$492,MATCH(484,'Output Utente'!$Q$2:$Q$492,0)),"")</f>
        <v/>
      </c>
      <c r="G487" s="42" t="str">
        <f>IFERROR(INDEX('Output Utente'!$O$2:$O$492,MATCH(484,'Output Utente'!$Q$2:$Q$492,0)),"")</f>
        <v/>
      </c>
      <c r="H487" s="5" t="str">
        <f>IFERROR(INDEX('Output Utente'!$P$2:$P$492,MATCH(484,'Output Utente'!$Q$2:$Q$492,0)),"")</f>
        <v/>
      </c>
      <c r="I487" s="42" t="str">
        <f>IFERROR(INDEX('Output Utente'!$F$2:$F$492,MATCH(484,'Output Utente'!$Q$2:$Q$492,0)),"")</f>
        <v/>
      </c>
      <c r="J487" s="42" t="str">
        <f>IFERROR(INDEX('Output Utente'!$G$2:$G$492,MATCH(484,'Output Utente'!$Q$2:$Q$492,0)),"")</f>
        <v/>
      </c>
      <c r="K487" s="42" t="str">
        <f>IFERROR(INDEX('Output Utente'!$H$2:$H$492,MATCH(484,'Output Utente'!$Q$2:$Q$492,0)),"")</f>
        <v/>
      </c>
      <c r="L487" s="5" t="str">
        <f>IFERROR(INDEX('Output Utente'!$E$2:$E$492,MATCH(484,'Output Utente'!$Q$2:$Q$492,0)),"")</f>
        <v/>
      </c>
      <c r="M487" s="5" t="str">
        <f>IFERROR(INDEX('Output Utente'!$U$2:$U$492,MATCH(484,'Output Utente'!$Q$2:$Q$492,0)),"")</f>
        <v/>
      </c>
      <c r="N487" s="5" t="str">
        <f>IFERROR(INDEX('Output Utente'!$AE$2:$AE$492,MATCH(484,'Output Utente'!$Q$2:$Q$492,0)),"")</f>
        <v/>
      </c>
    </row>
    <row r="488" spans="1:14" ht="15" customHeight="1" x14ac:dyDescent="0.25">
      <c r="A488" s="41">
        <v>485</v>
      </c>
      <c r="B488" s="5" t="str">
        <f>IFERROR(INDEX('Output Utente'!$A$2:$A$492,MATCH(485,'Output Utente'!$Q$2:$Q$492,0)),"")</f>
        <v/>
      </c>
      <c r="C488" s="5" t="str">
        <f>IFERROR(INDEX('Output Utente'!$B$2:$B$492,MATCH(485,'Output Utente'!$Q$2:$Q$492,0)),"")</f>
        <v/>
      </c>
      <c r="D488" s="5" t="str">
        <f>IFERROR(INDEX('Output Utente'!$C$2:$C$492,MATCH(485,'Output Utente'!$Q$2:$Q$492,0)),"")</f>
        <v/>
      </c>
      <c r="E488" s="5" t="str">
        <f>IFERROR(INDEX('Input Giocatori 2026_27'!$D$3:$D$493,MATCH($B488,'Input Giocatori 2026_27'!$A$3:$A$493,0)),"")</f>
        <v/>
      </c>
      <c r="F488" s="42" t="str">
        <f>IFERROR(INDEX('Output Utente'!$N$2:$N$492,MATCH(485,'Output Utente'!$Q$2:$Q$492,0)),"")</f>
        <v/>
      </c>
      <c r="G488" s="42" t="str">
        <f>IFERROR(INDEX('Output Utente'!$O$2:$O$492,MATCH(485,'Output Utente'!$Q$2:$Q$492,0)),"")</f>
        <v/>
      </c>
      <c r="H488" s="5" t="str">
        <f>IFERROR(INDEX('Output Utente'!$P$2:$P$492,MATCH(485,'Output Utente'!$Q$2:$Q$492,0)),"")</f>
        <v/>
      </c>
      <c r="I488" s="42" t="str">
        <f>IFERROR(INDEX('Output Utente'!$F$2:$F$492,MATCH(485,'Output Utente'!$Q$2:$Q$492,0)),"")</f>
        <v/>
      </c>
      <c r="J488" s="42" t="str">
        <f>IFERROR(INDEX('Output Utente'!$G$2:$G$492,MATCH(485,'Output Utente'!$Q$2:$Q$492,0)),"")</f>
        <v/>
      </c>
      <c r="K488" s="42" t="str">
        <f>IFERROR(INDEX('Output Utente'!$H$2:$H$492,MATCH(485,'Output Utente'!$Q$2:$Q$492,0)),"")</f>
        <v/>
      </c>
      <c r="L488" s="5" t="str">
        <f>IFERROR(INDEX('Output Utente'!$E$2:$E$492,MATCH(485,'Output Utente'!$Q$2:$Q$492,0)),"")</f>
        <v/>
      </c>
      <c r="M488" s="5" t="str">
        <f>IFERROR(INDEX('Output Utente'!$U$2:$U$492,MATCH(485,'Output Utente'!$Q$2:$Q$492,0)),"")</f>
        <v/>
      </c>
      <c r="N488" s="5" t="str">
        <f>IFERROR(INDEX('Output Utente'!$AE$2:$AE$492,MATCH(485,'Output Utente'!$Q$2:$Q$492,0)),"")</f>
        <v/>
      </c>
    </row>
    <row r="489" spans="1:14" ht="15" customHeight="1" x14ac:dyDescent="0.25">
      <c r="A489" s="41">
        <v>486</v>
      </c>
      <c r="B489" s="5" t="str">
        <f>IFERROR(INDEX('Output Utente'!$A$2:$A$492,MATCH(486,'Output Utente'!$Q$2:$Q$492,0)),"")</f>
        <v/>
      </c>
      <c r="C489" s="5" t="str">
        <f>IFERROR(INDEX('Output Utente'!$B$2:$B$492,MATCH(486,'Output Utente'!$Q$2:$Q$492,0)),"")</f>
        <v/>
      </c>
      <c r="D489" s="5" t="str">
        <f>IFERROR(INDEX('Output Utente'!$C$2:$C$492,MATCH(486,'Output Utente'!$Q$2:$Q$492,0)),"")</f>
        <v/>
      </c>
      <c r="E489" s="5" t="str">
        <f>IFERROR(INDEX('Input Giocatori 2026_27'!$D$3:$D$493,MATCH($B489,'Input Giocatori 2026_27'!$A$3:$A$493,0)),"")</f>
        <v/>
      </c>
      <c r="F489" s="42" t="str">
        <f>IFERROR(INDEX('Output Utente'!$N$2:$N$492,MATCH(486,'Output Utente'!$Q$2:$Q$492,0)),"")</f>
        <v/>
      </c>
      <c r="G489" s="42" t="str">
        <f>IFERROR(INDEX('Output Utente'!$O$2:$O$492,MATCH(486,'Output Utente'!$Q$2:$Q$492,0)),"")</f>
        <v/>
      </c>
      <c r="H489" s="5" t="str">
        <f>IFERROR(INDEX('Output Utente'!$P$2:$P$492,MATCH(486,'Output Utente'!$Q$2:$Q$492,0)),"")</f>
        <v/>
      </c>
      <c r="I489" s="42" t="str">
        <f>IFERROR(INDEX('Output Utente'!$F$2:$F$492,MATCH(486,'Output Utente'!$Q$2:$Q$492,0)),"")</f>
        <v/>
      </c>
      <c r="J489" s="42" t="str">
        <f>IFERROR(INDEX('Output Utente'!$G$2:$G$492,MATCH(486,'Output Utente'!$Q$2:$Q$492,0)),"")</f>
        <v/>
      </c>
      <c r="K489" s="42" t="str">
        <f>IFERROR(INDEX('Output Utente'!$H$2:$H$492,MATCH(486,'Output Utente'!$Q$2:$Q$492,0)),"")</f>
        <v/>
      </c>
      <c r="L489" s="5" t="str">
        <f>IFERROR(INDEX('Output Utente'!$E$2:$E$492,MATCH(486,'Output Utente'!$Q$2:$Q$492,0)),"")</f>
        <v/>
      </c>
      <c r="M489" s="5" t="str">
        <f>IFERROR(INDEX('Output Utente'!$U$2:$U$492,MATCH(486,'Output Utente'!$Q$2:$Q$492,0)),"")</f>
        <v/>
      </c>
      <c r="N489" s="5" t="str">
        <f>IFERROR(INDEX('Output Utente'!$AE$2:$AE$492,MATCH(486,'Output Utente'!$Q$2:$Q$492,0)),"")</f>
        <v/>
      </c>
    </row>
    <row r="490" spans="1:14" ht="15" customHeight="1" x14ac:dyDescent="0.25">
      <c r="A490" s="41">
        <v>487</v>
      </c>
      <c r="B490" s="5" t="str">
        <f>IFERROR(INDEX('Output Utente'!$A$2:$A$492,MATCH(487,'Output Utente'!$Q$2:$Q$492,0)),"")</f>
        <v/>
      </c>
      <c r="C490" s="5" t="str">
        <f>IFERROR(INDEX('Output Utente'!$B$2:$B$492,MATCH(487,'Output Utente'!$Q$2:$Q$492,0)),"")</f>
        <v/>
      </c>
      <c r="D490" s="5" t="str">
        <f>IFERROR(INDEX('Output Utente'!$C$2:$C$492,MATCH(487,'Output Utente'!$Q$2:$Q$492,0)),"")</f>
        <v/>
      </c>
      <c r="E490" s="5" t="str">
        <f>IFERROR(INDEX('Input Giocatori 2026_27'!$D$3:$D$493,MATCH($B490,'Input Giocatori 2026_27'!$A$3:$A$493,0)),"")</f>
        <v/>
      </c>
      <c r="F490" s="42" t="str">
        <f>IFERROR(INDEX('Output Utente'!$N$2:$N$492,MATCH(487,'Output Utente'!$Q$2:$Q$492,0)),"")</f>
        <v/>
      </c>
      <c r="G490" s="42" t="str">
        <f>IFERROR(INDEX('Output Utente'!$O$2:$O$492,MATCH(487,'Output Utente'!$Q$2:$Q$492,0)),"")</f>
        <v/>
      </c>
      <c r="H490" s="5" t="str">
        <f>IFERROR(INDEX('Output Utente'!$P$2:$P$492,MATCH(487,'Output Utente'!$Q$2:$Q$492,0)),"")</f>
        <v/>
      </c>
      <c r="I490" s="42" t="str">
        <f>IFERROR(INDEX('Output Utente'!$F$2:$F$492,MATCH(487,'Output Utente'!$Q$2:$Q$492,0)),"")</f>
        <v/>
      </c>
      <c r="J490" s="42" t="str">
        <f>IFERROR(INDEX('Output Utente'!$G$2:$G$492,MATCH(487,'Output Utente'!$Q$2:$Q$492,0)),"")</f>
        <v/>
      </c>
      <c r="K490" s="42" t="str">
        <f>IFERROR(INDEX('Output Utente'!$H$2:$H$492,MATCH(487,'Output Utente'!$Q$2:$Q$492,0)),"")</f>
        <v/>
      </c>
      <c r="L490" s="5" t="str">
        <f>IFERROR(INDEX('Output Utente'!$E$2:$E$492,MATCH(487,'Output Utente'!$Q$2:$Q$492,0)),"")</f>
        <v/>
      </c>
      <c r="M490" s="5" t="str">
        <f>IFERROR(INDEX('Output Utente'!$U$2:$U$492,MATCH(487,'Output Utente'!$Q$2:$Q$492,0)),"")</f>
        <v/>
      </c>
      <c r="N490" s="5" t="str">
        <f>IFERROR(INDEX('Output Utente'!$AE$2:$AE$492,MATCH(487,'Output Utente'!$Q$2:$Q$492,0)),"")</f>
        <v/>
      </c>
    </row>
    <row r="491" spans="1:14" ht="15" customHeight="1" x14ac:dyDescent="0.25">
      <c r="A491" s="41">
        <v>488</v>
      </c>
      <c r="B491" s="5" t="str">
        <f>IFERROR(INDEX('Output Utente'!$A$2:$A$492,MATCH(488,'Output Utente'!$Q$2:$Q$492,0)),"")</f>
        <v/>
      </c>
      <c r="C491" s="5" t="str">
        <f>IFERROR(INDEX('Output Utente'!$B$2:$B$492,MATCH(488,'Output Utente'!$Q$2:$Q$492,0)),"")</f>
        <v/>
      </c>
      <c r="D491" s="5" t="str">
        <f>IFERROR(INDEX('Output Utente'!$C$2:$C$492,MATCH(488,'Output Utente'!$Q$2:$Q$492,0)),"")</f>
        <v/>
      </c>
      <c r="E491" s="5" t="str">
        <f>IFERROR(INDEX('Input Giocatori 2026_27'!$D$3:$D$493,MATCH($B491,'Input Giocatori 2026_27'!$A$3:$A$493,0)),"")</f>
        <v/>
      </c>
      <c r="F491" s="42" t="str">
        <f>IFERROR(INDEX('Output Utente'!$N$2:$N$492,MATCH(488,'Output Utente'!$Q$2:$Q$492,0)),"")</f>
        <v/>
      </c>
      <c r="G491" s="42" t="str">
        <f>IFERROR(INDEX('Output Utente'!$O$2:$O$492,MATCH(488,'Output Utente'!$Q$2:$Q$492,0)),"")</f>
        <v/>
      </c>
      <c r="H491" s="5" t="str">
        <f>IFERROR(INDEX('Output Utente'!$P$2:$P$492,MATCH(488,'Output Utente'!$Q$2:$Q$492,0)),"")</f>
        <v/>
      </c>
      <c r="I491" s="42" t="str">
        <f>IFERROR(INDEX('Output Utente'!$F$2:$F$492,MATCH(488,'Output Utente'!$Q$2:$Q$492,0)),"")</f>
        <v/>
      </c>
      <c r="J491" s="42" t="str">
        <f>IFERROR(INDEX('Output Utente'!$G$2:$G$492,MATCH(488,'Output Utente'!$Q$2:$Q$492,0)),"")</f>
        <v/>
      </c>
      <c r="K491" s="42" t="str">
        <f>IFERROR(INDEX('Output Utente'!$H$2:$H$492,MATCH(488,'Output Utente'!$Q$2:$Q$492,0)),"")</f>
        <v/>
      </c>
      <c r="L491" s="5" t="str">
        <f>IFERROR(INDEX('Output Utente'!$E$2:$E$492,MATCH(488,'Output Utente'!$Q$2:$Q$492,0)),"")</f>
        <v/>
      </c>
      <c r="M491" s="5" t="str">
        <f>IFERROR(INDEX('Output Utente'!$U$2:$U$492,MATCH(488,'Output Utente'!$Q$2:$Q$492,0)),"")</f>
        <v/>
      </c>
      <c r="N491" s="5" t="str">
        <f>IFERROR(INDEX('Output Utente'!$AE$2:$AE$492,MATCH(488,'Output Utente'!$Q$2:$Q$492,0)),"")</f>
        <v/>
      </c>
    </row>
    <row r="492" spans="1:14" ht="15" customHeight="1" x14ac:dyDescent="0.25">
      <c r="A492" s="41">
        <v>489</v>
      </c>
      <c r="B492" s="5" t="str">
        <f>IFERROR(INDEX('Output Utente'!$A$2:$A$492,MATCH(489,'Output Utente'!$Q$2:$Q$492,0)),"")</f>
        <v/>
      </c>
      <c r="C492" s="5" t="str">
        <f>IFERROR(INDEX('Output Utente'!$B$2:$B$492,MATCH(489,'Output Utente'!$Q$2:$Q$492,0)),"")</f>
        <v/>
      </c>
      <c r="D492" s="5" t="str">
        <f>IFERROR(INDEX('Output Utente'!$C$2:$C$492,MATCH(489,'Output Utente'!$Q$2:$Q$492,0)),"")</f>
        <v/>
      </c>
      <c r="E492" s="5" t="str">
        <f>IFERROR(INDEX('Input Giocatori 2026_27'!$D$3:$D$493,MATCH($B492,'Input Giocatori 2026_27'!$A$3:$A$493,0)),"")</f>
        <v/>
      </c>
      <c r="F492" s="42" t="str">
        <f>IFERROR(INDEX('Output Utente'!$N$2:$N$492,MATCH(489,'Output Utente'!$Q$2:$Q$492,0)),"")</f>
        <v/>
      </c>
      <c r="G492" s="42" t="str">
        <f>IFERROR(INDEX('Output Utente'!$O$2:$O$492,MATCH(489,'Output Utente'!$Q$2:$Q$492,0)),"")</f>
        <v/>
      </c>
      <c r="H492" s="5" t="str">
        <f>IFERROR(INDEX('Output Utente'!$P$2:$P$492,MATCH(489,'Output Utente'!$Q$2:$Q$492,0)),"")</f>
        <v/>
      </c>
      <c r="I492" s="42" t="str">
        <f>IFERROR(INDEX('Output Utente'!$F$2:$F$492,MATCH(489,'Output Utente'!$Q$2:$Q$492,0)),"")</f>
        <v/>
      </c>
      <c r="J492" s="42" t="str">
        <f>IFERROR(INDEX('Output Utente'!$G$2:$G$492,MATCH(489,'Output Utente'!$Q$2:$Q$492,0)),"")</f>
        <v/>
      </c>
      <c r="K492" s="42" t="str">
        <f>IFERROR(INDEX('Output Utente'!$H$2:$H$492,MATCH(489,'Output Utente'!$Q$2:$Q$492,0)),"")</f>
        <v/>
      </c>
      <c r="L492" s="5" t="str">
        <f>IFERROR(INDEX('Output Utente'!$E$2:$E$492,MATCH(489,'Output Utente'!$Q$2:$Q$492,0)),"")</f>
        <v/>
      </c>
      <c r="M492" s="5" t="str">
        <f>IFERROR(INDEX('Output Utente'!$U$2:$U$492,MATCH(489,'Output Utente'!$Q$2:$Q$492,0)),"")</f>
        <v/>
      </c>
      <c r="N492" s="5" t="str">
        <f>IFERROR(INDEX('Output Utente'!$AE$2:$AE$492,MATCH(489,'Output Utente'!$Q$2:$Q$492,0)),"")</f>
        <v/>
      </c>
    </row>
    <row r="493" spans="1:14" ht="15" customHeight="1" x14ac:dyDescent="0.25">
      <c r="A493" s="41">
        <v>490</v>
      </c>
      <c r="B493" s="5" t="str">
        <f>IFERROR(INDEX('Output Utente'!$A$2:$A$492,MATCH(490,'Output Utente'!$Q$2:$Q$492,0)),"")</f>
        <v/>
      </c>
      <c r="C493" s="5" t="str">
        <f>IFERROR(INDEX('Output Utente'!$B$2:$B$492,MATCH(490,'Output Utente'!$Q$2:$Q$492,0)),"")</f>
        <v/>
      </c>
      <c r="D493" s="5" t="str">
        <f>IFERROR(INDEX('Output Utente'!$C$2:$C$492,MATCH(490,'Output Utente'!$Q$2:$Q$492,0)),"")</f>
        <v/>
      </c>
      <c r="E493" s="5" t="str">
        <f>IFERROR(INDEX('Input Giocatori 2026_27'!$D$3:$D$493,MATCH($B493,'Input Giocatori 2026_27'!$A$3:$A$493,0)),"")</f>
        <v/>
      </c>
      <c r="F493" s="42" t="str">
        <f>IFERROR(INDEX('Output Utente'!$N$2:$N$492,MATCH(490,'Output Utente'!$Q$2:$Q$492,0)),"")</f>
        <v/>
      </c>
      <c r="G493" s="42" t="str">
        <f>IFERROR(INDEX('Output Utente'!$O$2:$O$492,MATCH(490,'Output Utente'!$Q$2:$Q$492,0)),"")</f>
        <v/>
      </c>
      <c r="H493" s="5" t="str">
        <f>IFERROR(INDEX('Output Utente'!$P$2:$P$492,MATCH(490,'Output Utente'!$Q$2:$Q$492,0)),"")</f>
        <v/>
      </c>
      <c r="I493" s="42" t="str">
        <f>IFERROR(INDEX('Output Utente'!$F$2:$F$492,MATCH(490,'Output Utente'!$Q$2:$Q$492,0)),"")</f>
        <v/>
      </c>
      <c r="J493" s="42" t="str">
        <f>IFERROR(INDEX('Output Utente'!$G$2:$G$492,MATCH(490,'Output Utente'!$Q$2:$Q$492,0)),"")</f>
        <v/>
      </c>
      <c r="K493" s="42" t="str">
        <f>IFERROR(INDEX('Output Utente'!$H$2:$H$492,MATCH(490,'Output Utente'!$Q$2:$Q$492,0)),"")</f>
        <v/>
      </c>
      <c r="L493" s="5" t="str">
        <f>IFERROR(INDEX('Output Utente'!$E$2:$E$492,MATCH(490,'Output Utente'!$Q$2:$Q$492,0)),"")</f>
        <v/>
      </c>
      <c r="M493" s="5" t="str">
        <f>IFERROR(INDEX('Output Utente'!$U$2:$U$492,MATCH(490,'Output Utente'!$Q$2:$Q$492,0)),"")</f>
        <v/>
      </c>
      <c r="N493" s="5" t="str">
        <f>IFERROR(INDEX('Output Utente'!$AE$2:$AE$492,MATCH(490,'Output Utente'!$Q$2:$Q$492,0)),"")</f>
        <v/>
      </c>
    </row>
    <row r="494" spans="1:14" ht="15" customHeight="1" x14ac:dyDescent="0.25">
      <c r="A494" s="41">
        <v>491</v>
      </c>
      <c r="B494" s="5" t="str">
        <f>IFERROR(INDEX('Output Utente'!$A$2:$A$492,MATCH(491,'Output Utente'!$Q$2:$Q$492,0)),"")</f>
        <v/>
      </c>
      <c r="C494" s="5" t="str">
        <f>IFERROR(INDEX('Output Utente'!$B$2:$B$492,MATCH(491,'Output Utente'!$Q$2:$Q$492,0)),"")</f>
        <v/>
      </c>
      <c r="D494" s="5" t="str">
        <f>IFERROR(INDEX('Output Utente'!$C$2:$C$492,MATCH(491,'Output Utente'!$Q$2:$Q$492,0)),"")</f>
        <v/>
      </c>
      <c r="E494" s="5" t="str">
        <f>IFERROR(INDEX('Input Giocatori 2026_27'!$D$3:$D$493,MATCH($B494,'Input Giocatori 2026_27'!$A$3:$A$493,0)),"")</f>
        <v/>
      </c>
      <c r="F494" s="42" t="str">
        <f>IFERROR(INDEX('Output Utente'!$N$2:$N$492,MATCH(491,'Output Utente'!$Q$2:$Q$492,0)),"")</f>
        <v/>
      </c>
      <c r="G494" s="42" t="str">
        <f>IFERROR(INDEX('Output Utente'!$O$2:$O$492,MATCH(491,'Output Utente'!$Q$2:$Q$492,0)),"")</f>
        <v/>
      </c>
      <c r="H494" s="5" t="str">
        <f>IFERROR(INDEX('Output Utente'!$P$2:$P$492,MATCH(491,'Output Utente'!$Q$2:$Q$492,0)),"")</f>
        <v/>
      </c>
      <c r="I494" s="42" t="str">
        <f>IFERROR(INDEX('Output Utente'!$F$2:$F$492,MATCH(491,'Output Utente'!$Q$2:$Q$492,0)),"")</f>
        <v/>
      </c>
      <c r="J494" s="42" t="str">
        <f>IFERROR(INDEX('Output Utente'!$G$2:$G$492,MATCH(491,'Output Utente'!$Q$2:$Q$492,0)),"")</f>
        <v/>
      </c>
      <c r="K494" s="42" t="str">
        <f>IFERROR(INDEX('Output Utente'!$H$2:$H$492,MATCH(491,'Output Utente'!$Q$2:$Q$492,0)),"")</f>
        <v/>
      </c>
      <c r="L494" s="5" t="str">
        <f>IFERROR(INDEX('Output Utente'!$E$2:$E$492,MATCH(491,'Output Utente'!$Q$2:$Q$492,0)),"")</f>
        <v/>
      </c>
      <c r="M494" s="5" t="str">
        <f>IFERROR(INDEX('Output Utente'!$U$2:$U$492,MATCH(491,'Output Utente'!$Q$2:$Q$492,0)),"")</f>
        <v/>
      </c>
      <c r="N494" s="5" t="str">
        <f>IFERROR(INDEX('Output Utente'!$AE$2:$AE$492,MATCH(491,'Output Utente'!$Q$2:$Q$492,0)),"")</f>
        <v/>
      </c>
    </row>
  </sheetData>
  <autoFilter ref="A3:N494" xr:uid="{00000000-0009-0000-0000-00000B000000}"/>
  <mergeCells count="1">
    <mergeCell ref="A1:K1"/>
  </mergeCells>
  <conditionalFormatting sqref="M4:M494">
    <cfRule type="cellIs" dxfId="2" priority="2" operator="equal">
      <formula>"Rischio Alto"</formula>
    </cfRule>
    <cfRule type="cellIs" dxfId="1" priority="3" operator="equal">
      <formula>"Attenzione"</formula>
    </cfRule>
    <cfRule type="cellIs" dxfId="0" priority="4" operator="equal">
      <formula>"OK"</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494"/>
  <sheetViews>
    <sheetView showGridLines="0" zoomScaleNormal="100" workbookViewId="0">
      <pane ySplit="3" topLeftCell="A4" activePane="bottomLeft" state="frozen"/>
      <selection pane="bottomLeft" sqref="A1:K1"/>
    </sheetView>
  </sheetViews>
  <sheetFormatPr defaultColWidth="8.5703125" defaultRowHeight="15" x14ac:dyDescent="0.25"/>
  <cols>
    <col min="1" max="1" width="4" customWidth="1"/>
    <col min="2" max="2" width="7" customWidth="1"/>
    <col min="3" max="3" width="4" customWidth="1"/>
    <col min="4" max="4" width="20" customWidth="1"/>
    <col min="5" max="5" width="16" customWidth="1"/>
    <col min="6" max="6" width="7" customWidth="1"/>
    <col min="7" max="7" width="9" customWidth="1"/>
    <col min="8" max="8" width="16" customWidth="1"/>
    <col min="9" max="9" width="11" customWidth="1"/>
    <col min="10" max="11" width="13" customWidth="1"/>
    <col min="12" max="12" width="10" customWidth="1"/>
    <col min="14" max="14" width="24" customWidth="1"/>
    <col min="15" max="15" width="12" customWidth="1"/>
  </cols>
  <sheetData>
    <row r="1" spans="1:24" ht="21.75" customHeight="1" x14ac:dyDescent="0.25">
      <c r="A1" s="75" t="s">
        <v>839</v>
      </c>
      <c r="B1" s="76"/>
      <c r="C1" s="76"/>
      <c r="D1" s="76"/>
      <c r="E1" s="76"/>
      <c r="F1" s="76"/>
      <c r="G1" s="76"/>
      <c r="H1" s="76"/>
      <c r="I1" s="76"/>
      <c r="J1" s="76"/>
      <c r="K1" s="76"/>
      <c r="N1" s="77" t="s">
        <v>840</v>
      </c>
      <c r="O1" s="76"/>
      <c r="P1" s="76"/>
      <c r="R1" s="31" t="s">
        <v>841</v>
      </c>
    </row>
    <row r="2" spans="1:24" ht="14.25" customHeight="1" x14ac:dyDescent="0.25">
      <c r="R2" s="18" t="s">
        <v>842</v>
      </c>
      <c r="S2" s="18">
        <f>MAX(0,'Info Lega'!$B$4-SUMIFS('Output Utente'!$M$2:$M$492,'Output Utente'!$D$2:$D$492,'Info Lega'!$B$28))</f>
        <v>1000</v>
      </c>
    </row>
    <row r="3" spans="1:24" ht="15" customHeight="1" x14ac:dyDescent="0.25">
      <c r="A3" s="22" t="s">
        <v>823</v>
      </c>
      <c r="B3" s="22" t="s">
        <v>1</v>
      </c>
      <c r="C3" s="22" t="s">
        <v>2</v>
      </c>
      <c r="D3" s="22" t="s">
        <v>3</v>
      </c>
      <c r="E3" s="22" t="s">
        <v>837</v>
      </c>
      <c r="F3" s="22" t="s">
        <v>5</v>
      </c>
      <c r="G3" s="22" t="s">
        <v>7</v>
      </c>
      <c r="H3" s="22" t="s">
        <v>543</v>
      </c>
      <c r="I3" s="22" t="s">
        <v>633</v>
      </c>
      <c r="J3" s="22" t="s">
        <v>634</v>
      </c>
      <c r="K3" s="22" t="s">
        <v>635</v>
      </c>
      <c r="L3" s="22" t="s">
        <v>632</v>
      </c>
      <c r="N3" s="23" t="s">
        <v>4</v>
      </c>
      <c r="O3" s="35" t="str">
        <f>'Info Lega'!$B$28</f>
        <v>xxx1</v>
      </c>
      <c r="R3" s="18" t="s">
        <v>843</v>
      </c>
      <c r="S3" s="18">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c r="V3" s="45" t="s">
        <v>640</v>
      </c>
      <c r="W3" s="45" t="s">
        <v>844</v>
      </c>
      <c r="X3" s="45" t="s">
        <v>845</v>
      </c>
    </row>
    <row r="4" spans="1:24" ht="15" customHeight="1" x14ac:dyDescent="0.25">
      <c r="A4" s="26">
        <v>1</v>
      </c>
      <c r="B4" s="23" t="str">
        <f>IFERROR(INDEX('Output Utente'!$A$2:$A$492,MATCH(1,'Output Utente'!$R$2:$R$492,0)),"")</f>
        <v/>
      </c>
      <c r="C4" s="23" t="str">
        <f>IFERROR(INDEX('Output Utente'!$B$2:$B$492,MATCH(1,'Output Utente'!$R$2:$R$492,0)),"")</f>
        <v/>
      </c>
      <c r="D4" s="23" t="str">
        <f>IFERROR(INDEX('Output Utente'!$C$2:$C$492,MATCH(1,'Output Utente'!$R$2:$R$492,0)),"")</f>
        <v/>
      </c>
      <c r="E4" s="23" t="str">
        <f>IFERROR(INDEX('Input Giocatori 2026_27'!$D$3:$D$493,MATCH($B4,'Input Giocatori 2026_27'!$A$3:$A$493,0)),"")</f>
        <v/>
      </c>
      <c r="F4" s="24" t="str">
        <f>IFERROR(INDEX('Output Utente'!$N$2:$N$492,MATCH(1,'Output Utente'!$R$2:$R$492,0)),"")</f>
        <v/>
      </c>
      <c r="G4" s="23" t="str">
        <f>IFERROR(INDEX('Output Utente'!$O$2:$O$492,MATCH(1,'Output Utente'!$R$2:$R$492,0)),"")</f>
        <v/>
      </c>
      <c r="H4" s="23" t="str">
        <f>IFERROR(INDEX('Output Utente'!$P$2:$P$492,MATCH(1,'Output Utente'!$R$2:$R$492,0)),"")</f>
        <v/>
      </c>
      <c r="I4" s="24" t="str">
        <f>IFERROR(INDEX('Output Utente'!$F$2:$F$492,MATCH(1,'Output Utente'!$R$2:$R$492,0)),"")</f>
        <v/>
      </c>
      <c r="J4" s="24" t="str">
        <f>IFERROR(INDEX('Output Utente'!$G$2:$G$492,MATCH(1,'Output Utente'!$R$2:$R$492,0)),"")</f>
        <v/>
      </c>
      <c r="K4" s="24" t="str">
        <f>IFERROR(INDEX('Output Utente'!$H$2:$H$492,MATCH(1,'Output Utente'!$R$2:$R$492,0)),"")</f>
        <v/>
      </c>
      <c r="L4" s="23" t="str">
        <f>IFERROR(INDEX('Output Utente'!$E$2:$E$492,MATCH(1,'Output Utente'!$R$2:$R$492,0)),"")</f>
        <v/>
      </c>
      <c r="N4" s="23" t="s">
        <v>846</v>
      </c>
      <c r="O4" s="43">
        <f>'Info Lega'!$B$4</f>
        <v>1000</v>
      </c>
      <c r="V4" t="str">
        <f>IFERROR(INDEX('Output Utente'!$M$2:$M$492,MATCH(1,'Output Utente'!$R$2:$R$492,0)),"")</f>
        <v/>
      </c>
      <c r="W4" t="str">
        <f t="shared" ref="W4:W67" si="0">IF(OR($G4="",$V4=""),"",$G4-$V4)</f>
        <v/>
      </c>
      <c r="X4" t="str">
        <f>IFERROR(INDEX('Output Utente'!$AF$2:$AF$492,MATCH(1,'Output Utente'!$R$2:$R$492,0)),"")</f>
        <v/>
      </c>
    </row>
    <row r="5" spans="1:24" ht="15" customHeight="1" x14ac:dyDescent="0.25">
      <c r="A5" s="26">
        <v>2</v>
      </c>
      <c r="B5" s="23" t="str">
        <f>IFERROR(INDEX('Output Utente'!$A$2:$A$492,MATCH(2,'Output Utente'!$R$2:$R$492,0)),"")</f>
        <v/>
      </c>
      <c r="C5" s="23" t="str">
        <f>IFERROR(INDEX('Output Utente'!$B$2:$B$492,MATCH(2,'Output Utente'!$R$2:$R$492,0)),"")</f>
        <v/>
      </c>
      <c r="D5" s="23" t="str">
        <f>IFERROR(INDEX('Output Utente'!$C$2:$C$492,MATCH(2,'Output Utente'!$R$2:$R$492,0)),"")</f>
        <v/>
      </c>
      <c r="E5" s="23" t="str">
        <f>IFERROR(INDEX('Input Giocatori 2026_27'!$D$3:$D$493,MATCH($B5,'Input Giocatori 2026_27'!$A$3:$A$493,0)),"")</f>
        <v/>
      </c>
      <c r="F5" s="24" t="str">
        <f>IFERROR(INDEX('Output Utente'!$N$2:$N$492,MATCH(2,'Output Utente'!$R$2:$R$492,0)),"")</f>
        <v/>
      </c>
      <c r="G5" s="23" t="str">
        <f>IFERROR(INDEX('Output Utente'!$O$2:$O$492,MATCH(2,'Output Utente'!$R$2:$R$492,0)),"")</f>
        <v/>
      </c>
      <c r="H5" s="23" t="str">
        <f>IFERROR(INDEX('Output Utente'!$P$2:$P$492,MATCH(2,'Output Utente'!$R$2:$R$492,0)),"")</f>
        <v/>
      </c>
      <c r="I5" s="24" t="str">
        <f>IFERROR(INDEX('Output Utente'!$F$2:$F$492,MATCH(2,'Output Utente'!$R$2:$R$492,0)),"")</f>
        <v/>
      </c>
      <c r="J5" s="24" t="str">
        <f>IFERROR(INDEX('Output Utente'!$G$2:$G$492,MATCH(2,'Output Utente'!$R$2:$R$492,0)),"")</f>
        <v/>
      </c>
      <c r="K5" s="24" t="str">
        <f>IFERROR(INDEX('Output Utente'!$H$2:$H$492,MATCH(2,'Output Utente'!$R$2:$R$492,0)),"")</f>
        <v/>
      </c>
      <c r="L5" s="23" t="str">
        <f>IFERROR(INDEX('Output Utente'!$E$2:$E$492,MATCH(2,'Output Utente'!$R$2:$R$492,0)),"")</f>
        <v/>
      </c>
      <c r="N5" s="23" t="s">
        <v>847</v>
      </c>
      <c r="O5" s="43">
        <f>SUMIFS('Output Utente'!$M$2:$M$492,'Output Utente'!$D$2:$D$492,'Info Lega'!$B$28)</f>
        <v>0</v>
      </c>
      <c r="Q5" s="47" t="s">
        <v>848</v>
      </c>
      <c r="R5" s="18" t="s">
        <v>849</v>
      </c>
      <c r="V5" t="str">
        <f>IFERROR(INDEX('Output Utente'!$M$2:$M$492,MATCH(2,'Output Utente'!$R$2:$R$492,0)),"")</f>
        <v/>
      </c>
      <c r="W5" t="str">
        <f t="shared" si="0"/>
        <v/>
      </c>
      <c r="X5" t="str">
        <f>IFERROR(INDEX('Output Utente'!$AF$2:$AF$492,MATCH(2,'Output Utente'!$R$2:$R$492,0)),"")</f>
        <v/>
      </c>
    </row>
    <row r="6" spans="1:24" ht="15" customHeight="1" x14ac:dyDescent="0.25">
      <c r="A6" s="26">
        <v>3</v>
      </c>
      <c r="B6" s="23" t="str">
        <f>IFERROR(INDEX('Output Utente'!$A$2:$A$492,MATCH(3,'Output Utente'!$R$2:$R$492,0)),"")</f>
        <v/>
      </c>
      <c r="C6" s="23" t="str">
        <f>IFERROR(INDEX('Output Utente'!$B$2:$B$492,MATCH(3,'Output Utente'!$R$2:$R$492,0)),"")</f>
        <v/>
      </c>
      <c r="D6" s="23" t="str">
        <f>IFERROR(INDEX('Output Utente'!$C$2:$C$492,MATCH(3,'Output Utente'!$R$2:$R$492,0)),"")</f>
        <v/>
      </c>
      <c r="E6" s="23" t="str">
        <f>IFERROR(INDEX('Input Giocatori 2026_27'!$D$3:$D$493,MATCH($B6,'Input Giocatori 2026_27'!$A$3:$A$493,0)),"")</f>
        <v/>
      </c>
      <c r="F6" s="24" t="str">
        <f>IFERROR(INDEX('Output Utente'!$N$2:$N$492,MATCH(3,'Output Utente'!$R$2:$R$492,0)),"")</f>
        <v/>
      </c>
      <c r="G6" s="23" t="str">
        <f>IFERROR(INDEX('Output Utente'!$O$2:$O$492,MATCH(3,'Output Utente'!$R$2:$R$492,0)),"")</f>
        <v/>
      </c>
      <c r="H6" s="23" t="str">
        <f>IFERROR(INDEX('Output Utente'!$P$2:$P$492,MATCH(3,'Output Utente'!$R$2:$R$492,0)),"")</f>
        <v/>
      </c>
      <c r="I6" s="24" t="str">
        <f>IFERROR(INDEX('Output Utente'!$F$2:$F$492,MATCH(3,'Output Utente'!$R$2:$R$492,0)),"")</f>
        <v/>
      </c>
      <c r="J6" s="24" t="str">
        <f>IFERROR(INDEX('Output Utente'!$G$2:$G$492,MATCH(3,'Output Utente'!$R$2:$R$492,0)),"")</f>
        <v/>
      </c>
      <c r="K6" s="24" t="str">
        <f>IFERROR(INDEX('Output Utente'!$H$2:$H$492,MATCH(3,'Output Utente'!$R$2:$R$492,0)),"")</f>
        <v/>
      </c>
      <c r="L6" s="23" t="str">
        <f>IFERROR(INDEX('Output Utente'!$E$2:$E$492,MATCH(3,'Output Utente'!$R$2:$R$492,0)),"")</f>
        <v/>
      </c>
      <c r="N6" s="23" t="s">
        <v>850</v>
      </c>
      <c r="O6" s="43">
        <f>$O$4-$O$5</f>
        <v>1000</v>
      </c>
      <c r="Q6" t="s">
        <v>597</v>
      </c>
      <c r="R6" s="44">
        <f>SUMIFS('Output Utente'!$O$2:$O$492,'Output Utente'!$D$2:$D$492,'Info Lega'!$B$28)</f>
        <v>0</v>
      </c>
      <c r="V6" t="str">
        <f>IFERROR(INDEX('Output Utente'!$M$2:$M$492,MATCH(3,'Output Utente'!$R$2:$R$492,0)),"")</f>
        <v/>
      </c>
      <c r="W6" t="str">
        <f t="shared" si="0"/>
        <v/>
      </c>
      <c r="X6" t="str">
        <f>IFERROR(INDEX('Output Utente'!$AF$2:$AF$492,MATCH(3,'Output Utente'!$R$2:$R$492,0)),"")</f>
        <v/>
      </c>
    </row>
    <row r="7" spans="1:24" ht="15" customHeight="1" x14ac:dyDescent="0.25">
      <c r="A7" s="26">
        <v>4</v>
      </c>
      <c r="B7" s="23" t="str">
        <f>IFERROR(INDEX('Output Utente'!$A$2:$A$492,MATCH(4,'Output Utente'!$R$2:$R$492,0)),"")</f>
        <v/>
      </c>
      <c r="C7" s="23" t="str">
        <f>IFERROR(INDEX('Output Utente'!$B$2:$B$492,MATCH(4,'Output Utente'!$R$2:$R$492,0)),"")</f>
        <v/>
      </c>
      <c r="D7" s="23" t="str">
        <f>IFERROR(INDEX('Output Utente'!$C$2:$C$492,MATCH(4,'Output Utente'!$R$2:$R$492,0)),"")</f>
        <v/>
      </c>
      <c r="E7" s="23" t="str">
        <f>IFERROR(INDEX('Input Giocatori 2026_27'!$D$3:$D$493,MATCH($B7,'Input Giocatori 2026_27'!$A$3:$A$493,0)),"")</f>
        <v/>
      </c>
      <c r="F7" s="24" t="str">
        <f>IFERROR(INDEX('Output Utente'!$N$2:$N$492,MATCH(4,'Output Utente'!$R$2:$R$492,0)),"")</f>
        <v/>
      </c>
      <c r="G7" s="23" t="str">
        <f>IFERROR(INDEX('Output Utente'!$O$2:$O$492,MATCH(4,'Output Utente'!$R$2:$R$492,0)),"")</f>
        <v/>
      </c>
      <c r="H7" s="23" t="str">
        <f>IFERROR(INDEX('Output Utente'!$P$2:$P$492,MATCH(4,'Output Utente'!$R$2:$R$492,0)),"")</f>
        <v/>
      </c>
      <c r="I7" s="24" t="str">
        <f>IFERROR(INDEX('Output Utente'!$F$2:$F$492,MATCH(4,'Output Utente'!$R$2:$R$492,0)),"")</f>
        <v/>
      </c>
      <c r="J7" s="24" t="str">
        <f>IFERROR(INDEX('Output Utente'!$G$2:$G$492,MATCH(4,'Output Utente'!$R$2:$R$492,0)),"")</f>
        <v/>
      </c>
      <c r="K7" s="24" t="str">
        <f>IFERROR(INDEX('Output Utente'!$H$2:$H$492,MATCH(4,'Output Utente'!$R$2:$R$492,0)),"")</f>
        <v/>
      </c>
      <c r="L7" s="23" t="str">
        <f>IFERROR(INDEX('Output Utente'!$E$2:$E$492,MATCH(4,'Output Utente'!$R$2:$R$492,0)),"")</f>
        <v/>
      </c>
      <c r="N7" s="23" t="s">
        <v>851</v>
      </c>
      <c r="O7" s="35" t="str">
        <f>COUNTIFS('Output Utente'!$D$2:$D$492,'Info Lega'!$B$28,'Output Utente'!$B$2:$B$492,"P")&amp;" / "&amp;'Info Lega'!$B$5</f>
        <v>0 / 3</v>
      </c>
      <c r="Q7" t="s">
        <v>598</v>
      </c>
      <c r="R7">
        <f>SUMIFS('Output Utente'!$M$2:$M$492,'Output Utente'!$D$2:$D$492,'Info Lega'!$B$28)</f>
        <v>0</v>
      </c>
      <c r="V7" t="str">
        <f>IFERROR(INDEX('Output Utente'!$M$2:$M$492,MATCH(4,'Output Utente'!$R$2:$R$492,0)),"")</f>
        <v/>
      </c>
      <c r="W7" t="str">
        <f t="shared" si="0"/>
        <v/>
      </c>
      <c r="X7" t="str">
        <f>IFERROR(INDEX('Output Utente'!$AF$2:$AF$492,MATCH(4,'Output Utente'!$R$2:$R$492,0)),"")</f>
        <v/>
      </c>
    </row>
    <row r="8" spans="1:24" ht="15" customHeight="1" x14ac:dyDescent="0.25">
      <c r="A8" s="26">
        <v>5</v>
      </c>
      <c r="B8" s="23" t="str">
        <f>IFERROR(INDEX('Output Utente'!$A$2:$A$492,MATCH(5,'Output Utente'!$R$2:$R$492,0)),"")</f>
        <v/>
      </c>
      <c r="C8" s="23" t="str">
        <f>IFERROR(INDEX('Output Utente'!$B$2:$B$492,MATCH(5,'Output Utente'!$R$2:$R$492,0)),"")</f>
        <v/>
      </c>
      <c r="D8" s="23" t="str">
        <f>IFERROR(INDEX('Output Utente'!$C$2:$C$492,MATCH(5,'Output Utente'!$R$2:$R$492,0)),"")</f>
        <v/>
      </c>
      <c r="E8" s="23" t="str">
        <f>IFERROR(INDEX('Input Giocatori 2026_27'!$D$3:$D$493,MATCH($B8,'Input Giocatori 2026_27'!$A$3:$A$493,0)),"")</f>
        <v/>
      </c>
      <c r="F8" s="24" t="str">
        <f>IFERROR(INDEX('Output Utente'!$N$2:$N$492,MATCH(5,'Output Utente'!$R$2:$R$492,0)),"")</f>
        <v/>
      </c>
      <c r="G8" s="23" t="str">
        <f>IFERROR(INDEX('Output Utente'!$O$2:$O$492,MATCH(5,'Output Utente'!$R$2:$R$492,0)),"")</f>
        <v/>
      </c>
      <c r="H8" s="23" t="str">
        <f>IFERROR(INDEX('Output Utente'!$P$2:$P$492,MATCH(5,'Output Utente'!$R$2:$R$492,0)),"")</f>
        <v/>
      </c>
      <c r="I8" s="24" t="str">
        <f>IFERROR(INDEX('Output Utente'!$F$2:$F$492,MATCH(5,'Output Utente'!$R$2:$R$492,0)),"")</f>
        <v/>
      </c>
      <c r="J8" s="24" t="str">
        <f>IFERROR(INDEX('Output Utente'!$G$2:$G$492,MATCH(5,'Output Utente'!$R$2:$R$492,0)),"")</f>
        <v/>
      </c>
      <c r="K8" s="24" t="str">
        <f>IFERROR(INDEX('Output Utente'!$H$2:$H$492,MATCH(5,'Output Utente'!$R$2:$R$492,0)),"")</f>
        <v/>
      </c>
      <c r="L8" s="23" t="str">
        <f>IFERROR(INDEX('Output Utente'!$E$2:$E$492,MATCH(5,'Output Utente'!$R$2:$R$492,0)),"")</f>
        <v/>
      </c>
      <c r="N8" s="23" t="s">
        <v>852</v>
      </c>
      <c r="O8" s="35" t="str">
        <f>COUNTIFS('Output Utente'!$D$2:$D$492,'Info Lega'!$B$28,'Output Utente'!$B$2:$B$492,"D")&amp;" / "&amp;'Info Lega'!$B$6</f>
        <v>0 / 8</v>
      </c>
      <c r="Q8" t="s">
        <v>853</v>
      </c>
      <c r="R8" t="str">
        <f>IFERROR(ROUND($R$6/$R$7,2),"")</f>
        <v/>
      </c>
      <c r="V8" t="str">
        <f>IFERROR(INDEX('Output Utente'!$M$2:$M$492,MATCH(5,'Output Utente'!$R$2:$R$492,0)),"")</f>
        <v/>
      </c>
      <c r="W8" t="str">
        <f t="shared" si="0"/>
        <v/>
      </c>
      <c r="X8" t="str">
        <f>IFERROR(INDEX('Output Utente'!$AF$2:$AF$492,MATCH(5,'Output Utente'!$R$2:$R$492,0)),"")</f>
        <v/>
      </c>
    </row>
    <row r="9" spans="1:24" ht="15" customHeight="1" x14ac:dyDescent="0.25">
      <c r="A9" s="26">
        <v>6</v>
      </c>
      <c r="B9" s="23" t="str">
        <f>IFERROR(INDEX('Output Utente'!$A$2:$A$492,MATCH(6,'Output Utente'!$R$2:$R$492,0)),"")</f>
        <v/>
      </c>
      <c r="C9" s="23" t="str">
        <f>IFERROR(INDEX('Output Utente'!$B$2:$B$492,MATCH(6,'Output Utente'!$R$2:$R$492,0)),"")</f>
        <v/>
      </c>
      <c r="D9" s="23" t="str">
        <f>IFERROR(INDEX('Output Utente'!$C$2:$C$492,MATCH(6,'Output Utente'!$R$2:$R$492,0)),"")</f>
        <v/>
      </c>
      <c r="E9" s="23" t="str">
        <f>IFERROR(INDEX('Input Giocatori 2026_27'!$D$3:$D$493,MATCH($B9,'Input Giocatori 2026_27'!$A$3:$A$493,0)),"")</f>
        <v/>
      </c>
      <c r="F9" s="24" t="str">
        <f>IFERROR(INDEX('Output Utente'!$N$2:$N$492,MATCH(6,'Output Utente'!$R$2:$R$492,0)),"")</f>
        <v/>
      </c>
      <c r="G9" s="23" t="str">
        <f>IFERROR(INDEX('Output Utente'!$O$2:$O$492,MATCH(6,'Output Utente'!$R$2:$R$492,0)),"")</f>
        <v/>
      </c>
      <c r="H9" s="23" t="str">
        <f>IFERROR(INDEX('Output Utente'!$P$2:$P$492,MATCH(6,'Output Utente'!$R$2:$R$492,0)),"")</f>
        <v/>
      </c>
      <c r="I9" s="24" t="str">
        <f>IFERROR(INDEX('Output Utente'!$F$2:$F$492,MATCH(6,'Output Utente'!$R$2:$R$492,0)),"")</f>
        <v/>
      </c>
      <c r="J9" s="24" t="str">
        <f>IFERROR(INDEX('Output Utente'!$G$2:$G$492,MATCH(6,'Output Utente'!$R$2:$R$492,0)),"")</f>
        <v/>
      </c>
      <c r="K9" s="24" t="str">
        <f>IFERROR(INDEX('Output Utente'!$H$2:$H$492,MATCH(6,'Output Utente'!$R$2:$R$492,0)),"")</f>
        <v/>
      </c>
      <c r="L9" s="23" t="str">
        <f>IFERROR(INDEX('Output Utente'!$E$2:$E$492,MATCH(6,'Output Utente'!$R$2:$R$492,0)),"")</f>
        <v/>
      </c>
      <c r="N9" s="23" t="s">
        <v>854</v>
      </c>
      <c r="O9" s="35" t="str">
        <f>COUNTIFS('Output Utente'!$D$2:$D$492,'Info Lega'!$B$28,'Output Utente'!$B$2:$B$492,"C")&amp;" / "&amp;'Info Lega'!$B$7</f>
        <v>0 / 8</v>
      </c>
      <c r="Q9" t="s">
        <v>849</v>
      </c>
      <c r="R9" s="70" t="s">
        <v>855</v>
      </c>
      <c r="S9" s="66"/>
      <c r="T9" s="66"/>
      <c r="U9" s="66"/>
      <c r="V9" t="str">
        <f>IFERROR(INDEX('Output Utente'!$M$2:$M$492,MATCH(6,'Output Utente'!$R$2:$R$492,0)),"")</f>
        <v/>
      </c>
      <c r="W9" t="str">
        <f t="shared" si="0"/>
        <v/>
      </c>
      <c r="X9" t="str">
        <f>IFERROR(INDEX('Output Utente'!$AF$2:$AF$492,MATCH(6,'Output Utente'!$R$2:$R$492,0)),"")</f>
        <v/>
      </c>
    </row>
    <row r="10" spans="1:24" ht="15" customHeight="1" x14ac:dyDescent="0.25">
      <c r="A10" s="26">
        <v>7</v>
      </c>
      <c r="B10" s="23" t="str">
        <f>IFERROR(INDEX('Output Utente'!$A$2:$A$492,MATCH(7,'Output Utente'!$R$2:$R$492,0)),"")</f>
        <v/>
      </c>
      <c r="C10" s="23" t="str">
        <f>IFERROR(INDEX('Output Utente'!$B$2:$B$492,MATCH(7,'Output Utente'!$R$2:$R$492,0)),"")</f>
        <v/>
      </c>
      <c r="D10" s="23" t="str">
        <f>IFERROR(INDEX('Output Utente'!$C$2:$C$492,MATCH(7,'Output Utente'!$R$2:$R$492,0)),"")</f>
        <v/>
      </c>
      <c r="E10" s="23" t="str">
        <f>IFERROR(INDEX('Input Giocatori 2026_27'!$D$3:$D$493,MATCH($B10,'Input Giocatori 2026_27'!$A$3:$A$493,0)),"")</f>
        <v/>
      </c>
      <c r="F10" s="24" t="str">
        <f>IFERROR(INDEX('Output Utente'!$N$2:$N$492,MATCH(7,'Output Utente'!$R$2:$R$492,0)),"")</f>
        <v/>
      </c>
      <c r="G10" s="23" t="str">
        <f>IFERROR(INDEX('Output Utente'!$O$2:$O$492,MATCH(7,'Output Utente'!$R$2:$R$492,0)),"")</f>
        <v/>
      </c>
      <c r="H10" s="23" t="str">
        <f>IFERROR(INDEX('Output Utente'!$P$2:$P$492,MATCH(7,'Output Utente'!$R$2:$R$492,0)),"")</f>
        <v/>
      </c>
      <c r="I10" s="24" t="str">
        <f>IFERROR(INDEX('Output Utente'!$F$2:$F$492,MATCH(7,'Output Utente'!$R$2:$R$492,0)),"")</f>
        <v/>
      </c>
      <c r="J10" s="24" t="str">
        <f>IFERROR(INDEX('Output Utente'!$G$2:$G$492,MATCH(7,'Output Utente'!$R$2:$R$492,0)),"")</f>
        <v/>
      </c>
      <c r="K10" s="24" t="str">
        <f>IFERROR(INDEX('Output Utente'!$H$2:$H$492,MATCH(7,'Output Utente'!$R$2:$R$492,0)),"")</f>
        <v/>
      </c>
      <c r="L10" s="23" t="str">
        <f>IFERROR(INDEX('Output Utente'!$E$2:$E$492,MATCH(7,'Output Utente'!$R$2:$R$492,0)),"")</f>
        <v/>
      </c>
      <c r="N10" s="23" t="s">
        <v>856</v>
      </c>
      <c r="O10" s="35" t="str">
        <f>COUNTIFS('Output Utente'!$D$2:$D$492,'Info Lega'!$B$28,'Output Utente'!$B$2:$B$492,"A")&amp;" / "&amp;'Info Lega'!$B$8</f>
        <v>0 / 6</v>
      </c>
      <c r="V10" t="str">
        <f>IFERROR(INDEX('Output Utente'!$M$2:$M$492,MATCH(7,'Output Utente'!$R$2:$R$492,0)),"")</f>
        <v/>
      </c>
      <c r="W10" t="str">
        <f t="shared" si="0"/>
        <v/>
      </c>
      <c r="X10" t="str">
        <f>IFERROR(INDEX('Output Utente'!$AF$2:$AF$492,MATCH(7,'Output Utente'!$R$2:$R$492,0)),"")</f>
        <v/>
      </c>
    </row>
    <row r="11" spans="1:24" ht="15" customHeight="1" x14ac:dyDescent="0.25">
      <c r="A11" s="26">
        <v>8</v>
      </c>
      <c r="B11" s="23" t="str">
        <f>IFERROR(INDEX('Output Utente'!$A$2:$A$492,MATCH(8,'Output Utente'!$R$2:$R$492,0)),"")</f>
        <v/>
      </c>
      <c r="C11" s="23" t="str">
        <f>IFERROR(INDEX('Output Utente'!$B$2:$B$492,MATCH(8,'Output Utente'!$R$2:$R$492,0)),"")</f>
        <v/>
      </c>
      <c r="D11" s="23" t="str">
        <f>IFERROR(INDEX('Output Utente'!$C$2:$C$492,MATCH(8,'Output Utente'!$R$2:$R$492,0)),"")</f>
        <v/>
      </c>
      <c r="E11" s="23" t="str">
        <f>IFERROR(INDEX('Input Giocatori 2026_27'!$D$3:$D$493,MATCH($B11,'Input Giocatori 2026_27'!$A$3:$A$493,0)),"")</f>
        <v/>
      </c>
      <c r="F11" s="24" t="str">
        <f>IFERROR(INDEX('Output Utente'!$N$2:$N$492,MATCH(8,'Output Utente'!$R$2:$R$492,0)),"")</f>
        <v/>
      </c>
      <c r="G11" s="23" t="str">
        <f>IFERROR(INDEX('Output Utente'!$O$2:$O$492,MATCH(8,'Output Utente'!$R$2:$R$492,0)),"")</f>
        <v/>
      </c>
      <c r="H11" s="23" t="str">
        <f>IFERROR(INDEX('Output Utente'!$P$2:$P$492,MATCH(8,'Output Utente'!$R$2:$R$492,0)),"")</f>
        <v/>
      </c>
      <c r="I11" s="24" t="str">
        <f>IFERROR(INDEX('Output Utente'!$F$2:$F$492,MATCH(8,'Output Utente'!$R$2:$R$492,0)),"")</f>
        <v/>
      </c>
      <c r="J11" s="24" t="str">
        <f>IFERROR(INDEX('Output Utente'!$G$2:$G$492,MATCH(8,'Output Utente'!$R$2:$R$492,0)),"")</f>
        <v/>
      </c>
      <c r="K11" s="24" t="str">
        <f>IFERROR(INDEX('Output Utente'!$H$2:$H$492,MATCH(8,'Output Utente'!$R$2:$R$492,0)),"")</f>
        <v/>
      </c>
      <c r="L11" s="23" t="str">
        <f>IFERROR(INDEX('Output Utente'!$E$2:$E$492,MATCH(8,'Output Utente'!$R$2:$R$492,0)),"")</f>
        <v/>
      </c>
      <c r="N11" s="23" t="s">
        <v>857</v>
      </c>
      <c r="O11" s="35">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c r="Q11" s="78" t="s">
        <v>858</v>
      </c>
      <c r="R11" s="66"/>
      <c r="S11" s="66"/>
      <c r="T11" s="66"/>
      <c r="U11" s="66"/>
      <c r="V11" t="str">
        <f>IFERROR(INDEX('Output Utente'!$M$2:$M$492,MATCH(8,'Output Utente'!$R$2:$R$492,0)),"")</f>
        <v/>
      </c>
      <c r="W11" t="str">
        <f t="shared" si="0"/>
        <v/>
      </c>
      <c r="X11" t="str">
        <f>IFERROR(INDEX('Output Utente'!$AF$2:$AF$492,MATCH(8,'Output Utente'!$R$2:$R$492,0)),"")</f>
        <v/>
      </c>
    </row>
    <row r="12" spans="1:24" ht="15" customHeight="1" x14ac:dyDescent="0.25">
      <c r="A12" s="26">
        <v>9</v>
      </c>
      <c r="B12" s="23" t="str">
        <f>IFERROR(INDEX('Output Utente'!$A$2:$A$492,MATCH(9,'Output Utente'!$R$2:$R$492,0)),"")</f>
        <v/>
      </c>
      <c r="C12" s="23" t="str">
        <f>IFERROR(INDEX('Output Utente'!$B$2:$B$492,MATCH(9,'Output Utente'!$R$2:$R$492,0)),"")</f>
        <v/>
      </c>
      <c r="D12" s="23" t="str">
        <f>IFERROR(INDEX('Output Utente'!$C$2:$C$492,MATCH(9,'Output Utente'!$R$2:$R$492,0)),"")</f>
        <v/>
      </c>
      <c r="E12" s="23" t="str">
        <f>IFERROR(INDEX('Input Giocatori 2026_27'!$D$3:$D$493,MATCH($B12,'Input Giocatori 2026_27'!$A$3:$A$493,0)),"")</f>
        <v/>
      </c>
      <c r="F12" s="24" t="str">
        <f>IFERROR(INDEX('Output Utente'!$N$2:$N$492,MATCH(9,'Output Utente'!$R$2:$R$492,0)),"")</f>
        <v/>
      </c>
      <c r="G12" s="23" t="str">
        <f>IFERROR(INDEX('Output Utente'!$O$2:$O$492,MATCH(9,'Output Utente'!$R$2:$R$492,0)),"")</f>
        <v/>
      </c>
      <c r="H12" s="23" t="str">
        <f>IFERROR(INDEX('Output Utente'!$P$2:$P$492,MATCH(9,'Output Utente'!$R$2:$R$492,0)),"")</f>
        <v/>
      </c>
      <c r="I12" s="24" t="str">
        <f>IFERROR(INDEX('Output Utente'!$F$2:$F$492,MATCH(9,'Output Utente'!$R$2:$R$492,0)),"")</f>
        <v/>
      </c>
      <c r="J12" s="24" t="str">
        <f>IFERROR(INDEX('Output Utente'!$G$2:$G$492,MATCH(9,'Output Utente'!$R$2:$R$492,0)),"")</f>
        <v/>
      </c>
      <c r="K12" s="24" t="str">
        <f>IFERROR(INDEX('Output Utente'!$H$2:$H$492,MATCH(9,'Output Utente'!$R$2:$R$492,0)),"")</f>
        <v/>
      </c>
      <c r="L12" s="23" t="str">
        <f>IFERROR(INDEX('Output Utente'!$E$2:$E$492,MATCH(9,'Output Utente'!$R$2:$R$492,0)),"")</f>
        <v/>
      </c>
      <c r="N12" s="23" t="s">
        <v>859</v>
      </c>
      <c r="O12" s="43">
        <f>IFERROR(IF($O$11&gt;0,$O$6/$O$11,""),"")</f>
        <v>40</v>
      </c>
      <c r="Q12" s="45" t="s">
        <v>581</v>
      </c>
      <c r="R12" s="45" t="s">
        <v>601</v>
      </c>
      <c r="S12" s="45" t="s">
        <v>602</v>
      </c>
      <c r="T12" s="45" t="s">
        <v>603</v>
      </c>
      <c r="U12" s="45" t="s">
        <v>604</v>
      </c>
      <c r="V12" t="str">
        <f>IFERROR(INDEX('Output Utente'!$M$2:$M$492,MATCH(9,'Output Utente'!$R$2:$R$492,0)),"")</f>
        <v/>
      </c>
      <c r="W12" t="str">
        <f t="shared" si="0"/>
        <v/>
      </c>
      <c r="X12" t="str">
        <f>IFERROR(INDEX('Output Utente'!$AF$2:$AF$492,MATCH(9,'Output Utente'!$R$2:$R$492,0)),"")</f>
        <v/>
      </c>
    </row>
    <row r="13" spans="1:24" ht="15" customHeight="1" x14ac:dyDescent="0.25">
      <c r="A13" s="26">
        <v>10</v>
      </c>
      <c r="B13" s="23" t="str">
        <f>IFERROR(INDEX('Output Utente'!$A$2:$A$492,MATCH(10,'Output Utente'!$R$2:$R$492,0)),"")</f>
        <v/>
      </c>
      <c r="C13" s="23" t="str">
        <f>IFERROR(INDEX('Output Utente'!$B$2:$B$492,MATCH(10,'Output Utente'!$R$2:$R$492,0)),"")</f>
        <v/>
      </c>
      <c r="D13" s="23" t="str">
        <f>IFERROR(INDEX('Output Utente'!$C$2:$C$492,MATCH(10,'Output Utente'!$R$2:$R$492,0)),"")</f>
        <v/>
      </c>
      <c r="E13" s="23" t="str">
        <f>IFERROR(INDEX('Input Giocatori 2026_27'!$D$3:$D$493,MATCH($B13,'Input Giocatori 2026_27'!$A$3:$A$493,0)),"")</f>
        <v/>
      </c>
      <c r="F13" s="24" t="str">
        <f>IFERROR(INDEX('Output Utente'!$N$2:$N$492,MATCH(10,'Output Utente'!$R$2:$R$492,0)),"")</f>
        <v/>
      </c>
      <c r="G13" s="23" t="str">
        <f>IFERROR(INDEX('Output Utente'!$O$2:$O$492,MATCH(10,'Output Utente'!$R$2:$R$492,0)),"")</f>
        <v/>
      </c>
      <c r="H13" s="23" t="str">
        <f>IFERROR(INDEX('Output Utente'!$P$2:$P$492,MATCH(10,'Output Utente'!$R$2:$R$492,0)),"")</f>
        <v/>
      </c>
      <c r="I13" s="24" t="str">
        <f>IFERROR(INDEX('Output Utente'!$F$2:$F$492,MATCH(10,'Output Utente'!$R$2:$R$492,0)),"")</f>
        <v/>
      </c>
      <c r="J13" s="24" t="str">
        <f>IFERROR(INDEX('Output Utente'!$G$2:$G$492,MATCH(10,'Output Utente'!$R$2:$R$492,0)),"")</f>
        <v/>
      </c>
      <c r="K13" s="24" t="str">
        <f>IFERROR(INDEX('Output Utente'!$H$2:$H$492,MATCH(10,'Output Utente'!$R$2:$R$492,0)),"")</f>
        <v/>
      </c>
      <c r="L13" s="23" t="str">
        <f>IFERROR(INDEX('Output Utente'!$E$2:$E$492,MATCH(10,'Output Utente'!$R$2:$R$492,0)),"")</f>
        <v/>
      </c>
      <c r="Q13" t="s">
        <v>8</v>
      </c>
      <c r="R13">
        <f>COUNTIFS('Output Utente'!$D$2:$D$492,'Info Lega'!$B$28,'Output Utente'!$B$2:$B$492,"P",'Output Utente'!$AF$2:$AF$492,"Titolare")</f>
        <v>0</v>
      </c>
      <c r="S13">
        <f>'Parametri Modello'!$B$57*1</f>
        <v>1</v>
      </c>
      <c r="T13">
        <f>COUNTIFS('Output Utente'!$D$2:$D$492,'Info Lega'!$B$28,'Output Utente'!$B$2:$B$492,"P",'Output Utente'!$AF$2:$AF$492,"Riserva")</f>
        <v>0</v>
      </c>
      <c r="U13" t="str">
        <f>IF($R13&lt;$S13,"Titolare","Riserva")</f>
        <v>Titolare</v>
      </c>
      <c r="V13" t="str">
        <f>IFERROR(INDEX('Output Utente'!$M$2:$M$492,MATCH(10,'Output Utente'!$R$2:$R$492,0)),"")</f>
        <v/>
      </c>
      <c r="W13" t="str">
        <f t="shared" si="0"/>
        <v/>
      </c>
      <c r="X13" t="str">
        <f>IFERROR(INDEX('Output Utente'!$AF$2:$AF$492,MATCH(10,'Output Utente'!$R$2:$R$492,0)),"")</f>
        <v/>
      </c>
    </row>
    <row r="14" spans="1:24" ht="15" customHeight="1" x14ac:dyDescent="0.25">
      <c r="A14" s="26">
        <v>11</v>
      </c>
      <c r="B14" s="23" t="str">
        <f>IFERROR(INDEX('Output Utente'!$A$2:$A$492,MATCH(11,'Output Utente'!$R$2:$R$492,0)),"")</f>
        <v/>
      </c>
      <c r="C14" s="23" t="str">
        <f>IFERROR(INDEX('Output Utente'!$B$2:$B$492,MATCH(11,'Output Utente'!$R$2:$R$492,0)),"")</f>
        <v/>
      </c>
      <c r="D14" s="23" t="str">
        <f>IFERROR(INDEX('Output Utente'!$C$2:$C$492,MATCH(11,'Output Utente'!$R$2:$R$492,0)),"")</f>
        <v/>
      </c>
      <c r="E14" s="23" t="str">
        <f>IFERROR(INDEX('Input Giocatori 2026_27'!$D$3:$D$493,MATCH($B14,'Input Giocatori 2026_27'!$A$3:$A$493,0)),"")</f>
        <v/>
      </c>
      <c r="F14" s="24" t="str">
        <f>IFERROR(INDEX('Output Utente'!$N$2:$N$492,MATCH(11,'Output Utente'!$R$2:$R$492,0)),"")</f>
        <v/>
      </c>
      <c r="G14" s="23" t="str">
        <f>IFERROR(INDEX('Output Utente'!$O$2:$O$492,MATCH(11,'Output Utente'!$R$2:$R$492,0)),"")</f>
        <v/>
      </c>
      <c r="H14" s="23" t="str">
        <f>IFERROR(INDEX('Output Utente'!$P$2:$P$492,MATCH(11,'Output Utente'!$R$2:$R$492,0)),"")</f>
        <v/>
      </c>
      <c r="I14" s="24" t="str">
        <f>IFERROR(INDEX('Output Utente'!$F$2:$F$492,MATCH(11,'Output Utente'!$R$2:$R$492,0)),"")</f>
        <v/>
      </c>
      <c r="J14" s="24" t="str">
        <f>IFERROR(INDEX('Output Utente'!$G$2:$G$492,MATCH(11,'Output Utente'!$R$2:$R$492,0)),"")</f>
        <v/>
      </c>
      <c r="K14" s="24" t="str">
        <f>IFERROR(INDEX('Output Utente'!$H$2:$H$492,MATCH(11,'Output Utente'!$R$2:$R$492,0)),"")</f>
        <v/>
      </c>
      <c r="L14" s="23" t="str">
        <f>IFERROR(INDEX('Output Utente'!$E$2:$E$492,MATCH(11,'Output Utente'!$R$2:$R$492,0)),"")</f>
        <v/>
      </c>
      <c r="Q14" t="s">
        <v>88</v>
      </c>
      <c r="R14">
        <f>COUNTIFS('Output Utente'!$D$2:$D$492,'Info Lega'!$B$28,'Output Utente'!$B$2:$B$492,"D",'Output Utente'!$AF$2:$AF$492,"Titolare")</f>
        <v>0</v>
      </c>
      <c r="S14">
        <f>'Parametri Modello'!$B$58*1</f>
        <v>3</v>
      </c>
      <c r="T14">
        <f>COUNTIFS('Output Utente'!$D$2:$D$492,'Info Lega'!$B$28,'Output Utente'!$B$2:$B$492,"D",'Output Utente'!$AF$2:$AF$492,"Riserva")</f>
        <v>0</v>
      </c>
      <c r="U14" t="str">
        <f>IF($R14&lt;$S14,"Titolare","Riserva")</f>
        <v>Titolare</v>
      </c>
      <c r="V14" t="str">
        <f>IFERROR(INDEX('Output Utente'!$M$2:$M$492,MATCH(11,'Output Utente'!$R$2:$R$492,0)),"")</f>
        <v/>
      </c>
      <c r="W14" t="str">
        <f t="shared" si="0"/>
        <v/>
      </c>
      <c r="X14" t="str">
        <f>IFERROR(INDEX('Output Utente'!$AF$2:$AF$492,MATCH(11,'Output Utente'!$R$2:$R$492,0)),"")</f>
        <v/>
      </c>
    </row>
    <row r="15" spans="1:24" ht="15" customHeight="1" x14ac:dyDescent="0.25">
      <c r="A15" s="26">
        <v>12</v>
      </c>
      <c r="B15" s="23" t="str">
        <f>IFERROR(INDEX('Output Utente'!$A$2:$A$492,MATCH(12,'Output Utente'!$R$2:$R$492,0)),"")</f>
        <v/>
      </c>
      <c r="C15" s="23" t="str">
        <f>IFERROR(INDEX('Output Utente'!$B$2:$B$492,MATCH(12,'Output Utente'!$R$2:$R$492,0)),"")</f>
        <v/>
      </c>
      <c r="D15" s="23" t="str">
        <f>IFERROR(INDEX('Output Utente'!$C$2:$C$492,MATCH(12,'Output Utente'!$R$2:$R$492,0)),"")</f>
        <v/>
      </c>
      <c r="E15" s="23" t="str">
        <f>IFERROR(INDEX('Input Giocatori 2026_27'!$D$3:$D$493,MATCH($B15,'Input Giocatori 2026_27'!$A$3:$A$493,0)),"")</f>
        <v/>
      </c>
      <c r="F15" s="24" t="str">
        <f>IFERROR(INDEX('Output Utente'!$N$2:$N$492,MATCH(12,'Output Utente'!$R$2:$R$492,0)),"")</f>
        <v/>
      </c>
      <c r="G15" s="23" t="str">
        <f>IFERROR(INDEX('Output Utente'!$O$2:$O$492,MATCH(12,'Output Utente'!$R$2:$R$492,0)),"")</f>
        <v/>
      </c>
      <c r="H15" s="23" t="str">
        <f>IFERROR(INDEX('Output Utente'!$P$2:$P$492,MATCH(12,'Output Utente'!$R$2:$R$492,0)),"")</f>
        <v/>
      </c>
      <c r="I15" s="24" t="str">
        <f>IFERROR(INDEX('Output Utente'!$F$2:$F$492,MATCH(12,'Output Utente'!$R$2:$R$492,0)),"")</f>
        <v/>
      </c>
      <c r="J15" s="24" t="str">
        <f>IFERROR(INDEX('Output Utente'!$G$2:$G$492,MATCH(12,'Output Utente'!$R$2:$R$492,0)),"")</f>
        <v/>
      </c>
      <c r="K15" s="24" t="str">
        <f>IFERROR(INDEX('Output Utente'!$H$2:$H$492,MATCH(12,'Output Utente'!$R$2:$R$492,0)),"")</f>
        <v/>
      </c>
      <c r="L15" s="23" t="str">
        <f>IFERROR(INDEX('Output Utente'!$E$2:$E$492,MATCH(12,'Output Utente'!$R$2:$R$492,0)),"")</f>
        <v/>
      </c>
      <c r="Q15" t="s">
        <v>264</v>
      </c>
      <c r="R15">
        <f>COUNTIFS('Output Utente'!$D$2:$D$492,'Info Lega'!$B$28,'Output Utente'!$B$2:$B$492,"C",'Output Utente'!$AF$2:$AF$492,"Titolare")</f>
        <v>0</v>
      </c>
      <c r="S15">
        <f>'Parametri Modello'!$B$59*1</f>
        <v>4</v>
      </c>
      <c r="T15">
        <f>COUNTIFS('Output Utente'!$D$2:$D$492,'Info Lega'!$B$28,'Output Utente'!$B$2:$B$492,"C",'Output Utente'!$AF$2:$AF$492,"Riserva")</f>
        <v>0</v>
      </c>
      <c r="U15" t="str">
        <f>IF($R15&lt;$S15,"Titolare","Riserva")</f>
        <v>Titolare</v>
      </c>
      <c r="V15" t="str">
        <f>IFERROR(INDEX('Output Utente'!$M$2:$M$492,MATCH(12,'Output Utente'!$R$2:$R$492,0)),"")</f>
        <v/>
      </c>
      <c r="W15" t="str">
        <f t="shared" si="0"/>
        <v/>
      </c>
      <c r="X15" t="str">
        <f>IFERROR(INDEX('Output Utente'!$AF$2:$AF$492,MATCH(12,'Output Utente'!$R$2:$R$492,0)),"")</f>
        <v/>
      </c>
    </row>
    <row r="16" spans="1:24" ht="15" customHeight="1" x14ac:dyDescent="0.25">
      <c r="A16" s="26">
        <v>13</v>
      </c>
      <c r="B16" s="23" t="str">
        <f>IFERROR(INDEX('Output Utente'!$A$2:$A$492,MATCH(13,'Output Utente'!$R$2:$R$492,0)),"")</f>
        <v/>
      </c>
      <c r="C16" s="23" t="str">
        <f>IFERROR(INDEX('Output Utente'!$B$2:$B$492,MATCH(13,'Output Utente'!$R$2:$R$492,0)),"")</f>
        <v/>
      </c>
      <c r="D16" s="23" t="str">
        <f>IFERROR(INDEX('Output Utente'!$C$2:$C$492,MATCH(13,'Output Utente'!$R$2:$R$492,0)),"")</f>
        <v/>
      </c>
      <c r="E16" s="23" t="str">
        <f>IFERROR(INDEX('Input Giocatori 2026_27'!$D$3:$D$493,MATCH($B16,'Input Giocatori 2026_27'!$A$3:$A$493,0)),"")</f>
        <v/>
      </c>
      <c r="F16" s="24" t="str">
        <f>IFERROR(INDEX('Output Utente'!$N$2:$N$492,MATCH(13,'Output Utente'!$R$2:$R$492,0)),"")</f>
        <v/>
      </c>
      <c r="G16" s="23" t="str">
        <f>IFERROR(INDEX('Output Utente'!$O$2:$O$492,MATCH(13,'Output Utente'!$R$2:$R$492,0)),"")</f>
        <v/>
      </c>
      <c r="H16" s="23" t="str">
        <f>IFERROR(INDEX('Output Utente'!$P$2:$P$492,MATCH(13,'Output Utente'!$R$2:$R$492,0)),"")</f>
        <v/>
      </c>
      <c r="I16" s="24" t="str">
        <f>IFERROR(INDEX('Output Utente'!$F$2:$F$492,MATCH(13,'Output Utente'!$R$2:$R$492,0)),"")</f>
        <v/>
      </c>
      <c r="J16" s="24" t="str">
        <f>IFERROR(INDEX('Output Utente'!$G$2:$G$492,MATCH(13,'Output Utente'!$R$2:$R$492,0)),"")</f>
        <v/>
      </c>
      <c r="K16" s="24" t="str">
        <f>IFERROR(INDEX('Output Utente'!$H$2:$H$492,MATCH(13,'Output Utente'!$R$2:$R$492,0)),"")</f>
        <v/>
      </c>
      <c r="L16" s="23" t="str">
        <f>IFERROR(INDEX('Output Utente'!$E$2:$E$492,MATCH(13,'Output Utente'!$R$2:$R$492,0)),"")</f>
        <v/>
      </c>
      <c r="Q16" t="s">
        <v>437</v>
      </c>
      <c r="R16">
        <f>COUNTIFS('Output Utente'!$D$2:$D$492,'Info Lega'!$B$28,'Output Utente'!$B$2:$B$492,"A",'Output Utente'!$AF$2:$AF$492,"Titolare")</f>
        <v>0</v>
      </c>
      <c r="S16">
        <f>'Parametri Modello'!$B$60*1</f>
        <v>3</v>
      </c>
      <c r="T16">
        <f>COUNTIFS('Output Utente'!$D$2:$D$492,'Info Lega'!$B$28,'Output Utente'!$B$2:$B$492,"A",'Output Utente'!$AF$2:$AF$492,"Riserva")</f>
        <v>0</v>
      </c>
      <c r="U16" t="str">
        <f>IF($R16&lt;$S16,"Titolare","Riserva")</f>
        <v>Titolare</v>
      </c>
      <c r="V16" t="str">
        <f>IFERROR(INDEX('Output Utente'!$M$2:$M$492,MATCH(13,'Output Utente'!$R$2:$R$492,0)),"")</f>
        <v/>
      </c>
      <c r="W16" t="str">
        <f t="shared" si="0"/>
        <v/>
      </c>
      <c r="X16" t="str">
        <f>IFERROR(INDEX('Output Utente'!$AF$2:$AF$492,MATCH(13,'Output Utente'!$R$2:$R$492,0)),"")</f>
        <v/>
      </c>
    </row>
    <row r="17" spans="1:24" ht="15" customHeight="1" x14ac:dyDescent="0.25">
      <c r="A17" s="26">
        <v>14</v>
      </c>
      <c r="B17" s="23" t="str">
        <f>IFERROR(INDEX('Output Utente'!$A$2:$A$492,MATCH(14,'Output Utente'!$R$2:$R$492,0)),"")</f>
        <v/>
      </c>
      <c r="C17" s="23" t="str">
        <f>IFERROR(INDEX('Output Utente'!$B$2:$B$492,MATCH(14,'Output Utente'!$R$2:$R$492,0)),"")</f>
        <v/>
      </c>
      <c r="D17" s="23" t="str">
        <f>IFERROR(INDEX('Output Utente'!$C$2:$C$492,MATCH(14,'Output Utente'!$R$2:$R$492,0)),"")</f>
        <v/>
      </c>
      <c r="E17" s="23" t="str">
        <f>IFERROR(INDEX('Input Giocatori 2026_27'!$D$3:$D$493,MATCH($B17,'Input Giocatori 2026_27'!$A$3:$A$493,0)),"")</f>
        <v/>
      </c>
      <c r="F17" s="24" t="str">
        <f>IFERROR(INDEX('Output Utente'!$N$2:$N$492,MATCH(14,'Output Utente'!$R$2:$R$492,0)),"")</f>
        <v/>
      </c>
      <c r="G17" s="23" t="str">
        <f>IFERROR(INDEX('Output Utente'!$O$2:$O$492,MATCH(14,'Output Utente'!$R$2:$R$492,0)),"")</f>
        <v/>
      </c>
      <c r="H17" s="23" t="str">
        <f>IFERROR(INDEX('Output Utente'!$P$2:$P$492,MATCH(14,'Output Utente'!$R$2:$R$492,0)),"")</f>
        <v/>
      </c>
      <c r="I17" s="24" t="str">
        <f>IFERROR(INDEX('Output Utente'!$F$2:$F$492,MATCH(14,'Output Utente'!$R$2:$R$492,0)),"")</f>
        <v/>
      </c>
      <c r="J17" s="24" t="str">
        <f>IFERROR(INDEX('Output Utente'!$G$2:$G$492,MATCH(14,'Output Utente'!$R$2:$R$492,0)),"")</f>
        <v/>
      </c>
      <c r="K17" s="24" t="str">
        <f>IFERROR(INDEX('Output Utente'!$H$2:$H$492,MATCH(14,'Output Utente'!$R$2:$R$492,0)),"")</f>
        <v/>
      </c>
      <c r="L17" s="23" t="str">
        <f>IFERROR(INDEX('Output Utente'!$E$2:$E$492,MATCH(14,'Output Utente'!$R$2:$R$492,0)),"")</f>
        <v/>
      </c>
      <c r="V17" t="str">
        <f>IFERROR(INDEX('Output Utente'!$M$2:$M$492,MATCH(14,'Output Utente'!$R$2:$R$492,0)),"")</f>
        <v/>
      </c>
      <c r="W17" t="str">
        <f t="shared" si="0"/>
        <v/>
      </c>
      <c r="X17" t="str">
        <f>IFERROR(INDEX('Output Utente'!$AF$2:$AF$492,MATCH(14,'Output Utente'!$R$2:$R$492,0)),"")</f>
        <v/>
      </c>
    </row>
    <row r="18" spans="1:24" ht="15" customHeight="1" x14ac:dyDescent="0.25">
      <c r="A18" s="26">
        <v>15</v>
      </c>
      <c r="B18" s="23" t="str">
        <f>IFERROR(INDEX('Output Utente'!$A$2:$A$492,MATCH(15,'Output Utente'!$R$2:$R$492,0)),"")</f>
        <v/>
      </c>
      <c r="C18" s="23" t="str">
        <f>IFERROR(INDEX('Output Utente'!$B$2:$B$492,MATCH(15,'Output Utente'!$R$2:$R$492,0)),"")</f>
        <v/>
      </c>
      <c r="D18" s="23" t="str">
        <f>IFERROR(INDEX('Output Utente'!$C$2:$C$492,MATCH(15,'Output Utente'!$R$2:$R$492,0)),"")</f>
        <v/>
      </c>
      <c r="E18" s="23" t="str">
        <f>IFERROR(INDEX('Input Giocatori 2026_27'!$D$3:$D$493,MATCH($B18,'Input Giocatori 2026_27'!$A$3:$A$493,0)),"")</f>
        <v/>
      </c>
      <c r="F18" s="24" t="str">
        <f>IFERROR(INDEX('Output Utente'!$N$2:$N$492,MATCH(15,'Output Utente'!$R$2:$R$492,0)),"")</f>
        <v/>
      </c>
      <c r="G18" s="23" t="str">
        <f>IFERROR(INDEX('Output Utente'!$O$2:$O$492,MATCH(15,'Output Utente'!$R$2:$R$492,0)),"")</f>
        <v/>
      </c>
      <c r="H18" s="23" t="str">
        <f>IFERROR(INDEX('Output Utente'!$P$2:$P$492,MATCH(15,'Output Utente'!$R$2:$R$492,0)),"")</f>
        <v/>
      </c>
      <c r="I18" s="24" t="str">
        <f>IFERROR(INDEX('Output Utente'!$F$2:$F$492,MATCH(15,'Output Utente'!$R$2:$R$492,0)),"")</f>
        <v/>
      </c>
      <c r="J18" s="24" t="str">
        <f>IFERROR(INDEX('Output Utente'!$G$2:$G$492,MATCH(15,'Output Utente'!$R$2:$R$492,0)),"")</f>
        <v/>
      </c>
      <c r="K18" s="24" t="str">
        <f>IFERROR(INDEX('Output Utente'!$H$2:$H$492,MATCH(15,'Output Utente'!$R$2:$R$492,0)),"")</f>
        <v/>
      </c>
      <c r="L18" s="23" t="str">
        <f>IFERROR(INDEX('Output Utente'!$E$2:$E$492,MATCH(15,'Output Utente'!$R$2:$R$492,0)),"")</f>
        <v/>
      </c>
      <c r="V18" t="str">
        <f>IFERROR(INDEX('Output Utente'!$M$2:$M$492,MATCH(15,'Output Utente'!$R$2:$R$492,0)),"")</f>
        <v/>
      </c>
      <c r="W18" t="str">
        <f t="shared" si="0"/>
        <v/>
      </c>
      <c r="X18" t="str">
        <f>IFERROR(INDEX('Output Utente'!$AF$2:$AF$492,MATCH(15,'Output Utente'!$R$2:$R$492,0)),"")</f>
        <v/>
      </c>
    </row>
    <row r="19" spans="1:24" ht="15" customHeight="1" x14ac:dyDescent="0.25">
      <c r="A19" s="26">
        <v>16</v>
      </c>
      <c r="B19" s="23" t="str">
        <f>IFERROR(INDEX('Output Utente'!$A$2:$A$492,MATCH(16,'Output Utente'!$R$2:$R$492,0)),"")</f>
        <v/>
      </c>
      <c r="C19" s="23" t="str">
        <f>IFERROR(INDEX('Output Utente'!$B$2:$B$492,MATCH(16,'Output Utente'!$R$2:$R$492,0)),"")</f>
        <v/>
      </c>
      <c r="D19" s="23" t="str">
        <f>IFERROR(INDEX('Output Utente'!$C$2:$C$492,MATCH(16,'Output Utente'!$R$2:$R$492,0)),"")</f>
        <v/>
      </c>
      <c r="E19" s="23" t="str">
        <f>IFERROR(INDEX('Input Giocatori 2026_27'!$D$3:$D$493,MATCH($B19,'Input Giocatori 2026_27'!$A$3:$A$493,0)),"")</f>
        <v/>
      </c>
      <c r="F19" s="24" t="str">
        <f>IFERROR(INDEX('Output Utente'!$N$2:$N$492,MATCH(16,'Output Utente'!$R$2:$R$492,0)),"")</f>
        <v/>
      </c>
      <c r="G19" s="23" t="str">
        <f>IFERROR(INDEX('Output Utente'!$O$2:$O$492,MATCH(16,'Output Utente'!$R$2:$R$492,0)),"")</f>
        <v/>
      </c>
      <c r="H19" s="23" t="str">
        <f>IFERROR(INDEX('Output Utente'!$P$2:$P$492,MATCH(16,'Output Utente'!$R$2:$R$492,0)),"")</f>
        <v/>
      </c>
      <c r="I19" s="24" t="str">
        <f>IFERROR(INDEX('Output Utente'!$F$2:$F$492,MATCH(16,'Output Utente'!$R$2:$R$492,0)),"")</f>
        <v/>
      </c>
      <c r="J19" s="24" t="str">
        <f>IFERROR(INDEX('Output Utente'!$G$2:$G$492,MATCH(16,'Output Utente'!$R$2:$R$492,0)),"")</f>
        <v/>
      </c>
      <c r="K19" s="24" t="str">
        <f>IFERROR(INDEX('Output Utente'!$H$2:$H$492,MATCH(16,'Output Utente'!$R$2:$R$492,0)),"")</f>
        <v/>
      </c>
      <c r="L19" s="23" t="str">
        <f>IFERROR(INDEX('Output Utente'!$E$2:$E$492,MATCH(16,'Output Utente'!$R$2:$R$492,0)),"")</f>
        <v/>
      </c>
      <c r="V19" t="str">
        <f>IFERROR(INDEX('Output Utente'!$M$2:$M$492,MATCH(16,'Output Utente'!$R$2:$R$492,0)),"")</f>
        <v/>
      </c>
      <c r="W19" t="str">
        <f t="shared" si="0"/>
        <v/>
      </c>
      <c r="X19" t="str">
        <f>IFERROR(INDEX('Output Utente'!$AF$2:$AF$492,MATCH(16,'Output Utente'!$R$2:$R$492,0)),"")</f>
        <v/>
      </c>
    </row>
    <row r="20" spans="1:24" ht="15" customHeight="1" x14ac:dyDescent="0.25">
      <c r="A20" s="26">
        <v>17</v>
      </c>
      <c r="B20" s="23" t="str">
        <f>IFERROR(INDEX('Output Utente'!$A$2:$A$492,MATCH(17,'Output Utente'!$R$2:$R$492,0)),"")</f>
        <v/>
      </c>
      <c r="C20" s="23" t="str">
        <f>IFERROR(INDEX('Output Utente'!$B$2:$B$492,MATCH(17,'Output Utente'!$R$2:$R$492,0)),"")</f>
        <v/>
      </c>
      <c r="D20" s="23" t="str">
        <f>IFERROR(INDEX('Output Utente'!$C$2:$C$492,MATCH(17,'Output Utente'!$R$2:$R$492,0)),"")</f>
        <v/>
      </c>
      <c r="E20" s="23" t="str">
        <f>IFERROR(INDEX('Input Giocatori 2026_27'!$D$3:$D$493,MATCH($B20,'Input Giocatori 2026_27'!$A$3:$A$493,0)),"")</f>
        <v/>
      </c>
      <c r="F20" s="24" t="str">
        <f>IFERROR(INDEX('Output Utente'!$N$2:$N$492,MATCH(17,'Output Utente'!$R$2:$R$492,0)),"")</f>
        <v/>
      </c>
      <c r="G20" s="23" t="str">
        <f>IFERROR(INDEX('Output Utente'!$O$2:$O$492,MATCH(17,'Output Utente'!$R$2:$R$492,0)),"")</f>
        <v/>
      </c>
      <c r="H20" s="23" t="str">
        <f>IFERROR(INDEX('Output Utente'!$P$2:$P$492,MATCH(17,'Output Utente'!$R$2:$R$492,0)),"")</f>
        <v/>
      </c>
      <c r="I20" s="24" t="str">
        <f>IFERROR(INDEX('Output Utente'!$F$2:$F$492,MATCH(17,'Output Utente'!$R$2:$R$492,0)),"")</f>
        <v/>
      </c>
      <c r="J20" s="24" t="str">
        <f>IFERROR(INDEX('Output Utente'!$G$2:$G$492,MATCH(17,'Output Utente'!$R$2:$R$492,0)),"")</f>
        <v/>
      </c>
      <c r="K20" s="24" t="str">
        <f>IFERROR(INDEX('Output Utente'!$H$2:$H$492,MATCH(17,'Output Utente'!$R$2:$R$492,0)),"")</f>
        <v/>
      </c>
      <c r="L20" s="23" t="str">
        <f>IFERROR(INDEX('Output Utente'!$E$2:$E$492,MATCH(17,'Output Utente'!$R$2:$R$492,0)),"")</f>
        <v/>
      </c>
      <c r="V20" t="str">
        <f>IFERROR(INDEX('Output Utente'!$M$2:$M$492,MATCH(17,'Output Utente'!$R$2:$R$492,0)),"")</f>
        <v/>
      </c>
      <c r="W20" t="str">
        <f t="shared" si="0"/>
        <v/>
      </c>
      <c r="X20" t="str">
        <f>IFERROR(INDEX('Output Utente'!$AF$2:$AF$492,MATCH(17,'Output Utente'!$R$2:$R$492,0)),"")</f>
        <v/>
      </c>
    </row>
    <row r="21" spans="1:24" ht="15" customHeight="1" x14ac:dyDescent="0.25">
      <c r="A21" s="26">
        <v>18</v>
      </c>
      <c r="B21" s="23" t="str">
        <f>IFERROR(INDEX('Output Utente'!$A$2:$A$492,MATCH(18,'Output Utente'!$R$2:$R$492,0)),"")</f>
        <v/>
      </c>
      <c r="C21" s="23" t="str">
        <f>IFERROR(INDEX('Output Utente'!$B$2:$B$492,MATCH(18,'Output Utente'!$R$2:$R$492,0)),"")</f>
        <v/>
      </c>
      <c r="D21" s="23" t="str">
        <f>IFERROR(INDEX('Output Utente'!$C$2:$C$492,MATCH(18,'Output Utente'!$R$2:$R$492,0)),"")</f>
        <v/>
      </c>
      <c r="E21" s="23" t="str">
        <f>IFERROR(INDEX('Input Giocatori 2026_27'!$D$3:$D$493,MATCH($B21,'Input Giocatori 2026_27'!$A$3:$A$493,0)),"")</f>
        <v/>
      </c>
      <c r="F21" s="24" t="str">
        <f>IFERROR(INDEX('Output Utente'!$N$2:$N$492,MATCH(18,'Output Utente'!$R$2:$R$492,0)),"")</f>
        <v/>
      </c>
      <c r="G21" s="23" t="str">
        <f>IFERROR(INDEX('Output Utente'!$O$2:$O$492,MATCH(18,'Output Utente'!$R$2:$R$492,0)),"")</f>
        <v/>
      </c>
      <c r="H21" s="23" t="str">
        <f>IFERROR(INDEX('Output Utente'!$P$2:$P$492,MATCH(18,'Output Utente'!$R$2:$R$492,0)),"")</f>
        <v/>
      </c>
      <c r="I21" s="24" t="str">
        <f>IFERROR(INDEX('Output Utente'!$F$2:$F$492,MATCH(18,'Output Utente'!$R$2:$R$492,0)),"")</f>
        <v/>
      </c>
      <c r="J21" s="24" t="str">
        <f>IFERROR(INDEX('Output Utente'!$G$2:$G$492,MATCH(18,'Output Utente'!$R$2:$R$492,0)),"")</f>
        <v/>
      </c>
      <c r="K21" s="24" t="str">
        <f>IFERROR(INDEX('Output Utente'!$H$2:$H$492,MATCH(18,'Output Utente'!$R$2:$R$492,0)),"")</f>
        <v/>
      </c>
      <c r="L21" s="23" t="str">
        <f>IFERROR(INDEX('Output Utente'!$E$2:$E$492,MATCH(18,'Output Utente'!$R$2:$R$492,0)),"")</f>
        <v/>
      </c>
      <c r="V21" t="str">
        <f>IFERROR(INDEX('Output Utente'!$M$2:$M$492,MATCH(18,'Output Utente'!$R$2:$R$492,0)),"")</f>
        <v/>
      </c>
      <c r="W21" t="str">
        <f t="shared" si="0"/>
        <v/>
      </c>
      <c r="X21" t="str">
        <f>IFERROR(INDEX('Output Utente'!$AF$2:$AF$492,MATCH(18,'Output Utente'!$R$2:$R$492,0)),"")</f>
        <v/>
      </c>
    </row>
    <row r="22" spans="1:24" ht="15" customHeight="1" x14ac:dyDescent="0.25">
      <c r="A22" s="26">
        <v>19</v>
      </c>
      <c r="B22" s="23" t="str">
        <f>IFERROR(INDEX('Output Utente'!$A$2:$A$492,MATCH(19,'Output Utente'!$R$2:$R$492,0)),"")</f>
        <v/>
      </c>
      <c r="C22" s="23" t="str">
        <f>IFERROR(INDEX('Output Utente'!$B$2:$B$492,MATCH(19,'Output Utente'!$R$2:$R$492,0)),"")</f>
        <v/>
      </c>
      <c r="D22" s="23" t="str">
        <f>IFERROR(INDEX('Output Utente'!$C$2:$C$492,MATCH(19,'Output Utente'!$R$2:$R$492,0)),"")</f>
        <v/>
      </c>
      <c r="E22" s="23" t="str">
        <f>IFERROR(INDEX('Input Giocatori 2026_27'!$D$3:$D$493,MATCH($B22,'Input Giocatori 2026_27'!$A$3:$A$493,0)),"")</f>
        <v/>
      </c>
      <c r="F22" s="24" t="str">
        <f>IFERROR(INDEX('Output Utente'!$N$2:$N$492,MATCH(19,'Output Utente'!$R$2:$R$492,0)),"")</f>
        <v/>
      </c>
      <c r="G22" s="23" t="str">
        <f>IFERROR(INDEX('Output Utente'!$O$2:$O$492,MATCH(19,'Output Utente'!$R$2:$R$492,0)),"")</f>
        <v/>
      </c>
      <c r="H22" s="23" t="str">
        <f>IFERROR(INDEX('Output Utente'!$P$2:$P$492,MATCH(19,'Output Utente'!$R$2:$R$492,0)),"")</f>
        <v/>
      </c>
      <c r="I22" s="24" t="str">
        <f>IFERROR(INDEX('Output Utente'!$F$2:$F$492,MATCH(19,'Output Utente'!$R$2:$R$492,0)),"")</f>
        <v/>
      </c>
      <c r="J22" s="24" t="str">
        <f>IFERROR(INDEX('Output Utente'!$G$2:$G$492,MATCH(19,'Output Utente'!$R$2:$R$492,0)),"")</f>
        <v/>
      </c>
      <c r="K22" s="24" t="str">
        <f>IFERROR(INDEX('Output Utente'!$H$2:$H$492,MATCH(19,'Output Utente'!$R$2:$R$492,0)),"")</f>
        <v/>
      </c>
      <c r="L22" s="23" t="str">
        <f>IFERROR(INDEX('Output Utente'!$E$2:$E$492,MATCH(19,'Output Utente'!$R$2:$R$492,0)),"")</f>
        <v/>
      </c>
      <c r="V22" t="str">
        <f>IFERROR(INDEX('Output Utente'!$M$2:$M$492,MATCH(19,'Output Utente'!$R$2:$R$492,0)),"")</f>
        <v/>
      </c>
      <c r="W22" t="str">
        <f t="shared" si="0"/>
        <v/>
      </c>
      <c r="X22" t="str">
        <f>IFERROR(INDEX('Output Utente'!$AF$2:$AF$492,MATCH(19,'Output Utente'!$R$2:$R$492,0)),"")</f>
        <v/>
      </c>
    </row>
    <row r="23" spans="1:24" ht="15" customHeight="1" x14ac:dyDescent="0.25">
      <c r="A23" s="26">
        <v>20</v>
      </c>
      <c r="B23" s="23" t="str">
        <f>IFERROR(INDEX('Output Utente'!$A$2:$A$492,MATCH(20,'Output Utente'!$R$2:$R$492,0)),"")</f>
        <v/>
      </c>
      <c r="C23" s="23" t="str">
        <f>IFERROR(INDEX('Output Utente'!$B$2:$B$492,MATCH(20,'Output Utente'!$R$2:$R$492,0)),"")</f>
        <v/>
      </c>
      <c r="D23" s="23" t="str">
        <f>IFERROR(INDEX('Output Utente'!$C$2:$C$492,MATCH(20,'Output Utente'!$R$2:$R$492,0)),"")</f>
        <v/>
      </c>
      <c r="E23" s="23" t="str">
        <f>IFERROR(INDEX('Input Giocatori 2026_27'!$D$3:$D$493,MATCH($B23,'Input Giocatori 2026_27'!$A$3:$A$493,0)),"")</f>
        <v/>
      </c>
      <c r="F23" s="24" t="str">
        <f>IFERROR(INDEX('Output Utente'!$N$2:$N$492,MATCH(20,'Output Utente'!$R$2:$R$492,0)),"")</f>
        <v/>
      </c>
      <c r="G23" s="23" t="str">
        <f>IFERROR(INDEX('Output Utente'!$O$2:$O$492,MATCH(20,'Output Utente'!$R$2:$R$492,0)),"")</f>
        <v/>
      </c>
      <c r="H23" s="23" t="str">
        <f>IFERROR(INDEX('Output Utente'!$P$2:$P$492,MATCH(20,'Output Utente'!$R$2:$R$492,0)),"")</f>
        <v/>
      </c>
      <c r="I23" s="24" t="str">
        <f>IFERROR(INDEX('Output Utente'!$F$2:$F$492,MATCH(20,'Output Utente'!$R$2:$R$492,0)),"")</f>
        <v/>
      </c>
      <c r="J23" s="24" t="str">
        <f>IFERROR(INDEX('Output Utente'!$G$2:$G$492,MATCH(20,'Output Utente'!$R$2:$R$492,0)),"")</f>
        <v/>
      </c>
      <c r="K23" s="24" t="str">
        <f>IFERROR(INDEX('Output Utente'!$H$2:$H$492,MATCH(20,'Output Utente'!$R$2:$R$492,0)),"")</f>
        <v/>
      </c>
      <c r="L23" s="23" t="str">
        <f>IFERROR(INDEX('Output Utente'!$E$2:$E$492,MATCH(20,'Output Utente'!$R$2:$R$492,0)),"")</f>
        <v/>
      </c>
      <c r="V23" t="str">
        <f>IFERROR(INDEX('Output Utente'!$M$2:$M$492,MATCH(20,'Output Utente'!$R$2:$R$492,0)),"")</f>
        <v/>
      </c>
      <c r="W23" t="str">
        <f t="shared" si="0"/>
        <v/>
      </c>
      <c r="X23" t="str">
        <f>IFERROR(INDEX('Output Utente'!$AF$2:$AF$492,MATCH(20,'Output Utente'!$R$2:$R$492,0)),"")</f>
        <v/>
      </c>
    </row>
    <row r="24" spans="1:24" ht="15" customHeight="1" x14ac:dyDescent="0.25">
      <c r="A24" s="26">
        <v>21</v>
      </c>
      <c r="B24" s="23" t="str">
        <f>IFERROR(INDEX('Output Utente'!$A$2:$A$492,MATCH(21,'Output Utente'!$R$2:$R$492,0)),"")</f>
        <v/>
      </c>
      <c r="C24" s="23" t="str">
        <f>IFERROR(INDEX('Output Utente'!$B$2:$B$492,MATCH(21,'Output Utente'!$R$2:$R$492,0)),"")</f>
        <v/>
      </c>
      <c r="D24" s="23" t="str">
        <f>IFERROR(INDEX('Output Utente'!$C$2:$C$492,MATCH(21,'Output Utente'!$R$2:$R$492,0)),"")</f>
        <v/>
      </c>
      <c r="E24" s="23" t="str">
        <f>IFERROR(INDEX('Input Giocatori 2026_27'!$D$3:$D$493,MATCH($B24,'Input Giocatori 2026_27'!$A$3:$A$493,0)),"")</f>
        <v/>
      </c>
      <c r="F24" s="24" t="str">
        <f>IFERROR(INDEX('Output Utente'!$N$2:$N$492,MATCH(21,'Output Utente'!$R$2:$R$492,0)),"")</f>
        <v/>
      </c>
      <c r="G24" s="23" t="str">
        <f>IFERROR(INDEX('Output Utente'!$O$2:$O$492,MATCH(21,'Output Utente'!$R$2:$R$492,0)),"")</f>
        <v/>
      </c>
      <c r="H24" s="23" t="str">
        <f>IFERROR(INDEX('Output Utente'!$P$2:$P$492,MATCH(21,'Output Utente'!$R$2:$R$492,0)),"")</f>
        <v/>
      </c>
      <c r="I24" s="24" t="str">
        <f>IFERROR(INDEX('Output Utente'!$F$2:$F$492,MATCH(21,'Output Utente'!$R$2:$R$492,0)),"")</f>
        <v/>
      </c>
      <c r="J24" s="24" t="str">
        <f>IFERROR(INDEX('Output Utente'!$G$2:$G$492,MATCH(21,'Output Utente'!$R$2:$R$492,0)),"")</f>
        <v/>
      </c>
      <c r="K24" s="24" t="str">
        <f>IFERROR(INDEX('Output Utente'!$H$2:$H$492,MATCH(21,'Output Utente'!$R$2:$R$492,0)),"")</f>
        <v/>
      </c>
      <c r="L24" s="23" t="str">
        <f>IFERROR(INDEX('Output Utente'!$E$2:$E$492,MATCH(21,'Output Utente'!$R$2:$R$492,0)),"")</f>
        <v/>
      </c>
      <c r="V24" t="str">
        <f>IFERROR(INDEX('Output Utente'!$M$2:$M$492,MATCH(21,'Output Utente'!$R$2:$R$492,0)),"")</f>
        <v/>
      </c>
      <c r="W24" t="str">
        <f t="shared" si="0"/>
        <v/>
      </c>
      <c r="X24" t="str">
        <f>IFERROR(INDEX('Output Utente'!$AF$2:$AF$492,MATCH(21,'Output Utente'!$R$2:$R$492,0)),"")</f>
        <v/>
      </c>
    </row>
    <row r="25" spans="1:24" ht="15" customHeight="1" x14ac:dyDescent="0.25">
      <c r="A25" s="26">
        <v>22</v>
      </c>
      <c r="B25" s="23" t="str">
        <f>IFERROR(INDEX('Output Utente'!$A$2:$A$492,MATCH(22,'Output Utente'!$R$2:$R$492,0)),"")</f>
        <v/>
      </c>
      <c r="C25" s="23" t="str">
        <f>IFERROR(INDEX('Output Utente'!$B$2:$B$492,MATCH(22,'Output Utente'!$R$2:$R$492,0)),"")</f>
        <v/>
      </c>
      <c r="D25" s="23" t="str">
        <f>IFERROR(INDEX('Output Utente'!$C$2:$C$492,MATCH(22,'Output Utente'!$R$2:$R$492,0)),"")</f>
        <v/>
      </c>
      <c r="E25" s="23" t="str">
        <f>IFERROR(INDEX('Input Giocatori 2026_27'!$D$3:$D$493,MATCH($B25,'Input Giocatori 2026_27'!$A$3:$A$493,0)),"")</f>
        <v/>
      </c>
      <c r="F25" s="24" t="str">
        <f>IFERROR(INDEX('Output Utente'!$N$2:$N$492,MATCH(22,'Output Utente'!$R$2:$R$492,0)),"")</f>
        <v/>
      </c>
      <c r="G25" s="23" t="str">
        <f>IFERROR(INDEX('Output Utente'!$O$2:$O$492,MATCH(22,'Output Utente'!$R$2:$R$492,0)),"")</f>
        <v/>
      </c>
      <c r="H25" s="23" t="str">
        <f>IFERROR(INDEX('Output Utente'!$P$2:$P$492,MATCH(22,'Output Utente'!$R$2:$R$492,0)),"")</f>
        <v/>
      </c>
      <c r="I25" s="24" t="str">
        <f>IFERROR(INDEX('Output Utente'!$F$2:$F$492,MATCH(22,'Output Utente'!$R$2:$R$492,0)),"")</f>
        <v/>
      </c>
      <c r="J25" s="24" t="str">
        <f>IFERROR(INDEX('Output Utente'!$G$2:$G$492,MATCH(22,'Output Utente'!$R$2:$R$492,0)),"")</f>
        <v/>
      </c>
      <c r="K25" s="24" t="str">
        <f>IFERROR(INDEX('Output Utente'!$H$2:$H$492,MATCH(22,'Output Utente'!$R$2:$R$492,0)),"")</f>
        <v/>
      </c>
      <c r="L25" s="23" t="str">
        <f>IFERROR(INDEX('Output Utente'!$E$2:$E$492,MATCH(22,'Output Utente'!$R$2:$R$492,0)),"")</f>
        <v/>
      </c>
      <c r="V25" t="str">
        <f>IFERROR(INDEX('Output Utente'!$M$2:$M$492,MATCH(22,'Output Utente'!$R$2:$R$492,0)),"")</f>
        <v/>
      </c>
      <c r="W25" t="str">
        <f t="shared" si="0"/>
        <v/>
      </c>
      <c r="X25" t="str">
        <f>IFERROR(INDEX('Output Utente'!$AF$2:$AF$492,MATCH(22,'Output Utente'!$R$2:$R$492,0)),"")</f>
        <v/>
      </c>
    </row>
    <row r="26" spans="1:24" ht="15" customHeight="1" x14ac:dyDescent="0.25">
      <c r="A26" s="26">
        <v>23</v>
      </c>
      <c r="B26" s="23" t="str">
        <f>IFERROR(INDEX('Output Utente'!$A$2:$A$492,MATCH(23,'Output Utente'!$R$2:$R$492,0)),"")</f>
        <v/>
      </c>
      <c r="C26" s="23" t="str">
        <f>IFERROR(INDEX('Output Utente'!$B$2:$B$492,MATCH(23,'Output Utente'!$R$2:$R$492,0)),"")</f>
        <v/>
      </c>
      <c r="D26" s="23" t="str">
        <f>IFERROR(INDEX('Output Utente'!$C$2:$C$492,MATCH(23,'Output Utente'!$R$2:$R$492,0)),"")</f>
        <v/>
      </c>
      <c r="E26" s="23" t="str">
        <f>IFERROR(INDEX('Input Giocatori 2026_27'!$D$3:$D$493,MATCH($B26,'Input Giocatori 2026_27'!$A$3:$A$493,0)),"")</f>
        <v/>
      </c>
      <c r="F26" s="24" t="str">
        <f>IFERROR(INDEX('Output Utente'!$N$2:$N$492,MATCH(23,'Output Utente'!$R$2:$R$492,0)),"")</f>
        <v/>
      </c>
      <c r="G26" s="23" t="str">
        <f>IFERROR(INDEX('Output Utente'!$O$2:$O$492,MATCH(23,'Output Utente'!$R$2:$R$492,0)),"")</f>
        <v/>
      </c>
      <c r="H26" s="23" t="str">
        <f>IFERROR(INDEX('Output Utente'!$P$2:$P$492,MATCH(23,'Output Utente'!$R$2:$R$492,0)),"")</f>
        <v/>
      </c>
      <c r="I26" s="24" t="str">
        <f>IFERROR(INDEX('Output Utente'!$F$2:$F$492,MATCH(23,'Output Utente'!$R$2:$R$492,0)),"")</f>
        <v/>
      </c>
      <c r="J26" s="24" t="str">
        <f>IFERROR(INDEX('Output Utente'!$G$2:$G$492,MATCH(23,'Output Utente'!$R$2:$R$492,0)),"")</f>
        <v/>
      </c>
      <c r="K26" s="24" t="str">
        <f>IFERROR(INDEX('Output Utente'!$H$2:$H$492,MATCH(23,'Output Utente'!$R$2:$R$492,0)),"")</f>
        <v/>
      </c>
      <c r="L26" s="23" t="str">
        <f>IFERROR(INDEX('Output Utente'!$E$2:$E$492,MATCH(23,'Output Utente'!$R$2:$R$492,0)),"")</f>
        <v/>
      </c>
      <c r="V26" t="str">
        <f>IFERROR(INDEX('Output Utente'!$M$2:$M$492,MATCH(23,'Output Utente'!$R$2:$R$492,0)),"")</f>
        <v/>
      </c>
      <c r="W26" t="str">
        <f t="shared" si="0"/>
        <v/>
      </c>
      <c r="X26" t="str">
        <f>IFERROR(INDEX('Output Utente'!$AF$2:$AF$492,MATCH(23,'Output Utente'!$R$2:$R$492,0)),"")</f>
        <v/>
      </c>
    </row>
    <row r="27" spans="1:24" ht="15" customHeight="1" x14ac:dyDescent="0.25">
      <c r="A27" s="26">
        <v>24</v>
      </c>
      <c r="B27" s="23" t="str">
        <f>IFERROR(INDEX('Output Utente'!$A$2:$A$492,MATCH(24,'Output Utente'!$R$2:$R$492,0)),"")</f>
        <v/>
      </c>
      <c r="C27" s="23" t="str">
        <f>IFERROR(INDEX('Output Utente'!$B$2:$B$492,MATCH(24,'Output Utente'!$R$2:$R$492,0)),"")</f>
        <v/>
      </c>
      <c r="D27" s="23" t="str">
        <f>IFERROR(INDEX('Output Utente'!$C$2:$C$492,MATCH(24,'Output Utente'!$R$2:$R$492,0)),"")</f>
        <v/>
      </c>
      <c r="E27" s="23" t="str">
        <f>IFERROR(INDEX('Input Giocatori 2026_27'!$D$3:$D$493,MATCH($B27,'Input Giocatori 2026_27'!$A$3:$A$493,0)),"")</f>
        <v/>
      </c>
      <c r="F27" s="24" t="str">
        <f>IFERROR(INDEX('Output Utente'!$N$2:$N$492,MATCH(24,'Output Utente'!$R$2:$R$492,0)),"")</f>
        <v/>
      </c>
      <c r="G27" s="23" t="str">
        <f>IFERROR(INDEX('Output Utente'!$O$2:$O$492,MATCH(24,'Output Utente'!$R$2:$R$492,0)),"")</f>
        <v/>
      </c>
      <c r="H27" s="23" t="str">
        <f>IFERROR(INDEX('Output Utente'!$P$2:$P$492,MATCH(24,'Output Utente'!$R$2:$R$492,0)),"")</f>
        <v/>
      </c>
      <c r="I27" s="24" t="str">
        <f>IFERROR(INDEX('Output Utente'!$F$2:$F$492,MATCH(24,'Output Utente'!$R$2:$R$492,0)),"")</f>
        <v/>
      </c>
      <c r="J27" s="24" t="str">
        <f>IFERROR(INDEX('Output Utente'!$G$2:$G$492,MATCH(24,'Output Utente'!$R$2:$R$492,0)),"")</f>
        <v/>
      </c>
      <c r="K27" s="24" t="str">
        <f>IFERROR(INDEX('Output Utente'!$H$2:$H$492,MATCH(24,'Output Utente'!$R$2:$R$492,0)),"")</f>
        <v/>
      </c>
      <c r="L27" s="23" t="str">
        <f>IFERROR(INDEX('Output Utente'!$E$2:$E$492,MATCH(24,'Output Utente'!$R$2:$R$492,0)),"")</f>
        <v/>
      </c>
      <c r="V27" t="str">
        <f>IFERROR(INDEX('Output Utente'!$M$2:$M$492,MATCH(24,'Output Utente'!$R$2:$R$492,0)),"")</f>
        <v/>
      </c>
      <c r="W27" t="str">
        <f t="shared" si="0"/>
        <v/>
      </c>
      <c r="X27" t="str">
        <f>IFERROR(INDEX('Output Utente'!$AF$2:$AF$492,MATCH(24,'Output Utente'!$R$2:$R$492,0)),"")</f>
        <v/>
      </c>
    </row>
    <row r="28" spans="1:24" ht="15" customHeight="1" x14ac:dyDescent="0.25">
      <c r="A28" s="26">
        <v>25</v>
      </c>
      <c r="B28" s="23" t="str">
        <f>IFERROR(INDEX('Output Utente'!$A$2:$A$492,MATCH(25,'Output Utente'!$R$2:$R$492,0)),"")</f>
        <v/>
      </c>
      <c r="C28" s="23" t="str">
        <f>IFERROR(INDEX('Output Utente'!$B$2:$B$492,MATCH(25,'Output Utente'!$R$2:$R$492,0)),"")</f>
        <v/>
      </c>
      <c r="D28" s="23" t="str">
        <f>IFERROR(INDEX('Output Utente'!$C$2:$C$492,MATCH(25,'Output Utente'!$R$2:$R$492,0)),"")</f>
        <v/>
      </c>
      <c r="E28" s="23" t="str">
        <f>IFERROR(INDEX('Input Giocatori 2026_27'!$D$3:$D$493,MATCH($B28,'Input Giocatori 2026_27'!$A$3:$A$493,0)),"")</f>
        <v/>
      </c>
      <c r="F28" s="24" t="str">
        <f>IFERROR(INDEX('Output Utente'!$N$2:$N$492,MATCH(25,'Output Utente'!$R$2:$R$492,0)),"")</f>
        <v/>
      </c>
      <c r="G28" s="23" t="str">
        <f>IFERROR(INDEX('Output Utente'!$O$2:$O$492,MATCH(25,'Output Utente'!$R$2:$R$492,0)),"")</f>
        <v/>
      </c>
      <c r="H28" s="23" t="str">
        <f>IFERROR(INDEX('Output Utente'!$P$2:$P$492,MATCH(25,'Output Utente'!$R$2:$R$492,0)),"")</f>
        <v/>
      </c>
      <c r="I28" s="24" t="str">
        <f>IFERROR(INDEX('Output Utente'!$F$2:$F$492,MATCH(25,'Output Utente'!$R$2:$R$492,0)),"")</f>
        <v/>
      </c>
      <c r="J28" s="24" t="str">
        <f>IFERROR(INDEX('Output Utente'!$G$2:$G$492,MATCH(25,'Output Utente'!$R$2:$R$492,0)),"")</f>
        <v/>
      </c>
      <c r="K28" s="24" t="str">
        <f>IFERROR(INDEX('Output Utente'!$H$2:$H$492,MATCH(25,'Output Utente'!$R$2:$R$492,0)),"")</f>
        <v/>
      </c>
      <c r="L28" s="23" t="str">
        <f>IFERROR(INDEX('Output Utente'!$E$2:$E$492,MATCH(25,'Output Utente'!$R$2:$R$492,0)),"")</f>
        <v/>
      </c>
      <c r="V28" t="str">
        <f>IFERROR(INDEX('Output Utente'!$M$2:$M$492,MATCH(25,'Output Utente'!$R$2:$R$492,0)),"")</f>
        <v/>
      </c>
      <c r="W28" t="str">
        <f t="shared" si="0"/>
        <v/>
      </c>
      <c r="X28" t="str">
        <f>IFERROR(INDEX('Output Utente'!$AF$2:$AF$492,MATCH(25,'Output Utente'!$R$2:$R$492,0)),"")</f>
        <v/>
      </c>
    </row>
    <row r="29" spans="1:24" ht="15" customHeight="1" x14ac:dyDescent="0.25">
      <c r="A29" s="26">
        <v>26</v>
      </c>
      <c r="B29" s="23" t="str">
        <f>IFERROR(INDEX('Output Utente'!$A$2:$A$492,MATCH(26,'Output Utente'!$R$2:$R$492,0)),"")</f>
        <v/>
      </c>
      <c r="C29" s="23" t="str">
        <f>IFERROR(INDEX('Output Utente'!$B$2:$B$492,MATCH(26,'Output Utente'!$R$2:$R$492,0)),"")</f>
        <v/>
      </c>
      <c r="D29" s="23" t="str">
        <f>IFERROR(INDEX('Output Utente'!$C$2:$C$492,MATCH(26,'Output Utente'!$R$2:$R$492,0)),"")</f>
        <v/>
      </c>
      <c r="E29" s="23" t="str">
        <f>IFERROR(INDEX('Input Giocatori 2026_27'!$D$3:$D$493,MATCH($B29,'Input Giocatori 2026_27'!$A$3:$A$493,0)),"")</f>
        <v/>
      </c>
      <c r="F29" s="24" t="str">
        <f>IFERROR(INDEX('Output Utente'!$N$2:$N$492,MATCH(26,'Output Utente'!$R$2:$R$492,0)),"")</f>
        <v/>
      </c>
      <c r="G29" s="23" t="str">
        <f>IFERROR(INDEX('Output Utente'!$O$2:$O$492,MATCH(26,'Output Utente'!$R$2:$R$492,0)),"")</f>
        <v/>
      </c>
      <c r="H29" s="23" t="str">
        <f>IFERROR(INDEX('Output Utente'!$P$2:$P$492,MATCH(26,'Output Utente'!$R$2:$R$492,0)),"")</f>
        <v/>
      </c>
      <c r="I29" s="24" t="str">
        <f>IFERROR(INDEX('Output Utente'!$F$2:$F$492,MATCH(26,'Output Utente'!$R$2:$R$492,0)),"")</f>
        <v/>
      </c>
      <c r="J29" s="24" t="str">
        <f>IFERROR(INDEX('Output Utente'!$G$2:$G$492,MATCH(26,'Output Utente'!$R$2:$R$492,0)),"")</f>
        <v/>
      </c>
      <c r="K29" s="24" t="str">
        <f>IFERROR(INDEX('Output Utente'!$H$2:$H$492,MATCH(26,'Output Utente'!$R$2:$R$492,0)),"")</f>
        <v/>
      </c>
      <c r="L29" s="23" t="str">
        <f>IFERROR(INDEX('Output Utente'!$E$2:$E$492,MATCH(26,'Output Utente'!$R$2:$R$492,0)),"")</f>
        <v/>
      </c>
      <c r="V29" t="str">
        <f>IFERROR(INDEX('Output Utente'!$M$2:$M$492,MATCH(26,'Output Utente'!$R$2:$R$492,0)),"")</f>
        <v/>
      </c>
      <c r="W29" t="str">
        <f t="shared" si="0"/>
        <v/>
      </c>
      <c r="X29" t="str">
        <f>IFERROR(INDEX('Output Utente'!$AF$2:$AF$492,MATCH(26,'Output Utente'!$R$2:$R$492,0)),"")</f>
        <v/>
      </c>
    </row>
    <row r="30" spans="1:24" ht="15" customHeight="1" x14ac:dyDescent="0.25">
      <c r="A30" s="26">
        <v>27</v>
      </c>
      <c r="B30" s="23" t="str">
        <f>IFERROR(INDEX('Output Utente'!$A$2:$A$492,MATCH(27,'Output Utente'!$R$2:$R$492,0)),"")</f>
        <v/>
      </c>
      <c r="C30" s="23" t="str">
        <f>IFERROR(INDEX('Output Utente'!$B$2:$B$492,MATCH(27,'Output Utente'!$R$2:$R$492,0)),"")</f>
        <v/>
      </c>
      <c r="D30" s="23" t="str">
        <f>IFERROR(INDEX('Output Utente'!$C$2:$C$492,MATCH(27,'Output Utente'!$R$2:$R$492,0)),"")</f>
        <v/>
      </c>
      <c r="E30" s="23" t="str">
        <f>IFERROR(INDEX('Input Giocatori 2026_27'!$D$3:$D$493,MATCH($B30,'Input Giocatori 2026_27'!$A$3:$A$493,0)),"")</f>
        <v/>
      </c>
      <c r="F30" s="24" t="str">
        <f>IFERROR(INDEX('Output Utente'!$N$2:$N$492,MATCH(27,'Output Utente'!$R$2:$R$492,0)),"")</f>
        <v/>
      </c>
      <c r="G30" s="23" t="str">
        <f>IFERROR(INDEX('Output Utente'!$O$2:$O$492,MATCH(27,'Output Utente'!$R$2:$R$492,0)),"")</f>
        <v/>
      </c>
      <c r="H30" s="23" t="str">
        <f>IFERROR(INDEX('Output Utente'!$P$2:$P$492,MATCH(27,'Output Utente'!$R$2:$R$492,0)),"")</f>
        <v/>
      </c>
      <c r="I30" s="24" t="str">
        <f>IFERROR(INDEX('Output Utente'!$F$2:$F$492,MATCH(27,'Output Utente'!$R$2:$R$492,0)),"")</f>
        <v/>
      </c>
      <c r="J30" s="24" t="str">
        <f>IFERROR(INDEX('Output Utente'!$G$2:$G$492,MATCH(27,'Output Utente'!$R$2:$R$492,0)),"")</f>
        <v/>
      </c>
      <c r="K30" s="24" t="str">
        <f>IFERROR(INDEX('Output Utente'!$H$2:$H$492,MATCH(27,'Output Utente'!$R$2:$R$492,0)),"")</f>
        <v/>
      </c>
      <c r="L30" s="23" t="str">
        <f>IFERROR(INDEX('Output Utente'!$E$2:$E$492,MATCH(27,'Output Utente'!$R$2:$R$492,0)),"")</f>
        <v/>
      </c>
      <c r="V30" t="str">
        <f>IFERROR(INDEX('Output Utente'!$M$2:$M$492,MATCH(27,'Output Utente'!$R$2:$R$492,0)),"")</f>
        <v/>
      </c>
      <c r="W30" t="str">
        <f t="shared" si="0"/>
        <v/>
      </c>
      <c r="X30" t="str">
        <f>IFERROR(INDEX('Output Utente'!$AF$2:$AF$492,MATCH(27,'Output Utente'!$R$2:$R$492,0)),"")</f>
        <v/>
      </c>
    </row>
    <row r="31" spans="1:24" ht="15" customHeight="1" x14ac:dyDescent="0.25">
      <c r="A31" s="26">
        <v>28</v>
      </c>
      <c r="B31" s="23" t="str">
        <f>IFERROR(INDEX('Output Utente'!$A$2:$A$492,MATCH(28,'Output Utente'!$R$2:$R$492,0)),"")</f>
        <v/>
      </c>
      <c r="C31" s="23" t="str">
        <f>IFERROR(INDEX('Output Utente'!$B$2:$B$492,MATCH(28,'Output Utente'!$R$2:$R$492,0)),"")</f>
        <v/>
      </c>
      <c r="D31" s="23" t="str">
        <f>IFERROR(INDEX('Output Utente'!$C$2:$C$492,MATCH(28,'Output Utente'!$R$2:$R$492,0)),"")</f>
        <v/>
      </c>
      <c r="E31" s="23" t="str">
        <f>IFERROR(INDEX('Input Giocatori 2026_27'!$D$3:$D$493,MATCH($B31,'Input Giocatori 2026_27'!$A$3:$A$493,0)),"")</f>
        <v/>
      </c>
      <c r="F31" s="24" t="str">
        <f>IFERROR(INDEX('Output Utente'!$N$2:$N$492,MATCH(28,'Output Utente'!$R$2:$R$492,0)),"")</f>
        <v/>
      </c>
      <c r="G31" s="23" t="str">
        <f>IFERROR(INDEX('Output Utente'!$O$2:$O$492,MATCH(28,'Output Utente'!$R$2:$R$492,0)),"")</f>
        <v/>
      </c>
      <c r="H31" s="23" t="str">
        <f>IFERROR(INDEX('Output Utente'!$P$2:$P$492,MATCH(28,'Output Utente'!$R$2:$R$492,0)),"")</f>
        <v/>
      </c>
      <c r="I31" s="24" t="str">
        <f>IFERROR(INDEX('Output Utente'!$F$2:$F$492,MATCH(28,'Output Utente'!$R$2:$R$492,0)),"")</f>
        <v/>
      </c>
      <c r="J31" s="24" t="str">
        <f>IFERROR(INDEX('Output Utente'!$G$2:$G$492,MATCH(28,'Output Utente'!$R$2:$R$492,0)),"")</f>
        <v/>
      </c>
      <c r="K31" s="24" t="str">
        <f>IFERROR(INDEX('Output Utente'!$H$2:$H$492,MATCH(28,'Output Utente'!$R$2:$R$492,0)),"")</f>
        <v/>
      </c>
      <c r="L31" s="23" t="str">
        <f>IFERROR(INDEX('Output Utente'!$E$2:$E$492,MATCH(28,'Output Utente'!$R$2:$R$492,0)),"")</f>
        <v/>
      </c>
      <c r="V31" t="str">
        <f>IFERROR(INDEX('Output Utente'!$M$2:$M$492,MATCH(28,'Output Utente'!$R$2:$R$492,0)),"")</f>
        <v/>
      </c>
      <c r="W31" t="str">
        <f t="shared" si="0"/>
        <v/>
      </c>
      <c r="X31" t="str">
        <f>IFERROR(INDEX('Output Utente'!$AF$2:$AF$492,MATCH(28,'Output Utente'!$R$2:$R$492,0)),"")</f>
        <v/>
      </c>
    </row>
    <row r="32" spans="1:24" ht="15" customHeight="1" x14ac:dyDescent="0.25">
      <c r="A32" s="26">
        <v>29</v>
      </c>
      <c r="B32" s="23" t="str">
        <f>IFERROR(INDEX('Output Utente'!$A$2:$A$492,MATCH(29,'Output Utente'!$R$2:$R$492,0)),"")</f>
        <v/>
      </c>
      <c r="C32" s="23" t="str">
        <f>IFERROR(INDEX('Output Utente'!$B$2:$B$492,MATCH(29,'Output Utente'!$R$2:$R$492,0)),"")</f>
        <v/>
      </c>
      <c r="D32" s="23" t="str">
        <f>IFERROR(INDEX('Output Utente'!$C$2:$C$492,MATCH(29,'Output Utente'!$R$2:$R$492,0)),"")</f>
        <v/>
      </c>
      <c r="E32" s="23" t="str">
        <f>IFERROR(INDEX('Input Giocatori 2026_27'!$D$3:$D$493,MATCH($B32,'Input Giocatori 2026_27'!$A$3:$A$493,0)),"")</f>
        <v/>
      </c>
      <c r="F32" s="24" t="str">
        <f>IFERROR(INDEX('Output Utente'!$N$2:$N$492,MATCH(29,'Output Utente'!$R$2:$R$492,0)),"")</f>
        <v/>
      </c>
      <c r="G32" s="23" t="str">
        <f>IFERROR(INDEX('Output Utente'!$O$2:$O$492,MATCH(29,'Output Utente'!$R$2:$R$492,0)),"")</f>
        <v/>
      </c>
      <c r="H32" s="23" t="str">
        <f>IFERROR(INDEX('Output Utente'!$P$2:$P$492,MATCH(29,'Output Utente'!$R$2:$R$492,0)),"")</f>
        <v/>
      </c>
      <c r="I32" s="24" t="str">
        <f>IFERROR(INDEX('Output Utente'!$F$2:$F$492,MATCH(29,'Output Utente'!$R$2:$R$492,0)),"")</f>
        <v/>
      </c>
      <c r="J32" s="24" t="str">
        <f>IFERROR(INDEX('Output Utente'!$G$2:$G$492,MATCH(29,'Output Utente'!$R$2:$R$492,0)),"")</f>
        <v/>
      </c>
      <c r="K32" s="24" t="str">
        <f>IFERROR(INDEX('Output Utente'!$H$2:$H$492,MATCH(29,'Output Utente'!$R$2:$R$492,0)),"")</f>
        <v/>
      </c>
      <c r="L32" s="23" t="str">
        <f>IFERROR(INDEX('Output Utente'!$E$2:$E$492,MATCH(29,'Output Utente'!$R$2:$R$492,0)),"")</f>
        <v/>
      </c>
      <c r="V32" t="str">
        <f>IFERROR(INDEX('Output Utente'!$M$2:$M$492,MATCH(29,'Output Utente'!$R$2:$R$492,0)),"")</f>
        <v/>
      </c>
      <c r="W32" t="str">
        <f t="shared" si="0"/>
        <v/>
      </c>
      <c r="X32" t="str">
        <f>IFERROR(INDEX('Output Utente'!$AF$2:$AF$492,MATCH(29,'Output Utente'!$R$2:$R$492,0)),"")</f>
        <v/>
      </c>
    </row>
    <row r="33" spans="1:24" ht="15" customHeight="1" x14ac:dyDescent="0.25">
      <c r="A33" s="26">
        <v>30</v>
      </c>
      <c r="B33" s="23" t="str">
        <f>IFERROR(INDEX('Output Utente'!$A$2:$A$492,MATCH(30,'Output Utente'!$R$2:$R$492,0)),"")</f>
        <v/>
      </c>
      <c r="C33" s="23" t="str">
        <f>IFERROR(INDEX('Output Utente'!$B$2:$B$492,MATCH(30,'Output Utente'!$R$2:$R$492,0)),"")</f>
        <v/>
      </c>
      <c r="D33" s="23" t="str">
        <f>IFERROR(INDEX('Output Utente'!$C$2:$C$492,MATCH(30,'Output Utente'!$R$2:$R$492,0)),"")</f>
        <v/>
      </c>
      <c r="E33" s="23" t="str">
        <f>IFERROR(INDEX('Input Giocatori 2026_27'!$D$3:$D$493,MATCH($B33,'Input Giocatori 2026_27'!$A$3:$A$493,0)),"")</f>
        <v/>
      </c>
      <c r="F33" s="24" t="str">
        <f>IFERROR(INDEX('Output Utente'!$N$2:$N$492,MATCH(30,'Output Utente'!$R$2:$R$492,0)),"")</f>
        <v/>
      </c>
      <c r="G33" s="23" t="str">
        <f>IFERROR(INDEX('Output Utente'!$O$2:$O$492,MATCH(30,'Output Utente'!$R$2:$R$492,0)),"")</f>
        <v/>
      </c>
      <c r="H33" s="23" t="str">
        <f>IFERROR(INDEX('Output Utente'!$P$2:$P$492,MATCH(30,'Output Utente'!$R$2:$R$492,0)),"")</f>
        <v/>
      </c>
      <c r="I33" s="24" t="str">
        <f>IFERROR(INDEX('Output Utente'!$F$2:$F$492,MATCH(30,'Output Utente'!$R$2:$R$492,0)),"")</f>
        <v/>
      </c>
      <c r="J33" s="24" t="str">
        <f>IFERROR(INDEX('Output Utente'!$G$2:$G$492,MATCH(30,'Output Utente'!$R$2:$R$492,0)),"")</f>
        <v/>
      </c>
      <c r="K33" s="24" t="str">
        <f>IFERROR(INDEX('Output Utente'!$H$2:$H$492,MATCH(30,'Output Utente'!$R$2:$R$492,0)),"")</f>
        <v/>
      </c>
      <c r="L33" s="23" t="str">
        <f>IFERROR(INDEX('Output Utente'!$E$2:$E$492,MATCH(30,'Output Utente'!$R$2:$R$492,0)),"")</f>
        <v/>
      </c>
      <c r="V33" t="str">
        <f>IFERROR(INDEX('Output Utente'!$M$2:$M$492,MATCH(30,'Output Utente'!$R$2:$R$492,0)),"")</f>
        <v/>
      </c>
      <c r="W33" t="str">
        <f t="shared" si="0"/>
        <v/>
      </c>
      <c r="X33" t="str">
        <f>IFERROR(INDEX('Output Utente'!$AF$2:$AF$492,MATCH(30,'Output Utente'!$R$2:$R$492,0)),"")</f>
        <v/>
      </c>
    </row>
    <row r="34" spans="1:24" ht="15" customHeight="1" x14ac:dyDescent="0.25">
      <c r="A34" s="26">
        <v>31</v>
      </c>
      <c r="B34" s="23" t="str">
        <f>IFERROR(INDEX('Output Utente'!$A$2:$A$492,MATCH(31,'Output Utente'!$R$2:$R$492,0)),"")</f>
        <v/>
      </c>
      <c r="C34" s="23" t="str">
        <f>IFERROR(INDEX('Output Utente'!$B$2:$B$492,MATCH(31,'Output Utente'!$R$2:$R$492,0)),"")</f>
        <v/>
      </c>
      <c r="D34" s="23" t="str">
        <f>IFERROR(INDEX('Output Utente'!$C$2:$C$492,MATCH(31,'Output Utente'!$R$2:$R$492,0)),"")</f>
        <v/>
      </c>
      <c r="E34" s="23" t="str">
        <f>IFERROR(INDEX('Input Giocatori 2026_27'!$D$3:$D$493,MATCH($B34,'Input Giocatori 2026_27'!$A$3:$A$493,0)),"")</f>
        <v/>
      </c>
      <c r="F34" s="24" t="str">
        <f>IFERROR(INDEX('Output Utente'!$N$2:$N$492,MATCH(31,'Output Utente'!$R$2:$R$492,0)),"")</f>
        <v/>
      </c>
      <c r="G34" s="23" t="str">
        <f>IFERROR(INDEX('Output Utente'!$O$2:$O$492,MATCH(31,'Output Utente'!$R$2:$R$492,0)),"")</f>
        <v/>
      </c>
      <c r="H34" s="23" t="str">
        <f>IFERROR(INDEX('Output Utente'!$P$2:$P$492,MATCH(31,'Output Utente'!$R$2:$R$492,0)),"")</f>
        <v/>
      </c>
      <c r="I34" s="24" t="str">
        <f>IFERROR(INDEX('Output Utente'!$F$2:$F$492,MATCH(31,'Output Utente'!$R$2:$R$492,0)),"")</f>
        <v/>
      </c>
      <c r="J34" s="24" t="str">
        <f>IFERROR(INDEX('Output Utente'!$G$2:$G$492,MATCH(31,'Output Utente'!$R$2:$R$492,0)),"")</f>
        <v/>
      </c>
      <c r="K34" s="24" t="str">
        <f>IFERROR(INDEX('Output Utente'!$H$2:$H$492,MATCH(31,'Output Utente'!$R$2:$R$492,0)),"")</f>
        <v/>
      </c>
      <c r="L34" s="23" t="str">
        <f>IFERROR(INDEX('Output Utente'!$E$2:$E$492,MATCH(31,'Output Utente'!$R$2:$R$492,0)),"")</f>
        <v/>
      </c>
      <c r="V34" t="str">
        <f>IFERROR(INDEX('Output Utente'!$M$2:$M$492,MATCH(31,'Output Utente'!$R$2:$R$492,0)),"")</f>
        <v/>
      </c>
      <c r="W34" t="str">
        <f t="shared" si="0"/>
        <v/>
      </c>
      <c r="X34" t="str">
        <f>IFERROR(INDEX('Output Utente'!$AF$2:$AF$492,MATCH(31,'Output Utente'!$R$2:$R$492,0)),"")</f>
        <v/>
      </c>
    </row>
    <row r="35" spans="1:24" ht="15" customHeight="1" x14ac:dyDescent="0.25">
      <c r="A35" s="26">
        <v>32</v>
      </c>
      <c r="B35" s="23" t="str">
        <f>IFERROR(INDEX('Output Utente'!$A$2:$A$492,MATCH(32,'Output Utente'!$R$2:$R$492,0)),"")</f>
        <v/>
      </c>
      <c r="C35" s="23" t="str">
        <f>IFERROR(INDEX('Output Utente'!$B$2:$B$492,MATCH(32,'Output Utente'!$R$2:$R$492,0)),"")</f>
        <v/>
      </c>
      <c r="D35" s="23" t="str">
        <f>IFERROR(INDEX('Output Utente'!$C$2:$C$492,MATCH(32,'Output Utente'!$R$2:$R$492,0)),"")</f>
        <v/>
      </c>
      <c r="E35" s="23" t="str">
        <f>IFERROR(INDEX('Input Giocatori 2026_27'!$D$3:$D$493,MATCH($B35,'Input Giocatori 2026_27'!$A$3:$A$493,0)),"")</f>
        <v/>
      </c>
      <c r="F35" s="24" t="str">
        <f>IFERROR(INDEX('Output Utente'!$N$2:$N$492,MATCH(32,'Output Utente'!$R$2:$R$492,0)),"")</f>
        <v/>
      </c>
      <c r="G35" s="23" t="str">
        <f>IFERROR(INDEX('Output Utente'!$O$2:$O$492,MATCH(32,'Output Utente'!$R$2:$R$492,0)),"")</f>
        <v/>
      </c>
      <c r="H35" s="23" t="str">
        <f>IFERROR(INDEX('Output Utente'!$P$2:$P$492,MATCH(32,'Output Utente'!$R$2:$R$492,0)),"")</f>
        <v/>
      </c>
      <c r="I35" s="24" t="str">
        <f>IFERROR(INDEX('Output Utente'!$F$2:$F$492,MATCH(32,'Output Utente'!$R$2:$R$492,0)),"")</f>
        <v/>
      </c>
      <c r="J35" s="24" t="str">
        <f>IFERROR(INDEX('Output Utente'!$G$2:$G$492,MATCH(32,'Output Utente'!$R$2:$R$492,0)),"")</f>
        <v/>
      </c>
      <c r="K35" s="24" t="str">
        <f>IFERROR(INDEX('Output Utente'!$H$2:$H$492,MATCH(32,'Output Utente'!$R$2:$R$492,0)),"")</f>
        <v/>
      </c>
      <c r="L35" s="23" t="str">
        <f>IFERROR(INDEX('Output Utente'!$E$2:$E$492,MATCH(32,'Output Utente'!$R$2:$R$492,0)),"")</f>
        <v/>
      </c>
      <c r="V35" t="str">
        <f>IFERROR(INDEX('Output Utente'!$M$2:$M$492,MATCH(32,'Output Utente'!$R$2:$R$492,0)),"")</f>
        <v/>
      </c>
      <c r="W35" t="str">
        <f t="shared" si="0"/>
        <v/>
      </c>
      <c r="X35" t="str">
        <f>IFERROR(INDEX('Output Utente'!$AF$2:$AF$492,MATCH(32,'Output Utente'!$R$2:$R$492,0)),"")</f>
        <v/>
      </c>
    </row>
    <row r="36" spans="1:24" ht="15" customHeight="1" x14ac:dyDescent="0.25">
      <c r="A36" s="26">
        <v>33</v>
      </c>
      <c r="B36" s="23" t="str">
        <f>IFERROR(INDEX('Output Utente'!$A$2:$A$492,MATCH(33,'Output Utente'!$R$2:$R$492,0)),"")</f>
        <v/>
      </c>
      <c r="C36" s="23" t="str">
        <f>IFERROR(INDEX('Output Utente'!$B$2:$B$492,MATCH(33,'Output Utente'!$R$2:$R$492,0)),"")</f>
        <v/>
      </c>
      <c r="D36" s="23" t="str">
        <f>IFERROR(INDEX('Output Utente'!$C$2:$C$492,MATCH(33,'Output Utente'!$R$2:$R$492,0)),"")</f>
        <v/>
      </c>
      <c r="E36" s="23" t="str">
        <f>IFERROR(INDEX('Input Giocatori 2026_27'!$D$3:$D$493,MATCH($B36,'Input Giocatori 2026_27'!$A$3:$A$493,0)),"")</f>
        <v/>
      </c>
      <c r="F36" s="24" t="str">
        <f>IFERROR(INDEX('Output Utente'!$N$2:$N$492,MATCH(33,'Output Utente'!$R$2:$R$492,0)),"")</f>
        <v/>
      </c>
      <c r="G36" s="23" t="str">
        <f>IFERROR(INDEX('Output Utente'!$O$2:$O$492,MATCH(33,'Output Utente'!$R$2:$R$492,0)),"")</f>
        <v/>
      </c>
      <c r="H36" s="23" t="str">
        <f>IFERROR(INDEX('Output Utente'!$P$2:$P$492,MATCH(33,'Output Utente'!$R$2:$R$492,0)),"")</f>
        <v/>
      </c>
      <c r="I36" s="24" t="str">
        <f>IFERROR(INDEX('Output Utente'!$F$2:$F$492,MATCH(33,'Output Utente'!$R$2:$R$492,0)),"")</f>
        <v/>
      </c>
      <c r="J36" s="24" t="str">
        <f>IFERROR(INDEX('Output Utente'!$G$2:$G$492,MATCH(33,'Output Utente'!$R$2:$R$492,0)),"")</f>
        <v/>
      </c>
      <c r="K36" s="24" t="str">
        <f>IFERROR(INDEX('Output Utente'!$H$2:$H$492,MATCH(33,'Output Utente'!$R$2:$R$492,0)),"")</f>
        <v/>
      </c>
      <c r="L36" s="23" t="str">
        <f>IFERROR(INDEX('Output Utente'!$E$2:$E$492,MATCH(33,'Output Utente'!$R$2:$R$492,0)),"")</f>
        <v/>
      </c>
      <c r="V36" t="str">
        <f>IFERROR(INDEX('Output Utente'!$M$2:$M$492,MATCH(33,'Output Utente'!$R$2:$R$492,0)),"")</f>
        <v/>
      </c>
      <c r="W36" t="str">
        <f t="shared" si="0"/>
        <v/>
      </c>
      <c r="X36" t="str">
        <f>IFERROR(INDEX('Output Utente'!$AF$2:$AF$492,MATCH(33,'Output Utente'!$R$2:$R$492,0)),"")</f>
        <v/>
      </c>
    </row>
    <row r="37" spans="1:24" ht="15" customHeight="1" x14ac:dyDescent="0.25">
      <c r="A37" s="26">
        <v>34</v>
      </c>
      <c r="B37" s="23" t="str">
        <f>IFERROR(INDEX('Output Utente'!$A$2:$A$492,MATCH(34,'Output Utente'!$R$2:$R$492,0)),"")</f>
        <v/>
      </c>
      <c r="C37" s="23" t="str">
        <f>IFERROR(INDEX('Output Utente'!$B$2:$B$492,MATCH(34,'Output Utente'!$R$2:$R$492,0)),"")</f>
        <v/>
      </c>
      <c r="D37" s="23" t="str">
        <f>IFERROR(INDEX('Output Utente'!$C$2:$C$492,MATCH(34,'Output Utente'!$R$2:$R$492,0)),"")</f>
        <v/>
      </c>
      <c r="E37" s="23" t="str">
        <f>IFERROR(INDEX('Input Giocatori 2026_27'!$D$3:$D$493,MATCH($B37,'Input Giocatori 2026_27'!$A$3:$A$493,0)),"")</f>
        <v/>
      </c>
      <c r="F37" s="24" t="str">
        <f>IFERROR(INDEX('Output Utente'!$N$2:$N$492,MATCH(34,'Output Utente'!$R$2:$R$492,0)),"")</f>
        <v/>
      </c>
      <c r="G37" s="23" t="str">
        <f>IFERROR(INDEX('Output Utente'!$O$2:$O$492,MATCH(34,'Output Utente'!$R$2:$R$492,0)),"")</f>
        <v/>
      </c>
      <c r="H37" s="23" t="str">
        <f>IFERROR(INDEX('Output Utente'!$P$2:$P$492,MATCH(34,'Output Utente'!$R$2:$R$492,0)),"")</f>
        <v/>
      </c>
      <c r="I37" s="24" t="str">
        <f>IFERROR(INDEX('Output Utente'!$F$2:$F$492,MATCH(34,'Output Utente'!$R$2:$R$492,0)),"")</f>
        <v/>
      </c>
      <c r="J37" s="24" t="str">
        <f>IFERROR(INDEX('Output Utente'!$G$2:$G$492,MATCH(34,'Output Utente'!$R$2:$R$492,0)),"")</f>
        <v/>
      </c>
      <c r="K37" s="24" t="str">
        <f>IFERROR(INDEX('Output Utente'!$H$2:$H$492,MATCH(34,'Output Utente'!$R$2:$R$492,0)),"")</f>
        <v/>
      </c>
      <c r="L37" s="23" t="str">
        <f>IFERROR(INDEX('Output Utente'!$E$2:$E$492,MATCH(34,'Output Utente'!$R$2:$R$492,0)),"")</f>
        <v/>
      </c>
      <c r="V37" t="str">
        <f>IFERROR(INDEX('Output Utente'!$M$2:$M$492,MATCH(34,'Output Utente'!$R$2:$R$492,0)),"")</f>
        <v/>
      </c>
      <c r="W37" t="str">
        <f t="shared" si="0"/>
        <v/>
      </c>
      <c r="X37" t="str">
        <f>IFERROR(INDEX('Output Utente'!$AF$2:$AF$492,MATCH(34,'Output Utente'!$R$2:$R$492,0)),"")</f>
        <v/>
      </c>
    </row>
    <row r="38" spans="1:24" ht="15" customHeight="1" x14ac:dyDescent="0.25">
      <c r="A38" s="26">
        <v>35</v>
      </c>
      <c r="B38" s="23" t="str">
        <f>IFERROR(INDEX('Output Utente'!$A$2:$A$492,MATCH(35,'Output Utente'!$R$2:$R$492,0)),"")</f>
        <v/>
      </c>
      <c r="C38" s="23" t="str">
        <f>IFERROR(INDEX('Output Utente'!$B$2:$B$492,MATCH(35,'Output Utente'!$R$2:$R$492,0)),"")</f>
        <v/>
      </c>
      <c r="D38" s="23" t="str">
        <f>IFERROR(INDEX('Output Utente'!$C$2:$C$492,MATCH(35,'Output Utente'!$R$2:$R$492,0)),"")</f>
        <v/>
      </c>
      <c r="E38" s="23" t="str">
        <f>IFERROR(INDEX('Input Giocatori 2026_27'!$D$3:$D$493,MATCH($B38,'Input Giocatori 2026_27'!$A$3:$A$493,0)),"")</f>
        <v/>
      </c>
      <c r="F38" s="24" t="str">
        <f>IFERROR(INDEX('Output Utente'!$N$2:$N$492,MATCH(35,'Output Utente'!$R$2:$R$492,0)),"")</f>
        <v/>
      </c>
      <c r="G38" s="23" t="str">
        <f>IFERROR(INDEX('Output Utente'!$O$2:$O$492,MATCH(35,'Output Utente'!$R$2:$R$492,0)),"")</f>
        <v/>
      </c>
      <c r="H38" s="23" t="str">
        <f>IFERROR(INDEX('Output Utente'!$P$2:$P$492,MATCH(35,'Output Utente'!$R$2:$R$492,0)),"")</f>
        <v/>
      </c>
      <c r="I38" s="24" t="str">
        <f>IFERROR(INDEX('Output Utente'!$F$2:$F$492,MATCH(35,'Output Utente'!$R$2:$R$492,0)),"")</f>
        <v/>
      </c>
      <c r="J38" s="24" t="str">
        <f>IFERROR(INDEX('Output Utente'!$G$2:$G$492,MATCH(35,'Output Utente'!$R$2:$R$492,0)),"")</f>
        <v/>
      </c>
      <c r="K38" s="24" t="str">
        <f>IFERROR(INDEX('Output Utente'!$H$2:$H$492,MATCH(35,'Output Utente'!$R$2:$R$492,0)),"")</f>
        <v/>
      </c>
      <c r="L38" s="23" t="str">
        <f>IFERROR(INDEX('Output Utente'!$E$2:$E$492,MATCH(35,'Output Utente'!$R$2:$R$492,0)),"")</f>
        <v/>
      </c>
      <c r="V38" t="str">
        <f>IFERROR(INDEX('Output Utente'!$M$2:$M$492,MATCH(35,'Output Utente'!$R$2:$R$492,0)),"")</f>
        <v/>
      </c>
      <c r="W38" t="str">
        <f t="shared" si="0"/>
        <v/>
      </c>
      <c r="X38" t="str">
        <f>IFERROR(INDEX('Output Utente'!$AF$2:$AF$492,MATCH(35,'Output Utente'!$R$2:$R$492,0)),"")</f>
        <v/>
      </c>
    </row>
    <row r="39" spans="1:24" ht="15" customHeight="1" x14ac:dyDescent="0.25">
      <c r="A39" s="26">
        <v>36</v>
      </c>
      <c r="B39" s="23" t="str">
        <f>IFERROR(INDEX('Output Utente'!$A$2:$A$492,MATCH(36,'Output Utente'!$R$2:$R$492,0)),"")</f>
        <v/>
      </c>
      <c r="C39" s="23" t="str">
        <f>IFERROR(INDEX('Output Utente'!$B$2:$B$492,MATCH(36,'Output Utente'!$R$2:$R$492,0)),"")</f>
        <v/>
      </c>
      <c r="D39" s="23" t="str">
        <f>IFERROR(INDEX('Output Utente'!$C$2:$C$492,MATCH(36,'Output Utente'!$R$2:$R$492,0)),"")</f>
        <v/>
      </c>
      <c r="E39" s="23" t="str">
        <f>IFERROR(INDEX('Input Giocatori 2026_27'!$D$3:$D$493,MATCH($B39,'Input Giocatori 2026_27'!$A$3:$A$493,0)),"")</f>
        <v/>
      </c>
      <c r="F39" s="24" t="str">
        <f>IFERROR(INDEX('Output Utente'!$N$2:$N$492,MATCH(36,'Output Utente'!$R$2:$R$492,0)),"")</f>
        <v/>
      </c>
      <c r="G39" s="23" t="str">
        <f>IFERROR(INDEX('Output Utente'!$O$2:$O$492,MATCH(36,'Output Utente'!$R$2:$R$492,0)),"")</f>
        <v/>
      </c>
      <c r="H39" s="23" t="str">
        <f>IFERROR(INDEX('Output Utente'!$P$2:$P$492,MATCH(36,'Output Utente'!$R$2:$R$492,0)),"")</f>
        <v/>
      </c>
      <c r="I39" s="24" t="str">
        <f>IFERROR(INDEX('Output Utente'!$F$2:$F$492,MATCH(36,'Output Utente'!$R$2:$R$492,0)),"")</f>
        <v/>
      </c>
      <c r="J39" s="24" t="str">
        <f>IFERROR(INDEX('Output Utente'!$G$2:$G$492,MATCH(36,'Output Utente'!$R$2:$R$492,0)),"")</f>
        <v/>
      </c>
      <c r="K39" s="24" t="str">
        <f>IFERROR(INDEX('Output Utente'!$H$2:$H$492,MATCH(36,'Output Utente'!$R$2:$R$492,0)),"")</f>
        <v/>
      </c>
      <c r="L39" s="23" t="str">
        <f>IFERROR(INDEX('Output Utente'!$E$2:$E$492,MATCH(36,'Output Utente'!$R$2:$R$492,0)),"")</f>
        <v/>
      </c>
      <c r="V39" t="str">
        <f>IFERROR(INDEX('Output Utente'!$M$2:$M$492,MATCH(36,'Output Utente'!$R$2:$R$492,0)),"")</f>
        <v/>
      </c>
      <c r="W39" t="str">
        <f t="shared" si="0"/>
        <v/>
      </c>
      <c r="X39" t="str">
        <f>IFERROR(INDEX('Output Utente'!$AF$2:$AF$492,MATCH(36,'Output Utente'!$R$2:$R$492,0)),"")</f>
        <v/>
      </c>
    </row>
    <row r="40" spans="1:24" ht="15" customHeight="1" x14ac:dyDescent="0.25">
      <c r="A40" s="26">
        <v>37</v>
      </c>
      <c r="B40" s="23" t="str">
        <f>IFERROR(INDEX('Output Utente'!$A$2:$A$492,MATCH(37,'Output Utente'!$R$2:$R$492,0)),"")</f>
        <v/>
      </c>
      <c r="C40" s="23" t="str">
        <f>IFERROR(INDEX('Output Utente'!$B$2:$B$492,MATCH(37,'Output Utente'!$R$2:$R$492,0)),"")</f>
        <v/>
      </c>
      <c r="D40" s="23" t="str">
        <f>IFERROR(INDEX('Output Utente'!$C$2:$C$492,MATCH(37,'Output Utente'!$R$2:$R$492,0)),"")</f>
        <v/>
      </c>
      <c r="E40" s="23" t="str">
        <f>IFERROR(INDEX('Input Giocatori 2026_27'!$D$3:$D$493,MATCH($B40,'Input Giocatori 2026_27'!$A$3:$A$493,0)),"")</f>
        <v/>
      </c>
      <c r="F40" s="24" t="str">
        <f>IFERROR(INDEX('Output Utente'!$N$2:$N$492,MATCH(37,'Output Utente'!$R$2:$R$492,0)),"")</f>
        <v/>
      </c>
      <c r="G40" s="23" t="str">
        <f>IFERROR(INDEX('Output Utente'!$O$2:$O$492,MATCH(37,'Output Utente'!$R$2:$R$492,0)),"")</f>
        <v/>
      </c>
      <c r="H40" s="23" t="str">
        <f>IFERROR(INDEX('Output Utente'!$P$2:$P$492,MATCH(37,'Output Utente'!$R$2:$R$492,0)),"")</f>
        <v/>
      </c>
      <c r="I40" s="24" t="str">
        <f>IFERROR(INDEX('Output Utente'!$F$2:$F$492,MATCH(37,'Output Utente'!$R$2:$R$492,0)),"")</f>
        <v/>
      </c>
      <c r="J40" s="24" t="str">
        <f>IFERROR(INDEX('Output Utente'!$G$2:$G$492,MATCH(37,'Output Utente'!$R$2:$R$492,0)),"")</f>
        <v/>
      </c>
      <c r="K40" s="24" t="str">
        <f>IFERROR(INDEX('Output Utente'!$H$2:$H$492,MATCH(37,'Output Utente'!$R$2:$R$492,0)),"")</f>
        <v/>
      </c>
      <c r="L40" s="23" t="str">
        <f>IFERROR(INDEX('Output Utente'!$E$2:$E$492,MATCH(37,'Output Utente'!$R$2:$R$492,0)),"")</f>
        <v/>
      </c>
      <c r="V40" t="str">
        <f>IFERROR(INDEX('Output Utente'!$M$2:$M$492,MATCH(37,'Output Utente'!$R$2:$R$492,0)),"")</f>
        <v/>
      </c>
      <c r="W40" t="str">
        <f t="shared" si="0"/>
        <v/>
      </c>
      <c r="X40" t="str">
        <f>IFERROR(INDEX('Output Utente'!$AF$2:$AF$492,MATCH(37,'Output Utente'!$R$2:$R$492,0)),"")</f>
        <v/>
      </c>
    </row>
    <row r="41" spans="1:24" ht="15" customHeight="1" x14ac:dyDescent="0.25">
      <c r="A41" s="26">
        <v>38</v>
      </c>
      <c r="B41" s="23" t="str">
        <f>IFERROR(INDEX('Output Utente'!$A$2:$A$492,MATCH(38,'Output Utente'!$R$2:$R$492,0)),"")</f>
        <v/>
      </c>
      <c r="C41" s="23" t="str">
        <f>IFERROR(INDEX('Output Utente'!$B$2:$B$492,MATCH(38,'Output Utente'!$R$2:$R$492,0)),"")</f>
        <v/>
      </c>
      <c r="D41" s="23" t="str">
        <f>IFERROR(INDEX('Output Utente'!$C$2:$C$492,MATCH(38,'Output Utente'!$R$2:$R$492,0)),"")</f>
        <v/>
      </c>
      <c r="E41" s="23" t="str">
        <f>IFERROR(INDEX('Input Giocatori 2026_27'!$D$3:$D$493,MATCH($B41,'Input Giocatori 2026_27'!$A$3:$A$493,0)),"")</f>
        <v/>
      </c>
      <c r="F41" s="24" t="str">
        <f>IFERROR(INDEX('Output Utente'!$N$2:$N$492,MATCH(38,'Output Utente'!$R$2:$R$492,0)),"")</f>
        <v/>
      </c>
      <c r="G41" s="23" t="str">
        <f>IFERROR(INDEX('Output Utente'!$O$2:$O$492,MATCH(38,'Output Utente'!$R$2:$R$492,0)),"")</f>
        <v/>
      </c>
      <c r="H41" s="23" t="str">
        <f>IFERROR(INDEX('Output Utente'!$P$2:$P$492,MATCH(38,'Output Utente'!$R$2:$R$492,0)),"")</f>
        <v/>
      </c>
      <c r="I41" s="24" t="str">
        <f>IFERROR(INDEX('Output Utente'!$F$2:$F$492,MATCH(38,'Output Utente'!$R$2:$R$492,0)),"")</f>
        <v/>
      </c>
      <c r="J41" s="24" t="str">
        <f>IFERROR(INDEX('Output Utente'!$G$2:$G$492,MATCH(38,'Output Utente'!$R$2:$R$492,0)),"")</f>
        <v/>
      </c>
      <c r="K41" s="24" t="str">
        <f>IFERROR(INDEX('Output Utente'!$H$2:$H$492,MATCH(38,'Output Utente'!$R$2:$R$492,0)),"")</f>
        <v/>
      </c>
      <c r="L41" s="23" t="str">
        <f>IFERROR(INDEX('Output Utente'!$E$2:$E$492,MATCH(38,'Output Utente'!$R$2:$R$492,0)),"")</f>
        <v/>
      </c>
      <c r="V41" t="str">
        <f>IFERROR(INDEX('Output Utente'!$M$2:$M$492,MATCH(38,'Output Utente'!$R$2:$R$492,0)),"")</f>
        <v/>
      </c>
      <c r="W41" t="str">
        <f t="shared" si="0"/>
        <v/>
      </c>
      <c r="X41" t="str">
        <f>IFERROR(INDEX('Output Utente'!$AF$2:$AF$492,MATCH(38,'Output Utente'!$R$2:$R$492,0)),"")</f>
        <v/>
      </c>
    </row>
    <row r="42" spans="1:24" ht="15" customHeight="1" x14ac:dyDescent="0.25">
      <c r="A42" s="26">
        <v>39</v>
      </c>
      <c r="B42" s="23" t="str">
        <f>IFERROR(INDEX('Output Utente'!$A$2:$A$492,MATCH(39,'Output Utente'!$R$2:$R$492,0)),"")</f>
        <v/>
      </c>
      <c r="C42" s="23" t="str">
        <f>IFERROR(INDEX('Output Utente'!$B$2:$B$492,MATCH(39,'Output Utente'!$R$2:$R$492,0)),"")</f>
        <v/>
      </c>
      <c r="D42" s="23" t="str">
        <f>IFERROR(INDEX('Output Utente'!$C$2:$C$492,MATCH(39,'Output Utente'!$R$2:$R$492,0)),"")</f>
        <v/>
      </c>
      <c r="E42" s="23" t="str">
        <f>IFERROR(INDEX('Input Giocatori 2026_27'!$D$3:$D$493,MATCH($B42,'Input Giocatori 2026_27'!$A$3:$A$493,0)),"")</f>
        <v/>
      </c>
      <c r="F42" s="24" t="str">
        <f>IFERROR(INDEX('Output Utente'!$N$2:$N$492,MATCH(39,'Output Utente'!$R$2:$R$492,0)),"")</f>
        <v/>
      </c>
      <c r="G42" s="23" t="str">
        <f>IFERROR(INDEX('Output Utente'!$O$2:$O$492,MATCH(39,'Output Utente'!$R$2:$R$492,0)),"")</f>
        <v/>
      </c>
      <c r="H42" s="23" t="str">
        <f>IFERROR(INDEX('Output Utente'!$P$2:$P$492,MATCH(39,'Output Utente'!$R$2:$R$492,0)),"")</f>
        <v/>
      </c>
      <c r="I42" s="24" t="str">
        <f>IFERROR(INDEX('Output Utente'!$F$2:$F$492,MATCH(39,'Output Utente'!$R$2:$R$492,0)),"")</f>
        <v/>
      </c>
      <c r="J42" s="24" t="str">
        <f>IFERROR(INDEX('Output Utente'!$G$2:$G$492,MATCH(39,'Output Utente'!$R$2:$R$492,0)),"")</f>
        <v/>
      </c>
      <c r="K42" s="24" t="str">
        <f>IFERROR(INDEX('Output Utente'!$H$2:$H$492,MATCH(39,'Output Utente'!$R$2:$R$492,0)),"")</f>
        <v/>
      </c>
      <c r="L42" s="23" t="str">
        <f>IFERROR(INDEX('Output Utente'!$E$2:$E$492,MATCH(39,'Output Utente'!$R$2:$R$492,0)),"")</f>
        <v/>
      </c>
      <c r="V42" t="str">
        <f>IFERROR(INDEX('Output Utente'!$M$2:$M$492,MATCH(39,'Output Utente'!$R$2:$R$492,0)),"")</f>
        <v/>
      </c>
      <c r="W42" t="str">
        <f t="shared" si="0"/>
        <v/>
      </c>
      <c r="X42" t="str">
        <f>IFERROR(INDEX('Output Utente'!$AF$2:$AF$492,MATCH(39,'Output Utente'!$R$2:$R$492,0)),"")</f>
        <v/>
      </c>
    </row>
    <row r="43" spans="1:24" ht="15" customHeight="1" x14ac:dyDescent="0.25">
      <c r="A43" s="26">
        <v>40</v>
      </c>
      <c r="B43" s="23" t="str">
        <f>IFERROR(INDEX('Output Utente'!$A$2:$A$492,MATCH(40,'Output Utente'!$R$2:$R$492,0)),"")</f>
        <v/>
      </c>
      <c r="C43" s="23" t="str">
        <f>IFERROR(INDEX('Output Utente'!$B$2:$B$492,MATCH(40,'Output Utente'!$R$2:$R$492,0)),"")</f>
        <v/>
      </c>
      <c r="D43" s="23" t="str">
        <f>IFERROR(INDEX('Output Utente'!$C$2:$C$492,MATCH(40,'Output Utente'!$R$2:$R$492,0)),"")</f>
        <v/>
      </c>
      <c r="E43" s="23" t="str">
        <f>IFERROR(INDEX('Input Giocatori 2026_27'!$D$3:$D$493,MATCH($B43,'Input Giocatori 2026_27'!$A$3:$A$493,0)),"")</f>
        <v/>
      </c>
      <c r="F43" s="24" t="str">
        <f>IFERROR(INDEX('Output Utente'!$N$2:$N$492,MATCH(40,'Output Utente'!$R$2:$R$492,0)),"")</f>
        <v/>
      </c>
      <c r="G43" s="23" t="str">
        <f>IFERROR(INDEX('Output Utente'!$O$2:$O$492,MATCH(40,'Output Utente'!$R$2:$R$492,0)),"")</f>
        <v/>
      </c>
      <c r="H43" s="23" t="str">
        <f>IFERROR(INDEX('Output Utente'!$P$2:$P$492,MATCH(40,'Output Utente'!$R$2:$R$492,0)),"")</f>
        <v/>
      </c>
      <c r="I43" s="24" t="str">
        <f>IFERROR(INDEX('Output Utente'!$F$2:$F$492,MATCH(40,'Output Utente'!$R$2:$R$492,0)),"")</f>
        <v/>
      </c>
      <c r="J43" s="24" t="str">
        <f>IFERROR(INDEX('Output Utente'!$G$2:$G$492,MATCH(40,'Output Utente'!$R$2:$R$492,0)),"")</f>
        <v/>
      </c>
      <c r="K43" s="24" t="str">
        <f>IFERROR(INDEX('Output Utente'!$H$2:$H$492,MATCH(40,'Output Utente'!$R$2:$R$492,0)),"")</f>
        <v/>
      </c>
      <c r="L43" s="23" t="str">
        <f>IFERROR(INDEX('Output Utente'!$E$2:$E$492,MATCH(40,'Output Utente'!$R$2:$R$492,0)),"")</f>
        <v/>
      </c>
      <c r="V43" t="str">
        <f>IFERROR(INDEX('Output Utente'!$M$2:$M$492,MATCH(40,'Output Utente'!$R$2:$R$492,0)),"")</f>
        <v/>
      </c>
      <c r="W43" t="str">
        <f t="shared" si="0"/>
        <v/>
      </c>
      <c r="X43" t="str">
        <f>IFERROR(INDEX('Output Utente'!$AF$2:$AF$492,MATCH(40,'Output Utente'!$R$2:$R$492,0)),"")</f>
        <v/>
      </c>
    </row>
    <row r="44" spans="1:24" ht="15" customHeight="1" x14ac:dyDescent="0.25">
      <c r="A44" s="26">
        <v>41</v>
      </c>
      <c r="B44" s="23" t="str">
        <f>IFERROR(INDEX('Output Utente'!$A$2:$A$492,MATCH(41,'Output Utente'!$R$2:$R$492,0)),"")</f>
        <v/>
      </c>
      <c r="C44" s="23" t="str">
        <f>IFERROR(INDEX('Output Utente'!$B$2:$B$492,MATCH(41,'Output Utente'!$R$2:$R$492,0)),"")</f>
        <v/>
      </c>
      <c r="D44" s="23" t="str">
        <f>IFERROR(INDEX('Output Utente'!$C$2:$C$492,MATCH(41,'Output Utente'!$R$2:$R$492,0)),"")</f>
        <v/>
      </c>
      <c r="E44" s="23" t="str">
        <f>IFERROR(INDEX('Input Giocatori 2026_27'!$D$3:$D$493,MATCH($B44,'Input Giocatori 2026_27'!$A$3:$A$493,0)),"")</f>
        <v/>
      </c>
      <c r="F44" s="24" t="str">
        <f>IFERROR(INDEX('Output Utente'!$N$2:$N$492,MATCH(41,'Output Utente'!$R$2:$R$492,0)),"")</f>
        <v/>
      </c>
      <c r="G44" s="23" t="str">
        <f>IFERROR(INDEX('Output Utente'!$O$2:$O$492,MATCH(41,'Output Utente'!$R$2:$R$492,0)),"")</f>
        <v/>
      </c>
      <c r="H44" s="23" t="str">
        <f>IFERROR(INDEX('Output Utente'!$P$2:$P$492,MATCH(41,'Output Utente'!$R$2:$R$492,0)),"")</f>
        <v/>
      </c>
      <c r="I44" s="24" t="str">
        <f>IFERROR(INDEX('Output Utente'!$F$2:$F$492,MATCH(41,'Output Utente'!$R$2:$R$492,0)),"")</f>
        <v/>
      </c>
      <c r="J44" s="24" t="str">
        <f>IFERROR(INDEX('Output Utente'!$G$2:$G$492,MATCH(41,'Output Utente'!$R$2:$R$492,0)),"")</f>
        <v/>
      </c>
      <c r="K44" s="24" t="str">
        <f>IFERROR(INDEX('Output Utente'!$H$2:$H$492,MATCH(41,'Output Utente'!$R$2:$R$492,0)),"")</f>
        <v/>
      </c>
      <c r="L44" s="23" t="str">
        <f>IFERROR(INDEX('Output Utente'!$E$2:$E$492,MATCH(41,'Output Utente'!$R$2:$R$492,0)),"")</f>
        <v/>
      </c>
      <c r="V44" t="str">
        <f>IFERROR(INDEX('Output Utente'!$M$2:$M$492,MATCH(41,'Output Utente'!$R$2:$R$492,0)),"")</f>
        <v/>
      </c>
      <c r="W44" t="str">
        <f t="shared" si="0"/>
        <v/>
      </c>
      <c r="X44" t="str">
        <f>IFERROR(INDEX('Output Utente'!$AF$2:$AF$492,MATCH(41,'Output Utente'!$R$2:$R$492,0)),"")</f>
        <v/>
      </c>
    </row>
    <row r="45" spans="1:24" ht="15" customHeight="1" x14ac:dyDescent="0.25">
      <c r="A45" s="26">
        <v>42</v>
      </c>
      <c r="B45" s="23" t="str">
        <f>IFERROR(INDEX('Output Utente'!$A$2:$A$492,MATCH(42,'Output Utente'!$R$2:$R$492,0)),"")</f>
        <v/>
      </c>
      <c r="C45" s="23" t="str">
        <f>IFERROR(INDEX('Output Utente'!$B$2:$B$492,MATCH(42,'Output Utente'!$R$2:$R$492,0)),"")</f>
        <v/>
      </c>
      <c r="D45" s="23" t="str">
        <f>IFERROR(INDEX('Output Utente'!$C$2:$C$492,MATCH(42,'Output Utente'!$R$2:$R$492,0)),"")</f>
        <v/>
      </c>
      <c r="E45" s="23" t="str">
        <f>IFERROR(INDEX('Input Giocatori 2026_27'!$D$3:$D$493,MATCH($B45,'Input Giocatori 2026_27'!$A$3:$A$493,0)),"")</f>
        <v/>
      </c>
      <c r="F45" s="24" t="str">
        <f>IFERROR(INDEX('Output Utente'!$N$2:$N$492,MATCH(42,'Output Utente'!$R$2:$R$492,0)),"")</f>
        <v/>
      </c>
      <c r="G45" s="23" t="str">
        <f>IFERROR(INDEX('Output Utente'!$O$2:$O$492,MATCH(42,'Output Utente'!$R$2:$R$492,0)),"")</f>
        <v/>
      </c>
      <c r="H45" s="23" t="str">
        <f>IFERROR(INDEX('Output Utente'!$P$2:$P$492,MATCH(42,'Output Utente'!$R$2:$R$492,0)),"")</f>
        <v/>
      </c>
      <c r="I45" s="24" t="str">
        <f>IFERROR(INDEX('Output Utente'!$F$2:$F$492,MATCH(42,'Output Utente'!$R$2:$R$492,0)),"")</f>
        <v/>
      </c>
      <c r="J45" s="24" t="str">
        <f>IFERROR(INDEX('Output Utente'!$G$2:$G$492,MATCH(42,'Output Utente'!$R$2:$R$492,0)),"")</f>
        <v/>
      </c>
      <c r="K45" s="24" t="str">
        <f>IFERROR(INDEX('Output Utente'!$H$2:$H$492,MATCH(42,'Output Utente'!$R$2:$R$492,0)),"")</f>
        <v/>
      </c>
      <c r="L45" s="23" t="str">
        <f>IFERROR(INDEX('Output Utente'!$E$2:$E$492,MATCH(42,'Output Utente'!$R$2:$R$492,0)),"")</f>
        <v/>
      </c>
      <c r="V45" t="str">
        <f>IFERROR(INDEX('Output Utente'!$M$2:$M$492,MATCH(42,'Output Utente'!$R$2:$R$492,0)),"")</f>
        <v/>
      </c>
      <c r="W45" t="str">
        <f t="shared" si="0"/>
        <v/>
      </c>
      <c r="X45" t="str">
        <f>IFERROR(INDEX('Output Utente'!$AF$2:$AF$492,MATCH(42,'Output Utente'!$R$2:$R$492,0)),"")</f>
        <v/>
      </c>
    </row>
    <row r="46" spans="1:24" ht="15" customHeight="1" x14ac:dyDescent="0.25">
      <c r="A46" s="26">
        <v>43</v>
      </c>
      <c r="B46" s="23" t="str">
        <f>IFERROR(INDEX('Output Utente'!$A$2:$A$492,MATCH(43,'Output Utente'!$R$2:$R$492,0)),"")</f>
        <v/>
      </c>
      <c r="C46" s="23" t="str">
        <f>IFERROR(INDEX('Output Utente'!$B$2:$B$492,MATCH(43,'Output Utente'!$R$2:$R$492,0)),"")</f>
        <v/>
      </c>
      <c r="D46" s="23" t="str">
        <f>IFERROR(INDEX('Output Utente'!$C$2:$C$492,MATCH(43,'Output Utente'!$R$2:$R$492,0)),"")</f>
        <v/>
      </c>
      <c r="E46" s="23" t="str">
        <f>IFERROR(INDEX('Input Giocatori 2026_27'!$D$3:$D$493,MATCH($B46,'Input Giocatori 2026_27'!$A$3:$A$493,0)),"")</f>
        <v/>
      </c>
      <c r="F46" s="24" t="str">
        <f>IFERROR(INDEX('Output Utente'!$N$2:$N$492,MATCH(43,'Output Utente'!$R$2:$R$492,0)),"")</f>
        <v/>
      </c>
      <c r="G46" s="23" t="str">
        <f>IFERROR(INDEX('Output Utente'!$O$2:$O$492,MATCH(43,'Output Utente'!$R$2:$R$492,0)),"")</f>
        <v/>
      </c>
      <c r="H46" s="23" t="str">
        <f>IFERROR(INDEX('Output Utente'!$P$2:$P$492,MATCH(43,'Output Utente'!$R$2:$R$492,0)),"")</f>
        <v/>
      </c>
      <c r="I46" s="24" t="str">
        <f>IFERROR(INDEX('Output Utente'!$F$2:$F$492,MATCH(43,'Output Utente'!$R$2:$R$492,0)),"")</f>
        <v/>
      </c>
      <c r="J46" s="24" t="str">
        <f>IFERROR(INDEX('Output Utente'!$G$2:$G$492,MATCH(43,'Output Utente'!$R$2:$R$492,0)),"")</f>
        <v/>
      </c>
      <c r="K46" s="24" t="str">
        <f>IFERROR(INDEX('Output Utente'!$H$2:$H$492,MATCH(43,'Output Utente'!$R$2:$R$492,0)),"")</f>
        <v/>
      </c>
      <c r="L46" s="23" t="str">
        <f>IFERROR(INDEX('Output Utente'!$E$2:$E$492,MATCH(43,'Output Utente'!$R$2:$R$492,0)),"")</f>
        <v/>
      </c>
      <c r="V46" t="str">
        <f>IFERROR(INDEX('Output Utente'!$M$2:$M$492,MATCH(43,'Output Utente'!$R$2:$R$492,0)),"")</f>
        <v/>
      </c>
      <c r="W46" t="str">
        <f t="shared" si="0"/>
        <v/>
      </c>
      <c r="X46" t="str">
        <f>IFERROR(INDEX('Output Utente'!$AF$2:$AF$492,MATCH(43,'Output Utente'!$R$2:$R$492,0)),"")</f>
        <v/>
      </c>
    </row>
    <row r="47" spans="1:24" ht="15" customHeight="1" x14ac:dyDescent="0.25">
      <c r="A47" s="26">
        <v>44</v>
      </c>
      <c r="B47" s="23" t="str">
        <f>IFERROR(INDEX('Output Utente'!$A$2:$A$492,MATCH(44,'Output Utente'!$R$2:$R$492,0)),"")</f>
        <v/>
      </c>
      <c r="C47" s="23" t="str">
        <f>IFERROR(INDEX('Output Utente'!$B$2:$B$492,MATCH(44,'Output Utente'!$R$2:$R$492,0)),"")</f>
        <v/>
      </c>
      <c r="D47" s="23" t="str">
        <f>IFERROR(INDEX('Output Utente'!$C$2:$C$492,MATCH(44,'Output Utente'!$R$2:$R$492,0)),"")</f>
        <v/>
      </c>
      <c r="E47" s="23" t="str">
        <f>IFERROR(INDEX('Input Giocatori 2026_27'!$D$3:$D$493,MATCH($B47,'Input Giocatori 2026_27'!$A$3:$A$493,0)),"")</f>
        <v/>
      </c>
      <c r="F47" s="24" t="str">
        <f>IFERROR(INDEX('Output Utente'!$N$2:$N$492,MATCH(44,'Output Utente'!$R$2:$R$492,0)),"")</f>
        <v/>
      </c>
      <c r="G47" s="23" t="str">
        <f>IFERROR(INDEX('Output Utente'!$O$2:$O$492,MATCH(44,'Output Utente'!$R$2:$R$492,0)),"")</f>
        <v/>
      </c>
      <c r="H47" s="23" t="str">
        <f>IFERROR(INDEX('Output Utente'!$P$2:$P$492,MATCH(44,'Output Utente'!$R$2:$R$492,0)),"")</f>
        <v/>
      </c>
      <c r="I47" s="24" t="str">
        <f>IFERROR(INDEX('Output Utente'!$F$2:$F$492,MATCH(44,'Output Utente'!$R$2:$R$492,0)),"")</f>
        <v/>
      </c>
      <c r="J47" s="24" t="str">
        <f>IFERROR(INDEX('Output Utente'!$G$2:$G$492,MATCH(44,'Output Utente'!$R$2:$R$492,0)),"")</f>
        <v/>
      </c>
      <c r="K47" s="24" t="str">
        <f>IFERROR(INDEX('Output Utente'!$H$2:$H$492,MATCH(44,'Output Utente'!$R$2:$R$492,0)),"")</f>
        <v/>
      </c>
      <c r="L47" s="23" t="str">
        <f>IFERROR(INDEX('Output Utente'!$E$2:$E$492,MATCH(44,'Output Utente'!$R$2:$R$492,0)),"")</f>
        <v/>
      </c>
      <c r="V47" t="str">
        <f>IFERROR(INDEX('Output Utente'!$M$2:$M$492,MATCH(44,'Output Utente'!$R$2:$R$492,0)),"")</f>
        <v/>
      </c>
      <c r="W47" t="str">
        <f t="shared" si="0"/>
        <v/>
      </c>
      <c r="X47" t="str">
        <f>IFERROR(INDEX('Output Utente'!$AF$2:$AF$492,MATCH(44,'Output Utente'!$R$2:$R$492,0)),"")</f>
        <v/>
      </c>
    </row>
    <row r="48" spans="1:24" ht="15" customHeight="1" x14ac:dyDescent="0.25">
      <c r="A48" s="26">
        <v>45</v>
      </c>
      <c r="B48" s="23" t="str">
        <f>IFERROR(INDEX('Output Utente'!$A$2:$A$492,MATCH(45,'Output Utente'!$R$2:$R$492,0)),"")</f>
        <v/>
      </c>
      <c r="C48" s="23" t="str">
        <f>IFERROR(INDEX('Output Utente'!$B$2:$B$492,MATCH(45,'Output Utente'!$R$2:$R$492,0)),"")</f>
        <v/>
      </c>
      <c r="D48" s="23" t="str">
        <f>IFERROR(INDEX('Output Utente'!$C$2:$C$492,MATCH(45,'Output Utente'!$R$2:$R$492,0)),"")</f>
        <v/>
      </c>
      <c r="E48" s="23" t="str">
        <f>IFERROR(INDEX('Input Giocatori 2026_27'!$D$3:$D$493,MATCH($B48,'Input Giocatori 2026_27'!$A$3:$A$493,0)),"")</f>
        <v/>
      </c>
      <c r="F48" s="24" t="str">
        <f>IFERROR(INDEX('Output Utente'!$N$2:$N$492,MATCH(45,'Output Utente'!$R$2:$R$492,0)),"")</f>
        <v/>
      </c>
      <c r="G48" s="23" t="str">
        <f>IFERROR(INDEX('Output Utente'!$O$2:$O$492,MATCH(45,'Output Utente'!$R$2:$R$492,0)),"")</f>
        <v/>
      </c>
      <c r="H48" s="23" t="str">
        <f>IFERROR(INDEX('Output Utente'!$P$2:$P$492,MATCH(45,'Output Utente'!$R$2:$R$492,0)),"")</f>
        <v/>
      </c>
      <c r="I48" s="24" t="str">
        <f>IFERROR(INDEX('Output Utente'!$F$2:$F$492,MATCH(45,'Output Utente'!$R$2:$R$492,0)),"")</f>
        <v/>
      </c>
      <c r="J48" s="24" t="str">
        <f>IFERROR(INDEX('Output Utente'!$G$2:$G$492,MATCH(45,'Output Utente'!$R$2:$R$492,0)),"")</f>
        <v/>
      </c>
      <c r="K48" s="24" t="str">
        <f>IFERROR(INDEX('Output Utente'!$H$2:$H$492,MATCH(45,'Output Utente'!$R$2:$R$492,0)),"")</f>
        <v/>
      </c>
      <c r="L48" s="23" t="str">
        <f>IFERROR(INDEX('Output Utente'!$E$2:$E$492,MATCH(45,'Output Utente'!$R$2:$R$492,0)),"")</f>
        <v/>
      </c>
      <c r="V48" t="str">
        <f>IFERROR(INDEX('Output Utente'!$M$2:$M$492,MATCH(45,'Output Utente'!$R$2:$R$492,0)),"")</f>
        <v/>
      </c>
      <c r="W48" t="str">
        <f t="shared" si="0"/>
        <v/>
      </c>
      <c r="X48" t="str">
        <f>IFERROR(INDEX('Output Utente'!$AF$2:$AF$492,MATCH(45,'Output Utente'!$R$2:$R$492,0)),"")</f>
        <v/>
      </c>
    </row>
    <row r="49" spans="1:24" ht="15" customHeight="1" x14ac:dyDescent="0.25">
      <c r="A49" s="26">
        <v>46</v>
      </c>
      <c r="B49" s="23" t="str">
        <f>IFERROR(INDEX('Output Utente'!$A$2:$A$492,MATCH(46,'Output Utente'!$R$2:$R$492,0)),"")</f>
        <v/>
      </c>
      <c r="C49" s="23" t="str">
        <f>IFERROR(INDEX('Output Utente'!$B$2:$B$492,MATCH(46,'Output Utente'!$R$2:$R$492,0)),"")</f>
        <v/>
      </c>
      <c r="D49" s="23" t="str">
        <f>IFERROR(INDEX('Output Utente'!$C$2:$C$492,MATCH(46,'Output Utente'!$R$2:$R$492,0)),"")</f>
        <v/>
      </c>
      <c r="E49" s="23" t="str">
        <f>IFERROR(INDEX('Input Giocatori 2026_27'!$D$3:$D$493,MATCH($B49,'Input Giocatori 2026_27'!$A$3:$A$493,0)),"")</f>
        <v/>
      </c>
      <c r="F49" s="24" t="str">
        <f>IFERROR(INDEX('Output Utente'!$N$2:$N$492,MATCH(46,'Output Utente'!$R$2:$R$492,0)),"")</f>
        <v/>
      </c>
      <c r="G49" s="23" t="str">
        <f>IFERROR(INDEX('Output Utente'!$O$2:$O$492,MATCH(46,'Output Utente'!$R$2:$R$492,0)),"")</f>
        <v/>
      </c>
      <c r="H49" s="23" t="str">
        <f>IFERROR(INDEX('Output Utente'!$P$2:$P$492,MATCH(46,'Output Utente'!$R$2:$R$492,0)),"")</f>
        <v/>
      </c>
      <c r="I49" s="24" t="str">
        <f>IFERROR(INDEX('Output Utente'!$F$2:$F$492,MATCH(46,'Output Utente'!$R$2:$R$492,0)),"")</f>
        <v/>
      </c>
      <c r="J49" s="24" t="str">
        <f>IFERROR(INDEX('Output Utente'!$G$2:$G$492,MATCH(46,'Output Utente'!$R$2:$R$492,0)),"")</f>
        <v/>
      </c>
      <c r="K49" s="24" t="str">
        <f>IFERROR(INDEX('Output Utente'!$H$2:$H$492,MATCH(46,'Output Utente'!$R$2:$R$492,0)),"")</f>
        <v/>
      </c>
      <c r="L49" s="23" t="str">
        <f>IFERROR(INDEX('Output Utente'!$E$2:$E$492,MATCH(46,'Output Utente'!$R$2:$R$492,0)),"")</f>
        <v/>
      </c>
      <c r="V49" t="str">
        <f>IFERROR(INDEX('Output Utente'!$M$2:$M$492,MATCH(46,'Output Utente'!$R$2:$R$492,0)),"")</f>
        <v/>
      </c>
      <c r="W49" t="str">
        <f t="shared" si="0"/>
        <v/>
      </c>
      <c r="X49" t="str">
        <f>IFERROR(INDEX('Output Utente'!$AF$2:$AF$492,MATCH(46,'Output Utente'!$R$2:$R$492,0)),"")</f>
        <v/>
      </c>
    </row>
    <row r="50" spans="1:24" ht="15" customHeight="1" x14ac:dyDescent="0.25">
      <c r="A50" s="26">
        <v>47</v>
      </c>
      <c r="B50" s="23" t="str">
        <f>IFERROR(INDEX('Output Utente'!$A$2:$A$492,MATCH(47,'Output Utente'!$R$2:$R$492,0)),"")</f>
        <v/>
      </c>
      <c r="C50" s="23" t="str">
        <f>IFERROR(INDEX('Output Utente'!$B$2:$B$492,MATCH(47,'Output Utente'!$R$2:$R$492,0)),"")</f>
        <v/>
      </c>
      <c r="D50" s="23" t="str">
        <f>IFERROR(INDEX('Output Utente'!$C$2:$C$492,MATCH(47,'Output Utente'!$R$2:$R$492,0)),"")</f>
        <v/>
      </c>
      <c r="E50" s="23" t="str">
        <f>IFERROR(INDEX('Input Giocatori 2026_27'!$D$3:$D$493,MATCH($B50,'Input Giocatori 2026_27'!$A$3:$A$493,0)),"")</f>
        <v/>
      </c>
      <c r="F50" s="24" t="str">
        <f>IFERROR(INDEX('Output Utente'!$N$2:$N$492,MATCH(47,'Output Utente'!$R$2:$R$492,0)),"")</f>
        <v/>
      </c>
      <c r="G50" s="23" t="str">
        <f>IFERROR(INDEX('Output Utente'!$O$2:$O$492,MATCH(47,'Output Utente'!$R$2:$R$492,0)),"")</f>
        <v/>
      </c>
      <c r="H50" s="23" t="str">
        <f>IFERROR(INDEX('Output Utente'!$P$2:$P$492,MATCH(47,'Output Utente'!$R$2:$R$492,0)),"")</f>
        <v/>
      </c>
      <c r="I50" s="24" t="str">
        <f>IFERROR(INDEX('Output Utente'!$F$2:$F$492,MATCH(47,'Output Utente'!$R$2:$R$492,0)),"")</f>
        <v/>
      </c>
      <c r="J50" s="24" t="str">
        <f>IFERROR(INDEX('Output Utente'!$G$2:$G$492,MATCH(47,'Output Utente'!$R$2:$R$492,0)),"")</f>
        <v/>
      </c>
      <c r="K50" s="24" t="str">
        <f>IFERROR(INDEX('Output Utente'!$H$2:$H$492,MATCH(47,'Output Utente'!$R$2:$R$492,0)),"")</f>
        <v/>
      </c>
      <c r="L50" s="23" t="str">
        <f>IFERROR(INDEX('Output Utente'!$E$2:$E$492,MATCH(47,'Output Utente'!$R$2:$R$492,0)),"")</f>
        <v/>
      </c>
      <c r="V50" t="str">
        <f>IFERROR(INDEX('Output Utente'!$M$2:$M$492,MATCH(47,'Output Utente'!$R$2:$R$492,0)),"")</f>
        <v/>
      </c>
      <c r="W50" t="str">
        <f t="shared" si="0"/>
        <v/>
      </c>
      <c r="X50" t="str">
        <f>IFERROR(INDEX('Output Utente'!$AF$2:$AF$492,MATCH(47,'Output Utente'!$R$2:$R$492,0)),"")</f>
        <v/>
      </c>
    </row>
    <row r="51" spans="1:24" ht="15" customHeight="1" x14ac:dyDescent="0.25">
      <c r="A51" s="26">
        <v>48</v>
      </c>
      <c r="B51" s="23" t="str">
        <f>IFERROR(INDEX('Output Utente'!$A$2:$A$492,MATCH(48,'Output Utente'!$R$2:$R$492,0)),"")</f>
        <v/>
      </c>
      <c r="C51" s="23" t="str">
        <f>IFERROR(INDEX('Output Utente'!$B$2:$B$492,MATCH(48,'Output Utente'!$R$2:$R$492,0)),"")</f>
        <v/>
      </c>
      <c r="D51" s="23" t="str">
        <f>IFERROR(INDEX('Output Utente'!$C$2:$C$492,MATCH(48,'Output Utente'!$R$2:$R$492,0)),"")</f>
        <v/>
      </c>
      <c r="E51" s="23" t="str">
        <f>IFERROR(INDEX('Input Giocatori 2026_27'!$D$3:$D$493,MATCH($B51,'Input Giocatori 2026_27'!$A$3:$A$493,0)),"")</f>
        <v/>
      </c>
      <c r="F51" s="24" t="str">
        <f>IFERROR(INDEX('Output Utente'!$N$2:$N$492,MATCH(48,'Output Utente'!$R$2:$R$492,0)),"")</f>
        <v/>
      </c>
      <c r="G51" s="23" t="str">
        <f>IFERROR(INDEX('Output Utente'!$O$2:$O$492,MATCH(48,'Output Utente'!$R$2:$R$492,0)),"")</f>
        <v/>
      </c>
      <c r="H51" s="23" t="str">
        <f>IFERROR(INDEX('Output Utente'!$P$2:$P$492,MATCH(48,'Output Utente'!$R$2:$R$492,0)),"")</f>
        <v/>
      </c>
      <c r="I51" s="24" t="str">
        <f>IFERROR(INDEX('Output Utente'!$F$2:$F$492,MATCH(48,'Output Utente'!$R$2:$R$492,0)),"")</f>
        <v/>
      </c>
      <c r="J51" s="24" t="str">
        <f>IFERROR(INDEX('Output Utente'!$G$2:$G$492,MATCH(48,'Output Utente'!$R$2:$R$492,0)),"")</f>
        <v/>
      </c>
      <c r="K51" s="24" t="str">
        <f>IFERROR(INDEX('Output Utente'!$H$2:$H$492,MATCH(48,'Output Utente'!$R$2:$R$492,0)),"")</f>
        <v/>
      </c>
      <c r="L51" s="23" t="str">
        <f>IFERROR(INDEX('Output Utente'!$E$2:$E$492,MATCH(48,'Output Utente'!$R$2:$R$492,0)),"")</f>
        <v/>
      </c>
      <c r="V51" t="str">
        <f>IFERROR(INDEX('Output Utente'!$M$2:$M$492,MATCH(48,'Output Utente'!$R$2:$R$492,0)),"")</f>
        <v/>
      </c>
      <c r="W51" t="str">
        <f t="shared" si="0"/>
        <v/>
      </c>
      <c r="X51" t="str">
        <f>IFERROR(INDEX('Output Utente'!$AF$2:$AF$492,MATCH(48,'Output Utente'!$R$2:$R$492,0)),"")</f>
        <v/>
      </c>
    </row>
    <row r="52" spans="1:24" ht="15" customHeight="1" x14ac:dyDescent="0.25">
      <c r="A52" s="26">
        <v>49</v>
      </c>
      <c r="B52" s="23" t="str">
        <f>IFERROR(INDEX('Output Utente'!$A$2:$A$492,MATCH(49,'Output Utente'!$R$2:$R$492,0)),"")</f>
        <v/>
      </c>
      <c r="C52" s="23" t="str">
        <f>IFERROR(INDEX('Output Utente'!$B$2:$B$492,MATCH(49,'Output Utente'!$R$2:$R$492,0)),"")</f>
        <v/>
      </c>
      <c r="D52" s="23" t="str">
        <f>IFERROR(INDEX('Output Utente'!$C$2:$C$492,MATCH(49,'Output Utente'!$R$2:$R$492,0)),"")</f>
        <v/>
      </c>
      <c r="E52" s="23" t="str">
        <f>IFERROR(INDEX('Input Giocatori 2026_27'!$D$3:$D$493,MATCH($B52,'Input Giocatori 2026_27'!$A$3:$A$493,0)),"")</f>
        <v/>
      </c>
      <c r="F52" s="24" t="str">
        <f>IFERROR(INDEX('Output Utente'!$N$2:$N$492,MATCH(49,'Output Utente'!$R$2:$R$492,0)),"")</f>
        <v/>
      </c>
      <c r="G52" s="23" t="str">
        <f>IFERROR(INDEX('Output Utente'!$O$2:$O$492,MATCH(49,'Output Utente'!$R$2:$R$492,0)),"")</f>
        <v/>
      </c>
      <c r="H52" s="23" t="str">
        <f>IFERROR(INDEX('Output Utente'!$P$2:$P$492,MATCH(49,'Output Utente'!$R$2:$R$492,0)),"")</f>
        <v/>
      </c>
      <c r="I52" s="24" t="str">
        <f>IFERROR(INDEX('Output Utente'!$F$2:$F$492,MATCH(49,'Output Utente'!$R$2:$R$492,0)),"")</f>
        <v/>
      </c>
      <c r="J52" s="24" t="str">
        <f>IFERROR(INDEX('Output Utente'!$G$2:$G$492,MATCH(49,'Output Utente'!$R$2:$R$492,0)),"")</f>
        <v/>
      </c>
      <c r="K52" s="24" t="str">
        <f>IFERROR(INDEX('Output Utente'!$H$2:$H$492,MATCH(49,'Output Utente'!$R$2:$R$492,0)),"")</f>
        <v/>
      </c>
      <c r="L52" s="23" t="str">
        <f>IFERROR(INDEX('Output Utente'!$E$2:$E$492,MATCH(49,'Output Utente'!$R$2:$R$492,0)),"")</f>
        <v/>
      </c>
      <c r="V52" t="str">
        <f>IFERROR(INDEX('Output Utente'!$M$2:$M$492,MATCH(49,'Output Utente'!$R$2:$R$492,0)),"")</f>
        <v/>
      </c>
      <c r="W52" t="str">
        <f t="shared" si="0"/>
        <v/>
      </c>
      <c r="X52" t="str">
        <f>IFERROR(INDEX('Output Utente'!$AF$2:$AF$492,MATCH(49,'Output Utente'!$R$2:$R$492,0)),"")</f>
        <v/>
      </c>
    </row>
    <row r="53" spans="1:24" ht="15" customHeight="1" x14ac:dyDescent="0.25">
      <c r="A53" s="26">
        <v>50</v>
      </c>
      <c r="B53" s="23" t="str">
        <f>IFERROR(INDEX('Output Utente'!$A$2:$A$492,MATCH(50,'Output Utente'!$R$2:$R$492,0)),"")</f>
        <v/>
      </c>
      <c r="C53" s="23" t="str">
        <f>IFERROR(INDEX('Output Utente'!$B$2:$B$492,MATCH(50,'Output Utente'!$R$2:$R$492,0)),"")</f>
        <v/>
      </c>
      <c r="D53" s="23" t="str">
        <f>IFERROR(INDEX('Output Utente'!$C$2:$C$492,MATCH(50,'Output Utente'!$R$2:$R$492,0)),"")</f>
        <v/>
      </c>
      <c r="E53" s="23" t="str">
        <f>IFERROR(INDEX('Input Giocatori 2026_27'!$D$3:$D$493,MATCH($B53,'Input Giocatori 2026_27'!$A$3:$A$493,0)),"")</f>
        <v/>
      </c>
      <c r="F53" s="24" t="str">
        <f>IFERROR(INDEX('Output Utente'!$N$2:$N$492,MATCH(50,'Output Utente'!$R$2:$R$492,0)),"")</f>
        <v/>
      </c>
      <c r="G53" s="23" t="str">
        <f>IFERROR(INDEX('Output Utente'!$O$2:$O$492,MATCH(50,'Output Utente'!$R$2:$R$492,0)),"")</f>
        <v/>
      </c>
      <c r="H53" s="23" t="str">
        <f>IFERROR(INDEX('Output Utente'!$P$2:$P$492,MATCH(50,'Output Utente'!$R$2:$R$492,0)),"")</f>
        <v/>
      </c>
      <c r="I53" s="24" t="str">
        <f>IFERROR(INDEX('Output Utente'!$F$2:$F$492,MATCH(50,'Output Utente'!$R$2:$R$492,0)),"")</f>
        <v/>
      </c>
      <c r="J53" s="24" t="str">
        <f>IFERROR(INDEX('Output Utente'!$G$2:$G$492,MATCH(50,'Output Utente'!$R$2:$R$492,0)),"")</f>
        <v/>
      </c>
      <c r="K53" s="24" t="str">
        <f>IFERROR(INDEX('Output Utente'!$H$2:$H$492,MATCH(50,'Output Utente'!$R$2:$R$492,0)),"")</f>
        <v/>
      </c>
      <c r="L53" s="23" t="str">
        <f>IFERROR(INDEX('Output Utente'!$E$2:$E$492,MATCH(50,'Output Utente'!$R$2:$R$492,0)),"")</f>
        <v/>
      </c>
      <c r="V53" t="str">
        <f>IFERROR(INDEX('Output Utente'!$M$2:$M$492,MATCH(50,'Output Utente'!$R$2:$R$492,0)),"")</f>
        <v/>
      </c>
      <c r="W53" t="str">
        <f t="shared" si="0"/>
        <v/>
      </c>
      <c r="X53" t="str">
        <f>IFERROR(INDEX('Output Utente'!$AF$2:$AF$492,MATCH(50,'Output Utente'!$R$2:$R$492,0)),"")</f>
        <v/>
      </c>
    </row>
    <row r="54" spans="1:24" ht="15" customHeight="1" x14ac:dyDescent="0.25">
      <c r="A54" s="26">
        <v>51</v>
      </c>
      <c r="B54" s="23" t="str">
        <f>IFERROR(INDEX('Output Utente'!$A$2:$A$492,MATCH(51,'Output Utente'!$R$2:$R$492,0)),"")</f>
        <v/>
      </c>
      <c r="C54" s="23" t="str">
        <f>IFERROR(INDEX('Output Utente'!$B$2:$B$492,MATCH(51,'Output Utente'!$R$2:$R$492,0)),"")</f>
        <v/>
      </c>
      <c r="D54" s="23" t="str">
        <f>IFERROR(INDEX('Output Utente'!$C$2:$C$492,MATCH(51,'Output Utente'!$R$2:$R$492,0)),"")</f>
        <v/>
      </c>
      <c r="E54" s="23" t="str">
        <f>IFERROR(INDEX('Input Giocatori 2026_27'!$D$3:$D$493,MATCH($B54,'Input Giocatori 2026_27'!$A$3:$A$493,0)),"")</f>
        <v/>
      </c>
      <c r="F54" s="24" t="str">
        <f>IFERROR(INDEX('Output Utente'!$N$2:$N$492,MATCH(51,'Output Utente'!$R$2:$R$492,0)),"")</f>
        <v/>
      </c>
      <c r="G54" s="23" t="str">
        <f>IFERROR(INDEX('Output Utente'!$O$2:$O$492,MATCH(51,'Output Utente'!$R$2:$R$492,0)),"")</f>
        <v/>
      </c>
      <c r="H54" s="23" t="str">
        <f>IFERROR(INDEX('Output Utente'!$P$2:$P$492,MATCH(51,'Output Utente'!$R$2:$R$492,0)),"")</f>
        <v/>
      </c>
      <c r="I54" s="24" t="str">
        <f>IFERROR(INDEX('Output Utente'!$F$2:$F$492,MATCH(51,'Output Utente'!$R$2:$R$492,0)),"")</f>
        <v/>
      </c>
      <c r="J54" s="24" t="str">
        <f>IFERROR(INDEX('Output Utente'!$G$2:$G$492,MATCH(51,'Output Utente'!$R$2:$R$492,0)),"")</f>
        <v/>
      </c>
      <c r="K54" s="24" t="str">
        <f>IFERROR(INDEX('Output Utente'!$H$2:$H$492,MATCH(51,'Output Utente'!$R$2:$R$492,0)),"")</f>
        <v/>
      </c>
      <c r="L54" s="23" t="str">
        <f>IFERROR(INDEX('Output Utente'!$E$2:$E$492,MATCH(51,'Output Utente'!$R$2:$R$492,0)),"")</f>
        <v/>
      </c>
      <c r="V54" t="str">
        <f>IFERROR(INDEX('Output Utente'!$M$2:$M$492,MATCH(51,'Output Utente'!$R$2:$R$492,0)),"")</f>
        <v/>
      </c>
      <c r="W54" t="str">
        <f t="shared" si="0"/>
        <v/>
      </c>
      <c r="X54" t="str">
        <f>IFERROR(INDEX('Output Utente'!$AF$2:$AF$492,MATCH(51,'Output Utente'!$R$2:$R$492,0)),"")</f>
        <v/>
      </c>
    </row>
    <row r="55" spans="1:24" ht="15" customHeight="1" x14ac:dyDescent="0.25">
      <c r="A55" s="26">
        <v>52</v>
      </c>
      <c r="B55" s="23" t="str">
        <f>IFERROR(INDEX('Output Utente'!$A$2:$A$492,MATCH(52,'Output Utente'!$R$2:$R$492,0)),"")</f>
        <v/>
      </c>
      <c r="C55" s="23" t="str">
        <f>IFERROR(INDEX('Output Utente'!$B$2:$B$492,MATCH(52,'Output Utente'!$R$2:$R$492,0)),"")</f>
        <v/>
      </c>
      <c r="D55" s="23" t="str">
        <f>IFERROR(INDEX('Output Utente'!$C$2:$C$492,MATCH(52,'Output Utente'!$R$2:$R$492,0)),"")</f>
        <v/>
      </c>
      <c r="E55" s="23" t="str">
        <f>IFERROR(INDEX('Input Giocatori 2026_27'!$D$3:$D$493,MATCH($B55,'Input Giocatori 2026_27'!$A$3:$A$493,0)),"")</f>
        <v/>
      </c>
      <c r="F55" s="24" t="str">
        <f>IFERROR(INDEX('Output Utente'!$N$2:$N$492,MATCH(52,'Output Utente'!$R$2:$R$492,0)),"")</f>
        <v/>
      </c>
      <c r="G55" s="23" t="str">
        <f>IFERROR(INDEX('Output Utente'!$O$2:$O$492,MATCH(52,'Output Utente'!$R$2:$R$492,0)),"")</f>
        <v/>
      </c>
      <c r="H55" s="23" t="str">
        <f>IFERROR(INDEX('Output Utente'!$P$2:$P$492,MATCH(52,'Output Utente'!$R$2:$R$492,0)),"")</f>
        <v/>
      </c>
      <c r="I55" s="24" t="str">
        <f>IFERROR(INDEX('Output Utente'!$F$2:$F$492,MATCH(52,'Output Utente'!$R$2:$R$492,0)),"")</f>
        <v/>
      </c>
      <c r="J55" s="24" t="str">
        <f>IFERROR(INDEX('Output Utente'!$G$2:$G$492,MATCH(52,'Output Utente'!$R$2:$R$492,0)),"")</f>
        <v/>
      </c>
      <c r="K55" s="24" t="str">
        <f>IFERROR(INDEX('Output Utente'!$H$2:$H$492,MATCH(52,'Output Utente'!$R$2:$R$492,0)),"")</f>
        <v/>
      </c>
      <c r="L55" s="23" t="str">
        <f>IFERROR(INDEX('Output Utente'!$E$2:$E$492,MATCH(52,'Output Utente'!$R$2:$R$492,0)),"")</f>
        <v/>
      </c>
      <c r="V55" t="str">
        <f>IFERROR(INDEX('Output Utente'!$M$2:$M$492,MATCH(52,'Output Utente'!$R$2:$R$492,0)),"")</f>
        <v/>
      </c>
      <c r="W55" t="str">
        <f t="shared" si="0"/>
        <v/>
      </c>
      <c r="X55" t="str">
        <f>IFERROR(INDEX('Output Utente'!$AF$2:$AF$492,MATCH(52,'Output Utente'!$R$2:$R$492,0)),"")</f>
        <v/>
      </c>
    </row>
    <row r="56" spans="1:24" ht="15" customHeight="1" x14ac:dyDescent="0.25">
      <c r="A56" s="26">
        <v>53</v>
      </c>
      <c r="B56" s="23" t="str">
        <f>IFERROR(INDEX('Output Utente'!$A$2:$A$492,MATCH(53,'Output Utente'!$R$2:$R$492,0)),"")</f>
        <v/>
      </c>
      <c r="C56" s="23" t="str">
        <f>IFERROR(INDEX('Output Utente'!$B$2:$B$492,MATCH(53,'Output Utente'!$R$2:$R$492,0)),"")</f>
        <v/>
      </c>
      <c r="D56" s="23" t="str">
        <f>IFERROR(INDEX('Output Utente'!$C$2:$C$492,MATCH(53,'Output Utente'!$R$2:$R$492,0)),"")</f>
        <v/>
      </c>
      <c r="E56" s="23" t="str">
        <f>IFERROR(INDEX('Input Giocatori 2026_27'!$D$3:$D$493,MATCH($B56,'Input Giocatori 2026_27'!$A$3:$A$493,0)),"")</f>
        <v/>
      </c>
      <c r="F56" s="24" t="str">
        <f>IFERROR(INDEX('Output Utente'!$N$2:$N$492,MATCH(53,'Output Utente'!$R$2:$R$492,0)),"")</f>
        <v/>
      </c>
      <c r="G56" s="23" t="str">
        <f>IFERROR(INDEX('Output Utente'!$O$2:$O$492,MATCH(53,'Output Utente'!$R$2:$R$492,0)),"")</f>
        <v/>
      </c>
      <c r="H56" s="23" t="str">
        <f>IFERROR(INDEX('Output Utente'!$P$2:$P$492,MATCH(53,'Output Utente'!$R$2:$R$492,0)),"")</f>
        <v/>
      </c>
      <c r="I56" s="24" t="str">
        <f>IFERROR(INDEX('Output Utente'!$F$2:$F$492,MATCH(53,'Output Utente'!$R$2:$R$492,0)),"")</f>
        <v/>
      </c>
      <c r="J56" s="24" t="str">
        <f>IFERROR(INDEX('Output Utente'!$G$2:$G$492,MATCH(53,'Output Utente'!$R$2:$R$492,0)),"")</f>
        <v/>
      </c>
      <c r="K56" s="24" t="str">
        <f>IFERROR(INDEX('Output Utente'!$H$2:$H$492,MATCH(53,'Output Utente'!$R$2:$R$492,0)),"")</f>
        <v/>
      </c>
      <c r="L56" s="23" t="str">
        <f>IFERROR(INDEX('Output Utente'!$E$2:$E$492,MATCH(53,'Output Utente'!$R$2:$R$492,0)),"")</f>
        <v/>
      </c>
      <c r="V56" t="str">
        <f>IFERROR(INDEX('Output Utente'!$M$2:$M$492,MATCH(53,'Output Utente'!$R$2:$R$492,0)),"")</f>
        <v/>
      </c>
      <c r="W56" t="str">
        <f t="shared" si="0"/>
        <v/>
      </c>
      <c r="X56" t="str">
        <f>IFERROR(INDEX('Output Utente'!$AF$2:$AF$492,MATCH(53,'Output Utente'!$R$2:$R$492,0)),"")</f>
        <v/>
      </c>
    </row>
    <row r="57" spans="1:24" ht="15" customHeight="1" x14ac:dyDescent="0.25">
      <c r="A57" s="26">
        <v>54</v>
      </c>
      <c r="B57" s="23" t="str">
        <f>IFERROR(INDEX('Output Utente'!$A$2:$A$492,MATCH(54,'Output Utente'!$R$2:$R$492,0)),"")</f>
        <v/>
      </c>
      <c r="C57" s="23" t="str">
        <f>IFERROR(INDEX('Output Utente'!$B$2:$B$492,MATCH(54,'Output Utente'!$R$2:$R$492,0)),"")</f>
        <v/>
      </c>
      <c r="D57" s="23" t="str">
        <f>IFERROR(INDEX('Output Utente'!$C$2:$C$492,MATCH(54,'Output Utente'!$R$2:$R$492,0)),"")</f>
        <v/>
      </c>
      <c r="E57" s="23" t="str">
        <f>IFERROR(INDEX('Input Giocatori 2026_27'!$D$3:$D$493,MATCH($B57,'Input Giocatori 2026_27'!$A$3:$A$493,0)),"")</f>
        <v/>
      </c>
      <c r="F57" s="24" t="str">
        <f>IFERROR(INDEX('Output Utente'!$N$2:$N$492,MATCH(54,'Output Utente'!$R$2:$R$492,0)),"")</f>
        <v/>
      </c>
      <c r="G57" s="23" t="str">
        <f>IFERROR(INDEX('Output Utente'!$O$2:$O$492,MATCH(54,'Output Utente'!$R$2:$R$492,0)),"")</f>
        <v/>
      </c>
      <c r="H57" s="23" t="str">
        <f>IFERROR(INDEX('Output Utente'!$P$2:$P$492,MATCH(54,'Output Utente'!$R$2:$R$492,0)),"")</f>
        <v/>
      </c>
      <c r="I57" s="24" t="str">
        <f>IFERROR(INDEX('Output Utente'!$F$2:$F$492,MATCH(54,'Output Utente'!$R$2:$R$492,0)),"")</f>
        <v/>
      </c>
      <c r="J57" s="24" t="str">
        <f>IFERROR(INDEX('Output Utente'!$G$2:$G$492,MATCH(54,'Output Utente'!$R$2:$R$492,0)),"")</f>
        <v/>
      </c>
      <c r="K57" s="24" t="str">
        <f>IFERROR(INDEX('Output Utente'!$H$2:$H$492,MATCH(54,'Output Utente'!$R$2:$R$492,0)),"")</f>
        <v/>
      </c>
      <c r="L57" s="23" t="str">
        <f>IFERROR(INDEX('Output Utente'!$E$2:$E$492,MATCH(54,'Output Utente'!$R$2:$R$492,0)),"")</f>
        <v/>
      </c>
      <c r="V57" t="str">
        <f>IFERROR(INDEX('Output Utente'!$M$2:$M$492,MATCH(54,'Output Utente'!$R$2:$R$492,0)),"")</f>
        <v/>
      </c>
      <c r="W57" t="str">
        <f t="shared" si="0"/>
        <v/>
      </c>
      <c r="X57" t="str">
        <f>IFERROR(INDEX('Output Utente'!$AF$2:$AF$492,MATCH(54,'Output Utente'!$R$2:$R$492,0)),"")</f>
        <v/>
      </c>
    </row>
    <row r="58" spans="1:24" ht="15" customHeight="1" x14ac:dyDescent="0.25">
      <c r="A58" s="26">
        <v>55</v>
      </c>
      <c r="B58" s="23" t="str">
        <f>IFERROR(INDEX('Output Utente'!$A$2:$A$492,MATCH(55,'Output Utente'!$R$2:$R$492,0)),"")</f>
        <v/>
      </c>
      <c r="C58" s="23" t="str">
        <f>IFERROR(INDEX('Output Utente'!$B$2:$B$492,MATCH(55,'Output Utente'!$R$2:$R$492,0)),"")</f>
        <v/>
      </c>
      <c r="D58" s="23" t="str">
        <f>IFERROR(INDEX('Output Utente'!$C$2:$C$492,MATCH(55,'Output Utente'!$R$2:$R$492,0)),"")</f>
        <v/>
      </c>
      <c r="E58" s="23" t="str">
        <f>IFERROR(INDEX('Input Giocatori 2026_27'!$D$3:$D$493,MATCH($B58,'Input Giocatori 2026_27'!$A$3:$A$493,0)),"")</f>
        <v/>
      </c>
      <c r="F58" s="24" t="str">
        <f>IFERROR(INDEX('Output Utente'!$N$2:$N$492,MATCH(55,'Output Utente'!$R$2:$R$492,0)),"")</f>
        <v/>
      </c>
      <c r="G58" s="23" t="str">
        <f>IFERROR(INDEX('Output Utente'!$O$2:$O$492,MATCH(55,'Output Utente'!$R$2:$R$492,0)),"")</f>
        <v/>
      </c>
      <c r="H58" s="23" t="str">
        <f>IFERROR(INDEX('Output Utente'!$P$2:$P$492,MATCH(55,'Output Utente'!$R$2:$R$492,0)),"")</f>
        <v/>
      </c>
      <c r="I58" s="24" t="str">
        <f>IFERROR(INDEX('Output Utente'!$F$2:$F$492,MATCH(55,'Output Utente'!$R$2:$R$492,0)),"")</f>
        <v/>
      </c>
      <c r="J58" s="24" t="str">
        <f>IFERROR(INDEX('Output Utente'!$G$2:$G$492,MATCH(55,'Output Utente'!$R$2:$R$492,0)),"")</f>
        <v/>
      </c>
      <c r="K58" s="24" t="str">
        <f>IFERROR(INDEX('Output Utente'!$H$2:$H$492,MATCH(55,'Output Utente'!$R$2:$R$492,0)),"")</f>
        <v/>
      </c>
      <c r="L58" s="23" t="str">
        <f>IFERROR(INDEX('Output Utente'!$E$2:$E$492,MATCH(55,'Output Utente'!$R$2:$R$492,0)),"")</f>
        <v/>
      </c>
      <c r="V58" t="str">
        <f>IFERROR(INDEX('Output Utente'!$M$2:$M$492,MATCH(55,'Output Utente'!$R$2:$R$492,0)),"")</f>
        <v/>
      </c>
      <c r="W58" t="str">
        <f t="shared" si="0"/>
        <v/>
      </c>
      <c r="X58" t="str">
        <f>IFERROR(INDEX('Output Utente'!$AF$2:$AF$492,MATCH(55,'Output Utente'!$R$2:$R$492,0)),"")</f>
        <v/>
      </c>
    </row>
    <row r="59" spans="1:24" ht="15" customHeight="1" x14ac:dyDescent="0.25">
      <c r="A59" s="26">
        <v>56</v>
      </c>
      <c r="B59" s="23" t="str">
        <f>IFERROR(INDEX('Output Utente'!$A$2:$A$492,MATCH(56,'Output Utente'!$R$2:$R$492,0)),"")</f>
        <v/>
      </c>
      <c r="C59" s="23" t="str">
        <f>IFERROR(INDEX('Output Utente'!$B$2:$B$492,MATCH(56,'Output Utente'!$R$2:$R$492,0)),"")</f>
        <v/>
      </c>
      <c r="D59" s="23" t="str">
        <f>IFERROR(INDEX('Output Utente'!$C$2:$C$492,MATCH(56,'Output Utente'!$R$2:$R$492,0)),"")</f>
        <v/>
      </c>
      <c r="E59" s="23" t="str">
        <f>IFERROR(INDEX('Input Giocatori 2026_27'!$D$3:$D$493,MATCH($B59,'Input Giocatori 2026_27'!$A$3:$A$493,0)),"")</f>
        <v/>
      </c>
      <c r="F59" s="24" t="str">
        <f>IFERROR(INDEX('Output Utente'!$N$2:$N$492,MATCH(56,'Output Utente'!$R$2:$R$492,0)),"")</f>
        <v/>
      </c>
      <c r="G59" s="23" t="str">
        <f>IFERROR(INDEX('Output Utente'!$O$2:$O$492,MATCH(56,'Output Utente'!$R$2:$R$492,0)),"")</f>
        <v/>
      </c>
      <c r="H59" s="23" t="str">
        <f>IFERROR(INDEX('Output Utente'!$P$2:$P$492,MATCH(56,'Output Utente'!$R$2:$R$492,0)),"")</f>
        <v/>
      </c>
      <c r="I59" s="24" t="str">
        <f>IFERROR(INDEX('Output Utente'!$F$2:$F$492,MATCH(56,'Output Utente'!$R$2:$R$492,0)),"")</f>
        <v/>
      </c>
      <c r="J59" s="24" t="str">
        <f>IFERROR(INDEX('Output Utente'!$G$2:$G$492,MATCH(56,'Output Utente'!$R$2:$R$492,0)),"")</f>
        <v/>
      </c>
      <c r="K59" s="24" t="str">
        <f>IFERROR(INDEX('Output Utente'!$H$2:$H$492,MATCH(56,'Output Utente'!$R$2:$R$492,0)),"")</f>
        <v/>
      </c>
      <c r="L59" s="23" t="str">
        <f>IFERROR(INDEX('Output Utente'!$E$2:$E$492,MATCH(56,'Output Utente'!$R$2:$R$492,0)),"")</f>
        <v/>
      </c>
      <c r="V59" t="str">
        <f>IFERROR(INDEX('Output Utente'!$M$2:$M$492,MATCH(56,'Output Utente'!$R$2:$R$492,0)),"")</f>
        <v/>
      </c>
      <c r="W59" t="str">
        <f t="shared" si="0"/>
        <v/>
      </c>
      <c r="X59" t="str">
        <f>IFERROR(INDEX('Output Utente'!$AF$2:$AF$492,MATCH(56,'Output Utente'!$R$2:$R$492,0)),"")</f>
        <v/>
      </c>
    </row>
    <row r="60" spans="1:24" ht="15" customHeight="1" x14ac:dyDescent="0.25">
      <c r="A60" s="26">
        <v>57</v>
      </c>
      <c r="B60" s="23" t="str">
        <f>IFERROR(INDEX('Output Utente'!$A$2:$A$492,MATCH(57,'Output Utente'!$R$2:$R$492,0)),"")</f>
        <v/>
      </c>
      <c r="C60" s="23" t="str">
        <f>IFERROR(INDEX('Output Utente'!$B$2:$B$492,MATCH(57,'Output Utente'!$R$2:$R$492,0)),"")</f>
        <v/>
      </c>
      <c r="D60" s="23" t="str">
        <f>IFERROR(INDEX('Output Utente'!$C$2:$C$492,MATCH(57,'Output Utente'!$R$2:$R$492,0)),"")</f>
        <v/>
      </c>
      <c r="E60" s="23" t="str">
        <f>IFERROR(INDEX('Input Giocatori 2026_27'!$D$3:$D$493,MATCH($B60,'Input Giocatori 2026_27'!$A$3:$A$493,0)),"")</f>
        <v/>
      </c>
      <c r="F60" s="24" t="str">
        <f>IFERROR(INDEX('Output Utente'!$N$2:$N$492,MATCH(57,'Output Utente'!$R$2:$R$492,0)),"")</f>
        <v/>
      </c>
      <c r="G60" s="23" t="str">
        <f>IFERROR(INDEX('Output Utente'!$O$2:$O$492,MATCH(57,'Output Utente'!$R$2:$R$492,0)),"")</f>
        <v/>
      </c>
      <c r="H60" s="23" t="str">
        <f>IFERROR(INDEX('Output Utente'!$P$2:$P$492,MATCH(57,'Output Utente'!$R$2:$R$492,0)),"")</f>
        <v/>
      </c>
      <c r="I60" s="24" t="str">
        <f>IFERROR(INDEX('Output Utente'!$F$2:$F$492,MATCH(57,'Output Utente'!$R$2:$R$492,0)),"")</f>
        <v/>
      </c>
      <c r="J60" s="24" t="str">
        <f>IFERROR(INDEX('Output Utente'!$G$2:$G$492,MATCH(57,'Output Utente'!$R$2:$R$492,0)),"")</f>
        <v/>
      </c>
      <c r="K60" s="24" t="str">
        <f>IFERROR(INDEX('Output Utente'!$H$2:$H$492,MATCH(57,'Output Utente'!$R$2:$R$492,0)),"")</f>
        <v/>
      </c>
      <c r="L60" s="23" t="str">
        <f>IFERROR(INDEX('Output Utente'!$E$2:$E$492,MATCH(57,'Output Utente'!$R$2:$R$492,0)),"")</f>
        <v/>
      </c>
      <c r="V60" t="str">
        <f>IFERROR(INDEX('Output Utente'!$M$2:$M$492,MATCH(57,'Output Utente'!$R$2:$R$492,0)),"")</f>
        <v/>
      </c>
      <c r="W60" t="str">
        <f t="shared" si="0"/>
        <v/>
      </c>
      <c r="X60" t="str">
        <f>IFERROR(INDEX('Output Utente'!$AF$2:$AF$492,MATCH(57,'Output Utente'!$R$2:$R$492,0)),"")</f>
        <v/>
      </c>
    </row>
    <row r="61" spans="1:24" ht="15" customHeight="1" x14ac:dyDescent="0.25">
      <c r="A61" s="26">
        <v>58</v>
      </c>
      <c r="B61" s="23" t="str">
        <f>IFERROR(INDEX('Output Utente'!$A$2:$A$492,MATCH(58,'Output Utente'!$R$2:$R$492,0)),"")</f>
        <v/>
      </c>
      <c r="C61" s="23" t="str">
        <f>IFERROR(INDEX('Output Utente'!$B$2:$B$492,MATCH(58,'Output Utente'!$R$2:$R$492,0)),"")</f>
        <v/>
      </c>
      <c r="D61" s="23" t="str">
        <f>IFERROR(INDEX('Output Utente'!$C$2:$C$492,MATCH(58,'Output Utente'!$R$2:$R$492,0)),"")</f>
        <v/>
      </c>
      <c r="E61" s="23" t="str">
        <f>IFERROR(INDEX('Input Giocatori 2026_27'!$D$3:$D$493,MATCH($B61,'Input Giocatori 2026_27'!$A$3:$A$493,0)),"")</f>
        <v/>
      </c>
      <c r="F61" s="24" t="str">
        <f>IFERROR(INDEX('Output Utente'!$N$2:$N$492,MATCH(58,'Output Utente'!$R$2:$R$492,0)),"")</f>
        <v/>
      </c>
      <c r="G61" s="23" t="str">
        <f>IFERROR(INDEX('Output Utente'!$O$2:$O$492,MATCH(58,'Output Utente'!$R$2:$R$492,0)),"")</f>
        <v/>
      </c>
      <c r="H61" s="23" t="str">
        <f>IFERROR(INDEX('Output Utente'!$P$2:$P$492,MATCH(58,'Output Utente'!$R$2:$R$492,0)),"")</f>
        <v/>
      </c>
      <c r="I61" s="24" t="str">
        <f>IFERROR(INDEX('Output Utente'!$F$2:$F$492,MATCH(58,'Output Utente'!$R$2:$R$492,0)),"")</f>
        <v/>
      </c>
      <c r="J61" s="24" t="str">
        <f>IFERROR(INDEX('Output Utente'!$G$2:$G$492,MATCH(58,'Output Utente'!$R$2:$R$492,0)),"")</f>
        <v/>
      </c>
      <c r="K61" s="24" t="str">
        <f>IFERROR(INDEX('Output Utente'!$H$2:$H$492,MATCH(58,'Output Utente'!$R$2:$R$492,0)),"")</f>
        <v/>
      </c>
      <c r="L61" s="23" t="str">
        <f>IFERROR(INDEX('Output Utente'!$E$2:$E$492,MATCH(58,'Output Utente'!$R$2:$R$492,0)),"")</f>
        <v/>
      </c>
      <c r="V61" t="str">
        <f>IFERROR(INDEX('Output Utente'!$M$2:$M$492,MATCH(58,'Output Utente'!$R$2:$R$492,0)),"")</f>
        <v/>
      </c>
      <c r="W61" t="str">
        <f t="shared" si="0"/>
        <v/>
      </c>
      <c r="X61" t="str">
        <f>IFERROR(INDEX('Output Utente'!$AF$2:$AF$492,MATCH(58,'Output Utente'!$R$2:$R$492,0)),"")</f>
        <v/>
      </c>
    </row>
    <row r="62" spans="1:24" ht="15" customHeight="1" x14ac:dyDescent="0.25">
      <c r="A62" s="26">
        <v>59</v>
      </c>
      <c r="B62" s="23" t="str">
        <f>IFERROR(INDEX('Output Utente'!$A$2:$A$492,MATCH(59,'Output Utente'!$R$2:$R$492,0)),"")</f>
        <v/>
      </c>
      <c r="C62" s="23" t="str">
        <f>IFERROR(INDEX('Output Utente'!$B$2:$B$492,MATCH(59,'Output Utente'!$R$2:$R$492,0)),"")</f>
        <v/>
      </c>
      <c r="D62" s="23" t="str">
        <f>IFERROR(INDEX('Output Utente'!$C$2:$C$492,MATCH(59,'Output Utente'!$R$2:$R$492,0)),"")</f>
        <v/>
      </c>
      <c r="E62" s="23" t="str">
        <f>IFERROR(INDEX('Input Giocatori 2026_27'!$D$3:$D$493,MATCH($B62,'Input Giocatori 2026_27'!$A$3:$A$493,0)),"")</f>
        <v/>
      </c>
      <c r="F62" s="24" t="str">
        <f>IFERROR(INDEX('Output Utente'!$N$2:$N$492,MATCH(59,'Output Utente'!$R$2:$R$492,0)),"")</f>
        <v/>
      </c>
      <c r="G62" s="23" t="str">
        <f>IFERROR(INDEX('Output Utente'!$O$2:$O$492,MATCH(59,'Output Utente'!$R$2:$R$492,0)),"")</f>
        <v/>
      </c>
      <c r="H62" s="23" t="str">
        <f>IFERROR(INDEX('Output Utente'!$P$2:$P$492,MATCH(59,'Output Utente'!$R$2:$R$492,0)),"")</f>
        <v/>
      </c>
      <c r="I62" s="24" t="str">
        <f>IFERROR(INDEX('Output Utente'!$F$2:$F$492,MATCH(59,'Output Utente'!$R$2:$R$492,0)),"")</f>
        <v/>
      </c>
      <c r="J62" s="24" t="str">
        <f>IFERROR(INDEX('Output Utente'!$G$2:$G$492,MATCH(59,'Output Utente'!$R$2:$R$492,0)),"")</f>
        <v/>
      </c>
      <c r="K62" s="24" t="str">
        <f>IFERROR(INDEX('Output Utente'!$H$2:$H$492,MATCH(59,'Output Utente'!$R$2:$R$492,0)),"")</f>
        <v/>
      </c>
      <c r="L62" s="23" t="str">
        <f>IFERROR(INDEX('Output Utente'!$E$2:$E$492,MATCH(59,'Output Utente'!$R$2:$R$492,0)),"")</f>
        <v/>
      </c>
      <c r="V62" t="str">
        <f>IFERROR(INDEX('Output Utente'!$M$2:$M$492,MATCH(59,'Output Utente'!$R$2:$R$492,0)),"")</f>
        <v/>
      </c>
      <c r="W62" t="str">
        <f t="shared" si="0"/>
        <v/>
      </c>
      <c r="X62" t="str">
        <f>IFERROR(INDEX('Output Utente'!$AF$2:$AF$492,MATCH(59,'Output Utente'!$R$2:$R$492,0)),"")</f>
        <v/>
      </c>
    </row>
    <row r="63" spans="1:24" ht="15" customHeight="1" x14ac:dyDescent="0.25">
      <c r="A63" s="26">
        <v>60</v>
      </c>
      <c r="B63" s="23" t="str">
        <f>IFERROR(INDEX('Output Utente'!$A$2:$A$492,MATCH(60,'Output Utente'!$R$2:$R$492,0)),"")</f>
        <v/>
      </c>
      <c r="C63" s="23" t="str">
        <f>IFERROR(INDEX('Output Utente'!$B$2:$B$492,MATCH(60,'Output Utente'!$R$2:$R$492,0)),"")</f>
        <v/>
      </c>
      <c r="D63" s="23" t="str">
        <f>IFERROR(INDEX('Output Utente'!$C$2:$C$492,MATCH(60,'Output Utente'!$R$2:$R$492,0)),"")</f>
        <v/>
      </c>
      <c r="E63" s="23" t="str">
        <f>IFERROR(INDEX('Input Giocatori 2026_27'!$D$3:$D$493,MATCH($B63,'Input Giocatori 2026_27'!$A$3:$A$493,0)),"")</f>
        <v/>
      </c>
      <c r="F63" s="24" t="str">
        <f>IFERROR(INDEX('Output Utente'!$N$2:$N$492,MATCH(60,'Output Utente'!$R$2:$R$492,0)),"")</f>
        <v/>
      </c>
      <c r="G63" s="23" t="str">
        <f>IFERROR(INDEX('Output Utente'!$O$2:$O$492,MATCH(60,'Output Utente'!$R$2:$R$492,0)),"")</f>
        <v/>
      </c>
      <c r="H63" s="23" t="str">
        <f>IFERROR(INDEX('Output Utente'!$P$2:$P$492,MATCH(60,'Output Utente'!$R$2:$R$492,0)),"")</f>
        <v/>
      </c>
      <c r="I63" s="24" t="str">
        <f>IFERROR(INDEX('Output Utente'!$F$2:$F$492,MATCH(60,'Output Utente'!$R$2:$R$492,0)),"")</f>
        <v/>
      </c>
      <c r="J63" s="24" t="str">
        <f>IFERROR(INDEX('Output Utente'!$G$2:$G$492,MATCH(60,'Output Utente'!$R$2:$R$492,0)),"")</f>
        <v/>
      </c>
      <c r="K63" s="24" t="str">
        <f>IFERROR(INDEX('Output Utente'!$H$2:$H$492,MATCH(60,'Output Utente'!$R$2:$R$492,0)),"")</f>
        <v/>
      </c>
      <c r="L63" s="23" t="str">
        <f>IFERROR(INDEX('Output Utente'!$E$2:$E$492,MATCH(60,'Output Utente'!$R$2:$R$492,0)),"")</f>
        <v/>
      </c>
      <c r="V63" t="str">
        <f>IFERROR(INDEX('Output Utente'!$M$2:$M$492,MATCH(60,'Output Utente'!$R$2:$R$492,0)),"")</f>
        <v/>
      </c>
      <c r="W63" t="str">
        <f t="shared" si="0"/>
        <v/>
      </c>
      <c r="X63" t="str">
        <f>IFERROR(INDEX('Output Utente'!$AF$2:$AF$492,MATCH(60,'Output Utente'!$R$2:$R$492,0)),"")</f>
        <v/>
      </c>
    </row>
    <row r="64" spans="1:24" ht="15" customHeight="1" x14ac:dyDescent="0.25">
      <c r="A64" s="26">
        <v>61</v>
      </c>
      <c r="B64" s="23" t="str">
        <f>IFERROR(INDEX('Output Utente'!$A$2:$A$492,MATCH(61,'Output Utente'!$R$2:$R$492,0)),"")</f>
        <v/>
      </c>
      <c r="C64" s="23" t="str">
        <f>IFERROR(INDEX('Output Utente'!$B$2:$B$492,MATCH(61,'Output Utente'!$R$2:$R$492,0)),"")</f>
        <v/>
      </c>
      <c r="D64" s="23" t="str">
        <f>IFERROR(INDEX('Output Utente'!$C$2:$C$492,MATCH(61,'Output Utente'!$R$2:$R$492,0)),"")</f>
        <v/>
      </c>
      <c r="E64" s="23" t="str">
        <f>IFERROR(INDEX('Input Giocatori 2026_27'!$D$3:$D$493,MATCH($B64,'Input Giocatori 2026_27'!$A$3:$A$493,0)),"")</f>
        <v/>
      </c>
      <c r="F64" s="24" t="str">
        <f>IFERROR(INDEX('Output Utente'!$N$2:$N$492,MATCH(61,'Output Utente'!$R$2:$R$492,0)),"")</f>
        <v/>
      </c>
      <c r="G64" s="23" t="str">
        <f>IFERROR(INDEX('Output Utente'!$O$2:$O$492,MATCH(61,'Output Utente'!$R$2:$R$492,0)),"")</f>
        <v/>
      </c>
      <c r="H64" s="23" t="str">
        <f>IFERROR(INDEX('Output Utente'!$P$2:$P$492,MATCH(61,'Output Utente'!$R$2:$R$492,0)),"")</f>
        <v/>
      </c>
      <c r="I64" s="24" t="str">
        <f>IFERROR(INDEX('Output Utente'!$F$2:$F$492,MATCH(61,'Output Utente'!$R$2:$R$492,0)),"")</f>
        <v/>
      </c>
      <c r="J64" s="24" t="str">
        <f>IFERROR(INDEX('Output Utente'!$G$2:$G$492,MATCH(61,'Output Utente'!$R$2:$R$492,0)),"")</f>
        <v/>
      </c>
      <c r="K64" s="24" t="str">
        <f>IFERROR(INDEX('Output Utente'!$H$2:$H$492,MATCH(61,'Output Utente'!$R$2:$R$492,0)),"")</f>
        <v/>
      </c>
      <c r="L64" s="23" t="str">
        <f>IFERROR(INDEX('Output Utente'!$E$2:$E$492,MATCH(61,'Output Utente'!$R$2:$R$492,0)),"")</f>
        <v/>
      </c>
      <c r="V64" t="str">
        <f>IFERROR(INDEX('Output Utente'!$M$2:$M$492,MATCH(61,'Output Utente'!$R$2:$R$492,0)),"")</f>
        <v/>
      </c>
      <c r="W64" t="str">
        <f t="shared" si="0"/>
        <v/>
      </c>
      <c r="X64" t="str">
        <f>IFERROR(INDEX('Output Utente'!$AF$2:$AF$492,MATCH(61,'Output Utente'!$R$2:$R$492,0)),"")</f>
        <v/>
      </c>
    </row>
    <row r="65" spans="1:24" ht="15" customHeight="1" x14ac:dyDescent="0.25">
      <c r="A65" s="26">
        <v>62</v>
      </c>
      <c r="B65" s="23" t="str">
        <f>IFERROR(INDEX('Output Utente'!$A$2:$A$492,MATCH(62,'Output Utente'!$R$2:$R$492,0)),"")</f>
        <v/>
      </c>
      <c r="C65" s="23" t="str">
        <f>IFERROR(INDEX('Output Utente'!$B$2:$B$492,MATCH(62,'Output Utente'!$R$2:$R$492,0)),"")</f>
        <v/>
      </c>
      <c r="D65" s="23" t="str">
        <f>IFERROR(INDEX('Output Utente'!$C$2:$C$492,MATCH(62,'Output Utente'!$R$2:$R$492,0)),"")</f>
        <v/>
      </c>
      <c r="E65" s="23" t="str">
        <f>IFERROR(INDEX('Input Giocatori 2026_27'!$D$3:$D$493,MATCH($B65,'Input Giocatori 2026_27'!$A$3:$A$493,0)),"")</f>
        <v/>
      </c>
      <c r="F65" s="24" t="str">
        <f>IFERROR(INDEX('Output Utente'!$N$2:$N$492,MATCH(62,'Output Utente'!$R$2:$R$492,0)),"")</f>
        <v/>
      </c>
      <c r="G65" s="23" t="str">
        <f>IFERROR(INDEX('Output Utente'!$O$2:$O$492,MATCH(62,'Output Utente'!$R$2:$R$492,0)),"")</f>
        <v/>
      </c>
      <c r="H65" s="23" t="str">
        <f>IFERROR(INDEX('Output Utente'!$P$2:$P$492,MATCH(62,'Output Utente'!$R$2:$R$492,0)),"")</f>
        <v/>
      </c>
      <c r="I65" s="24" t="str">
        <f>IFERROR(INDEX('Output Utente'!$F$2:$F$492,MATCH(62,'Output Utente'!$R$2:$R$492,0)),"")</f>
        <v/>
      </c>
      <c r="J65" s="24" t="str">
        <f>IFERROR(INDEX('Output Utente'!$G$2:$G$492,MATCH(62,'Output Utente'!$R$2:$R$492,0)),"")</f>
        <v/>
      </c>
      <c r="K65" s="24" t="str">
        <f>IFERROR(INDEX('Output Utente'!$H$2:$H$492,MATCH(62,'Output Utente'!$R$2:$R$492,0)),"")</f>
        <v/>
      </c>
      <c r="L65" s="23" t="str">
        <f>IFERROR(INDEX('Output Utente'!$E$2:$E$492,MATCH(62,'Output Utente'!$R$2:$R$492,0)),"")</f>
        <v/>
      </c>
      <c r="V65" t="str">
        <f>IFERROR(INDEX('Output Utente'!$M$2:$M$492,MATCH(62,'Output Utente'!$R$2:$R$492,0)),"")</f>
        <v/>
      </c>
      <c r="W65" t="str">
        <f t="shared" si="0"/>
        <v/>
      </c>
      <c r="X65" t="str">
        <f>IFERROR(INDEX('Output Utente'!$AF$2:$AF$492,MATCH(62,'Output Utente'!$R$2:$R$492,0)),"")</f>
        <v/>
      </c>
    </row>
    <row r="66" spans="1:24" ht="15" customHeight="1" x14ac:dyDescent="0.25">
      <c r="A66" s="26">
        <v>63</v>
      </c>
      <c r="B66" s="23" t="str">
        <f>IFERROR(INDEX('Output Utente'!$A$2:$A$492,MATCH(63,'Output Utente'!$R$2:$R$492,0)),"")</f>
        <v/>
      </c>
      <c r="C66" s="23" t="str">
        <f>IFERROR(INDEX('Output Utente'!$B$2:$B$492,MATCH(63,'Output Utente'!$R$2:$R$492,0)),"")</f>
        <v/>
      </c>
      <c r="D66" s="23" t="str">
        <f>IFERROR(INDEX('Output Utente'!$C$2:$C$492,MATCH(63,'Output Utente'!$R$2:$R$492,0)),"")</f>
        <v/>
      </c>
      <c r="E66" s="23" t="str">
        <f>IFERROR(INDEX('Input Giocatori 2026_27'!$D$3:$D$493,MATCH($B66,'Input Giocatori 2026_27'!$A$3:$A$493,0)),"")</f>
        <v/>
      </c>
      <c r="F66" s="24" t="str">
        <f>IFERROR(INDEX('Output Utente'!$N$2:$N$492,MATCH(63,'Output Utente'!$R$2:$R$492,0)),"")</f>
        <v/>
      </c>
      <c r="G66" s="23" t="str">
        <f>IFERROR(INDEX('Output Utente'!$O$2:$O$492,MATCH(63,'Output Utente'!$R$2:$R$492,0)),"")</f>
        <v/>
      </c>
      <c r="H66" s="23" t="str">
        <f>IFERROR(INDEX('Output Utente'!$P$2:$P$492,MATCH(63,'Output Utente'!$R$2:$R$492,0)),"")</f>
        <v/>
      </c>
      <c r="I66" s="24" t="str">
        <f>IFERROR(INDEX('Output Utente'!$F$2:$F$492,MATCH(63,'Output Utente'!$R$2:$R$492,0)),"")</f>
        <v/>
      </c>
      <c r="J66" s="24" t="str">
        <f>IFERROR(INDEX('Output Utente'!$G$2:$G$492,MATCH(63,'Output Utente'!$R$2:$R$492,0)),"")</f>
        <v/>
      </c>
      <c r="K66" s="24" t="str">
        <f>IFERROR(INDEX('Output Utente'!$H$2:$H$492,MATCH(63,'Output Utente'!$R$2:$R$492,0)),"")</f>
        <v/>
      </c>
      <c r="L66" s="23" t="str">
        <f>IFERROR(INDEX('Output Utente'!$E$2:$E$492,MATCH(63,'Output Utente'!$R$2:$R$492,0)),"")</f>
        <v/>
      </c>
      <c r="V66" t="str">
        <f>IFERROR(INDEX('Output Utente'!$M$2:$M$492,MATCH(63,'Output Utente'!$R$2:$R$492,0)),"")</f>
        <v/>
      </c>
      <c r="W66" t="str">
        <f t="shared" si="0"/>
        <v/>
      </c>
      <c r="X66" t="str">
        <f>IFERROR(INDEX('Output Utente'!$AF$2:$AF$492,MATCH(63,'Output Utente'!$R$2:$R$492,0)),"")</f>
        <v/>
      </c>
    </row>
    <row r="67" spans="1:24" ht="15" customHeight="1" x14ac:dyDescent="0.25">
      <c r="A67" s="26">
        <v>64</v>
      </c>
      <c r="B67" s="23" t="str">
        <f>IFERROR(INDEX('Output Utente'!$A$2:$A$492,MATCH(64,'Output Utente'!$R$2:$R$492,0)),"")</f>
        <v/>
      </c>
      <c r="C67" s="23" t="str">
        <f>IFERROR(INDEX('Output Utente'!$B$2:$B$492,MATCH(64,'Output Utente'!$R$2:$R$492,0)),"")</f>
        <v/>
      </c>
      <c r="D67" s="23" t="str">
        <f>IFERROR(INDEX('Output Utente'!$C$2:$C$492,MATCH(64,'Output Utente'!$R$2:$R$492,0)),"")</f>
        <v/>
      </c>
      <c r="E67" s="23" t="str">
        <f>IFERROR(INDEX('Input Giocatori 2026_27'!$D$3:$D$493,MATCH($B67,'Input Giocatori 2026_27'!$A$3:$A$493,0)),"")</f>
        <v/>
      </c>
      <c r="F67" s="24" t="str">
        <f>IFERROR(INDEX('Output Utente'!$N$2:$N$492,MATCH(64,'Output Utente'!$R$2:$R$492,0)),"")</f>
        <v/>
      </c>
      <c r="G67" s="23" t="str">
        <f>IFERROR(INDEX('Output Utente'!$O$2:$O$492,MATCH(64,'Output Utente'!$R$2:$R$492,0)),"")</f>
        <v/>
      </c>
      <c r="H67" s="23" t="str">
        <f>IFERROR(INDEX('Output Utente'!$P$2:$P$492,MATCH(64,'Output Utente'!$R$2:$R$492,0)),"")</f>
        <v/>
      </c>
      <c r="I67" s="24" t="str">
        <f>IFERROR(INDEX('Output Utente'!$F$2:$F$492,MATCH(64,'Output Utente'!$R$2:$R$492,0)),"")</f>
        <v/>
      </c>
      <c r="J67" s="24" t="str">
        <f>IFERROR(INDEX('Output Utente'!$G$2:$G$492,MATCH(64,'Output Utente'!$R$2:$R$492,0)),"")</f>
        <v/>
      </c>
      <c r="K67" s="24" t="str">
        <f>IFERROR(INDEX('Output Utente'!$H$2:$H$492,MATCH(64,'Output Utente'!$R$2:$R$492,0)),"")</f>
        <v/>
      </c>
      <c r="L67" s="23" t="str">
        <f>IFERROR(INDEX('Output Utente'!$E$2:$E$492,MATCH(64,'Output Utente'!$R$2:$R$492,0)),"")</f>
        <v/>
      </c>
      <c r="V67" t="str">
        <f>IFERROR(INDEX('Output Utente'!$M$2:$M$492,MATCH(64,'Output Utente'!$R$2:$R$492,0)),"")</f>
        <v/>
      </c>
      <c r="W67" t="str">
        <f t="shared" si="0"/>
        <v/>
      </c>
      <c r="X67" t="str">
        <f>IFERROR(INDEX('Output Utente'!$AF$2:$AF$492,MATCH(64,'Output Utente'!$R$2:$R$492,0)),"")</f>
        <v/>
      </c>
    </row>
    <row r="68" spans="1:24" ht="15" customHeight="1" x14ac:dyDescent="0.25">
      <c r="A68" s="26">
        <v>65</v>
      </c>
      <c r="B68" s="23" t="str">
        <f>IFERROR(INDEX('Output Utente'!$A$2:$A$492,MATCH(65,'Output Utente'!$R$2:$R$492,0)),"")</f>
        <v/>
      </c>
      <c r="C68" s="23" t="str">
        <f>IFERROR(INDEX('Output Utente'!$B$2:$B$492,MATCH(65,'Output Utente'!$R$2:$R$492,0)),"")</f>
        <v/>
      </c>
      <c r="D68" s="23" t="str">
        <f>IFERROR(INDEX('Output Utente'!$C$2:$C$492,MATCH(65,'Output Utente'!$R$2:$R$492,0)),"")</f>
        <v/>
      </c>
      <c r="E68" s="23" t="str">
        <f>IFERROR(INDEX('Input Giocatori 2026_27'!$D$3:$D$493,MATCH($B68,'Input Giocatori 2026_27'!$A$3:$A$493,0)),"")</f>
        <v/>
      </c>
      <c r="F68" s="24" t="str">
        <f>IFERROR(INDEX('Output Utente'!$N$2:$N$492,MATCH(65,'Output Utente'!$R$2:$R$492,0)),"")</f>
        <v/>
      </c>
      <c r="G68" s="23" t="str">
        <f>IFERROR(INDEX('Output Utente'!$O$2:$O$492,MATCH(65,'Output Utente'!$R$2:$R$492,0)),"")</f>
        <v/>
      </c>
      <c r="H68" s="23" t="str">
        <f>IFERROR(INDEX('Output Utente'!$P$2:$P$492,MATCH(65,'Output Utente'!$R$2:$R$492,0)),"")</f>
        <v/>
      </c>
      <c r="I68" s="24" t="str">
        <f>IFERROR(INDEX('Output Utente'!$F$2:$F$492,MATCH(65,'Output Utente'!$R$2:$R$492,0)),"")</f>
        <v/>
      </c>
      <c r="J68" s="24" t="str">
        <f>IFERROR(INDEX('Output Utente'!$G$2:$G$492,MATCH(65,'Output Utente'!$R$2:$R$492,0)),"")</f>
        <v/>
      </c>
      <c r="K68" s="24" t="str">
        <f>IFERROR(INDEX('Output Utente'!$H$2:$H$492,MATCH(65,'Output Utente'!$R$2:$R$492,0)),"")</f>
        <v/>
      </c>
      <c r="L68" s="23" t="str">
        <f>IFERROR(INDEX('Output Utente'!$E$2:$E$492,MATCH(65,'Output Utente'!$R$2:$R$492,0)),"")</f>
        <v/>
      </c>
      <c r="V68" t="str">
        <f>IFERROR(INDEX('Output Utente'!$M$2:$M$492,MATCH(65,'Output Utente'!$R$2:$R$492,0)),"")</f>
        <v/>
      </c>
      <c r="W68" t="str">
        <f t="shared" ref="W68:W131" si="1">IF(OR($G68="",$V68=""),"",$G68-$V68)</f>
        <v/>
      </c>
      <c r="X68" t="str">
        <f>IFERROR(INDEX('Output Utente'!$AF$2:$AF$492,MATCH(65,'Output Utente'!$R$2:$R$492,0)),"")</f>
        <v/>
      </c>
    </row>
    <row r="69" spans="1:24" ht="15" customHeight="1" x14ac:dyDescent="0.25">
      <c r="A69" s="26">
        <v>66</v>
      </c>
      <c r="B69" s="23" t="str">
        <f>IFERROR(INDEX('Output Utente'!$A$2:$A$492,MATCH(66,'Output Utente'!$R$2:$R$492,0)),"")</f>
        <v/>
      </c>
      <c r="C69" s="23" t="str">
        <f>IFERROR(INDEX('Output Utente'!$B$2:$B$492,MATCH(66,'Output Utente'!$R$2:$R$492,0)),"")</f>
        <v/>
      </c>
      <c r="D69" s="23" t="str">
        <f>IFERROR(INDEX('Output Utente'!$C$2:$C$492,MATCH(66,'Output Utente'!$R$2:$R$492,0)),"")</f>
        <v/>
      </c>
      <c r="E69" s="23" t="str">
        <f>IFERROR(INDEX('Input Giocatori 2026_27'!$D$3:$D$493,MATCH($B69,'Input Giocatori 2026_27'!$A$3:$A$493,0)),"")</f>
        <v/>
      </c>
      <c r="F69" s="24" t="str">
        <f>IFERROR(INDEX('Output Utente'!$N$2:$N$492,MATCH(66,'Output Utente'!$R$2:$R$492,0)),"")</f>
        <v/>
      </c>
      <c r="G69" s="23" t="str">
        <f>IFERROR(INDEX('Output Utente'!$O$2:$O$492,MATCH(66,'Output Utente'!$R$2:$R$492,0)),"")</f>
        <v/>
      </c>
      <c r="H69" s="23" t="str">
        <f>IFERROR(INDEX('Output Utente'!$P$2:$P$492,MATCH(66,'Output Utente'!$R$2:$R$492,0)),"")</f>
        <v/>
      </c>
      <c r="I69" s="24" t="str">
        <f>IFERROR(INDEX('Output Utente'!$F$2:$F$492,MATCH(66,'Output Utente'!$R$2:$R$492,0)),"")</f>
        <v/>
      </c>
      <c r="J69" s="24" t="str">
        <f>IFERROR(INDEX('Output Utente'!$G$2:$G$492,MATCH(66,'Output Utente'!$R$2:$R$492,0)),"")</f>
        <v/>
      </c>
      <c r="K69" s="24" t="str">
        <f>IFERROR(INDEX('Output Utente'!$H$2:$H$492,MATCH(66,'Output Utente'!$R$2:$R$492,0)),"")</f>
        <v/>
      </c>
      <c r="L69" s="23" t="str">
        <f>IFERROR(INDEX('Output Utente'!$E$2:$E$492,MATCH(66,'Output Utente'!$R$2:$R$492,0)),"")</f>
        <v/>
      </c>
      <c r="V69" t="str">
        <f>IFERROR(INDEX('Output Utente'!$M$2:$M$492,MATCH(66,'Output Utente'!$R$2:$R$492,0)),"")</f>
        <v/>
      </c>
      <c r="W69" t="str">
        <f t="shared" si="1"/>
        <v/>
      </c>
      <c r="X69" t="str">
        <f>IFERROR(INDEX('Output Utente'!$AF$2:$AF$492,MATCH(66,'Output Utente'!$R$2:$R$492,0)),"")</f>
        <v/>
      </c>
    </row>
    <row r="70" spans="1:24" ht="15" customHeight="1" x14ac:dyDescent="0.25">
      <c r="A70" s="26">
        <v>67</v>
      </c>
      <c r="B70" s="23" t="str">
        <f>IFERROR(INDEX('Output Utente'!$A$2:$A$492,MATCH(67,'Output Utente'!$R$2:$R$492,0)),"")</f>
        <v/>
      </c>
      <c r="C70" s="23" t="str">
        <f>IFERROR(INDEX('Output Utente'!$B$2:$B$492,MATCH(67,'Output Utente'!$R$2:$R$492,0)),"")</f>
        <v/>
      </c>
      <c r="D70" s="23" t="str">
        <f>IFERROR(INDEX('Output Utente'!$C$2:$C$492,MATCH(67,'Output Utente'!$R$2:$R$492,0)),"")</f>
        <v/>
      </c>
      <c r="E70" s="23" t="str">
        <f>IFERROR(INDEX('Input Giocatori 2026_27'!$D$3:$D$493,MATCH($B70,'Input Giocatori 2026_27'!$A$3:$A$493,0)),"")</f>
        <v/>
      </c>
      <c r="F70" s="24" t="str">
        <f>IFERROR(INDEX('Output Utente'!$N$2:$N$492,MATCH(67,'Output Utente'!$R$2:$R$492,0)),"")</f>
        <v/>
      </c>
      <c r="G70" s="23" t="str">
        <f>IFERROR(INDEX('Output Utente'!$O$2:$O$492,MATCH(67,'Output Utente'!$R$2:$R$492,0)),"")</f>
        <v/>
      </c>
      <c r="H70" s="23" t="str">
        <f>IFERROR(INDEX('Output Utente'!$P$2:$P$492,MATCH(67,'Output Utente'!$R$2:$R$492,0)),"")</f>
        <v/>
      </c>
      <c r="I70" s="24" t="str">
        <f>IFERROR(INDEX('Output Utente'!$F$2:$F$492,MATCH(67,'Output Utente'!$R$2:$R$492,0)),"")</f>
        <v/>
      </c>
      <c r="J70" s="24" t="str">
        <f>IFERROR(INDEX('Output Utente'!$G$2:$G$492,MATCH(67,'Output Utente'!$R$2:$R$492,0)),"")</f>
        <v/>
      </c>
      <c r="K70" s="24" t="str">
        <f>IFERROR(INDEX('Output Utente'!$H$2:$H$492,MATCH(67,'Output Utente'!$R$2:$R$492,0)),"")</f>
        <v/>
      </c>
      <c r="L70" s="23" t="str">
        <f>IFERROR(INDEX('Output Utente'!$E$2:$E$492,MATCH(67,'Output Utente'!$R$2:$R$492,0)),"")</f>
        <v/>
      </c>
      <c r="V70" t="str">
        <f>IFERROR(INDEX('Output Utente'!$M$2:$M$492,MATCH(67,'Output Utente'!$R$2:$R$492,0)),"")</f>
        <v/>
      </c>
      <c r="W70" t="str">
        <f t="shared" si="1"/>
        <v/>
      </c>
      <c r="X70" t="str">
        <f>IFERROR(INDEX('Output Utente'!$AF$2:$AF$492,MATCH(67,'Output Utente'!$R$2:$R$492,0)),"")</f>
        <v/>
      </c>
    </row>
    <row r="71" spans="1:24" ht="15" customHeight="1" x14ac:dyDescent="0.25">
      <c r="A71" s="26">
        <v>68</v>
      </c>
      <c r="B71" s="23" t="str">
        <f>IFERROR(INDEX('Output Utente'!$A$2:$A$492,MATCH(68,'Output Utente'!$R$2:$R$492,0)),"")</f>
        <v/>
      </c>
      <c r="C71" s="23" t="str">
        <f>IFERROR(INDEX('Output Utente'!$B$2:$B$492,MATCH(68,'Output Utente'!$R$2:$R$492,0)),"")</f>
        <v/>
      </c>
      <c r="D71" s="23" t="str">
        <f>IFERROR(INDEX('Output Utente'!$C$2:$C$492,MATCH(68,'Output Utente'!$R$2:$R$492,0)),"")</f>
        <v/>
      </c>
      <c r="E71" s="23" t="str">
        <f>IFERROR(INDEX('Input Giocatori 2026_27'!$D$3:$D$493,MATCH($B71,'Input Giocatori 2026_27'!$A$3:$A$493,0)),"")</f>
        <v/>
      </c>
      <c r="F71" s="24" t="str">
        <f>IFERROR(INDEX('Output Utente'!$N$2:$N$492,MATCH(68,'Output Utente'!$R$2:$R$492,0)),"")</f>
        <v/>
      </c>
      <c r="G71" s="23" t="str">
        <f>IFERROR(INDEX('Output Utente'!$O$2:$O$492,MATCH(68,'Output Utente'!$R$2:$R$492,0)),"")</f>
        <v/>
      </c>
      <c r="H71" s="23" t="str">
        <f>IFERROR(INDEX('Output Utente'!$P$2:$P$492,MATCH(68,'Output Utente'!$R$2:$R$492,0)),"")</f>
        <v/>
      </c>
      <c r="I71" s="24" t="str">
        <f>IFERROR(INDEX('Output Utente'!$F$2:$F$492,MATCH(68,'Output Utente'!$R$2:$R$492,0)),"")</f>
        <v/>
      </c>
      <c r="J71" s="24" t="str">
        <f>IFERROR(INDEX('Output Utente'!$G$2:$G$492,MATCH(68,'Output Utente'!$R$2:$R$492,0)),"")</f>
        <v/>
      </c>
      <c r="K71" s="24" t="str">
        <f>IFERROR(INDEX('Output Utente'!$H$2:$H$492,MATCH(68,'Output Utente'!$R$2:$R$492,0)),"")</f>
        <v/>
      </c>
      <c r="L71" s="23" t="str">
        <f>IFERROR(INDEX('Output Utente'!$E$2:$E$492,MATCH(68,'Output Utente'!$R$2:$R$492,0)),"")</f>
        <v/>
      </c>
      <c r="V71" t="str">
        <f>IFERROR(INDEX('Output Utente'!$M$2:$M$492,MATCH(68,'Output Utente'!$R$2:$R$492,0)),"")</f>
        <v/>
      </c>
      <c r="W71" t="str">
        <f t="shared" si="1"/>
        <v/>
      </c>
      <c r="X71" t="str">
        <f>IFERROR(INDEX('Output Utente'!$AF$2:$AF$492,MATCH(68,'Output Utente'!$R$2:$R$492,0)),"")</f>
        <v/>
      </c>
    </row>
    <row r="72" spans="1:24" ht="15" customHeight="1" x14ac:dyDescent="0.25">
      <c r="A72" s="26">
        <v>69</v>
      </c>
      <c r="B72" s="23" t="str">
        <f>IFERROR(INDEX('Output Utente'!$A$2:$A$492,MATCH(69,'Output Utente'!$R$2:$R$492,0)),"")</f>
        <v/>
      </c>
      <c r="C72" s="23" t="str">
        <f>IFERROR(INDEX('Output Utente'!$B$2:$B$492,MATCH(69,'Output Utente'!$R$2:$R$492,0)),"")</f>
        <v/>
      </c>
      <c r="D72" s="23" t="str">
        <f>IFERROR(INDEX('Output Utente'!$C$2:$C$492,MATCH(69,'Output Utente'!$R$2:$R$492,0)),"")</f>
        <v/>
      </c>
      <c r="E72" s="23" t="str">
        <f>IFERROR(INDEX('Input Giocatori 2026_27'!$D$3:$D$493,MATCH($B72,'Input Giocatori 2026_27'!$A$3:$A$493,0)),"")</f>
        <v/>
      </c>
      <c r="F72" s="24" t="str">
        <f>IFERROR(INDEX('Output Utente'!$N$2:$N$492,MATCH(69,'Output Utente'!$R$2:$R$492,0)),"")</f>
        <v/>
      </c>
      <c r="G72" s="23" t="str">
        <f>IFERROR(INDEX('Output Utente'!$O$2:$O$492,MATCH(69,'Output Utente'!$R$2:$R$492,0)),"")</f>
        <v/>
      </c>
      <c r="H72" s="23" t="str">
        <f>IFERROR(INDEX('Output Utente'!$P$2:$P$492,MATCH(69,'Output Utente'!$R$2:$R$492,0)),"")</f>
        <v/>
      </c>
      <c r="I72" s="24" t="str">
        <f>IFERROR(INDEX('Output Utente'!$F$2:$F$492,MATCH(69,'Output Utente'!$R$2:$R$492,0)),"")</f>
        <v/>
      </c>
      <c r="J72" s="24" t="str">
        <f>IFERROR(INDEX('Output Utente'!$G$2:$G$492,MATCH(69,'Output Utente'!$R$2:$R$492,0)),"")</f>
        <v/>
      </c>
      <c r="K72" s="24" t="str">
        <f>IFERROR(INDEX('Output Utente'!$H$2:$H$492,MATCH(69,'Output Utente'!$R$2:$R$492,0)),"")</f>
        <v/>
      </c>
      <c r="L72" s="23" t="str">
        <f>IFERROR(INDEX('Output Utente'!$E$2:$E$492,MATCH(69,'Output Utente'!$R$2:$R$492,0)),"")</f>
        <v/>
      </c>
      <c r="V72" t="str">
        <f>IFERROR(INDEX('Output Utente'!$M$2:$M$492,MATCH(69,'Output Utente'!$R$2:$R$492,0)),"")</f>
        <v/>
      </c>
      <c r="W72" t="str">
        <f t="shared" si="1"/>
        <v/>
      </c>
      <c r="X72" t="str">
        <f>IFERROR(INDEX('Output Utente'!$AF$2:$AF$492,MATCH(69,'Output Utente'!$R$2:$R$492,0)),"")</f>
        <v/>
      </c>
    </row>
    <row r="73" spans="1:24" ht="15" customHeight="1" x14ac:dyDescent="0.25">
      <c r="A73" s="26">
        <v>70</v>
      </c>
      <c r="B73" s="23" t="str">
        <f>IFERROR(INDEX('Output Utente'!$A$2:$A$492,MATCH(70,'Output Utente'!$R$2:$R$492,0)),"")</f>
        <v/>
      </c>
      <c r="C73" s="23" t="str">
        <f>IFERROR(INDEX('Output Utente'!$B$2:$B$492,MATCH(70,'Output Utente'!$R$2:$R$492,0)),"")</f>
        <v/>
      </c>
      <c r="D73" s="23" t="str">
        <f>IFERROR(INDEX('Output Utente'!$C$2:$C$492,MATCH(70,'Output Utente'!$R$2:$R$492,0)),"")</f>
        <v/>
      </c>
      <c r="E73" s="23" t="str">
        <f>IFERROR(INDEX('Input Giocatori 2026_27'!$D$3:$D$493,MATCH($B73,'Input Giocatori 2026_27'!$A$3:$A$493,0)),"")</f>
        <v/>
      </c>
      <c r="F73" s="24" t="str">
        <f>IFERROR(INDEX('Output Utente'!$N$2:$N$492,MATCH(70,'Output Utente'!$R$2:$R$492,0)),"")</f>
        <v/>
      </c>
      <c r="G73" s="23" t="str">
        <f>IFERROR(INDEX('Output Utente'!$O$2:$O$492,MATCH(70,'Output Utente'!$R$2:$R$492,0)),"")</f>
        <v/>
      </c>
      <c r="H73" s="23" t="str">
        <f>IFERROR(INDEX('Output Utente'!$P$2:$P$492,MATCH(70,'Output Utente'!$R$2:$R$492,0)),"")</f>
        <v/>
      </c>
      <c r="I73" s="24" t="str">
        <f>IFERROR(INDEX('Output Utente'!$F$2:$F$492,MATCH(70,'Output Utente'!$R$2:$R$492,0)),"")</f>
        <v/>
      </c>
      <c r="J73" s="24" t="str">
        <f>IFERROR(INDEX('Output Utente'!$G$2:$G$492,MATCH(70,'Output Utente'!$R$2:$R$492,0)),"")</f>
        <v/>
      </c>
      <c r="K73" s="24" t="str">
        <f>IFERROR(INDEX('Output Utente'!$H$2:$H$492,MATCH(70,'Output Utente'!$R$2:$R$492,0)),"")</f>
        <v/>
      </c>
      <c r="L73" s="23" t="str">
        <f>IFERROR(INDEX('Output Utente'!$E$2:$E$492,MATCH(70,'Output Utente'!$R$2:$R$492,0)),"")</f>
        <v/>
      </c>
      <c r="V73" t="str">
        <f>IFERROR(INDEX('Output Utente'!$M$2:$M$492,MATCH(70,'Output Utente'!$R$2:$R$492,0)),"")</f>
        <v/>
      </c>
      <c r="W73" t="str">
        <f t="shared" si="1"/>
        <v/>
      </c>
      <c r="X73" t="str">
        <f>IFERROR(INDEX('Output Utente'!$AF$2:$AF$492,MATCH(70,'Output Utente'!$R$2:$R$492,0)),"")</f>
        <v/>
      </c>
    </row>
    <row r="74" spans="1:24" ht="15" customHeight="1" x14ac:dyDescent="0.25">
      <c r="A74" s="26">
        <v>71</v>
      </c>
      <c r="B74" s="23" t="str">
        <f>IFERROR(INDEX('Output Utente'!$A$2:$A$492,MATCH(71,'Output Utente'!$R$2:$R$492,0)),"")</f>
        <v/>
      </c>
      <c r="C74" s="23" t="str">
        <f>IFERROR(INDEX('Output Utente'!$B$2:$B$492,MATCH(71,'Output Utente'!$R$2:$R$492,0)),"")</f>
        <v/>
      </c>
      <c r="D74" s="23" t="str">
        <f>IFERROR(INDEX('Output Utente'!$C$2:$C$492,MATCH(71,'Output Utente'!$R$2:$R$492,0)),"")</f>
        <v/>
      </c>
      <c r="E74" s="23" t="str">
        <f>IFERROR(INDEX('Input Giocatori 2026_27'!$D$3:$D$493,MATCH($B74,'Input Giocatori 2026_27'!$A$3:$A$493,0)),"")</f>
        <v/>
      </c>
      <c r="F74" s="24" t="str">
        <f>IFERROR(INDEX('Output Utente'!$N$2:$N$492,MATCH(71,'Output Utente'!$R$2:$R$492,0)),"")</f>
        <v/>
      </c>
      <c r="G74" s="23" t="str">
        <f>IFERROR(INDEX('Output Utente'!$O$2:$O$492,MATCH(71,'Output Utente'!$R$2:$R$492,0)),"")</f>
        <v/>
      </c>
      <c r="H74" s="23" t="str">
        <f>IFERROR(INDEX('Output Utente'!$P$2:$P$492,MATCH(71,'Output Utente'!$R$2:$R$492,0)),"")</f>
        <v/>
      </c>
      <c r="I74" s="24" t="str">
        <f>IFERROR(INDEX('Output Utente'!$F$2:$F$492,MATCH(71,'Output Utente'!$R$2:$R$492,0)),"")</f>
        <v/>
      </c>
      <c r="J74" s="24" t="str">
        <f>IFERROR(INDEX('Output Utente'!$G$2:$G$492,MATCH(71,'Output Utente'!$R$2:$R$492,0)),"")</f>
        <v/>
      </c>
      <c r="K74" s="24" t="str">
        <f>IFERROR(INDEX('Output Utente'!$H$2:$H$492,MATCH(71,'Output Utente'!$R$2:$R$492,0)),"")</f>
        <v/>
      </c>
      <c r="L74" s="23" t="str">
        <f>IFERROR(INDEX('Output Utente'!$E$2:$E$492,MATCH(71,'Output Utente'!$R$2:$R$492,0)),"")</f>
        <v/>
      </c>
      <c r="V74" t="str">
        <f>IFERROR(INDEX('Output Utente'!$M$2:$M$492,MATCH(71,'Output Utente'!$R$2:$R$492,0)),"")</f>
        <v/>
      </c>
      <c r="W74" t="str">
        <f t="shared" si="1"/>
        <v/>
      </c>
      <c r="X74" t="str">
        <f>IFERROR(INDEX('Output Utente'!$AF$2:$AF$492,MATCH(71,'Output Utente'!$R$2:$R$492,0)),"")</f>
        <v/>
      </c>
    </row>
    <row r="75" spans="1:24" ht="15" customHeight="1" x14ac:dyDescent="0.25">
      <c r="A75" s="26">
        <v>72</v>
      </c>
      <c r="B75" s="23" t="str">
        <f>IFERROR(INDEX('Output Utente'!$A$2:$A$492,MATCH(72,'Output Utente'!$R$2:$R$492,0)),"")</f>
        <v/>
      </c>
      <c r="C75" s="23" t="str">
        <f>IFERROR(INDEX('Output Utente'!$B$2:$B$492,MATCH(72,'Output Utente'!$R$2:$R$492,0)),"")</f>
        <v/>
      </c>
      <c r="D75" s="23" t="str">
        <f>IFERROR(INDEX('Output Utente'!$C$2:$C$492,MATCH(72,'Output Utente'!$R$2:$R$492,0)),"")</f>
        <v/>
      </c>
      <c r="E75" s="23" t="str">
        <f>IFERROR(INDEX('Input Giocatori 2026_27'!$D$3:$D$493,MATCH($B75,'Input Giocatori 2026_27'!$A$3:$A$493,0)),"")</f>
        <v/>
      </c>
      <c r="F75" s="24" t="str">
        <f>IFERROR(INDEX('Output Utente'!$N$2:$N$492,MATCH(72,'Output Utente'!$R$2:$R$492,0)),"")</f>
        <v/>
      </c>
      <c r="G75" s="23" t="str">
        <f>IFERROR(INDEX('Output Utente'!$O$2:$O$492,MATCH(72,'Output Utente'!$R$2:$R$492,0)),"")</f>
        <v/>
      </c>
      <c r="H75" s="23" t="str">
        <f>IFERROR(INDEX('Output Utente'!$P$2:$P$492,MATCH(72,'Output Utente'!$R$2:$R$492,0)),"")</f>
        <v/>
      </c>
      <c r="I75" s="24" t="str">
        <f>IFERROR(INDEX('Output Utente'!$F$2:$F$492,MATCH(72,'Output Utente'!$R$2:$R$492,0)),"")</f>
        <v/>
      </c>
      <c r="J75" s="24" t="str">
        <f>IFERROR(INDEX('Output Utente'!$G$2:$G$492,MATCH(72,'Output Utente'!$R$2:$R$492,0)),"")</f>
        <v/>
      </c>
      <c r="K75" s="24" t="str">
        <f>IFERROR(INDEX('Output Utente'!$H$2:$H$492,MATCH(72,'Output Utente'!$R$2:$R$492,0)),"")</f>
        <v/>
      </c>
      <c r="L75" s="23" t="str">
        <f>IFERROR(INDEX('Output Utente'!$E$2:$E$492,MATCH(72,'Output Utente'!$R$2:$R$492,0)),"")</f>
        <v/>
      </c>
      <c r="V75" t="str">
        <f>IFERROR(INDEX('Output Utente'!$M$2:$M$492,MATCH(72,'Output Utente'!$R$2:$R$492,0)),"")</f>
        <v/>
      </c>
      <c r="W75" t="str">
        <f t="shared" si="1"/>
        <v/>
      </c>
      <c r="X75" t="str">
        <f>IFERROR(INDEX('Output Utente'!$AF$2:$AF$492,MATCH(72,'Output Utente'!$R$2:$R$492,0)),"")</f>
        <v/>
      </c>
    </row>
    <row r="76" spans="1:24" ht="15" customHeight="1" x14ac:dyDescent="0.25">
      <c r="A76" s="26">
        <v>73</v>
      </c>
      <c r="B76" s="23" t="str">
        <f>IFERROR(INDEX('Output Utente'!$A$2:$A$492,MATCH(73,'Output Utente'!$R$2:$R$492,0)),"")</f>
        <v/>
      </c>
      <c r="C76" s="23" t="str">
        <f>IFERROR(INDEX('Output Utente'!$B$2:$B$492,MATCH(73,'Output Utente'!$R$2:$R$492,0)),"")</f>
        <v/>
      </c>
      <c r="D76" s="23" t="str">
        <f>IFERROR(INDEX('Output Utente'!$C$2:$C$492,MATCH(73,'Output Utente'!$R$2:$R$492,0)),"")</f>
        <v/>
      </c>
      <c r="E76" s="23" t="str">
        <f>IFERROR(INDEX('Input Giocatori 2026_27'!$D$3:$D$493,MATCH($B76,'Input Giocatori 2026_27'!$A$3:$A$493,0)),"")</f>
        <v/>
      </c>
      <c r="F76" s="24" t="str">
        <f>IFERROR(INDEX('Output Utente'!$N$2:$N$492,MATCH(73,'Output Utente'!$R$2:$R$492,0)),"")</f>
        <v/>
      </c>
      <c r="G76" s="23" t="str">
        <f>IFERROR(INDEX('Output Utente'!$O$2:$O$492,MATCH(73,'Output Utente'!$R$2:$R$492,0)),"")</f>
        <v/>
      </c>
      <c r="H76" s="23" t="str">
        <f>IFERROR(INDEX('Output Utente'!$P$2:$P$492,MATCH(73,'Output Utente'!$R$2:$R$492,0)),"")</f>
        <v/>
      </c>
      <c r="I76" s="24" t="str">
        <f>IFERROR(INDEX('Output Utente'!$F$2:$F$492,MATCH(73,'Output Utente'!$R$2:$R$492,0)),"")</f>
        <v/>
      </c>
      <c r="J76" s="24" t="str">
        <f>IFERROR(INDEX('Output Utente'!$G$2:$G$492,MATCH(73,'Output Utente'!$R$2:$R$492,0)),"")</f>
        <v/>
      </c>
      <c r="K76" s="24" t="str">
        <f>IFERROR(INDEX('Output Utente'!$H$2:$H$492,MATCH(73,'Output Utente'!$R$2:$R$492,0)),"")</f>
        <v/>
      </c>
      <c r="L76" s="23" t="str">
        <f>IFERROR(INDEX('Output Utente'!$E$2:$E$492,MATCH(73,'Output Utente'!$R$2:$R$492,0)),"")</f>
        <v/>
      </c>
      <c r="V76" t="str">
        <f>IFERROR(INDEX('Output Utente'!$M$2:$M$492,MATCH(73,'Output Utente'!$R$2:$R$492,0)),"")</f>
        <v/>
      </c>
      <c r="W76" t="str">
        <f t="shared" si="1"/>
        <v/>
      </c>
      <c r="X76" t="str">
        <f>IFERROR(INDEX('Output Utente'!$AF$2:$AF$492,MATCH(73,'Output Utente'!$R$2:$R$492,0)),"")</f>
        <v/>
      </c>
    </row>
    <row r="77" spans="1:24" ht="15" customHeight="1" x14ac:dyDescent="0.25">
      <c r="A77" s="26">
        <v>74</v>
      </c>
      <c r="B77" s="23" t="str">
        <f>IFERROR(INDEX('Output Utente'!$A$2:$A$492,MATCH(74,'Output Utente'!$R$2:$R$492,0)),"")</f>
        <v/>
      </c>
      <c r="C77" s="23" t="str">
        <f>IFERROR(INDEX('Output Utente'!$B$2:$B$492,MATCH(74,'Output Utente'!$R$2:$R$492,0)),"")</f>
        <v/>
      </c>
      <c r="D77" s="23" t="str">
        <f>IFERROR(INDEX('Output Utente'!$C$2:$C$492,MATCH(74,'Output Utente'!$R$2:$R$492,0)),"")</f>
        <v/>
      </c>
      <c r="E77" s="23" t="str">
        <f>IFERROR(INDEX('Input Giocatori 2026_27'!$D$3:$D$493,MATCH($B77,'Input Giocatori 2026_27'!$A$3:$A$493,0)),"")</f>
        <v/>
      </c>
      <c r="F77" s="24" t="str">
        <f>IFERROR(INDEX('Output Utente'!$N$2:$N$492,MATCH(74,'Output Utente'!$R$2:$R$492,0)),"")</f>
        <v/>
      </c>
      <c r="G77" s="23" t="str">
        <f>IFERROR(INDEX('Output Utente'!$O$2:$O$492,MATCH(74,'Output Utente'!$R$2:$R$492,0)),"")</f>
        <v/>
      </c>
      <c r="H77" s="23" t="str">
        <f>IFERROR(INDEX('Output Utente'!$P$2:$P$492,MATCH(74,'Output Utente'!$R$2:$R$492,0)),"")</f>
        <v/>
      </c>
      <c r="I77" s="24" t="str">
        <f>IFERROR(INDEX('Output Utente'!$F$2:$F$492,MATCH(74,'Output Utente'!$R$2:$R$492,0)),"")</f>
        <v/>
      </c>
      <c r="J77" s="24" t="str">
        <f>IFERROR(INDEX('Output Utente'!$G$2:$G$492,MATCH(74,'Output Utente'!$R$2:$R$492,0)),"")</f>
        <v/>
      </c>
      <c r="K77" s="24" t="str">
        <f>IFERROR(INDEX('Output Utente'!$H$2:$H$492,MATCH(74,'Output Utente'!$R$2:$R$492,0)),"")</f>
        <v/>
      </c>
      <c r="L77" s="23" t="str">
        <f>IFERROR(INDEX('Output Utente'!$E$2:$E$492,MATCH(74,'Output Utente'!$R$2:$R$492,0)),"")</f>
        <v/>
      </c>
      <c r="V77" t="str">
        <f>IFERROR(INDEX('Output Utente'!$M$2:$M$492,MATCH(74,'Output Utente'!$R$2:$R$492,0)),"")</f>
        <v/>
      </c>
      <c r="W77" t="str">
        <f t="shared" si="1"/>
        <v/>
      </c>
      <c r="X77" t="str">
        <f>IFERROR(INDEX('Output Utente'!$AF$2:$AF$492,MATCH(74,'Output Utente'!$R$2:$R$492,0)),"")</f>
        <v/>
      </c>
    </row>
    <row r="78" spans="1:24" ht="15" customHeight="1" x14ac:dyDescent="0.25">
      <c r="A78" s="26">
        <v>75</v>
      </c>
      <c r="B78" s="23" t="str">
        <f>IFERROR(INDEX('Output Utente'!$A$2:$A$492,MATCH(75,'Output Utente'!$R$2:$R$492,0)),"")</f>
        <v/>
      </c>
      <c r="C78" s="23" t="str">
        <f>IFERROR(INDEX('Output Utente'!$B$2:$B$492,MATCH(75,'Output Utente'!$R$2:$R$492,0)),"")</f>
        <v/>
      </c>
      <c r="D78" s="23" t="str">
        <f>IFERROR(INDEX('Output Utente'!$C$2:$C$492,MATCH(75,'Output Utente'!$R$2:$R$492,0)),"")</f>
        <v/>
      </c>
      <c r="E78" s="23" t="str">
        <f>IFERROR(INDEX('Input Giocatori 2026_27'!$D$3:$D$493,MATCH($B78,'Input Giocatori 2026_27'!$A$3:$A$493,0)),"")</f>
        <v/>
      </c>
      <c r="F78" s="24" t="str">
        <f>IFERROR(INDEX('Output Utente'!$N$2:$N$492,MATCH(75,'Output Utente'!$R$2:$R$492,0)),"")</f>
        <v/>
      </c>
      <c r="G78" s="23" t="str">
        <f>IFERROR(INDEX('Output Utente'!$O$2:$O$492,MATCH(75,'Output Utente'!$R$2:$R$492,0)),"")</f>
        <v/>
      </c>
      <c r="H78" s="23" t="str">
        <f>IFERROR(INDEX('Output Utente'!$P$2:$P$492,MATCH(75,'Output Utente'!$R$2:$R$492,0)),"")</f>
        <v/>
      </c>
      <c r="I78" s="24" t="str">
        <f>IFERROR(INDEX('Output Utente'!$F$2:$F$492,MATCH(75,'Output Utente'!$R$2:$R$492,0)),"")</f>
        <v/>
      </c>
      <c r="J78" s="24" t="str">
        <f>IFERROR(INDEX('Output Utente'!$G$2:$G$492,MATCH(75,'Output Utente'!$R$2:$R$492,0)),"")</f>
        <v/>
      </c>
      <c r="K78" s="24" t="str">
        <f>IFERROR(INDEX('Output Utente'!$H$2:$H$492,MATCH(75,'Output Utente'!$R$2:$R$492,0)),"")</f>
        <v/>
      </c>
      <c r="L78" s="23" t="str">
        <f>IFERROR(INDEX('Output Utente'!$E$2:$E$492,MATCH(75,'Output Utente'!$R$2:$R$492,0)),"")</f>
        <v/>
      </c>
      <c r="V78" t="str">
        <f>IFERROR(INDEX('Output Utente'!$M$2:$M$492,MATCH(75,'Output Utente'!$R$2:$R$492,0)),"")</f>
        <v/>
      </c>
      <c r="W78" t="str">
        <f t="shared" si="1"/>
        <v/>
      </c>
      <c r="X78" t="str">
        <f>IFERROR(INDEX('Output Utente'!$AF$2:$AF$492,MATCH(75,'Output Utente'!$R$2:$R$492,0)),"")</f>
        <v/>
      </c>
    </row>
    <row r="79" spans="1:24" ht="15" customHeight="1" x14ac:dyDescent="0.25">
      <c r="A79" s="26">
        <v>76</v>
      </c>
      <c r="B79" s="23" t="str">
        <f>IFERROR(INDEX('Output Utente'!$A$2:$A$492,MATCH(76,'Output Utente'!$R$2:$R$492,0)),"")</f>
        <v/>
      </c>
      <c r="C79" s="23" t="str">
        <f>IFERROR(INDEX('Output Utente'!$B$2:$B$492,MATCH(76,'Output Utente'!$R$2:$R$492,0)),"")</f>
        <v/>
      </c>
      <c r="D79" s="23" t="str">
        <f>IFERROR(INDEX('Output Utente'!$C$2:$C$492,MATCH(76,'Output Utente'!$R$2:$R$492,0)),"")</f>
        <v/>
      </c>
      <c r="E79" s="23" t="str">
        <f>IFERROR(INDEX('Input Giocatori 2026_27'!$D$3:$D$493,MATCH($B79,'Input Giocatori 2026_27'!$A$3:$A$493,0)),"")</f>
        <v/>
      </c>
      <c r="F79" s="24" t="str">
        <f>IFERROR(INDEX('Output Utente'!$N$2:$N$492,MATCH(76,'Output Utente'!$R$2:$R$492,0)),"")</f>
        <v/>
      </c>
      <c r="G79" s="23" t="str">
        <f>IFERROR(INDEX('Output Utente'!$O$2:$O$492,MATCH(76,'Output Utente'!$R$2:$R$492,0)),"")</f>
        <v/>
      </c>
      <c r="H79" s="23" t="str">
        <f>IFERROR(INDEX('Output Utente'!$P$2:$P$492,MATCH(76,'Output Utente'!$R$2:$R$492,0)),"")</f>
        <v/>
      </c>
      <c r="I79" s="24" t="str">
        <f>IFERROR(INDEX('Output Utente'!$F$2:$F$492,MATCH(76,'Output Utente'!$R$2:$R$492,0)),"")</f>
        <v/>
      </c>
      <c r="J79" s="24" t="str">
        <f>IFERROR(INDEX('Output Utente'!$G$2:$G$492,MATCH(76,'Output Utente'!$R$2:$R$492,0)),"")</f>
        <v/>
      </c>
      <c r="K79" s="24" t="str">
        <f>IFERROR(INDEX('Output Utente'!$H$2:$H$492,MATCH(76,'Output Utente'!$R$2:$R$492,0)),"")</f>
        <v/>
      </c>
      <c r="L79" s="23" t="str">
        <f>IFERROR(INDEX('Output Utente'!$E$2:$E$492,MATCH(76,'Output Utente'!$R$2:$R$492,0)),"")</f>
        <v/>
      </c>
      <c r="V79" t="str">
        <f>IFERROR(INDEX('Output Utente'!$M$2:$M$492,MATCH(76,'Output Utente'!$R$2:$R$492,0)),"")</f>
        <v/>
      </c>
      <c r="W79" t="str">
        <f t="shared" si="1"/>
        <v/>
      </c>
      <c r="X79" t="str">
        <f>IFERROR(INDEX('Output Utente'!$AF$2:$AF$492,MATCH(76,'Output Utente'!$R$2:$R$492,0)),"")</f>
        <v/>
      </c>
    </row>
    <row r="80" spans="1:24" ht="15" customHeight="1" x14ac:dyDescent="0.25">
      <c r="A80" s="26">
        <v>77</v>
      </c>
      <c r="B80" s="23" t="str">
        <f>IFERROR(INDEX('Output Utente'!$A$2:$A$492,MATCH(77,'Output Utente'!$R$2:$R$492,0)),"")</f>
        <v/>
      </c>
      <c r="C80" s="23" t="str">
        <f>IFERROR(INDEX('Output Utente'!$B$2:$B$492,MATCH(77,'Output Utente'!$R$2:$R$492,0)),"")</f>
        <v/>
      </c>
      <c r="D80" s="23" t="str">
        <f>IFERROR(INDEX('Output Utente'!$C$2:$C$492,MATCH(77,'Output Utente'!$R$2:$R$492,0)),"")</f>
        <v/>
      </c>
      <c r="E80" s="23" t="str">
        <f>IFERROR(INDEX('Input Giocatori 2026_27'!$D$3:$D$493,MATCH($B80,'Input Giocatori 2026_27'!$A$3:$A$493,0)),"")</f>
        <v/>
      </c>
      <c r="F80" s="24" t="str">
        <f>IFERROR(INDEX('Output Utente'!$N$2:$N$492,MATCH(77,'Output Utente'!$R$2:$R$492,0)),"")</f>
        <v/>
      </c>
      <c r="G80" s="23" t="str">
        <f>IFERROR(INDEX('Output Utente'!$O$2:$O$492,MATCH(77,'Output Utente'!$R$2:$R$492,0)),"")</f>
        <v/>
      </c>
      <c r="H80" s="23" t="str">
        <f>IFERROR(INDEX('Output Utente'!$P$2:$P$492,MATCH(77,'Output Utente'!$R$2:$R$492,0)),"")</f>
        <v/>
      </c>
      <c r="I80" s="24" t="str">
        <f>IFERROR(INDEX('Output Utente'!$F$2:$F$492,MATCH(77,'Output Utente'!$R$2:$R$492,0)),"")</f>
        <v/>
      </c>
      <c r="J80" s="24" t="str">
        <f>IFERROR(INDEX('Output Utente'!$G$2:$G$492,MATCH(77,'Output Utente'!$R$2:$R$492,0)),"")</f>
        <v/>
      </c>
      <c r="K80" s="24" t="str">
        <f>IFERROR(INDEX('Output Utente'!$H$2:$H$492,MATCH(77,'Output Utente'!$R$2:$R$492,0)),"")</f>
        <v/>
      </c>
      <c r="L80" s="23" t="str">
        <f>IFERROR(INDEX('Output Utente'!$E$2:$E$492,MATCH(77,'Output Utente'!$R$2:$R$492,0)),"")</f>
        <v/>
      </c>
      <c r="V80" t="str">
        <f>IFERROR(INDEX('Output Utente'!$M$2:$M$492,MATCH(77,'Output Utente'!$R$2:$R$492,0)),"")</f>
        <v/>
      </c>
      <c r="W80" t="str">
        <f t="shared" si="1"/>
        <v/>
      </c>
      <c r="X80" t="str">
        <f>IFERROR(INDEX('Output Utente'!$AF$2:$AF$492,MATCH(77,'Output Utente'!$R$2:$R$492,0)),"")</f>
        <v/>
      </c>
    </row>
    <row r="81" spans="1:24" ht="15" customHeight="1" x14ac:dyDescent="0.25">
      <c r="A81" s="26">
        <v>78</v>
      </c>
      <c r="B81" s="23" t="str">
        <f>IFERROR(INDEX('Output Utente'!$A$2:$A$492,MATCH(78,'Output Utente'!$R$2:$R$492,0)),"")</f>
        <v/>
      </c>
      <c r="C81" s="23" t="str">
        <f>IFERROR(INDEX('Output Utente'!$B$2:$B$492,MATCH(78,'Output Utente'!$R$2:$R$492,0)),"")</f>
        <v/>
      </c>
      <c r="D81" s="23" t="str">
        <f>IFERROR(INDEX('Output Utente'!$C$2:$C$492,MATCH(78,'Output Utente'!$R$2:$R$492,0)),"")</f>
        <v/>
      </c>
      <c r="E81" s="23" t="str">
        <f>IFERROR(INDEX('Input Giocatori 2026_27'!$D$3:$D$493,MATCH($B81,'Input Giocatori 2026_27'!$A$3:$A$493,0)),"")</f>
        <v/>
      </c>
      <c r="F81" s="24" t="str">
        <f>IFERROR(INDEX('Output Utente'!$N$2:$N$492,MATCH(78,'Output Utente'!$R$2:$R$492,0)),"")</f>
        <v/>
      </c>
      <c r="G81" s="23" t="str">
        <f>IFERROR(INDEX('Output Utente'!$O$2:$O$492,MATCH(78,'Output Utente'!$R$2:$R$492,0)),"")</f>
        <v/>
      </c>
      <c r="H81" s="23" t="str">
        <f>IFERROR(INDEX('Output Utente'!$P$2:$P$492,MATCH(78,'Output Utente'!$R$2:$R$492,0)),"")</f>
        <v/>
      </c>
      <c r="I81" s="24" t="str">
        <f>IFERROR(INDEX('Output Utente'!$F$2:$F$492,MATCH(78,'Output Utente'!$R$2:$R$492,0)),"")</f>
        <v/>
      </c>
      <c r="J81" s="24" t="str">
        <f>IFERROR(INDEX('Output Utente'!$G$2:$G$492,MATCH(78,'Output Utente'!$R$2:$R$492,0)),"")</f>
        <v/>
      </c>
      <c r="K81" s="24" t="str">
        <f>IFERROR(INDEX('Output Utente'!$H$2:$H$492,MATCH(78,'Output Utente'!$R$2:$R$492,0)),"")</f>
        <v/>
      </c>
      <c r="L81" s="23" t="str">
        <f>IFERROR(INDEX('Output Utente'!$E$2:$E$492,MATCH(78,'Output Utente'!$R$2:$R$492,0)),"")</f>
        <v/>
      </c>
      <c r="V81" t="str">
        <f>IFERROR(INDEX('Output Utente'!$M$2:$M$492,MATCH(78,'Output Utente'!$R$2:$R$492,0)),"")</f>
        <v/>
      </c>
      <c r="W81" t="str">
        <f t="shared" si="1"/>
        <v/>
      </c>
      <c r="X81" t="str">
        <f>IFERROR(INDEX('Output Utente'!$AF$2:$AF$492,MATCH(78,'Output Utente'!$R$2:$R$492,0)),"")</f>
        <v/>
      </c>
    </row>
    <row r="82" spans="1:24" ht="15" customHeight="1" x14ac:dyDescent="0.25">
      <c r="A82" s="26">
        <v>79</v>
      </c>
      <c r="B82" s="23" t="str">
        <f>IFERROR(INDEX('Output Utente'!$A$2:$A$492,MATCH(79,'Output Utente'!$R$2:$R$492,0)),"")</f>
        <v/>
      </c>
      <c r="C82" s="23" t="str">
        <f>IFERROR(INDEX('Output Utente'!$B$2:$B$492,MATCH(79,'Output Utente'!$R$2:$R$492,0)),"")</f>
        <v/>
      </c>
      <c r="D82" s="23" t="str">
        <f>IFERROR(INDEX('Output Utente'!$C$2:$C$492,MATCH(79,'Output Utente'!$R$2:$R$492,0)),"")</f>
        <v/>
      </c>
      <c r="E82" s="23" t="str">
        <f>IFERROR(INDEX('Input Giocatori 2026_27'!$D$3:$D$493,MATCH($B82,'Input Giocatori 2026_27'!$A$3:$A$493,0)),"")</f>
        <v/>
      </c>
      <c r="F82" s="24" t="str">
        <f>IFERROR(INDEX('Output Utente'!$N$2:$N$492,MATCH(79,'Output Utente'!$R$2:$R$492,0)),"")</f>
        <v/>
      </c>
      <c r="G82" s="23" t="str">
        <f>IFERROR(INDEX('Output Utente'!$O$2:$O$492,MATCH(79,'Output Utente'!$R$2:$R$492,0)),"")</f>
        <v/>
      </c>
      <c r="H82" s="23" t="str">
        <f>IFERROR(INDEX('Output Utente'!$P$2:$P$492,MATCH(79,'Output Utente'!$R$2:$R$492,0)),"")</f>
        <v/>
      </c>
      <c r="I82" s="24" t="str">
        <f>IFERROR(INDEX('Output Utente'!$F$2:$F$492,MATCH(79,'Output Utente'!$R$2:$R$492,0)),"")</f>
        <v/>
      </c>
      <c r="J82" s="24" t="str">
        <f>IFERROR(INDEX('Output Utente'!$G$2:$G$492,MATCH(79,'Output Utente'!$R$2:$R$492,0)),"")</f>
        <v/>
      </c>
      <c r="K82" s="24" t="str">
        <f>IFERROR(INDEX('Output Utente'!$H$2:$H$492,MATCH(79,'Output Utente'!$R$2:$R$492,0)),"")</f>
        <v/>
      </c>
      <c r="L82" s="23" t="str">
        <f>IFERROR(INDEX('Output Utente'!$E$2:$E$492,MATCH(79,'Output Utente'!$R$2:$R$492,0)),"")</f>
        <v/>
      </c>
      <c r="V82" t="str">
        <f>IFERROR(INDEX('Output Utente'!$M$2:$M$492,MATCH(79,'Output Utente'!$R$2:$R$492,0)),"")</f>
        <v/>
      </c>
      <c r="W82" t="str">
        <f t="shared" si="1"/>
        <v/>
      </c>
      <c r="X82" t="str">
        <f>IFERROR(INDEX('Output Utente'!$AF$2:$AF$492,MATCH(79,'Output Utente'!$R$2:$R$492,0)),"")</f>
        <v/>
      </c>
    </row>
    <row r="83" spans="1:24" ht="15" customHeight="1" x14ac:dyDescent="0.25">
      <c r="A83" s="26">
        <v>80</v>
      </c>
      <c r="B83" s="23" t="str">
        <f>IFERROR(INDEX('Output Utente'!$A$2:$A$492,MATCH(80,'Output Utente'!$R$2:$R$492,0)),"")</f>
        <v/>
      </c>
      <c r="C83" s="23" t="str">
        <f>IFERROR(INDEX('Output Utente'!$B$2:$B$492,MATCH(80,'Output Utente'!$R$2:$R$492,0)),"")</f>
        <v/>
      </c>
      <c r="D83" s="23" t="str">
        <f>IFERROR(INDEX('Output Utente'!$C$2:$C$492,MATCH(80,'Output Utente'!$R$2:$R$492,0)),"")</f>
        <v/>
      </c>
      <c r="E83" s="23" t="str">
        <f>IFERROR(INDEX('Input Giocatori 2026_27'!$D$3:$D$493,MATCH($B83,'Input Giocatori 2026_27'!$A$3:$A$493,0)),"")</f>
        <v/>
      </c>
      <c r="F83" s="24" t="str">
        <f>IFERROR(INDEX('Output Utente'!$N$2:$N$492,MATCH(80,'Output Utente'!$R$2:$R$492,0)),"")</f>
        <v/>
      </c>
      <c r="G83" s="23" t="str">
        <f>IFERROR(INDEX('Output Utente'!$O$2:$O$492,MATCH(80,'Output Utente'!$R$2:$R$492,0)),"")</f>
        <v/>
      </c>
      <c r="H83" s="23" t="str">
        <f>IFERROR(INDEX('Output Utente'!$P$2:$P$492,MATCH(80,'Output Utente'!$R$2:$R$492,0)),"")</f>
        <v/>
      </c>
      <c r="I83" s="24" t="str">
        <f>IFERROR(INDEX('Output Utente'!$F$2:$F$492,MATCH(80,'Output Utente'!$R$2:$R$492,0)),"")</f>
        <v/>
      </c>
      <c r="J83" s="24" t="str">
        <f>IFERROR(INDEX('Output Utente'!$G$2:$G$492,MATCH(80,'Output Utente'!$R$2:$R$492,0)),"")</f>
        <v/>
      </c>
      <c r="K83" s="24" t="str">
        <f>IFERROR(INDEX('Output Utente'!$H$2:$H$492,MATCH(80,'Output Utente'!$R$2:$R$492,0)),"")</f>
        <v/>
      </c>
      <c r="L83" s="23" t="str">
        <f>IFERROR(INDEX('Output Utente'!$E$2:$E$492,MATCH(80,'Output Utente'!$R$2:$R$492,0)),"")</f>
        <v/>
      </c>
      <c r="V83" t="str">
        <f>IFERROR(INDEX('Output Utente'!$M$2:$M$492,MATCH(80,'Output Utente'!$R$2:$R$492,0)),"")</f>
        <v/>
      </c>
      <c r="W83" t="str">
        <f t="shared" si="1"/>
        <v/>
      </c>
      <c r="X83" t="str">
        <f>IFERROR(INDEX('Output Utente'!$AF$2:$AF$492,MATCH(80,'Output Utente'!$R$2:$R$492,0)),"")</f>
        <v/>
      </c>
    </row>
    <row r="84" spans="1:24" ht="15" customHeight="1" x14ac:dyDescent="0.25">
      <c r="A84" s="26">
        <v>81</v>
      </c>
      <c r="B84" s="23" t="str">
        <f>IFERROR(INDEX('Output Utente'!$A$2:$A$492,MATCH(81,'Output Utente'!$R$2:$R$492,0)),"")</f>
        <v/>
      </c>
      <c r="C84" s="23" t="str">
        <f>IFERROR(INDEX('Output Utente'!$B$2:$B$492,MATCH(81,'Output Utente'!$R$2:$R$492,0)),"")</f>
        <v/>
      </c>
      <c r="D84" s="23" t="str">
        <f>IFERROR(INDEX('Output Utente'!$C$2:$C$492,MATCH(81,'Output Utente'!$R$2:$R$492,0)),"")</f>
        <v/>
      </c>
      <c r="E84" s="23" t="str">
        <f>IFERROR(INDEX('Input Giocatori 2026_27'!$D$3:$D$493,MATCH($B84,'Input Giocatori 2026_27'!$A$3:$A$493,0)),"")</f>
        <v/>
      </c>
      <c r="F84" s="24" t="str">
        <f>IFERROR(INDEX('Output Utente'!$N$2:$N$492,MATCH(81,'Output Utente'!$R$2:$R$492,0)),"")</f>
        <v/>
      </c>
      <c r="G84" s="23" t="str">
        <f>IFERROR(INDEX('Output Utente'!$O$2:$O$492,MATCH(81,'Output Utente'!$R$2:$R$492,0)),"")</f>
        <v/>
      </c>
      <c r="H84" s="23" t="str">
        <f>IFERROR(INDEX('Output Utente'!$P$2:$P$492,MATCH(81,'Output Utente'!$R$2:$R$492,0)),"")</f>
        <v/>
      </c>
      <c r="I84" s="24" t="str">
        <f>IFERROR(INDEX('Output Utente'!$F$2:$F$492,MATCH(81,'Output Utente'!$R$2:$R$492,0)),"")</f>
        <v/>
      </c>
      <c r="J84" s="24" t="str">
        <f>IFERROR(INDEX('Output Utente'!$G$2:$G$492,MATCH(81,'Output Utente'!$R$2:$R$492,0)),"")</f>
        <v/>
      </c>
      <c r="K84" s="24" t="str">
        <f>IFERROR(INDEX('Output Utente'!$H$2:$H$492,MATCH(81,'Output Utente'!$R$2:$R$492,0)),"")</f>
        <v/>
      </c>
      <c r="L84" s="23" t="str">
        <f>IFERROR(INDEX('Output Utente'!$E$2:$E$492,MATCH(81,'Output Utente'!$R$2:$R$492,0)),"")</f>
        <v/>
      </c>
      <c r="V84" t="str">
        <f>IFERROR(INDEX('Output Utente'!$M$2:$M$492,MATCH(81,'Output Utente'!$R$2:$R$492,0)),"")</f>
        <v/>
      </c>
      <c r="W84" t="str">
        <f t="shared" si="1"/>
        <v/>
      </c>
      <c r="X84" t="str">
        <f>IFERROR(INDEX('Output Utente'!$AF$2:$AF$492,MATCH(81,'Output Utente'!$R$2:$R$492,0)),"")</f>
        <v/>
      </c>
    </row>
    <row r="85" spans="1:24" ht="15" customHeight="1" x14ac:dyDescent="0.25">
      <c r="A85" s="26">
        <v>82</v>
      </c>
      <c r="B85" s="23" t="str">
        <f>IFERROR(INDEX('Output Utente'!$A$2:$A$492,MATCH(82,'Output Utente'!$R$2:$R$492,0)),"")</f>
        <v/>
      </c>
      <c r="C85" s="23" t="str">
        <f>IFERROR(INDEX('Output Utente'!$B$2:$B$492,MATCH(82,'Output Utente'!$R$2:$R$492,0)),"")</f>
        <v/>
      </c>
      <c r="D85" s="23" t="str">
        <f>IFERROR(INDEX('Output Utente'!$C$2:$C$492,MATCH(82,'Output Utente'!$R$2:$R$492,0)),"")</f>
        <v/>
      </c>
      <c r="E85" s="23" t="str">
        <f>IFERROR(INDEX('Input Giocatori 2026_27'!$D$3:$D$493,MATCH($B85,'Input Giocatori 2026_27'!$A$3:$A$493,0)),"")</f>
        <v/>
      </c>
      <c r="F85" s="24" t="str">
        <f>IFERROR(INDEX('Output Utente'!$N$2:$N$492,MATCH(82,'Output Utente'!$R$2:$R$492,0)),"")</f>
        <v/>
      </c>
      <c r="G85" s="23" t="str">
        <f>IFERROR(INDEX('Output Utente'!$O$2:$O$492,MATCH(82,'Output Utente'!$R$2:$R$492,0)),"")</f>
        <v/>
      </c>
      <c r="H85" s="23" t="str">
        <f>IFERROR(INDEX('Output Utente'!$P$2:$P$492,MATCH(82,'Output Utente'!$R$2:$R$492,0)),"")</f>
        <v/>
      </c>
      <c r="I85" s="24" t="str">
        <f>IFERROR(INDEX('Output Utente'!$F$2:$F$492,MATCH(82,'Output Utente'!$R$2:$R$492,0)),"")</f>
        <v/>
      </c>
      <c r="J85" s="24" t="str">
        <f>IFERROR(INDEX('Output Utente'!$G$2:$G$492,MATCH(82,'Output Utente'!$R$2:$R$492,0)),"")</f>
        <v/>
      </c>
      <c r="K85" s="24" t="str">
        <f>IFERROR(INDEX('Output Utente'!$H$2:$H$492,MATCH(82,'Output Utente'!$R$2:$R$492,0)),"")</f>
        <v/>
      </c>
      <c r="L85" s="23" t="str">
        <f>IFERROR(INDEX('Output Utente'!$E$2:$E$492,MATCH(82,'Output Utente'!$R$2:$R$492,0)),"")</f>
        <v/>
      </c>
      <c r="V85" t="str">
        <f>IFERROR(INDEX('Output Utente'!$M$2:$M$492,MATCH(82,'Output Utente'!$R$2:$R$492,0)),"")</f>
        <v/>
      </c>
      <c r="W85" t="str">
        <f t="shared" si="1"/>
        <v/>
      </c>
      <c r="X85" t="str">
        <f>IFERROR(INDEX('Output Utente'!$AF$2:$AF$492,MATCH(82,'Output Utente'!$R$2:$R$492,0)),"")</f>
        <v/>
      </c>
    </row>
    <row r="86" spans="1:24" ht="15" customHeight="1" x14ac:dyDescent="0.25">
      <c r="A86" s="26">
        <v>83</v>
      </c>
      <c r="B86" s="23" t="str">
        <f>IFERROR(INDEX('Output Utente'!$A$2:$A$492,MATCH(83,'Output Utente'!$R$2:$R$492,0)),"")</f>
        <v/>
      </c>
      <c r="C86" s="23" t="str">
        <f>IFERROR(INDEX('Output Utente'!$B$2:$B$492,MATCH(83,'Output Utente'!$R$2:$R$492,0)),"")</f>
        <v/>
      </c>
      <c r="D86" s="23" t="str">
        <f>IFERROR(INDEX('Output Utente'!$C$2:$C$492,MATCH(83,'Output Utente'!$R$2:$R$492,0)),"")</f>
        <v/>
      </c>
      <c r="E86" s="23" t="str">
        <f>IFERROR(INDEX('Input Giocatori 2026_27'!$D$3:$D$493,MATCH($B86,'Input Giocatori 2026_27'!$A$3:$A$493,0)),"")</f>
        <v/>
      </c>
      <c r="F86" s="24" t="str">
        <f>IFERROR(INDEX('Output Utente'!$N$2:$N$492,MATCH(83,'Output Utente'!$R$2:$R$492,0)),"")</f>
        <v/>
      </c>
      <c r="G86" s="23" t="str">
        <f>IFERROR(INDEX('Output Utente'!$O$2:$O$492,MATCH(83,'Output Utente'!$R$2:$R$492,0)),"")</f>
        <v/>
      </c>
      <c r="H86" s="23" t="str">
        <f>IFERROR(INDEX('Output Utente'!$P$2:$P$492,MATCH(83,'Output Utente'!$R$2:$R$492,0)),"")</f>
        <v/>
      </c>
      <c r="I86" s="24" t="str">
        <f>IFERROR(INDEX('Output Utente'!$F$2:$F$492,MATCH(83,'Output Utente'!$R$2:$R$492,0)),"")</f>
        <v/>
      </c>
      <c r="J86" s="24" t="str">
        <f>IFERROR(INDEX('Output Utente'!$G$2:$G$492,MATCH(83,'Output Utente'!$R$2:$R$492,0)),"")</f>
        <v/>
      </c>
      <c r="K86" s="24" t="str">
        <f>IFERROR(INDEX('Output Utente'!$H$2:$H$492,MATCH(83,'Output Utente'!$R$2:$R$492,0)),"")</f>
        <v/>
      </c>
      <c r="L86" s="23" t="str">
        <f>IFERROR(INDEX('Output Utente'!$E$2:$E$492,MATCH(83,'Output Utente'!$R$2:$R$492,0)),"")</f>
        <v/>
      </c>
      <c r="V86" t="str">
        <f>IFERROR(INDEX('Output Utente'!$M$2:$M$492,MATCH(83,'Output Utente'!$R$2:$R$492,0)),"")</f>
        <v/>
      </c>
      <c r="W86" t="str">
        <f t="shared" si="1"/>
        <v/>
      </c>
      <c r="X86" t="str">
        <f>IFERROR(INDEX('Output Utente'!$AF$2:$AF$492,MATCH(83,'Output Utente'!$R$2:$R$492,0)),"")</f>
        <v/>
      </c>
    </row>
    <row r="87" spans="1:24" ht="15" customHeight="1" x14ac:dyDescent="0.25">
      <c r="A87" s="26">
        <v>84</v>
      </c>
      <c r="B87" s="23" t="str">
        <f>IFERROR(INDEX('Output Utente'!$A$2:$A$492,MATCH(84,'Output Utente'!$R$2:$R$492,0)),"")</f>
        <v/>
      </c>
      <c r="C87" s="23" t="str">
        <f>IFERROR(INDEX('Output Utente'!$B$2:$B$492,MATCH(84,'Output Utente'!$R$2:$R$492,0)),"")</f>
        <v/>
      </c>
      <c r="D87" s="23" t="str">
        <f>IFERROR(INDEX('Output Utente'!$C$2:$C$492,MATCH(84,'Output Utente'!$R$2:$R$492,0)),"")</f>
        <v/>
      </c>
      <c r="E87" s="23" t="str">
        <f>IFERROR(INDEX('Input Giocatori 2026_27'!$D$3:$D$493,MATCH($B87,'Input Giocatori 2026_27'!$A$3:$A$493,0)),"")</f>
        <v/>
      </c>
      <c r="F87" s="24" t="str">
        <f>IFERROR(INDEX('Output Utente'!$N$2:$N$492,MATCH(84,'Output Utente'!$R$2:$R$492,0)),"")</f>
        <v/>
      </c>
      <c r="G87" s="23" t="str">
        <f>IFERROR(INDEX('Output Utente'!$O$2:$O$492,MATCH(84,'Output Utente'!$R$2:$R$492,0)),"")</f>
        <v/>
      </c>
      <c r="H87" s="23" t="str">
        <f>IFERROR(INDEX('Output Utente'!$P$2:$P$492,MATCH(84,'Output Utente'!$R$2:$R$492,0)),"")</f>
        <v/>
      </c>
      <c r="I87" s="24" t="str">
        <f>IFERROR(INDEX('Output Utente'!$F$2:$F$492,MATCH(84,'Output Utente'!$R$2:$R$492,0)),"")</f>
        <v/>
      </c>
      <c r="J87" s="24" t="str">
        <f>IFERROR(INDEX('Output Utente'!$G$2:$G$492,MATCH(84,'Output Utente'!$R$2:$R$492,0)),"")</f>
        <v/>
      </c>
      <c r="K87" s="24" t="str">
        <f>IFERROR(INDEX('Output Utente'!$H$2:$H$492,MATCH(84,'Output Utente'!$R$2:$R$492,0)),"")</f>
        <v/>
      </c>
      <c r="L87" s="23" t="str">
        <f>IFERROR(INDEX('Output Utente'!$E$2:$E$492,MATCH(84,'Output Utente'!$R$2:$R$492,0)),"")</f>
        <v/>
      </c>
      <c r="V87" t="str">
        <f>IFERROR(INDEX('Output Utente'!$M$2:$M$492,MATCH(84,'Output Utente'!$R$2:$R$492,0)),"")</f>
        <v/>
      </c>
      <c r="W87" t="str">
        <f t="shared" si="1"/>
        <v/>
      </c>
      <c r="X87" t="str">
        <f>IFERROR(INDEX('Output Utente'!$AF$2:$AF$492,MATCH(84,'Output Utente'!$R$2:$R$492,0)),"")</f>
        <v/>
      </c>
    </row>
    <row r="88" spans="1:24" ht="15" customHeight="1" x14ac:dyDescent="0.25">
      <c r="A88" s="26">
        <v>85</v>
      </c>
      <c r="B88" s="23" t="str">
        <f>IFERROR(INDEX('Output Utente'!$A$2:$A$492,MATCH(85,'Output Utente'!$R$2:$R$492,0)),"")</f>
        <v/>
      </c>
      <c r="C88" s="23" t="str">
        <f>IFERROR(INDEX('Output Utente'!$B$2:$B$492,MATCH(85,'Output Utente'!$R$2:$R$492,0)),"")</f>
        <v/>
      </c>
      <c r="D88" s="23" t="str">
        <f>IFERROR(INDEX('Output Utente'!$C$2:$C$492,MATCH(85,'Output Utente'!$R$2:$R$492,0)),"")</f>
        <v/>
      </c>
      <c r="E88" s="23" t="str">
        <f>IFERROR(INDEX('Input Giocatori 2026_27'!$D$3:$D$493,MATCH($B88,'Input Giocatori 2026_27'!$A$3:$A$493,0)),"")</f>
        <v/>
      </c>
      <c r="F88" s="24" t="str">
        <f>IFERROR(INDEX('Output Utente'!$N$2:$N$492,MATCH(85,'Output Utente'!$R$2:$R$492,0)),"")</f>
        <v/>
      </c>
      <c r="G88" s="23" t="str">
        <f>IFERROR(INDEX('Output Utente'!$O$2:$O$492,MATCH(85,'Output Utente'!$R$2:$R$492,0)),"")</f>
        <v/>
      </c>
      <c r="H88" s="23" t="str">
        <f>IFERROR(INDEX('Output Utente'!$P$2:$P$492,MATCH(85,'Output Utente'!$R$2:$R$492,0)),"")</f>
        <v/>
      </c>
      <c r="I88" s="24" t="str">
        <f>IFERROR(INDEX('Output Utente'!$F$2:$F$492,MATCH(85,'Output Utente'!$R$2:$R$492,0)),"")</f>
        <v/>
      </c>
      <c r="J88" s="24" t="str">
        <f>IFERROR(INDEX('Output Utente'!$G$2:$G$492,MATCH(85,'Output Utente'!$R$2:$R$492,0)),"")</f>
        <v/>
      </c>
      <c r="K88" s="24" t="str">
        <f>IFERROR(INDEX('Output Utente'!$H$2:$H$492,MATCH(85,'Output Utente'!$R$2:$R$492,0)),"")</f>
        <v/>
      </c>
      <c r="L88" s="23" t="str">
        <f>IFERROR(INDEX('Output Utente'!$E$2:$E$492,MATCH(85,'Output Utente'!$R$2:$R$492,0)),"")</f>
        <v/>
      </c>
      <c r="V88" t="str">
        <f>IFERROR(INDEX('Output Utente'!$M$2:$M$492,MATCH(85,'Output Utente'!$R$2:$R$492,0)),"")</f>
        <v/>
      </c>
      <c r="W88" t="str">
        <f t="shared" si="1"/>
        <v/>
      </c>
      <c r="X88" t="str">
        <f>IFERROR(INDEX('Output Utente'!$AF$2:$AF$492,MATCH(85,'Output Utente'!$R$2:$R$492,0)),"")</f>
        <v/>
      </c>
    </row>
    <row r="89" spans="1:24" ht="15" customHeight="1" x14ac:dyDescent="0.25">
      <c r="A89" s="26">
        <v>86</v>
      </c>
      <c r="B89" s="23" t="str">
        <f>IFERROR(INDEX('Output Utente'!$A$2:$A$492,MATCH(86,'Output Utente'!$R$2:$R$492,0)),"")</f>
        <v/>
      </c>
      <c r="C89" s="23" t="str">
        <f>IFERROR(INDEX('Output Utente'!$B$2:$B$492,MATCH(86,'Output Utente'!$R$2:$R$492,0)),"")</f>
        <v/>
      </c>
      <c r="D89" s="23" t="str">
        <f>IFERROR(INDEX('Output Utente'!$C$2:$C$492,MATCH(86,'Output Utente'!$R$2:$R$492,0)),"")</f>
        <v/>
      </c>
      <c r="E89" s="23" t="str">
        <f>IFERROR(INDEX('Input Giocatori 2026_27'!$D$3:$D$493,MATCH($B89,'Input Giocatori 2026_27'!$A$3:$A$493,0)),"")</f>
        <v/>
      </c>
      <c r="F89" s="24" t="str">
        <f>IFERROR(INDEX('Output Utente'!$N$2:$N$492,MATCH(86,'Output Utente'!$R$2:$R$492,0)),"")</f>
        <v/>
      </c>
      <c r="G89" s="23" t="str">
        <f>IFERROR(INDEX('Output Utente'!$O$2:$O$492,MATCH(86,'Output Utente'!$R$2:$R$492,0)),"")</f>
        <v/>
      </c>
      <c r="H89" s="23" t="str">
        <f>IFERROR(INDEX('Output Utente'!$P$2:$P$492,MATCH(86,'Output Utente'!$R$2:$R$492,0)),"")</f>
        <v/>
      </c>
      <c r="I89" s="24" t="str">
        <f>IFERROR(INDEX('Output Utente'!$F$2:$F$492,MATCH(86,'Output Utente'!$R$2:$R$492,0)),"")</f>
        <v/>
      </c>
      <c r="J89" s="24" t="str">
        <f>IFERROR(INDEX('Output Utente'!$G$2:$G$492,MATCH(86,'Output Utente'!$R$2:$R$492,0)),"")</f>
        <v/>
      </c>
      <c r="K89" s="24" t="str">
        <f>IFERROR(INDEX('Output Utente'!$H$2:$H$492,MATCH(86,'Output Utente'!$R$2:$R$492,0)),"")</f>
        <v/>
      </c>
      <c r="L89" s="23" t="str">
        <f>IFERROR(INDEX('Output Utente'!$E$2:$E$492,MATCH(86,'Output Utente'!$R$2:$R$492,0)),"")</f>
        <v/>
      </c>
      <c r="V89" t="str">
        <f>IFERROR(INDEX('Output Utente'!$M$2:$M$492,MATCH(86,'Output Utente'!$R$2:$R$492,0)),"")</f>
        <v/>
      </c>
      <c r="W89" t="str">
        <f t="shared" si="1"/>
        <v/>
      </c>
      <c r="X89" t="str">
        <f>IFERROR(INDEX('Output Utente'!$AF$2:$AF$492,MATCH(86,'Output Utente'!$R$2:$R$492,0)),"")</f>
        <v/>
      </c>
    </row>
    <row r="90" spans="1:24" ht="15" customHeight="1" x14ac:dyDescent="0.25">
      <c r="A90" s="26">
        <v>87</v>
      </c>
      <c r="B90" s="23" t="str">
        <f>IFERROR(INDEX('Output Utente'!$A$2:$A$492,MATCH(87,'Output Utente'!$R$2:$R$492,0)),"")</f>
        <v/>
      </c>
      <c r="C90" s="23" t="str">
        <f>IFERROR(INDEX('Output Utente'!$B$2:$B$492,MATCH(87,'Output Utente'!$R$2:$R$492,0)),"")</f>
        <v/>
      </c>
      <c r="D90" s="23" t="str">
        <f>IFERROR(INDEX('Output Utente'!$C$2:$C$492,MATCH(87,'Output Utente'!$R$2:$R$492,0)),"")</f>
        <v/>
      </c>
      <c r="E90" s="23" t="str">
        <f>IFERROR(INDEX('Input Giocatori 2026_27'!$D$3:$D$493,MATCH($B90,'Input Giocatori 2026_27'!$A$3:$A$493,0)),"")</f>
        <v/>
      </c>
      <c r="F90" s="24" t="str">
        <f>IFERROR(INDEX('Output Utente'!$N$2:$N$492,MATCH(87,'Output Utente'!$R$2:$R$492,0)),"")</f>
        <v/>
      </c>
      <c r="G90" s="23" t="str">
        <f>IFERROR(INDEX('Output Utente'!$O$2:$O$492,MATCH(87,'Output Utente'!$R$2:$R$492,0)),"")</f>
        <v/>
      </c>
      <c r="H90" s="23" t="str">
        <f>IFERROR(INDEX('Output Utente'!$P$2:$P$492,MATCH(87,'Output Utente'!$R$2:$R$492,0)),"")</f>
        <v/>
      </c>
      <c r="I90" s="24" t="str">
        <f>IFERROR(INDEX('Output Utente'!$F$2:$F$492,MATCH(87,'Output Utente'!$R$2:$R$492,0)),"")</f>
        <v/>
      </c>
      <c r="J90" s="24" t="str">
        <f>IFERROR(INDEX('Output Utente'!$G$2:$G$492,MATCH(87,'Output Utente'!$R$2:$R$492,0)),"")</f>
        <v/>
      </c>
      <c r="K90" s="24" t="str">
        <f>IFERROR(INDEX('Output Utente'!$H$2:$H$492,MATCH(87,'Output Utente'!$R$2:$R$492,0)),"")</f>
        <v/>
      </c>
      <c r="L90" s="23" t="str">
        <f>IFERROR(INDEX('Output Utente'!$E$2:$E$492,MATCH(87,'Output Utente'!$R$2:$R$492,0)),"")</f>
        <v/>
      </c>
      <c r="V90" t="str">
        <f>IFERROR(INDEX('Output Utente'!$M$2:$M$492,MATCH(87,'Output Utente'!$R$2:$R$492,0)),"")</f>
        <v/>
      </c>
      <c r="W90" t="str">
        <f t="shared" si="1"/>
        <v/>
      </c>
      <c r="X90" t="str">
        <f>IFERROR(INDEX('Output Utente'!$AF$2:$AF$492,MATCH(87,'Output Utente'!$R$2:$R$492,0)),"")</f>
        <v/>
      </c>
    </row>
    <row r="91" spans="1:24" ht="15" customHeight="1" x14ac:dyDescent="0.25">
      <c r="A91" s="26">
        <v>88</v>
      </c>
      <c r="B91" s="23" t="str">
        <f>IFERROR(INDEX('Output Utente'!$A$2:$A$492,MATCH(88,'Output Utente'!$R$2:$R$492,0)),"")</f>
        <v/>
      </c>
      <c r="C91" s="23" t="str">
        <f>IFERROR(INDEX('Output Utente'!$B$2:$B$492,MATCH(88,'Output Utente'!$R$2:$R$492,0)),"")</f>
        <v/>
      </c>
      <c r="D91" s="23" t="str">
        <f>IFERROR(INDEX('Output Utente'!$C$2:$C$492,MATCH(88,'Output Utente'!$R$2:$R$492,0)),"")</f>
        <v/>
      </c>
      <c r="E91" s="23" t="str">
        <f>IFERROR(INDEX('Input Giocatori 2026_27'!$D$3:$D$493,MATCH($B91,'Input Giocatori 2026_27'!$A$3:$A$493,0)),"")</f>
        <v/>
      </c>
      <c r="F91" s="24" t="str">
        <f>IFERROR(INDEX('Output Utente'!$N$2:$N$492,MATCH(88,'Output Utente'!$R$2:$R$492,0)),"")</f>
        <v/>
      </c>
      <c r="G91" s="23" t="str">
        <f>IFERROR(INDEX('Output Utente'!$O$2:$O$492,MATCH(88,'Output Utente'!$R$2:$R$492,0)),"")</f>
        <v/>
      </c>
      <c r="H91" s="23" t="str">
        <f>IFERROR(INDEX('Output Utente'!$P$2:$P$492,MATCH(88,'Output Utente'!$R$2:$R$492,0)),"")</f>
        <v/>
      </c>
      <c r="I91" s="24" t="str">
        <f>IFERROR(INDEX('Output Utente'!$F$2:$F$492,MATCH(88,'Output Utente'!$R$2:$R$492,0)),"")</f>
        <v/>
      </c>
      <c r="J91" s="24" t="str">
        <f>IFERROR(INDEX('Output Utente'!$G$2:$G$492,MATCH(88,'Output Utente'!$R$2:$R$492,0)),"")</f>
        <v/>
      </c>
      <c r="K91" s="24" t="str">
        <f>IFERROR(INDEX('Output Utente'!$H$2:$H$492,MATCH(88,'Output Utente'!$R$2:$R$492,0)),"")</f>
        <v/>
      </c>
      <c r="L91" s="23" t="str">
        <f>IFERROR(INDEX('Output Utente'!$E$2:$E$492,MATCH(88,'Output Utente'!$R$2:$R$492,0)),"")</f>
        <v/>
      </c>
      <c r="V91" t="str">
        <f>IFERROR(INDEX('Output Utente'!$M$2:$M$492,MATCH(88,'Output Utente'!$R$2:$R$492,0)),"")</f>
        <v/>
      </c>
      <c r="W91" t="str">
        <f t="shared" si="1"/>
        <v/>
      </c>
      <c r="X91" t="str">
        <f>IFERROR(INDEX('Output Utente'!$AF$2:$AF$492,MATCH(88,'Output Utente'!$R$2:$R$492,0)),"")</f>
        <v/>
      </c>
    </row>
    <row r="92" spans="1:24" ht="15" customHeight="1" x14ac:dyDescent="0.25">
      <c r="A92" s="26">
        <v>89</v>
      </c>
      <c r="B92" s="23" t="str">
        <f>IFERROR(INDEX('Output Utente'!$A$2:$A$492,MATCH(89,'Output Utente'!$R$2:$R$492,0)),"")</f>
        <v/>
      </c>
      <c r="C92" s="23" t="str">
        <f>IFERROR(INDEX('Output Utente'!$B$2:$B$492,MATCH(89,'Output Utente'!$R$2:$R$492,0)),"")</f>
        <v/>
      </c>
      <c r="D92" s="23" t="str">
        <f>IFERROR(INDEX('Output Utente'!$C$2:$C$492,MATCH(89,'Output Utente'!$R$2:$R$492,0)),"")</f>
        <v/>
      </c>
      <c r="E92" s="23" t="str">
        <f>IFERROR(INDEX('Input Giocatori 2026_27'!$D$3:$D$493,MATCH($B92,'Input Giocatori 2026_27'!$A$3:$A$493,0)),"")</f>
        <v/>
      </c>
      <c r="F92" s="24" t="str">
        <f>IFERROR(INDEX('Output Utente'!$N$2:$N$492,MATCH(89,'Output Utente'!$R$2:$R$492,0)),"")</f>
        <v/>
      </c>
      <c r="G92" s="23" t="str">
        <f>IFERROR(INDEX('Output Utente'!$O$2:$O$492,MATCH(89,'Output Utente'!$R$2:$R$492,0)),"")</f>
        <v/>
      </c>
      <c r="H92" s="23" t="str">
        <f>IFERROR(INDEX('Output Utente'!$P$2:$P$492,MATCH(89,'Output Utente'!$R$2:$R$492,0)),"")</f>
        <v/>
      </c>
      <c r="I92" s="24" t="str">
        <f>IFERROR(INDEX('Output Utente'!$F$2:$F$492,MATCH(89,'Output Utente'!$R$2:$R$492,0)),"")</f>
        <v/>
      </c>
      <c r="J92" s="24" t="str">
        <f>IFERROR(INDEX('Output Utente'!$G$2:$G$492,MATCH(89,'Output Utente'!$R$2:$R$492,0)),"")</f>
        <v/>
      </c>
      <c r="K92" s="24" t="str">
        <f>IFERROR(INDEX('Output Utente'!$H$2:$H$492,MATCH(89,'Output Utente'!$R$2:$R$492,0)),"")</f>
        <v/>
      </c>
      <c r="L92" s="23" t="str">
        <f>IFERROR(INDEX('Output Utente'!$E$2:$E$492,MATCH(89,'Output Utente'!$R$2:$R$492,0)),"")</f>
        <v/>
      </c>
      <c r="V92" t="str">
        <f>IFERROR(INDEX('Output Utente'!$M$2:$M$492,MATCH(89,'Output Utente'!$R$2:$R$492,0)),"")</f>
        <v/>
      </c>
      <c r="W92" t="str">
        <f t="shared" si="1"/>
        <v/>
      </c>
      <c r="X92" t="str">
        <f>IFERROR(INDEX('Output Utente'!$AF$2:$AF$492,MATCH(89,'Output Utente'!$R$2:$R$492,0)),"")</f>
        <v/>
      </c>
    </row>
    <row r="93" spans="1:24" ht="15" customHeight="1" x14ac:dyDescent="0.25">
      <c r="A93" s="26">
        <v>90</v>
      </c>
      <c r="B93" s="23" t="str">
        <f>IFERROR(INDEX('Output Utente'!$A$2:$A$492,MATCH(90,'Output Utente'!$R$2:$R$492,0)),"")</f>
        <v/>
      </c>
      <c r="C93" s="23" t="str">
        <f>IFERROR(INDEX('Output Utente'!$B$2:$B$492,MATCH(90,'Output Utente'!$R$2:$R$492,0)),"")</f>
        <v/>
      </c>
      <c r="D93" s="23" t="str">
        <f>IFERROR(INDEX('Output Utente'!$C$2:$C$492,MATCH(90,'Output Utente'!$R$2:$R$492,0)),"")</f>
        <v/>
      </c>
      <c r="E93" s="23" t="str">
        <f>IFERROR(INDEX('Input Giocatori 2026_27'!$D$3:$D$493,MATCH($B93,'Input Giocatori 2026_27'!$A$3:$A$493,0)),"")</f>
        <v/>
      </c>
      <c r="F93" s="24" t="str">
        <f>IFERROR(INDEX('Output Utente'!$N$2:$N$492,MATCH(90,'Output Utente'!$R$2:$R$492,0)),"")</f>
        <v/>
      </c>
      <c r="G93" s="23" t="str">
        <f>IFERROR(INDEX('Output Utente'!$O$2:$O$492,MATCH(90,'Output Utente'!$R$2:$R$492,0)),"")</f>
        <v/>
      </c>
      <c r="H93" s="23" t="str">
        <f>IFERROR(INDEX('Output Utente'!$P$2:$P$492,MATCH(90,'Output Utente'!$R$2:$R$492,0)),"")</f>
        <v/>
      </c>
      <c r="I93" s="24" t="str">
        <f>IFERROR(INDEX('Output Utente'!$F$2:$F$492,MATCH(90,'Output Utente'!$R$2:$R$492,0)),"")</f>
        <v/>
      </c>
      <c r="J93" s="24" t="str">
        <f>IFERROR(INDEX('Output Utente'!$G$2:$G$492,MATCH(90,'Output Utente'!$R$2:$R$492,0)),"")</f>
        <v/>
      </c>
      <c r="K93" s="24" t="str">
        <f>IFERROR(INDEX('Output Utente'!$H$2:$H$492,MATCH(90,'Output Utente'!$R$2:$R$492,0)),"")</f>
        <v/>
      </c>
      <c r="L93" s="23" t="str">
        <f>IFERROR(INDEX('Output Utente'!$E$2:$E$492,MATCH(90,'Output Utente'!$R$2:$R$492,0)),"")</f>
        <v/>
      </c>
      <c r="V93" t="str">
        <f>IFERROR(INDEX('Output Utente'!$M$2:$M$492,MATCH(90,'Output Utente'!$R$2:$R$492,0)),"")</f>
        <v/>
      </c>
      <c r="W93" t="str">
        <f t="shared" si="1"/>
        <v/>
      </c>
      <c r="X93" t="str">
        <f>IFERROR(INDEX('Output Utente'!$AF$2:$AF$492,MATCH(90,'Output Utente'!$R$2:$R$492,0)),"")</f>
        <v/>
      </c>
    </row>
    <row r="94" spans="1:24" ht="15" customHeight="1" x14ac:dyDescent="0.25">
      <c r="A94" s="26">
        <v>91</v>
      </c>
      <c r="B94" s="23" t="str">
        <f>IFERROR(INDEX('Output Utente'!$A$2:$A$492,MATCH(91,'Output Utente'!$R$2:$R$492,0)),"")</f>
        <v/>
      </c>
      <c r="C94" s="23" t="str">
        <f>IFERROR(INDEX('Output Utente'!$B$2:$B$492,MATCH(91,'Output Utente'!$R$2:$R$492,0)),"")</f>
        <v/>
      </c>
      <c r="D94" s="23" t="str">
        <f>IFERROR(INDEX('Output Utente'!$C$2:$C$492,MATCH(91,'Output Utente'!$R$2:$R$492,0)),"")</f>
        <v/>
      </c>
      <c r="E94" s="23" t="str">
        <f>IFERROR(INDEX('Input Giocatori 2026_27'!$D$3:$D$493,MATCH($B94,'Input Giocatori 2026_27'!$A$3:$A$493,0)),"")</f>
        <v/>
      </c>
      <c r="F94" s="24" t="str">
        <f>IFERROR(INDEX('Output Utente'!$N$2:$N$492,MATCH(91,'Output Utente'!$R$2:$R$492,0)),"")</f>
        <v/>
      </c>
      <c r="G94" s="23" t="str">
        <f>IFERROR(INDEX('Output Utente'!$O$2:$O$492,MATCH(91,'Output Utente'!$R$2:$R$492,0)),"")</f>
        <v/>
      </c>
      <c r="H94" s="23" t="str">
        <f>IFERROR(INDEX('Output Utente'!$P$2:$P$492,MATCH(91,'Output Utente'!$R$2:$R$492,0)),"")</f>
        <v/>
      </c>
      <c r="I94" s="24" t="str">
        <f>IFERROR(INDEX('Output Utente'!$F$2:$F$492,MATCH(91,'Output Utente'!$R$2:$R$492,0)),"")</f>
        <v/>
      </c>
      <c r="J94" s="24" t="str">
        <f>IFERROR(INDEX('Output Utente'!$G$2:$G$492,MATCH(91,'Output Utente'!$R$2:$R$492,0)),"")</f>
        <v/>
      </c>
      <c r="K94" s="24" t="str">
        <f>IFERROR(INDEX('Output Utente'!$H$2:$H$492,MATCH(91,'Output Utente'!$R$2:$R$492,0)),"")</f>
        <v/>
      </c>
      <c r="L94" s="23" t="str">
        <f>IFERROR(INDEX('Output Utente'!$E$2:$E$492,MATCH(91,'Output Utente'!$R$2:$R$492,0)),"")</f>
        <v/>
      </c>
      <c r="V94" t="str">
        <f>IFERROR(INDEX('Output Utente'!$M$2:$M$492,MATCH(91,'Output Utente'!$R$2:$R$492,0)),"")</f>
        <v/>
      </c>
      <c r="W94" t="str">
        <f t="shared" si="1"/>
        <v/>
      </c>
      <c r="X94" t="str">
        <f>IFERROR(INDEX('Output Utente'!$AF$2:$AF$492,MATCH(91,'Output Utente'!$R$2:$R$492,0)),"")</f>
        <v/>
      </c>
    </row>
    <row r="95" spans="1:24" ht="15" customHeight="1" x14ac:dyDescent="0.25">
      <c r="A95" s="26">
        <v>92</v>
      </c>
      <c r="B95" s="23" t="str">
        <f>IFERROR(INDEX('Output Utente'!$A$2:$A$492,MATCH(92,'Output Utente'!$R$2:$R$492,0)),"")</f>
        <v/>
      </c>
      <c r="C95" s="23" t="str">
        <f>IFERROR(INDEX('Output Utente'!$B$2:$B$492,MATCH(92,'Output Utente'!$R$2:$R$492,0)),"")</f>
        <v/>
      </c>
      <c r="D95" s="23" t="str">
        <f>IFERROR(INDEX('Output Utente'!$C$2:$C$492,MATCH(92,'Output Utente'!$R$2:$R$492,0)),"")</f>
        <v/>
      </c>
      <c r="E95" s="23" t="str">
        <f>IFERROR(INDEX('Input Giocatori 2026_27'!$D$3:$D$493,MATCH($B95,'Input Giocatori 2026_27'!$A$3:$A$493,0)),"")</f>
        <v/>
      </c>
      <c r="F95" s="24" t="str">
        <f>IFERROR(INDEX('Output Utente'!$N$2:$N$492,MATCH(92,'Output Utente'!$R$2:$R$492,0)),"")</f>
        <v/>
      </c>
      <c r="G95" s="23" t="str">
        <f>IFERROR(INDEX('Output Utente'!$O$2:$O$492,MATCH(92,'Output Utente'!$R$2:$R$492,0)),"")</f>
        <v/>
      </c>
      <c r="H95" s="23" t="str">
        <f>IFERROR(INDEX('Output Utente'!$P$2:$P$492,MATCH(92,'Output Utente'!$R$2:$R$492,0)),"")</f>
        <v/>
      </c>
      <c r="I95" s="24" t="str">
        <f>IFERROR(INDEX('Output Utente'!$F$2:$F$492,MATCH(92,'Output Utente'!$R$2:$R$492,0)),"")</f>
        <v/>
      </c>
      <c r="J95" s="24" t="str">
        <f>IFERROR(INDEX('Output Utente'!$G$2:$G$492,MATCH(92,'Output Utente'!$R$2:$R$492,0)),"")</f>
        <v/>
      </c>
      <c r="K95" s="24" t="str">
        <f>IFERROR(INDEX('Output Utente'!$H$2:$H$492,MATCH(92,'Output Utente'!$R$2:$R$492,0)),"")</f>
        <v/>
      </c>
      <c r="L95" s="23" t="str">
        <f>IFERROR(INDEX('Output Utente'!$E$2:$E$492,MATCH(92,'Output Utente'!$R$2:$R$492,0)),"")</f>
        <v/>
      </c>
      <c r="V95" t="str">
        <f>IFERROR(INDEX('Output Utente'!$M$2:$M$492,MATCH(92,'Output Utente'!$R$2:$R$492,0)),"")</f>
        <v/>
      </c>
      <c r="W95" t="str">
        <f t="shared" si="1"/>
        <v/>
      </c>
      <c r="X95" t="str">
        <f>IFERROR(INDEX('Output Utente'!$AF$2:$AF$492,MATCH(92,'Output Utente'!$R$2:$R$492,0)),"")</f>
        <v/>
      </c>
    </row>
    <row r="96" spans="1:24" ht="15" customHeight="1" x14ac:dyDescent="0.25">
      <c r="A96" s="26">
        <v>93</v>
      </c>
      <c r="B96" s="23" t="str">
        <f>IFERROR(INDEX('Output Utente'!$A$2:$A$492,MATCH(93,'Output Utente'!$R$2:$R$492,0)),"")</f>
        <v/>
      </c>
      <c r="C96" s="23" t="str">
        <f>IFERROR(INDEX('Output Utente'!$B$2:$B$492,MATCH(93,'Output Utente'!$R$2:$R$492,0)),"")</f>
        <v/>
      </c>
      <c r="D96" s="23" t="str">
        <f>IFERROR(INDEX('Output Utente'!$C$2:$C$492,MATCH(93,'Output Utente'!$R$2:$R$492,0)),"")</f>
        <v/>
      </c>
      <c r="E96" s="23" t="str">
        <f>IFERROR(INDEX('Input Giocatori 2026_27'!$D$3:$D$493,MATCH($B96,'Input Giocatori 2026_27'!$A$3:$A$493,0)),"")</f>
        <v/>
      </c>
      <c r="F96" s="24" t="str">
        <f>IFERROR(INDEX('Output Utente'!$N$2:$N$492,MATCH(93,'Output Utente'!$R$2:$R$492,0)),"")</f>
        <v/>
      </c>
      <c r="G96" s="23" t="str">
        <f>IFERROR(INDEX('Output Utente'!$O$2:$O$492,MATCH(93,'Output Utente'!$R$2:$R$492,0)),"")</f>
        <v/>
      </c>
      <c r="H96" s="23" t="str">
        <f>IFERROR(INDEX('Output Utente'!$P$2:$P$492,MATCH(93,'Output Utente'!$R$2:$R$492,0)),"")</f>
        <v/>
      </c>
      <c r="I96" s="24" t="str">
        <f>IFERROR(INDEX('Output Utente'!$F$2:$F$492,MATCH(93,'Output Utente'!$R$2:$R$492,0)),"")</f>
        <v/>
      </c>
      <c r="J96" s="24" t="str">
        <f>IFERROR(INDEX('Output Utente'!$G$2:$G$492,MATCH(93,'Output Utente'!$R$2:$R$492,0)),"")</f>
        <v/>
      </c>
      <c r="K96" s="24" t="str">
        <f>IFERROR(INDEX('Output Utente'!$H$2:$H$492,MATCH(93,'Output Utente'!$R$2:$R$492,0)),"")</f>
        <v/>
      </c>
      <c r="L96" s="23" t="str">
        <f>IFERROR(INDEX('Output Utente'!$E$2:$E$492,MATCH(93,'Output Utente'!$R$2:$R$492,0)),"")</f>
        <v/>
      </c>
      <c r="V96" t="str">
        <f>IFERROR(INDEX('Output Utente'!$M$2:$M$492,MATCH(93,'Output Utente'!$R$2:$R$492,0)),"")</f>
        <v/>
      </c>
      <c r="W96" t="str">
        <f t="shared" si="1"/>
        <v/>
      </c>
      <c r="X96" t="str">
        <f>IFERROR(INDEX('Output Utente'!$AF$2:$AF$492,MATCH(93,'Output Utente'!$R$2:$R$492,0)),"")</f>
        <v/>
      </c>
    </row>
    <row r="97" spans="1:24" ht="15" customHeight="1" x14ac:dyDescent="0.25">
      <c r="A97" s="26">
        <v>94</v>
      </c>
      <c r="B97" s="23" t="str">
        <f>IFERROR(INDEX('Output Utente'!$A$2:$A$492,MATCH(94,'Output Utente'!$R$2:$R$492,0)),"")</f>
        <v/>
      </c>
      <c r="C97" s="23" t="str">
        <f>IFERROR(INDEX('Output Utente'!$B$2:$B$492,MATCH(94,'Output Utente'!$R$2:$R$492,0)),"")</f>
        <v/>
      </c>
      <c r="D97" s="23" t="str">
        <f>IFERROR(INDEX('Output Utente'!$C$2:$C$492,MATCH(94,'Output Utente'!$R$2:$R$492,0)),"")</f>
        <v/>
      </c>
      <c r="E97" s="23" t="str">
        <f>IFERROR(INDEX('Input Giocatori 2026_27'!$D$3:$D$493,MATCH($B97,'Input Giocatori 2026_27'!$A$3:$A$493,0)),"")</f>
        <v/>
      </c>
      <c r="F97" s="24" t="str">
        <f>IFERROR(INDEX('Output Utente'!$N$2:$N$492,MATCH(94,'Output Utente'!$R$2:$R$492,0)),"")</f>
        <v/>
      </c>
      <c r="G97" s="23" t="str">
        <f>IFERROR(INDEX('Output Utente'!$O$2:$O$492,MATCH(94,'Output Utente'!$R$2:$R$492,0)),"")</f>
        <v/>
      </c>
      <c r="H97" s="23" t="str">
        <f>IFERROR(INDEX('Output Utente'!$P$2:$P$492,MATCH(94,'Output Utente'!$R$2:$R$492,0)),"")</f>
        <v/>
      </c>
      <c r="I97" s="24" t="str">
        <f>IFERROR(INDEX('Output Utente'!$F$2:$F$492,MATCH(94,'Output Utente'!$R$2:$R$492,0)),"")</f>
        <v/>
      </c>
      <c r="J97" s="24" t="str">
        <f>IFERROR(INDEX('Output Utente'!$G$2:$G$492,MATCH(94,'Output Utente'!$R$2:$R$492,0)),"")</f>
        <v/>
      </c>
      <c r="K97" s="24" t="str">
        <f>IFERROR(INDEX('Output Utente'!$H$2:$H$492,MATCH(94,'Output Utente'!$R$2:$R$492,0)),"")</f>
        <v/>
      </c>
      <c r="L97" s="23" t="str">
        <f>IFERROR(INDEX('Output Utente'!$E$2:$E$492,MATCH(94,'Output Utente'!$R$2:$R$492,0)),"")</f>
        <v/>
      </c>
      <c r="V97" t="str">
        <f>IFERROR(INDEX('Output Utente'!$M$2:$M$492,MATCH(94,'Output Utente'!$R$2:$R$492,0)),"")</f>
        <v/>
      </c>
      <c r="W97" t="str">
        <f t="shared" si="1"/>
        <v/>
      </c>
      <c r="X97" t="str">
        <f>IFERROR(INDEX('Output Utente'!$AF$2:$AF$492,MATCH(94,'Output Utente'!$R$2:$R$492,0)),"")</f>
        <v/>
      </c>
    </row>
    <row r="98" spans="1:24" ht="15" customHeight="1" x14ac:dyDescent="0.25">
      <c r="A98" s="26">
        <v>95</v>
      </c>
      <c r="B98" s="23" t="str">
        <f>IFERROR(INDEX('Output Utente'!$A$2:$A$492,MATCH(95,'Output Utente'!$R$2:$R$492,0)),"")</f>
        <v/>
      </c>
      <c r="C98" s="23" t="str">
        <f>IFERROR(INDEX('Output Utente'!$B$2:$B$492,MATCH(95,'Output Utente'!$R$2:$R$492,0)),"")</f>
        <v/>
      </c>
      <c r="D98" s="23" t="str">
        <f>IFERROR(INDEX('Output Utente'!$C$2:$C$492,MATCH(95,'Output Utente'!$R$2:$R$492,0)),"")</f>
        <v/>
      </c>
      <c r="E98" s="23" t="str">
        <f>IFERROR(INDEX('Input Giocatori 2026_27'!$D$3:$D$493,MATCH($B98,'Input Giocatori 2026_27'!$A$3:$A$493,0)),"")</f>
        <v/>
      </c>
      <c r="F98" s="24" t="str">
        <f>IFERROR(INDEX('Output Utente'!$N$2:$N$492,MATCH(95,'Output Utente'!$R$2:$R$492,0)),"")</f>
        <v/>
      </c>
      <c r="G98" s="23" t="str">
        <f>IFERROR(INDEX('Output Utente'!$O$2:$O$492,MATCH(95,'Output Utente'!$R$2:$R$492,0)),"")</f>
        <v/>
      </c>
      <c r="H98" s="23" t="str">
        <f>IFERROR(INDEX('Output Utente'!$P$2:$P$492,MATCH(95,'Output Utente'!$R$2:$R$492,0)),"")</f>
        <v/>
      </c>
      <c r="I98" s="24" t="str">
        <f>IFERROR(INDEX('Output Utente'!$F$2:$F$492,MATCH(95,'Output Utente'!$R$2:$R$492,0)),"")</f>
        <v/>
      </c>
      <c r="J98" s="24" t="str">
        <f>IFERROR(INDEX('Output Utente'!$G$2:$G$492,MATCH(95,'Output Utente'!$R$2:$R$492,0)),"")</f>
        <v/>
      </c>
      <c r="K98" s="24" t="str">
        <f>IFERROR(INDEX('Output Utente'!$H$2:$H$492,MATCH(95,'Output Utente'!$R$2:$R$492,0)),"")</f>
        <v/>
      </c>
      <c r="L98" s="23" t="str">
        <f>IFERROR(INDEX('Output Utente'!$E$2:$E$492,MATCH(95,'Output Utente'!$R$2:$R$492,0)),"")</f>
        <v/>
      </c>
      <c r="V98" t="str">
        <f>IFERROR(INDEX('Output Utente'!$M$2:$M$492,MATCH(95,'Output Utente'!$R$2:$R$492,0)),"")</f>
        <v/>
      </c>
      <c r="W98" t="str">
        <f t="shared" si="1"/>
        <v/>
      </c>
      <c r="X98" t="str">
        <f>IFERROR(INDEX('Output Utente'!$AF$2:$AF$492,MATCH(95,'Output Utente'!$R$2:$R$492,0)),"")</f>
        <v/>
      </c>
    </row>
    <row r="99" spans="1:24" ht="15" customHeight="1" x14ac:dyDescent="0.25">
      <c r="A99" s="26">
        <v>96</v>
      </c>
      <c r="B99" s="23" t="str">
        <f>IFERROR(INDEX('Output Utente'!$A$2:$A$492,MATCH(96,'Output Utente'!$R$2:$R$492,0)),"")</f>
        <v/>
      </c>
      <c r="C99" s="23" t="str">
        <f>IFERROR(INDEX('Output Utente'!$B$2:$B$492,MATCH(96,'Output Utente'!$R$2:$R$492,0)),"")</f>
        <v/>
      </c>
      <c r="D99" s="23" t="str">
        <f>IFERROR(INDEX('Output Utente'!$C$2:$C$492,MATCH(96,'Output Utente'!$R$2:$R$492,0)),"")</f>
        <v/>
      </c>
      <c r="E99" s="23" t="str">
        <f>IFERROR(INDEX('Input Giocatori 2026_27'!$D$3:$D$493,MATCH($B99,'Input Giocatori 2026_27'!$A$3:$A$493,0)),"")</f>
        <v/>
      </c>
      <c r="F99" s="24" t="str">
        <f>IFERROR(INDEX('Output Utente'!$N$2:$N$492,MATCH(96,'Output Utente'!$R$2:$R$492,0)),"")</f>
        <v/>
      </c>
      <c r="G99" s="23" t="str">
        <f>IFERROR(INDEX('Output Utente'!$O$2:$O$492,MATCH(96,'Output Utente'!$R$2:$R$492,0)),"")</f>
        <v/>
      </c>
      <c r="H99" s="23" t="str">
        <f>IFERROR(INDEX('Output Utente'!$P$2:$P$492,MATCH(96,'Output Utente'!$R$2:$R$492,0)),"")</f>
        <v/>
      </c>
      <c r="I99" s="24" t="str">
        <f>IFERROR(INDEX('Output Utente'!$F$2:$F$492,MATCH(96,'Output Utente'!$R$2:$R$492,0)),"")</f>
        <v/>
      </c>
      <c r="J99" s="24" t="str">
        <f>IFERROR(INDEX('Output Utente'!$G$2:$G$492,MATCH(96,'Output Utente'!$R$2:$R$492,0)),"")</f>
        <v/>
      </c>
      <c r="K99" s="24" t="str">
        <f>IFERROR(INDEX('Output Utente'!$H$2:$H$492,MATCH(96,'Output Utente'!$R$2:$R$492,0)),"")</f>
        <v/>
      </c>
      <c r="L99" s="23" t="str">
        <f>IFERROR(INDEX('Output Utente'!$E$2:$E$492,MATCH(96,'Output Utente'!$R$2:$R$492,0)),"")</f>
        <v/>
      </c>
      <c r="V99" t="str">
        <f>IFERROR(INDEX('Output Utente'!$M$2:$M$492,MATCH(96,'Output Utente'!$R$2:$R$492,0)),"")</f>
        <v/>
      </c>
      <c r="W99" t="str">
        <f t="shared" si="1"/>
        <v/>
      </c>
      <c r="X99" t="str">
        <f>IFERROR(INDEX('Output Utente'!$AF$2:$AF$492,MATCH(96,'Output Utente'!$R$2:$R$492,0)),"")</f>
        <v/>
      </c>
    </row>
    <row r="100" spans="1:24" ht="15" customHeight="1" x14ac:dyDescent="0.25">
      <c r="A100" s="26">
        <v>97</v>
      </c>
      <c r="B100" s="23" t="str">
        <f>IFERROR(INDEX('Output Utente'!$A$2:$A$492,MATCH(97,'Output Utente'!$R$2:$R$492,0)),"")</f>
        <v/>
      </c>
      <c r="C100" s="23" t="str">
        <f>IFERROR(INDEX('Output Utente'!$B$2:$B$492,MATCH(97,'Output Utente'!$R$2:$R$492,0)),"")</f>
        <v/>
      </c>
      <c r="D100" s="23" t="str">
        <f>IFERROR(INDEX('Output Utente'!$C$2:$C$492,MATCH(97,'Output Utente'!$R$2:$R$492,0)),"")</f>
        <v/>
      </c>
      <c r="E100" s="23" t="str">
        <f>IFERROR(INDEX('Input Giocatori 2026_27'!$D$3:$D$493,MATCH($B100,'Input Giocatori 2026_27'!$A$3:$A$493,0)),"")</f>
        <v/>
      </c>
      <c r="F100" s="24" t="str">
        <f>IFERROR(INDEX('Output Utente'!$N$2:$N$492,MATCH(97,'Output Utente'!$R$2:$R$492,0)),"")</f>
        <v/>
      </c>
      <c r="G100" s="23" t="str">
        <f>IFERROR(INDEX('Output Utente'!$O$2:$O$492,MATCH(97,'Output Utente'!$R$2:$R$492,0)),"")</f>
        <v/>
      </c>
      <c r="H100" s="23" t="str">
        <f>IFERROR(INDEX('Output Utente'!$P$2:$P$492,MATCH(97,'Output Utente'!$R$2:$R$492,0)),"")</f>
        <v/>
      </c>
      <c r="I100" s="24" t="str">
        <f>IFERROR(INDEX('Output Utente'!$F$2:$F$492,MATCH(97,'Output Utente'!$R$2:$R$492,0)),"")</f>
        <v/>
      </c>
      <c r="J100" s="24" t="str">
        <f>IFERROR(INDEX('Output Utente'!$G$2:$G$492,MATCH(97,'Output Utente'!$R$2:$R$492,0)),"")</f>
        <v/>
      </c>
      <c r="K100" s="24" t="str">
        <f>IFERROR(INDEX('Output Utente'!$H$2:$H$492,MATCH(97,'Output Utente'!$R$2:$R$492,0)),"")</f>
        <v/>
      </c>
      <c r="L100" s="23" t="str">
        <f>IFERROR(INDEX('Output Utente'!$E$2:$E$492,MATCH(97,'Output Utente'!$R$2:$R$492,0)),"")</f>
        <v/>
      </c>
      <c r="V100" t="str">
        <f>IFERROR(INDEX('Output Utente'!$M$2:$M$492,MATCH(97,'Output Utente'!$R$2:$R$492,0)),"")</f>
        <v/>
      </c>
      <c r="W100" t="str">
        <f t="shared" si="1"/>
        <v/>
      </c>
      <c r="X100" t="str">
        <f>IFERROR(INDEX('Output Utente'!$AF$2:$AF$492,MATCH(97,'Output Utente'!$R$2:$R$492,0)),"")</f>
        <v/>
      </c>
    </row>
    <row r="101" spans="1:24" ht="15" customHeight="1" x14ac:dyDescent="0.25">
      <c r="A101" s="26">
        <v>98</v>
      </c>
      <c r="B101" s="23" t="str">
        <f>IFERROR(INDEX('Output Utente'!$A$2:$A$492,MATCH(98,'Output Utente'!$R$2:$R$492,0)),"")</f>
        <v/>
      </c>
      <c r="C101" s="23" t="str">
        <f>IFERROR(INDEX('Output Utente'!$B$2:$B$492,MATCH(98,'Output Utente'!$R$2:$R$492,0)),"")</f>
        <v/>
      </c>
      <c r="D101" s="23" t="str">
        <f>IFERROR(INDEX('Output Utente'!$C$2:$C$492,MATCH(98,'Output Utente'!$R$2:$R$492,0)),"")</f>
        <v/>
      </c>
      <c r="E101" s="23" t="str">
        <f>IFERROR(INDEX('Input Giocatori 2026_27'!$D$3:$D$493,MATCH($B101,'Input Giocatori 2026_27'!$A$3:$A$493,0)),"")</f>
        <v/>
      </c>
      <c r="F101" s="24" t="str">
        <f>IFERROR(INDEX('Output Utente'!$N$2:$N$492,MATCH(98,'Output Utente'!$R$2:$R$492,0)),"")</f>
        <v/>
      </c>
      <c r="G101" s="23" t="str">
        <f>IFERROR(INDEX('Output Utente'!$O$2:$O$492,MATCH(98,'Output Utente'!$R$2:$R$492,0)),"")</f>
        <v/>
      </c>
      <c r="H101" s="23" t="str">
        <f>IFERROR(INDEX('Output Utente'!$P$2:$P$492,MATCH(98,'Output Utente'!$R$2:$R$492,0)),"")</f>
        <v/>
      </c>
      <c r="I101" s="24" t="str">
        <f>IFERROR(INDEX('Output Utente'!$F$2:$F$492,MATCH(98,'Output Utente'!$R$2:$R$492,0)),"")</f>
        <v/>
      </c>
      <c r="J101" s="24" t="str">
        <f>IFERROR(INDEX('Output Utente'!$G$2:$G$492,MATCH(98,'Output Utente'!$R$2:$R$492,0)),"")</f>
        <v/>
      </c>
      <c r="K101" s="24" t="str">
        <f>IFERROR(INDEX('Output Utente'!$H$2:$H$492,MATCH(98,'Output Utente'!$R$2:$R$492,0)),"")</f>
        <v/>
      </c>
      <c r="L101" s="23" t="str">
        <f>IFERROR(INDEX('Output Utente'!$E$2:$E$492,MATCH(98,'Output Utente'!$R$2:$R$492,0)),"")</f>
        <v/>
      </c>
      <c r="V101" t="str">
        <f>IFERROR(INDEX('Output Utente'!$M$2:$M$492,MATCH(98,'Output Utente'!$R$2:$R$492,0)),"")</f>
        <v/>
      </c>
      <c r="W101" t="str">
        <f t="shared" si="1"/>
        <v/>
      </c>
      <c r="X101" t="str">
        <f>IFERROR(INDEX('Output Utente'!$AF$2:$AF$492,MATCH(98,'Output Utente'!$R$2:$R$492,0)),"")</f>
        <v/>
      </c>
    </row>
    <row r="102" spans="1:24" ht="15" customHeight="1" x14ac:dyDescent="0.25">
      <c r="A102" s="26">
        <v>99</v>
      </c>
      <c r="B102" s="23" t="str">
        <f>IFERROR(INDEX('Output Utente'!$A$2:$A$492,MATCH(99,'Output Utente'!$R$2:$R$492,0)),"")</f>
        <v/>
      </c>
      <c r="C102" s="23" t="str">
        <f>IFERROR(INDEX('Output Utente'!$B$2:$B$492,MATCH(99,'Output Utente'!$R$2:$R$492,0)),"")</f>
        <v/>
      </c>
      <c r="D102" s="23" t="str">
        <f>IFERROR(INDEX('Output Utente'!$C$2:$C$492,MATCH(99,'Output Utente'!$R$2:$R$492,0)),"")</f>
        <v/>
      </c>
      <c r="E102" s="23" t="str">
        <f>IFERROR(INDEX('Input Giocatori 2026_27'!$D$3:$D$493,MATCH($B102,'Input Giocatori 2026_27'!$A$3:$A$493,0)),"")</f>
        <v/>
      </c>
      <c r="F102" s="24" t="str">
        <f>IFERROR(INDEX('Output Utente'!$N$2:$N$492,MATCH(99,'Output Utente'!$R$2:$R$492,0)),"")</f>
        <v/>
      </c>
      <c r="G102" s="23" t="str">
        <f>IFERROR(INDEX('Output Utente'!$O$2:$O$492,MATCH(99,'Output Utente'!$R$2:$R$492,0)),"")</f>
        <v/>
      </c>
      <c r="H102" s="23" t="str">
        <f>IFERROR(INDEX('Output Utente'!$P$2:$P$492,MATCH(99,'Output Utente'!$R$2:$R$492,0)),"")</f>
        <v/>
      </c>
      <c r="I102" s="24" t="str">
        <f>IFERROR(INDEX('Output Utente'!$F$2:$F$492,MATCH(99,'Output Utente'!$R$2:$R$492,0)),"")</f>
        <v/>
      </c>
      <c r="J102" s="24" t="str">
        <f>IFERROR(INDEX('Output Utente'!$G$2:$G$492,MATCH(99,'Output Utente'!$R$2:$R$492,0)),"")</f>
        <v/>
      </c>
      <c r="K102" s="24" t="str">
        <f>IFERROR(INDEX('Output Utente'!$H$2:$H$492,MATCH(99,'Output Utente'!$R$2:$R$492,0)),"")</f>
        <v/>
      </c>
      <c r="L102" s="23" t="str">
        <f>IFERROR(INDEX('Output Utente'!$E$2:$E$492,MATCH(99,'Output Utente'!$R$2:$R$492,0)),"")</f>
        <v/>
      </c>
      <c r="V102" t="str">
        <f>IFERROR(INDEX('Output Utente'!$M$2:$M$492,MATCH(99,'Output Utente'!$R$2:$R$492,0)),"")</f>
        <v/>
      </c>
      <c r="W102" t="str">
        <f t="shared" si="1"/>
        <v/>
      </c>
      <c r="X102" t="str">
        <f>IFERROR(INDEX('Output Utente'!$AF$2:$AF$492,MATCH(99,'Output Utente'!$R$2:$R$492,0)),"")</f>
        <v/>
      </c>
    </row>
    <row r="103" spans="1:24" ht="15" customHeight="1" x14ac:dyDescent="0.25">
      <c r="A103" s="26">
        <v>100</v>
      </c>
      <c r="B103" s="23" t="str">
        <f>IFERROR(INDEX('Output Utente'!$A$2:$A$492,MATCH(100,'Output Utente'!$R$2:$R$492,0)),"")</f>
        <v/>
      </c>
      <c r="C103" s="23" t="str">
        <f>IFERROR(INDEX('Output Utente'!$B$2:$B$492,MATCH(100,'Output Utente'!$R$2:$R$492,0)),"")</f>
        <v/>
      </c>
      <c r="D103" s="23" t="str">
        <f>IFERROR(INDEX('Output Utente'!$C$2:$C$492,MATCH(100,'Output Utente'!$R$2:$R$492,0)),"")</f>
        <v/>
      </c>
      <c r="E103" s="23" t="str">
        <f>IFERROR(INDEX('Input Giocatori 2026_27'!$D$3:$D$493,MATCH($B103,'Input Giocatori 2026_27'!$A$3:$A$493,0)),"")</f>
        <v/>
      </c>
      <c r="F103" s="24" t="str">
        <f>IFERROR(INDEX('Output Utente'!$N$2:$N$492,MATCH(100,'Output Utente'!$R$2:$R$492,0)),"")</f>
        <v/>
      </c>
      <c r="G103" s="23" t="str">
        <f>IFERROR(INDEX('Output Utente'!$O$2:$O$492,MATCH(100,'Output Utente'!$R$2:$R$492,0)),"")</f>
        <v/>
      </c>
      <c r="H103" s="23" t="str">
        <f>IFERROR(INDEX('Output Utente'!$P$2:$P$492,MATCH(100,'Output Utente'!$R$2:$R$492,0)),"")</f>
        <v/>
      </c>
      <c r="I103" s="24" t="str">
        <f>IFERROR(INDEX('Output Utente'!$F$2:$F$492,MATCH(100,'Output Utente'!$R$2:$R$492,0)),"")</f>
        <v/>
      </c>
      <c r="J103" s="24" t="str">
        <f>IFERROR(INDEX('Output Utente'!$G$2:$G$492,MATCH(100,'Output Utente'!$R$2:$R$492,0)),"")</f>
        <v/>
      </c>
      <c r="K103" s="24" t="str">
        <f>IFERROR(INDEX('Output Utente'!$H$2:$H$492,MATCH(100,'Output Utente'!$R$2:$R$492,0)),"")</f>
        <v/>
      </c>
      <c r="L103" s="23" t="str">
        <f>IFERROR(INDEX('Output Utente'!$E$2:$E$492,MATCH(100,'Output Utente'!$R$2:$R$492,0)),"")</f>
        <v/>
      </c>
      <c r="V103" t="str">
        <f>IFERROR(INDEX('Output Utente'!$M$2:$M$492,MATCH(100,'Output Utente'!$R$2:$R$492,0)),"")</f>
        <v/>
      </c>
      <c r="W103" t="str">
        <f t="shared" si="1"/>
        <v/>
      </c>
      <c r="X103" t="str">
        <f>IFERROR(INDEX('Output Utente'!$AF$2:$AF$492,MATCH(100,'Output Utente'!$R$2:$R$492,0)),"")</f>
        <v/>
      </c>
    </row>
    <row r="104" spans="1:24" ht="15" customHeight="1" x14ac:dyDescent="0.25">
      <c r="A104" s="26">
        <v>101</v>
      </c>
      <c r="B104" s="23" t="str">
        <f>IFERROR(INDEX('Output Utente'!$A$2:$A$492,MATCH(101,'Output Utente'!$R$2:$R$492,0)),"")</f>
        <v/>
      </c>
      <c r="C104" s="23" t="str">
        <f>IFERROR(INDEX('Output Utente'!$B$2:$B$492,MATCH(101,'Output Utente'!$R$2:$R$492,0)),"")</f>
        <v/>
      </c>
      <c r="D104" s="23" t="str">
        <f>IFERROR(INDEX('Output Utente'!$C$2:$C$492,MATCH(101,'Output Utente'!$R$2:$R$492,0)),"")</f>
        <v/>
      </c>
      <c r="E104" s="23" t="str">
        <f>IFERROR(INDEX('Input Giocatori 2026_27'!$D$3:$D$493,MATCH($B104,'Input Giocatori 2026_27'!$A$3:$A$493,0)),"")</f>
        <v/>
      </c>
      <c r="F104" s="24" t="str">
        <f>IFERROR(INDEX('Output Utente'!$N$2:$N$492,MATCH(101,'Output Utente'!$R$2:$R$492,0)),"")</f>
        <v/>
      </c>
      <c r="G104" s="23" t="str">
        <f>IFERROR(INDEX('Output Utente'!$O$2:$O$492,MATCH(101,'Output Utente'!$R$2:$R$492,0)),"")</f>
        <v/>
      </c>
      <c r="H104" s="23" t="str">
        <f>IFERROR(INDEX('Output Utente'!$P$2:$P$492,MATCH(101,'Output Utente'!$R$2:$R$492,0)),"")</f>
        <v/>
      </c>
      <c r="I104" s="24" t="str">
        <f>IFERROR(INDEX('Output Utente'!$F$2:$F$492,MATCH(101,'Output Utente'!$R$2:$R$492,0)),"")</f>
        <v/>
      </c>
      <c r="J104" s="24" t="str">
        <f>IFERROR(INDEX('Output Utente'!$G$2:$G$492,MATCH(101,'Output Utente'!$R$2:$R$492,0)),"")</f>
        <v/>
      </c>
      <c r="K104" s="24" t="str">
        <f>IFERROR(INDEX('Output Utente'!$H$2:$H$492,MATCH(101,'Output Utente'!$R$2:$R$492,0)),"")</f>
        <v/>
      </c>
      <c r="L104" s="23" t="str">
        <f>IFERROR(INDEX('Output Utente'!$E$2:$E$492,MATCH(101,'Output Utente'!$R$2:$R$492,0)),"")</f>
        <v/>
      </c>
      <c r="V104" t="str">
        <f>IFERROR(INDEX('Output Utente'!$M$2:$M$492,MATCH(101,'Output Utente'!$R$2:$R$492,0)),"")</f>
        <v/>
      </c>
      <c r="W104" t="str">
        <f t="shared" si="1"/>
        <v/>
      </c>
      <c r="X104" t="str">
        <f>IFERROR(INDEX('Output Utente'!$AF$2:$AF$492,MATCH(101,'Output Utente'!$R$2:$R$492,0)),"")</f>
        <v/>
      </c>
    </row>
    <row r="105" spans="1:24" ht="15" customHeight="1" x14ac:dyDescent="0.25">
      <c r="A105" s="26">
        <v>102</v>
      </c>
      <c r="B105" s="23" t="str">
        <f>IFERROR(INDEX('Output Utente'!$A$2:$A$492,MATCH(102,'Output Utente'!$R$2:$R$492,0)),"")</f>
        <v/>
      </c>
      <c r="C105" s="23" t="str">
        <f>IFERROR(INDEX('Output Utente'!$B$2:$B$492,MATCH(102,'Output Utente'!$R$2:$R$492,0)),"")</f>
        <v/>
      </c>
      <c r="D105" s="23" t="str">
        <f>IFERROR(INDEX('Output Utente'!$C$2:$C$492,MATCH(102,'Output Utente'!$R$2:$R$492,0)),"")</f>
        <v/>
      </c>
      <c r="E105" s="23" t="str">
        <f>IFERROR(INDEX('Input Giocatori 2026_27'!$D$3:$D$493,MATCH($B105,'Input Giocatori 2026_27'!$A$3:$A$493,0)),"")</f>
        <v/>
      </c>
      <c r="F105" s="24" t="str">
        <f>IFERROR(INDEX('Output Utente'!$N$2:$N$492,MATCH(102,'Output Utente'!$R$2:$R$492,0)),"")</f>
        <v/>
      </c>
      <c r="G105" s="23" t="str">
        <f>IFERROR(INDEX('Output Utente'!$O$2:$O$492,MATCH(102,'Output Utente'!$R$2:$R$492,0)),"")</f>
        <v/>
      </c>
      <c r="H105" s="23" t="str">
        <f>IFERROR(INDEX('Output Utente'!$P$2:$P$492,MATCH(102,'Output Utente'!$R$2:$R$492,0)),"")</f>
        <v/>
      </c>
      <c r="I105" s="24" t="str">
        <f>IFERROR(INDEX('Output Utente'!$F$2:$F$492,MATCH(102,'Output Utente'!$R$2:$R$492,0)),"")</f>
        <v/>
      </c>
      <c r="J105" s="24" t="str">
        <f>IFERROR(INDEX('Output Utente'!$G$2:$G$492,MATCH(102,'Output Utente'!$R$2:$R$492,0)),"")</f>
        <v/>
      </c>
      <c r="K105" s="24" t="str">
        <f>IFERROR(INDEX('Output Utente'!$H$2:$H$492,MATCH(102,'Output Utente'!$R$2:$R$492,0)),"")</f>
        <v/>
      </c>
      <c r="L105" s="23" t="str">
        <f>IFERROR(INDEX('Output Utente'!$E$2:$E$492,MATCH(102,'Output Utente'!$R$2:$R$492,0)),"")</f>
        <v/>
      </c>
      <c r="V105" t="str">
        <f>IFERROR(INDEX('Output Utente'!$M$2:$M$492,MATCH(102,'Output Utente'!$R$2:$R$492,0)),"")</f>
        <v/>
      </c>
      <c r="W105" t="str">
        <f t="shared" si="1"/>
        <v/>
      </c>
      <c r="X105" t="str">
        <f>IFERROR(INDEX('Output Utente'!$AF$2:$AF$492,MATCH(102,'Output Utente'!$R$2:$R$492,0)),"")</f>
        <v/>
      </c>
    </row>
    <row r="106" spans="1:24" ht="15" customHeight="1" x14ac:dyDescent="0.25">
      <c r="A106" s="26">
        <v>103</v>
      </c>
      <c r="B106" s="23" t="str">
        <f>IFERROR(INDEX('Output Utente'!$A$2:$A$492,MATCH(103,'Output Utente'!$R$2:$R$492,0)),"")</f>
        <v/>
      </c>
      <c r="C106" s="23" t="str">
        <f>IFERROR(INDEX('Output Utente'!$B$2:$B$492,MATCH(103,'Output Utente'!$R$2:$R$492,0)),"")</f>
        <v/>
      </c>
      <c r="D106" s="23" t="str">
        <f>IFERROR(INDEX('Output Utente'!$C$2:$C$492,MATCH(103,'Output Utente'!$R$2:$R$492,0)),"")</f>
        <v/>
      </c>
      <c r="E106" s="23" t="str">
        <f>IFERROR(INDEX('Input Giocatori 2026_27'!$D$3:$D$493,MATCH($B106,'Input Giocatori 2026_27'!$A$3:$A$493,0)),"")</f>
        <v/>
      </c>
      <c r="F106" s="24" t="str">
        <f>IFERROR(INDEX('Output Utente'!$N$2:$N$492,MATCH(103,'Output Utente'!$R$2:$R$492,0)),"")</f>
        <v/>
      </c>
      <c r="G106" s="23" t="str">
        <f>IFERROR(INDEX('Output Utente'!$O$2:$O$492,MATCH(103,'Output Utente'!$R$2:$R$492,0)),"")</f>
        <v/>
      </c>
      <c r="H106" s="23" t="str">
        <f>IFERROR(INDEX('Output Utente'!$P$2:$P$492,MATCH(103,'Output Utente'!$R$2:$R$492,0)),"")</f>
        <v/>
      </c>
      <c r="I106" s="24" t="str">
        <f>IFERROR(INDEX('Output Utente'!$F$2:$F$492,MATCH(103,'Output Utente'!$R$2:$R$492,0)),"")</f>
        <v/>
      </c>
      <c r="J106" s="24" t="str">
        <f>IFERROR(INDEX('Output Utente'!$G$2:$G$492,MATCH(103,'Output Utente'!$R$2:$R$492,0)),"")</f>
        <v/>
      </c>
      <c r="K106" s="24" t="str">
        <f>IFERROR(INDEX('Output Utente'!$H$2:$H$492,MATCH(103,'Output Utente'!$R$2:$R$492,0)),"")</f>
        <v/>
      </c>
      <c r="L106" s="23" t="str">
        <f>IFERROR(INDEX('Output Utente'!$E$2:$E$492,MATCH(103,'Output Utente'!$R$2:$R$492,0)),"")</f>
        <v/>
      </c>
      <c r="V106" t="str">
        <f>IFERROR(INDEX('Output Utente'!$M$2:$M$492,MATCH(103,'Output Utente'!$R$2:$R$492,0)),"")</f>
        <v/>
      </c>
      <c r="W106" t="str">
        <f t="shared" si="1"/>
        <v/>
      </c>
      <c r="X106" t="str">
        <f>IFERROR(INDEX('Output Utente'!$AF$2:$AF$492,MATCH(103,'Output Utente'!$R$2:$R$492,0)),"")</f>
        <v/>
      </c>
    </row>
    <row r="107" spans="1:24" ht="15" customHeight="1" x14ac:dyDescent="0.25">
      <c r="A107" s="26">
        <v>104</v>
      </c>
      <c r="B107" s="23" t="str">
        <f>IFERROR(INDEX('Output Utente'!$A$2:$A$492,MATCH(104,'Output Utente'!$R$2:$R$492,0)),"")</f>
        <v/>
      </c>
      <c r="C107" s="23" t="str">
        <f>IFERROR(INDEX('Output Utente'!$B$2:$B$492,MATCH(104,'Output Utente'!$R$2:$R$492,0)),"")</f>
        <v/>
      </c>
      <c r="D107" s="23" t="str">
        <f>IFERROR(INDEX('Output Utente'!$C$2:$C$492,MATCH(104,'Output Utente'!$R$2:$R$492,0)),"")</f>
        <v/>
      </c>
      <c r="E107" s="23" t="str">
        <f>IFERROR(INDEX('Input Giocatori 2026_27'!$D$3:$D$493,MATCH($B107,'Input Giocatori 2026_27'!$A$3:$A$493,0)),"")</f>
        <v/>
      </c>
      <c r="F107" s="24" t="str">
        <f>IFERROR(INDEX('Output Utente'!$N$2:$N$492,MATCH(104,'Output Utente'!$R$2:$R$492,0)),"")</f>
        <v/>
      </c>
      <c r="G107" s="23" t="str">
        <f>IFERROR(INDEX('Output Utente'!$O$2:$O$492,MATCH(104,'Output Utente'!$R$2:$R$492,0)),"")</f>
        <v/>
      </c>
      <c r="H107" s="23" t="str">
        <f>IFERROR(INDEX('Output Utente'!$P$2:$P$492,MATCH(104,'Output Utente'!$R$2:$R$492,0)),"")</f>
        <v/>
      </c>
      <c r="I107" s="24" t="str">
        <f>IFERROR(INDEX('Output Utente'!$F$2:$F$492,MATCH(104,'Output Utente'!$R$2:$R$492,0)),"")</f>
        <v/>
      </c>
      <c r="J107" s="24" t="str">
        <f>IFERROR(INDEX('Output Utente'!$G$2:$G$492,MATCH(104,'Output Utente'!$R$2:$R$492,0)),"")</f>
        <v/>
      </c>
      <c r="K107" s="24" t="str">
        <f>IFERROR(INDEX('Output Utente'!$H$2:$H$492,MATCH(104,'Output Utente'!$R$2:$R$492,0)),"")</f>
        <v/>
      </c>
      <c r="L107" s="23" t="str">
        <f>IFERROR(INDEX('Output Utente'!$E$2:$E$492,MATCH(104,'Output Utente'!$R$2:$R$492,0)),"")</f>
        <v/>
      </c>
      <c r="V107" t="str">
        <f>IFERROR(INDEX('Output Utente'!$M$2:$M$492,MATCH(104,'Output Utente'!$R$2:$R$492,0)),"")</f>
        <v/>
      </c>
      <c r="W107" t="str">
        <f t="shared" si="1"/>
        <v/>
      </c>
      <c r="X107" t="str">
        <f>IFERROR(INDEX('Output Utente'!$AF$2:$AF$492,MATCH(104,'Output Utente'!$R$2:$R$492,0)),"")</f>
        <v/>
      </c>
    </row>
    <row r="108" spans="1:24" ht="15" customHeight="1" x14ac:dyDescent="0.25">
      <c r="A108" s="26">
        <v>105</v>
      </c>
      <c r="B108" s="23" t="str">
        <f>IFERROR(INDEX('Output Utente'!$A$2:$A$492,MATCH(105,'Output Utente'!$R$2:$R$492,0)),"")</f>
        <v/>
      </c>
      <c r="C108" s="23" t="str">
        <f>IFERROR(INDEX('Output Utente'!$B$2:$B$492,MATCH(105,'Output Utente'!$R$2:$R$492,0)),"")</f>
        <v/>
      </c>
      <c r="D108" s="23" t="str">
        <f>IFERROR(INDEX('Output Utente'!$C$2:$C$492,MATCH(105,'Output Utente'!$R$2:$R$492,0)),"")</f>
        <v/>
      </c>
      <c r="E108" s="23" t="str">
        <f>IFERROR(INDEX('Input Giocatori 2026_27'!$D$3:$D$493,MATCH($B108,'Input Giocatori 2026_27'!$A$3:$A$493,0)),"")</f>
        <v/>
      </c>
      <c r="F108" s="24" t="str">
        <f>IFERROR(INDEX('Output Utente'!$N$2:$N$492,MATCH(105,'Output Utente'!$R$2:$R$492,0)),"")</f>
        <v/>
      </c>
      <c r="G108" s="23" t="str">
        <f>IFERROR(INDEX('Output Utente'!$O$2:$O$492,MATCH(105,'Output Utente'!$R$2:$R$492,0)),"")</f>
        <v/>
      </c>
      <c r="H108" s="23" t="str">
        <f>IFERROR(INDEX('Output Utente'!$P$2:$P$492,MATCH(105,'Output Utente'!$R$2:$R$492,0)),"")</f>
        <v/>
      </c>
      <c r="I108" s="24" t="str">
        <f>IFERROR(INDEX('Output Utente'!$F$2:$F$492,MATCH(105,'Output Utente'!$R$2:$R$492,0)),"")</f>
        <v/>
      </c>
      <c r="J108" s="24" t="str">
        <f>IFERROR(INDEX('Output Utente'!$G$2:$G$492,MATCH(105,'Output Utente'!$R$2:$R$492,0)),"")</f>
        <v/>
      </c>
      <c r="K108" s="24" t="str">
        <f>IFERROR(INDEX('Output Utente'!$H$2:$H$492,MATCH(105,'Output Utente'!$R$2:$R$492,0)),"")</f>
        <v/>
      </c>
      <c r="L108" s="23" t="str">
        <f>IFERROR(INDEX('Output Utente'!$E$2:$E$492,MATCH(105,'Output Utente'!$R$2:$R$492,0)),"")</f>
        <v/>
      </c>
      <c r="V108" t="str">
        <f>IFERROR(INDEX('Output Utente'!$M$2:$M$492,MATCH(105,'Output Utente'!$R$2:$R$492,0)),"")</f>
        <v/>
      </c>
      <c r="W108" t="str">
        <f t="shared" si="1"/>
        <v/>
      </c>
      <c r="X108" t="str">
        <f>IFERROR(INDEX('Output Utente'!$AF$2:$AF$492,MATCH(105,'Output Utente'!$R$2:$R$492,0)),"")</f>
        <v/>
      </c>
    </row>
    <row r="109" spans="1:24" ht="15" customHeight="1" x14ac:dyDescent="0.25">
      <c r="A109" s="26">
        <v>106</v>
      </c>
      <c r="B109" s="23" t="str">
        <f>IFERROR(INDEX('Output Utente'!$A$2:$A$492,MATCH(106,'Output Utente'!$R$2:$R$492,0)),"")</f>
        <v/>
      </c>
      <c r="C109" s="23" t="str">
        <f>IFERROR(INDEX('Output Utente'!$B$2:$B$492,MATCH(106,'Output Utente'!$R$2:$R$492,0)),"")</f>
        <v/>
      </c>
      <c r="D109" s="23" t="str">
        <f>IFERROR(INDEX('Output Utente'!$C$2:$C$492,MATCH(106,'Output Utente'!$R$2:$R$492,0)),"")</f>
        <v/>
      </c>
      <c r="E109" s="23" t="str">
        <f>IFERROR(INDEX('Input Giocatori 2026_27'!$D$3:$D$493,MATCH($B109,'Input Giocatori 2026_27'!$A$3:$A$493,0)),"")</f>
        <v/>
      </c>
      <c r="F109" s="24" t="str">
        <f>IFERROR(INDEX('Output Utente'!$N$2:$N$492,MATCH(106,'Output Utente'!$R$2:$R$492,0)),"")</f>
        <v/>
      </c>
      <c r="G109" s="23" t="str">
        <f>IFERROR(INDEX('Output Utente'!$O$2:$O$492,MATCH(106,'Output Utente'!$R$2:$R$492,0)),"")</f>
        <v/>
      </c>
      <c r="H109" s="23" t="str">
        <f>IFERROR(INDEX('Output Utente'!$P$2:$P$492,MATCH(106,'Output Utente'!$R$2:$R$492,0)),"")</f>
        <v/>
      </c>
      <c r="I109" s="24" t="str">
        <f>IFERROR(INDEX('Output Utente'!$F$2:$F$492,MATCH(106,'Output Utente'!$R$2:$R$492,0)),"")</f>
        <v/>
      </c>
      <c r="J109" s="24" t="str">
        <f>IFERROR(INDEX('Output Utente'!$G$2:$G$492,MATCH(106,'Output Utente'!$R$2:$R$492,0)),"")</f>
        <v/>
      </c>
      <c r="K109" s="24" t="str">
        <f>IFERROR(INDEX('Output Utente'!$H$2:$H$492,MATCH(106,'Output Utente'!$R$2:$R$492,0)),"")</f>
        <v/>
      </c>
      <c r="L109" s="23" t="str">
        <f>IFERROR(INDEX('Output Utente'!$E$2:$E$492,MATCH(106,'Output Utente'!$R$2:$R$492,0)),"")</f>
        <v/>
      </c>
      <c r="V109" t="str">
        <f>IFERROR(INDEX('Output Utente'!$M$2:$M$492,MATCH(106,'Output Utente'!$R$2:$R$492,0)),"")</f>
        <v/>
      </c>
      <c r="W109" t="str">
        <f t="shared" si="1"/>
        <v/>
      </c>
      <c r="X109" t="str">
        <f>IFERROR(INDEX('Output Utente'!$AF$2:$AF$492,MATCH(106,'Output Utente'!$R$2:$R$492,0)),"")</f>
        <v/>
      </c>
    </row>
    <row r="110" spans="1:24" ht="15" customHeight="1" x14ac:dyDescent="0.25">
      <c r="A110" s="26">
        <v>107</v>
      </c>
      <c r="B110" s="23" t="str">
        <f>IFERROR(INDEX('Output Utente'!$A$2:$A$492,MATCH(107,'Output Utente'!$R$2:$R$492,0)),"")</f>
        <v/>
      </c>
      <c r="C110" s="23" t="str">
        <f>IFERROR(INDEX('Output Utente'!$B$2:$B$492,MATCH(107,'Output Utente'!$R$2:$R$492,0)),"")</f>
        <v/>
      </c>
      <c r="D110" s="23" t="str">
        <f>IFERROR(INDEX('Output Utente'!$C$2:$C$492,MATCH(107,'Output Utente'!$R$2:$R$492,0)),"")</f>
        <v/>
      </c>
      <c r="E110" s="23" t="str">
        <f>IFERROR(INDEX('Input Giocatori 2026_27'!$D$3:$D$493,MATCH($B110,'Input Giocatori 2026_27'!$A$3:$A$493,0)),"")</f>
        <v/>
      </c>
      <c r="F110" s="24" t="str">
        <f>IFERROR(INDEX('Output Utente'!$N$2:$N$492,MATCH(107,'Output Utente'!$R$2:$R$492,0)),"")</f>
        <v/>
      </c>
      <c r="G110" s="23" t="str">
        <f>IFERROR(INDEX('Output Utente'!$O$2:$O$492,MATCH(107,'Output Utente'!$R$2:$R$492,0)),"")</f>
        <v/>
      </c>
      <c r="H110" s="23" t="str">
        <f>IFERROR(INDEX('Output Utente'!$P$2:$P$492,MATCH(107,'Output Utente'!$R$2:$R$492,0)),"")</f>
        <v/>
      </c>
      <c r="I110" s="24" t="str">
        <f>IFERROR(INDEX('Output Utente'!$F$2:$F$492,MATCH(107,'Output Utente'!$R$2:$R$492,0)),"")</f>
        <v/>
      </c>
      <c r="J110" s="24" t="str">
        <f>IFERROR(INDEX('Output Utente'!$G$2:$G$492,MATCH(107,'Output Utente'!$R$2:$R$492,0)),"")</f>
        <v/>
      </c>
      <c r="K110" s="24" t="str">
        <f>IFERROR(INDEX('Output Utente'!$H$2:$H$492,MATCH(107,'Output Utente'!$R$2:$R$492,0)),"")</f>
        <v/>
      </c>
      <c r="L110" s="23" t="str">
        <f>IFERROR(INDEX('Output Utente'!$E$2:$E$492,MATCH(107,'Output Utente'!$R$2:$R$492,0)),"")</f>
        <v/>
      </c>
      <c r="V110" t="str">
        <f>IFERROR(INDEX('Output Utente'!$M$2:$M$492,MATCH(107,'Output Utente'!$R$2:$R$492,0)),"")</f>
        <v/>
      </c>
      <c r="W110" t="str">
        <f t="shared" si="1"/>
        <v/>
      </c>
      <c r="X110" t="str">
        <f>IFERROR(INDEX('Output Utente'!$AF$2:$AF$492,MATCH(107,'Output Utente'!$R$2:$R$492,0)),"")</f>
        <v/>
      </c>
    </row>
    <row r="111" spans="1:24" ht="15" customHeight="1" x14ac:dyDescent="0.25">
      <c r="A111" s="26">
        <v>108</v>
      </c>
      <c r="B111" s="23" t="str">
        <f>IFERROR(INDEX('Output Utente'!$A$2:$A$492,MATCH(108,'Output Utente'!$R$2:$R$492,0)),"")</f>
        <v/>
      </c>
      <c r="C111" s="23" t="str">
        <f>IFERROR(INDEX('Output Utente'!$B$2:$B$492,MATCH(108,'Output Utente'!$R$2:$R$492,0)),"")</f>
        <v/>
      </c>
      <c r="D111" s="23" t="str">
        <f>IFERROR(INDEX('Output Utente'!$C$2:$C$492,MATCH(108,'Output Utente'!$R$2:$R$492,0)),"")</f>
        <v/>
      </c>
      <c r="E111" s="23" t="str">
        <f>IFERROR(INDEX('Input Giocatori 2026_27'!$D$3:$D$493,MATCH($B111,'Input Giocatori 2026_27'!$A$3:$A$493,0)),"")</f>
        <v/>
      </c>
      <c r="F111" s="24" t="str">
        <f>IFERROR(INDEX('Output Utente'!$N$2:$N$492,MATCH(108,'Output Utente'!$R$2:$R$492,0)),"")</f>
        <v/>
      </c>
      <c r="G111" s="23" t="str">
        <f>IFERROR(INDEX('Output Utente'!$O$2:$O$492,MATCH(108,'Output Utente'!$R$2:$R$492,0)),"")</f>
        <v/>
      </c>
      <c r="H111" s="23" t="str">
        <f>IFERROR(INDEX('Output Utente'!$P$2:$P$492,MATCH(108,'Output Utente'!$R$2:$R$492,0)),"")</f>
        <v/>
      </c>
      <c r="I111" s="24" t="str">
        <f>IFERROR(INDEX('Output Utente'!$F$2:$F$492,MATCH(108,'Output Utente'!$R$2:$R$492,0)),"")</f>
        <v/>
      </c>
      <c r="J111" s="24" t="str">
        <f>IFERROR(INDEX('Output Utente'!$G$2:$G$492,MATCH(108,'Output Utente'!$R$2:$R$492,0)),"")</f>
        <v/>
      </c>
      <c r="K111" s="24" t="str">
        <f>IFERROR(INDEX('Output Utente'!$H$2:$H$492,MATCH(108,'Output Utente'!$R$2:$R$492,0)),"")</f>
        <v/>
      </c>
      <c r="L111" s="23" t="str">
        <f>IFERROR(INDEX('Output Utente'!$E$2:$E$492,MATCH(108,'Output Utente'!$R$2:$R$492,0)),"")</f>
        <v/>
      </c>
      <c r="V111" t="str">
        <f>IFERROR(INDEX('Output Utente'!$M$2:$M$492,MATCH(108,'Output Utente'!$R$2:$R$492,0)),"")</f>
        <v/>
      </c>
      <c r="W111" t="str">
        <f t="shared" si="1"/>
        <v/>
      </c>
      <c r="X111" t="str">
        <f>IFERROR(INDEX('Output Utente'!$AF$2:$AF$492,MATCH(108,'Output Utente'!$R$2:$R$492,0)),"")</f>
        <v/>
      </c>
    </row>
    <row r="112" spans="1:24" ht="15" customHeight="1" x14ac:dyDescent="0.25">
      <c r="A112" s="26">
        <v>109</v>
      </c>
      <c r="B112" s="23" t="str">
        <f>IFERROR(INDEX('Output Utente'!$A$2:$A$492,MATCH(109,'Output Utente'!$R$2:$R$492,0)),"")</f>
        <v/>
      </c>
      <c r="C112" s="23" t="str">
        <f>IFERROR(INDEX('Output Utente'!$B$2:$B$492,MATCH(109,'Output Utente'!$R$2:$R$492,0)),"")</f>
        <v/>
      </c>
      <c r="D112" s="23" t="str">
        <f>IFERROR(INDEX('Output Utente'!$C$2:$C$492,MATCH(109,'Output Utente'!$R$2:$R$492,0)),"")</f>
        <v/>
      </c>
      <c r="E112" s="23" t="str">
        <f>IFERROR(INDEX('Input Giocatori 2026_27'!$D$3:$D$493,MATCH($B112,'Input Giocatori 2026_27'!$A$3:$A$493,0)),"")</f>
        <v/>
      </c>
      <c r="F112" s="24" t="str">
        <f>IFERROR(INDEX('Output Utente'!$N$2:$N$492,MATCH(109,'Output Utente'!$R$2:$R$492,0)),"")</f>
        <v/>
      </c>
      <c r="G112" s="23" t="str">
        <f>IFERROR(INDEX('Output Utente'!$O$2:$O$492,MATCH(109,'Output Utente'!$R$2:$R$492,0)),"")</f>
        <v/>
      </c>
      <c r="H112" s="23" t="str">
        <f>IFERROR(INDEX('Output Utente'!$P$2:$P$492,MATCH(109,'Output Utente'!$R$2:$R$492,0)),"")</f>
        <v/>
      </c>
      <c r="I112" s="24" t="str">
        <f>IFERROR(INDEX('Output Utente'!$F$2:$F$492,MATCH(109,'Output Utente'!$R$2:$R$492,0)),"")</f>
        <v/>
      </c>
      <c r="J112" s="24" t="str">
        <f>IFERROR(INDEX('Output Utente'!$G$2:$G$492,MATCH(109,'Output Utente'!$R$2:$R$492,0)),"")</f>
        <v/>
      </c>
      <c r="K112" s="24" t="str">
        <f>IFERROR(INDEX('Output Utente'!$H$2:$H$492,MATCH(109,'Output Utente'!$R$2:$R$492,0)),"")</f>
        <v/>
      </c>
      <c r="L112" s="23" t="str">
        <f>IFERROR(INDEX('Output Utente'!$E$2:$E$492,MATCH(109,'Output Utente'!$R$2:$R$492,0)),"")</f>
        <v/>
      </c>
      <c r="V112" t="str">
        <f>IFERROR(INDEX('Output Utente'!$M$2:$M$492,MATCH(109,'Output Utente'!$R$2:$R$492,0)),"")</f>
        <v/>
      </c>
      <c r="W112" t="str">
        <f t="shared" si="1"/>
        <v/>
      </c>
      <c r="X112" t="str">
        <f>IFERROR(INDEX('Output Utente'!$AF$2:$AF$492,MATCH(109,'Output Utente'!$R$2:$R$492,0)),"")</f>
        <v/>
      </c>
    </row>
    <row r="113" spans="1:24" ht="15" customHeight="1" x14ac:dyDescent="0.25">
      <c r="A113" s="26">
        <v>110</v>
      </c>
      <c r="B113" s="23" t="str">
        <f>IFERROR(INDEX('Output Utente'!$A$2:$A$492,MATCH(110,'Output Utente'!$R$2:$R$492,0)),"")</f>
        <v/>
      </c>
      <c r="C113" s="23" t="str">
        <f>IFERROR(INDEX('Output Utente'!$B$2:$B$492,MATCH(110,'Output Utente'!$R$2:$R$492,0)),"")</f>
        <v/>
      </c>
      <c r="D113" s="23" t="str">
        <f>IFERROR(INDEX('Output Utente'!$C$2:$C$492,MATCH(110,'Output Utente'!$R$2:$R$492,0)),"")</f>
        <v/>
      </c>
      <c r="E113" s="23" t="str">
        <f>IFERROR(INDEX('Input Giocatori 2026_27'!$D$3:$D$493,MATCH($B113,'Input Giocatori 2026_27'!$A$3:$A$493,0)),"")</f>
        <v/>
      </c>
      <c r="F113" s="24" t="str">
        <f>IFERROR(INDEX('Output Utente'!$N$2:$N$492,MATCH(110,'Output Utente'!$R$2:$R$492,0)),"")</f>
        <v/>
      </c>
      <c r="G113" s="23" t="str">
        <f>IFERROR(INDEX('Output Utente'!$O$2:$O$492,MATCH(110,'Output Utente'!$R$2:$R$492,0)),"")</f>
        <v/>
      </c>
      <c r="H113" s="23" t="str">
        <f>IFERROR(INDEX('Output Utente'!$P$2:$P$492,MATCH(110,'Output Utente'!$R$2:$R$492,0)),"")</f>
        <v/>
      </c>
      <c r="I113" s="24" t="str">
        <f>IFERROR(INDEX('Output Utente'!$F$2:$F$492,MATCH(110,'Output Utente'!$R$2:$R$492,0)),"")</f>
        <v/>
      </c>
      <c r="J113" s="24" t="str">
        <f>IFERROR(INDEX('Output Utente'!$G$2:$G$492,MATCH(110,'Output Utente'!$R$2:$R$492,0)),"")</f>
        <v/>
      </c>
      <c r="K113" s="24" t="str">
        <f>IFERROR(INDEX('Output Utente'!$H$2:$H$492,MATCH(110,'Output Utente'!$R$2:$R$492,0)),"")</f>
        <v/>
      </c>
      <c r="L113" s="23" t="str">
        <f>IFERROR(INDEX('Output Utente'!$E$2:$E$492,MATCH(110,'Output Utente'!$R$2:$R$492,0)),"")</f>
        <v/>
      </c>
      <c r="V113" t="str">
        <f>IFERROR(INDEX('Output Utente'!$M$2:$M$492,MATCH(110,'Output Utente'!$R$2:$R$492,0)),"")</f>
        <v/>
      </c>
      <c r="W113" t="str">
        <f t="shared" si="1"/>
        <v/>
      </c>
      <c r="X113" t="str">
        <f>IFERROR(INDEX('Output Utente'!$AF$2:$AF$492,MATCH(110,'Output Utente'!$R$2:$R$492,0)),"")</f>
        <v/>
      </c>
    </row>
    <row r="114" spans="1:24" ht="15" customHeight="1" x14ac:dyDescent="0.25">
      <c r="A114" s="26">
        <v>111</v>
      </c>
      <c r="B114" s="23" t="str">
        <f>IFERROR(INDEX('Output Utente'!$A$2:$A$492,MATCH(111,'Output Utente'!$R$2:$R$492,0)),"")</f>
        <v/>
      </c>
      <c r="C114" s="23" t="str">
        <f>IFERROR(INDEX('Output Utente'!$B$2:$B$492,MATCH(111,'Output Utente'!$R$2:$R$492,0)),"")</f>
        <v/>
      </c>
      <c r="D114" s="23" t="str">
        <f>IFERROR(INDEX('Output Utente'!$C$2:$C$492,MATCH(111,'Output Utente'!$R$2:$R$492,0)),"")</f>
        <v/>
      </c>
      <c r="E114" s="23" t="str">
        <f>IFERROR(INDEX('Input Giocatori 2026_27'!$D$3:$D$493,MATCH($B114,'Input Giocatori 2026_27'!$A$3:$A$493,0)),"")</f>
        <v/>
      </c>
      <c r="F114" s="24" t="str">
        <f>IFERROR(INDEX('Output Utente'!$N$2:$N$492,MATCH(111,'Output Utente'!$R$2:$R$492,0)),"")</f>
        <v/>
      </c>
      <c r="G114" s="23" t="str">
        <f>IFERROR(INDEX('Output Utente'!$O$2:$O$492,MATCH(111,'Output Utente'!$R$2:$R$492,0)),"")</f>
        <v/>
      </c>
      <c r="H114" s="23" t="str">
        <f>IFERROR(INDEX('Output Utente'!$P$2:$P$492,MATCH(111,'Output Utente'!$R$2:$R$492,0)),"")</f>
        <v/>
      </c>
      <c r="I114" s="24" t="str">
        <f>IFERROR(INDEX('Output Utente'!$F$2:$F$492,MATCH(111,'Output Utente'!$R$2:$R$492,0)),"")</f>
        <v/>
      </c>
      <c r="J114" s="24" t="str">
        <f>IFERROR(INDEX('Output Utente'!$G$2:$G$492,MATCH(111,'Output Utente'!$R$2:$R$492,0)),"")</f>
        <v/>
      </c>
      <c r="K114" s="24" t="str">
        <f>IFERROR(INDEX('Output Utente'!$H$2:$H$492,MATCH(111,'Output Utente'!$R$2:$R$492,0)),"")</f>
        <v/>
      </c>
      <c r="L114" s="23" t="str">
        <f>IFERROR(INDEX('Output Utente'!$E$2:$E$492,MATCH(111,'Output Utente'!$R$2:$R$492,0)),"")</f>
        <v/>
      </c>
      <c r="V114" t="str">
        <f>IFERROR(INDEX('Output Utente'!$M$2:$M$492,MATCH(111,'Output Utente'!$R$2:$R$492,0)),"")</f>
        <v/>
      </c>
      <c r="W114" t="str">
        <f t="shared" si="1"/>
        <v/>
      </c>
      <c r="X114" t="str">
        <f>IFERROR(INDEX('Output Utente'!$AF$2:$AF$492,MATCH(111,'Output Utente'!$R$2:$R$492,0)),"")</f>
        <v/>
      </c>
    </row>
    <row r="115" spans="1:24" ht="15" customHeight="1" x14ac:dyDescent="0.25">
      <c r="A115" s="26">
        <v>112</v>
      </c>
      <c r="B115" s="23" t="str">
        <f>IFERROR(INDEX('Output Utente'!$A$2:$A$492,MATCH(112,'Output Utente'!$R$2:$R$492,0)),"")</f>
        <v/>
      </c>
      <c r="C115" s="23" t="str">
        <f>IFERROR(INDEX('Output Utente'!$B$2:$B$492,MATCH(112,'Output Utente'!$R$2:$R$492,0)),"")</f>
        <v/>
      </c>
      <c r="D115" s="23" t="str">
        <f>IFERROR(INDEX('Output Utente'!$C$2:$C$492,MATCH(112,'Output Utente'!$R$2:$R$492,0)),"")</f>
        <v/>
      </c>
      <c r="E115" s="23" t="str">
        <f>IFERROR(INDEX('Input Giocatori 2026_27'!$D$3:$D$493,MATCH($B115,'Input Giocatori 2026_27'!$A$3:$A$493,0)),"")</f>
        <v/>
      </c>
      <c r="F115" s="24" t="str">
        <f>IFERROR(INDEX('Output Utente'!$N$2:$N$492,MATCH(112,'Output Utente'!$R$2:$R$492,0)),"")</f>
        <v/>
      </c>
      <c r="G115" s="23" t="str">
        <f>IFERROR(INDEX('Output Utente'!$O$2:$O$492,MATCH(112,'Output Utente'!$R$2:$R$492,0)),"")</f>
        <v/>
      </c>
      <c r="H115" s="23" t="str">
        <f>IFERROR(INDEX('Output Utente'!$P$2:$P$492,MATCH(112,'Output Utente'!$R$2:$R$492,0)),"")</f>
        <v/>
      </c>
      <c r="I115" s="24" t="str">
        <f>IFERROR(INDEX('Output Utente'!$F$2:$F$492,MATCH(112,'Output Utente'!$R$2:$R$492,0)),"")</f>
        <v/>
      </c>
      <c r="J115" s="24" t="str">
        <f>IFERROR(INDEX('Output Utente'!$G$2:$G$492,MATCH(112,'Output Utente'!$R$2:$R$492,0)),"")</f>
        <v/>
      </c>
      <c r="K115" s="24" t="str">
        <f>IFERROR(INDEX('Output Utente'!$H$2:$H$492,MATCH(112,'Output Utente'!$R$2:$R$492,0)),"")</f>
        <v/>
      </c>
      <c r="L115" s="23" t="str">
        <f>IFERROR(INDEX('Output Utente'!$E$2:$E$492,MATCH(112,'Output Utente'!$R$2:$R$492,0)),"")</f>
        <v/>
      </c>
      <c r="V115" t="str">
        <f>IFERROR(INDEX('Output Utente'!$M$2:$M$492,MATCH(112,'Output Utente'!$R$2:$R$492,0)),"")</f>
        <v/>
      </c>
      <c r="W115" t="str">
        <f t="shared" si="1"/>
        <v/>
      </c>
      <c r="X115" t="str">
        <f>IFERROR(INDEX('Output Utente'!$AF$2:$AF$492,MATCH(112,'Output Utente'!$R$2:$R$492,0)),"")</f>
        <v/>
      </c>
    </row>
    <row r="116" spans="1:24" ht="15" customHeight="1" x14ac:dyDescent="0.25">
      <c r="A116" s="26">
        <v>113</v>
      </c>
      <c r="B116" s="23" t="str">
        <f>IFERROR(INDEX('Output Utente'!$A$2:$A$492,MATCH(113,'Output Utente'!$R$2:$R$492,0)),"")</f>
        <v/>
      </c>
      <c r="C116" s="23" t="str">
        <f>IFERROR(INDEX('Output Utente'!$B$2:$B$492,MATCH(113,'Output Utente'!$R$2:$R$492,0)),"")</f>
        <v/>
      </c>
      <c r="D116" s="23" t="str">
        <f>IFERROR(INDEX('Output Utente'!$C$2:$C$492,MATCH(113,'Output Utente'!$R$2:$R$492,0)),"")</f>
        <v/>
      </c>
      <c r="E116" s="23" t="str">
        <f>IFERROR(INDEX('Input Giocatori 2026_27'!$D$3:$D$493,MATCH($B116,'Input Giocatori 2026_27'!$A$3:$A$493,0)),"")</f>
        <v/>
      </c>
      <c r="F116" s="24" t="str">
        <f>IFERROR(INDEX('Output Utente'!$N$2:$N$492,MATCH(113,'Output Utente'!$R$2:$R$492,0)),"")</f>
        <v/>
      </c>
      <c r="G116" s="23" t="str">
        <f>IFERROR(INDEX('Output Utente'!$O$2:$O$492,MATCH(113,'Output Utente'!$R$2:$R$492,0)),"")</f>
        <v/>
      </c>
      <c r="H116" s="23" t="str">
        <f>IFERROR(INDEX('Output Utente'!$P$2:$P$492,MATCH(113,'Output Utente'!$R$2:$R$492,0)),"")</f>
        <v/>
      </c>
      <c r="I116" s="24" t="str">
        <f>IFERROR(INDEX('Output Utente'!$F$2:$F$492,MATCH(113,'Output Utente'!$R$2:$R$492,0)),"")</f>
        <v/>
      </c>
      <c r="J116" s="24" t="str">
        <f>IFERROR(INDEX('Output Utente'!$G$2:$G$492,MATCH(113,'Output Utente'!$R$2:$R$492,0)),"")</f>
        <v/>
      </c>
      <c r="K116" s="24" t="str">
        <f>IFERROR(INDEX('Output Utente'!$H$2:$H$492,MATCH(113,'Output Utente'!$R$2:$R$492,0)),"")</f>
        <v/>
      </c>
      <c r="L116" s="23" t="str">
        <f>IFERROR(INDEX('Output Utente'!$E$2:$E$492,MATCH(113,'Output Utente'!$R$2:$R$492,0)),"")</f>
        <v/>
      </c>
      <c r="V116" t="str">
        <f>IFERROR(INDEX('Output Utente'!$M$2:$M$492,MATCH(113,'Output Utente'!$R$2:$R$492,0)),"")</f>
        <v/>
      </c>
      <c r="W116" t="str">
        <f t="shared" si="1"/>
        <v/>
      </c>
      <c r="X116" t="str">
        <f>IFERROR(INDEX('Output Utente'!$AF$2:$AF$492,MATCH(113,'Output Utente'!$R$2:$R$492,0)),"")</f>
        <v/>
      </c>
    </row>
    <row r="117" spans="1:24" ht="15" customHeight="1" x14ac:dyDescent="0.25">
      <c r="A117" s="26">
        <v>114</v>
      </c>
      <c r="B117" s="23" t="str">
        <f>IFERROR(INDEX('Output Utente'!$A$2:$A$492,MATCH(114,'Output Utente'!$R$2:$R$492,0)),"")</f>
        <v/>
      </c>
      <c r="C117" s="23" t="str">
        <f>IFERROR(INDEX('Output Utente'!$B$2:$B$492,MATCH(114,'Output Utente'!$R$2:$R$492,0)),"")</f>
        <v/>
      </c>
      <c r="D117" s="23" t="str">
        <f>IFERROR(INDEX('Output Utente'!$C$2:$C$492,MATCH(114,'Output Utente'!$R$2:$R$492,0)),"")</f>
        <v/>
      </c>
      <c r="E117" s="23" t="str">
        <f>IFERROR(INDEX('Input Giocatori 2026_27'!$D$3:$D$493,MATCH($B117,'Input Giocatori 2026_27'!$A$3:$A$493,0)),"")</f>
        <v/>
      </c>
      <c r="F117" s="24" t="str">
        <f>IFERROR(INDEX('Output Utente'!$N$2:$N$492,MATCH(114,'Output Utente'!$R$2:$R$492,0)),"")</f>
        <v/>
      </c>
      <c r="G117" s="23" t="str">
        <f>IFERROR(INDEX('Output Utente'!$O$2:$O$492,MATCH(114,'Output Utente'!$R$2:$R$492,0)),"")</f>
        <v/>
      </c>
      <c r="H117" s="23" t="str">
        <f>IFERROR(INDEX('Output Utente'!$P$2:$P$492,MATCH(114,'Output Utente'!$R$2:$R$492,0)),"")</f>
        <v/>
      </c>
      <c r="I117" s="24" t="str">
        <f>IFERROR(INDEX('Output Utente'!$F$2:$F$492,MATCH(114,'Output Utente'!$R$2:$R$492,0)),"")</f>
        <v/>
      </c>
      <c r="J117" s="24" t="str">
        <f>IFERROR(INDEX('Output Utente'!$G$2:$G$492,MATCH(114,'Output Utente'!$R$2:$R$492,0)),"")</f>
        <v/>
      </c>
      <c r="K117" s="24" t="str">
        <f>IFERROR(INDEX('Output Utente'!$H$2:$H$492,MATCH(114,'Output Utente'!$R$2:$R$492,0)),"")</f>
        <v/>
      </c>
      <c r="L117" s="23" t="str">
        <f>IFERROR(INDEX('Output Utente'!$E$2:$E$492,MATCH(114,'Output Utente'!$R$2:$R$492,0)),"")</f>
        <v/>
      </c>
      <c r="V117" t="str">
        <f>IFERROR(INDEX('Output Utente'!$M$2:$M$492,MATCH(114,'Output Utente'!$R$2:$R$492,0)),"")</f>
        <v/>
      </c>
      <c r="W117" t="str">
        <f t="shared" si="1"/>
        <v/>
      </c>
      <c r="X117" t="str">
        <f>IFERROR(INDEX('Output Utente'!$AF$2:$AF$492,MATCH(114,'Output Utente'!$R$2:$R$492,0)),"")</f>
        <v/>
      </c>
    </row>
    <row r="118" spans="1:24" ht="15" customHeight="1" x14ac:dyDescent="0.25">
      <c r="A118" s="26">
        <v>115</v>
      </c>
      <c r="B118" s="23" t="str">
        <f>IFERROR(INDEX('Output Utente'!$A$2:$A$492,MATCH(115,'Output Utente'!$R$2:$R$492,0)),"")</f>
        <v/>
      </c>
      <c r="C118" s="23" t="str">
        <f>IFERROR(INDEX('Output Utente'!$B$2:$B$492,MATCH(115,'Output Utente'!$R$2:$R$492,0)),"")</f>
        <v/>
      </c>
      <c r="D118" s="23" t="str">
        <f>IFERROR(INDEX('Output Utente'!$C$2:$C$492,MATCH(115,'Output Utente'!$R$2:$R$492,0)),"")</f>
        <v/>
      </c>
      <c r="E118" s="23" t="str">
        <f>IFERROR(INDEX('Input Giocatori 2026_27'!$D$3:$D$493,MATCH($B118,'Input Giocatori 2026_27'!$A$3:$A$493,0)),"")</f>
        <v/>
      </c>
      <c r="F118" s="24" t="str">
        <f>IFERROR(INDEX('Output Utente'!$N$2:$N$492,MATCH(115,'Output Utente'!$R$2:$R$492,0)),"")</f>
        <v/>
      </c>
      <c r="G118" s="23" t="str">
        <f>IFERROR(INDEX('Output Utente'!$O$2:$O$492,MATCH(115,'Output Utente'!$R$2:$R$492,0)),"")</f>
        <v/>
      </c>
      <c r="H118" s="23" t="str">
        <f>IFERROR(INDEX('Output Utente'!$P$2:$P$492,MATCH(115,'Output Utente'!$R$2:$R$492,0)),"")</f>
        <v/>
      </c>
      <c r="I118" s="24" t="str">
        <f>IFERROR(INDEX('Output Utente'!$F$2:$F$492,MATCH(115,'Output Utente'!$R$2:$R$492,0)),"")</f>
        <v/>
      </c>
      <c r="J118" s="24" t="str">
        <f>IFERROR(INDEX('Output Utente'!$G$2:$G$492,MATCH(115,'Output Utente'!$R$2:$R$492,0)),"")</f>
        <v/>
      </c>
      <c r="K118" s="24" t="str">
        <f>IFERROR(INDEX('Output Utente'!$H$2:$H$492,MATCH(115,'Output Utente'!$R$2:$R$492,0)),"")</f>
        <v/>
      </c>
      <c r="L118" s="23" t="str">
        <f>IFERROR(INDEX('Output Utente'!$E$2:$E$492,MATCH(115,'Output Utente'!$R$2:$R$492,0)),"")</f>
        <v/>
      </c>
      <c r="V118" t="str">
        <f>IFERROR(INDEX('Output Utente'!$M$2:$M$492,MATCH(115,'Output Utente'!$R$2:$R$492,0)),"")</f>
        <v/>
      </c>
      <c r="W118" t="str">
        <f t="shared" si="1"/>
        <v/>
      </c>
      <c r="X118" t="str">
        <f>IFERROR(INDEX('Output Utente'!$AF$2:$AF$492,MATCH(115,'Output Utente'!$R$2:$R$492,0)),"")</f>
        <v/>
      </c>
    </row>
    <row r="119" spans="1:24" ht="15" customHeight="1" x14ac:dyDescent="0.25">
      <c r="A119" s="26">
        <v>116</v>
      </c>
      <c r="B119" s="23" t="str">
        <f>IFERROR(INDEX('Output Utente'!$A$2:$A$492,MATCH(116,'Output Utente'!$R$2:$R$492,0)),"")</f>
        <v/>
      </c>
      <c r="C119" s="23" t="str">
        <f>IFERROR(INDEX('Output Utente'!$B$2:$B$492,MATCH(116,'Output Utente'!$R$2:$R$492,0)),"")</f>
        <v/>
      </c>
      <c r="D119" s="23" t="str">
        <f>IFERROR(INDEX('Output Utente'!$C$2:$C$492,MATCH(116,'Output Utente'!$R$2:$R$492,0)),"")</f>
        <v/>
      </c>
      <c r="E119" s="23" t="str">
        <f>IFERROR(INDEX('Input Giocatori 2026_27'!$D$3:$D$493,MATCH($B119,'Input Giocatori 2026_27'!$A$3:$A$493,0)),"")</f>
        <v/>
      </c>
      <c r="F119" s="24" t="str">
        <f>IFERROR(INDEX('Output Utente'!$N$2:$N$492,MATCH(116,'Output Utente'!$R$2:$R$492,0)),"")</f>
        <v/>
      </c>
      <c r="G119" s="23" t="str">
        <f>IFERROR(INDEX('Output Utente'!$O$2:$O$492,MATCH(116,'Output Utente'!$R$2:$R$492,0)),"")</f>
        <v/>
      </c>
      <c r="H119" s="23" t="str">
        <f>IFERROR(INDEX('Output Utente'!$P$2:$P$492,MATCH(116,'Output Utente'!$R$2:$R$492,0)),"")</f>
        <v/>
      </c>
      <c r="I119" s="24" t="str">
        <f>IFERROR(INDEX('Output Utente'!$F$2:$F$492,MATCH(116,'Output Utente'!$R$2:$R$492,0)),"")</f>
        <v/>
      </c>
      <c r="J119" s="24" t="str">
        <f>IFERROR(INDEX('Output Utente'!$G$2:$G$492,MATCH(116,'Output Utente'!$R$2:$R$492,0)),"")</f>
        <v/>
      </c>
      <c r="K119" s="24" t="str">
        <f>IFERROR(INDEX('Output Utente'!$H$2:$H$492,MATCH(116,'Output Utente'!$R$2:$R$492,0)),"")</f>
        <v/>
      </c>
      <c r="L119" s="23" t="str">
        <f>IFERROR(INDEX('Output Utente'!$E$2:$E$492,MATCH(116,'Output Utente'!$R$2:$R$492,0)),"")</f>
        <v/>
      </c>
      <c r="V119" t="str">
        <f>IFERROR(INDEX('Output Utente'!$M$2:$M$492,MATCH(116,'Output Utente'!$R$2:$R$492,0)),"")</f>
        <v/>
      </c>
      <c r="W119" t="str">
        <f t="shared" si="1"/>
        <v/>
      </c>
      <c r="X119" t="str">
        <f>IFERROR(INDEX('Output Utente'!$AF$2:$AF$492,MATCH(116,'Output Utente'!$R$2:$R$492,0)),"")</f>
        <v/>
      </c>
    </row>
    <row r="120" spans="1:24" ht="15" customHeight="1" x14ac:dyDescent="0.25">
      <c r="A120" s="26">
        <v>117</v>
      </c>
      <c r="B120" s="23" t="str">
        <f>IFERROR(INDEX('Output Utente'!$A$2:$A$492,MATCH(117,'Output Utente'!$R$2:$R$492,0)),"")</f>
        <v/>
      </c>
      <c r="C120" s="23" t="str">
        <f>IFERROR(INDEX('Output Utente'!$B$2:$B$492,MATCH(117,'Output Utente'!$R$2:$R$492,0)),"")</f>
        <v/>
      </c>
      <c r="D120" s="23" t="str">
        <f>IFERROR(INDEX('Output Utente'!$C$2:$C$492,MATCH(117,'Output Utente'!$R$2:$R$492,0)),"")</f>
        <v/>
      </c>
      <c r="E120" s="23" t="str">
        <f>IFERROR(INDEX('Input Giocatori 2026_27'!$D$3:$D$493,MATCH($B120,'Input Giocatori 2026_27'!$A$3:$A$493,0)),"")</f>
        <v/>
      </c>
      <c r="F120" s="24" t="str">
        <f>IFERROR(INDEX('Output Utente'!$N$2:$N$492,MATCH(117,'Output Utente'!$R$2:$R$492,0)),"")</f>
        <v/>
      </c>
      <c r="G120" s="23" t="str">
        <f>IFERROR(INDEX('Output Utente'!$O$2:$O$492,MATCH(117,'Output Utente'!$R$2:$R$492,0)),"")</f>
        <v/>
      </c>
      <c r="H120" s="23" t="str">
        <f>IFERROR(INDEX('Output Utente'!$P$2:$P$492,MATCH(117,'Output Utente'!$R$2:$R$492,0)),"")</f>
        <v/>
      </c>
      <c r="I120" s="24" t="str">
        <f>IFERROR(INDEX('Output Utente'!$F$2:$F$492,MATCH(117,'Output Utente'!$R$2:$R$492,0)),"")</f>
        <v/>
      </c>
      <c r="J120" s="24" t="str">
        <f>IFERROR(INDEX('Output Utente'!$G$2:$G$492,MATCH(117,'Output Utente'!$R$2:$R$492,0)),"")</f>
        <v/>
      </c>
      <c r="K120" s="24" t="str">
        <f>IFERROR(INDEX('Output Utente'!$H$2:$H$492,MATCH(117,'Output Utente'!$R$2:$R$492,0)),"")</f>
        <v/>
      </c>
      <c r="L120" s="23" t="str">
        <f>IFERROR(INDEX('Output Utente'!$E$2:$E$492,MATCH(117,'Output Utente'!$R$2:$R$492,0)),"")</f>
        <v/>
      </c>
      <c r="V120" t="str">
        <f>IFERROR(INDEX('Output Utente'!$M$2:$M$492,MATCH(117,'Output Utente'!$R$2:$R$492,0)),"")</f>
        <v/>
      </c>
      <c r="W120" t="str">
        <f t="shared" si="1"/>
        <v/>
      </c>
      <c r="X120" t="str">
        <f>IFERROR(INDEX('Output Utente'!$AF$2:$AF$492,MATCH(117,'Output Utente'!$R$2:$R$492,0)),"")</f>
        <v/>
      </c>
    </row>
    <row r="121" spans="1:24" ht="15" customHeight="1" x14ac:dyDescent="0.25">
      <c r="A121" s="26">
        <v>118</v>
      </c>
      <c r="B121" s="23" t="str">
        <f>IFERROR(INDEX('Output Utente'!$A$2:$A$492,MATCH(118,'Output Utente'!$R$2:$R$492,0)),"")</f>
        <v/>
      </c>
      <c r="C121" s="23" t="str">
        <f>IFERROR(INDEX('Output Utente'!$B$2:$B$492,MATCH(118,'Output Utente'!$R$2:$R$492,0)),"")</f>
        <v/>
      </c>
      <c r="D121" s="23" t="str">
        <f>IFERROR(INDEX('Output Utente'!$C$2:$C$492,MATCH(118,'Output Utente'!$R$2:$R$492,0)),"")</f>
        <v/>
      </c>
      <c r="E121" s="23" t="str">
        <f>IFERROR(INDEX('Input Giocatori 2026_27'!$D$3:$D$493,MATCH($B121,'Input Giocatori 2026_27'!$A$3:$A$493,0)),"")</f>
        <v/>
      </c>
      <c r="F121" s="24" t="str">
        <f>IFERROR(INDEX('Output Utente'!$N$2:$N$492,MATCH(118,'Output Utente'!$R$2:$R$492,0)),"")</f>
        <v/>
      </c>
      <c r="G121" s="23" t="str">
        <f>IFERROR(INDEX('Output Utente'!$O$2:$O$492,MATCH(118,'Output Utente'!$R$2:$R$492,0)),"")</f>
        <v/>
      </c>
      <c r="H121" s="23" t="str">
        <f>IFERROR(INDEX('Output Utente'!$P$2:$P$492,MATCH(118,'Output Utente'!$R$2:$R$492,0)),"")</f>
        <v/>
      </c>
      <c r="I121" s="24" t="str">
        <f>IFERROR(INDEX('Output Utente'!$F$2:$F$492,MATCH(118,'Output Utente'!$R$2:$R$492,0)),"")</f>
        <v/>
      </c>
      <c r="J121" s="24" t="str">
        <f>IFERROR(INDEX('Output Utente'!$G$2:$G$492,MATCH(118,'Output Utente'!$R$2:$R$492,0)),"")</f>
        <v/>
      </c>
      <c r="K121" s="24" t="str">
        <f>IFERROR(INDEX('Output Utente'!$H$2:$H$492,MATCH(118,'Output Utente'!$R$2:$R$492,0)),"")</f>
        <v/>
      </c>
      <c r="L121" s="23" t="str">
        <f>IFERROR(INDEX('Output Utente'!$E$2:$E$492,MATCH(118,'Output Utente'!$R$2:$R$492,0)),"")</f>
        <v/>
      </c>
      <c r="V121" t="str">
        <f>IFERROR(INDEX('Output Utente'!$M$2:$M$492,MATCH(118,'Output Utente'!$R$2:$R$492,0)),"")</f>
        <v/>
      </c>
      <c r="W121" t="str">
        <f t="shared" si="1"/>
        <v/>
      </c>
      <c r="X121" t="str">
        <f>IFERROR(INDEX('Output Utente'!$AF$2:$AF$492,MATCH(118,'Output Utente'!$R$2:$R$492,0)),"")</f>
        <v/>
      </c>
    </row>
    <row r="122" spans="1:24" ht="15" customHeight="1" x14ac:dyDescent="0.25">
      <c r="A122" s="26">
        <v>119</v>
      </c>
      <c r="B122" s="23" t="str">
        <f>IFERROR(INDEX('Output Utente'!$A$2:$A$492,MATCH(119,'Output Utente'!$R$2:$R$492,0)),"")</f>
        <v/>
      </c>
      <c r="C122" s="23" t="str">
        <f>IFERROR(INDEX('Output Utente'!$B$2:$B$492,MATCH(119,'Output Utente'!$R$2:$R$492,0)),"")</f>
        <v/>
      </c>
      <c r="D122" s="23" t="str">
        <f>IFERROR(INDEX('Output Utente'!$C$2:$C$492,MATCH(119,'Output Utente'!$R$2:$R$492,0)),"")</f>
        <v/>
      </c>
      <c r="E122" s="23" t="str">
        <f>IFERROR(INDEX('Input Giocatori 2026_27'!$D$3:$D$493,MATCH($B122,'Input Giocatori 2026_27'!$A$3:$A$493,0)),"")</f>
        <v/>
      </c>
      <c r="F122" s="24" t="str">
        <f>IFERROR(INDEX('Output Utente'!$N$2:$N$492,MATCH(119,'Output Utente'!$R$2:$R$492,0)),"")</f>
        <v/>
      </c>
      <c r="G122" s="23" t="str">
        <f>IFERROR(INDEX('Output Utente'!$O$2:$O$492,MATCH(119,'Output Utente'!$R$2:$R$492,0)),"")</f>
        <v/>
      </c>
      <c r="H122" s="23" t="str">
        <f>IFERROR(INDEX('Output Utente'!$P$2:$P$492,MATCH(119,'Output Utente'!$R$2:$R$492,0)),"")</f>
        <v/>
      </c>
      <c r="I122" s="24" t="str">
        <f>IFERROR(INDEX('Output Utente'!$F$2:$F$492,MATCH(119,'Output Utente'!$R$2:$R$492,0)),"")</f>
        <v/>
      </c>
      <c r="J122" s="24" t="str">
        <f>IFERROR(INDEX('Output Utente'!$G$2:$G$492,MATCH(119,'Output Utente'!$R$2:$R$492,0)),"")</f>
        <v/>
      </c>
      <c r="K122" s="24" t="str">
        <f>IFERROR(INDEX('Output Utente'!$H$2:$H$492,MATCH(119,'Output Utente'!$R$2:$R$492,0)),"")</f>
        <v/>
      </c>
      <c r="L122" s="23" t="str">
        <f>IFERROR(INDEX('Output Utente'!$E$2:$E$492,MATCH(119,'Output Utente'!$R$2:$R$492,0)),"")</f>
        <v/>
      </c>
      <c r="V122" t="str">
        <f>IFERROR(INDEX('Output Utente'!$M$2:$M$492,MATCH(119,'Output Utente'!$R$2:$R$492,0)),"")</f>
        <v/>
      </c>
      <c r="W122" t="str">
        <f t="shared" si="1"/>
        <v/>
      </c>
      <c r="X122" t="str">
        <f>IFERROR(INDEX('Output Utente'!$AF$2:$AF$492,MATCH(119,'Output Utente'!$R$2:$R$492,0)),"")</f>
        <v/>
      </c>
    </row>
    <row r="123" spans="1:24" ht="15" customHeight="1" x14ac:dyDescent="0.25">
      <c r="A123" s="26">
        <v>120</v>
      </c>
      <c r="B123" s="23" t="str">
        <f>IFERROR(INDEX('Output Utente'!$A$2:$A$492,MATCH(120,'Output Utente'!$R$2:$R$492,0)),"")</f>
        <v/>
      </c>
      <c r="C123" s="23" t="str">
        <f>IFERROR(INDEX('Output Utente'!$B$2:$B$492,MATCH(120,'Output Utente'!$R$2:$R$492,0)),"")</f>
        <v/>
      </c>
      <c r="D123" s="23" t="str">
        <f>IFERROR(INDEX('Output Utente'!$C$2:$C$492,MATCH(120,'Output Utente'!$R$2:$R$492,0)),"")</f>
        <v/>
      </c>
      <c r="E123" s="23" t="str">
        <f>IFERROR(INDEX('Input Giocatori 2026_27'!$D$3:$D$493,MATCH($B123,'Input Giocatori 2026_27'!$A$3:$A$493,0)),"")</f>
        <v/>
      </c>
      <c r="F123" s="24" t="str">
        <f>IFERROR(INDEX('Output Utente'!$N$2:$N$492,MATCH(120,'Output Utente'!$R$2:$R$492,0)),"")</f>
        <v/>
      </c>
      <c r="G123" s="23" t="str">
        <f>IFERROR(INDEX('Output Utente'!$O$2:$O$492,MATCH(120,'Output Utente'!$R$2:$R$492,0)),"")</f>
        <v/>
      </c>
      <c r="H123" s="23" t="str">
        <f>IFERROR(INDEX('Output Utente'!$P$2:$P$492,MATCH(120,'Output Utente'!$R$2:$R$492,0)),"")</f>
        <v/>
      </c>
      <c r="I123" s="24" t="str">
        <f>IFERROR(INDEX('Output Utente'!$F$2:$F$492,MATCH(120,'Output Utente'!$R$2:$R$492,0)),"")</f>
        <v/>
      </c>
      <c r="J123" s="24" t="str">
        <f>IFERROR(INDEX('Output Utente'!$G$2:$G$492,MATCH(120,'Output Utente'!$R$2:$R$492,0)),"")</f>
        <v/>
      </c>
      <c r="K123" s="24" t="str">
        <f>IFERROR(INDEX('Output Utente'!$H$2:$H$492,MATCH(120,'Output Utente'!$R$2:$R$492,0)),"")</f>
        <v/>
      </c>
      <c r="L123" s="23" t="str">
        <f>IFERROR(INDEX('Output Utente'!$E$2:$E$492,MATCH(120,'Output Utente'!$R$2:$R$492,0)),"")</f>
        <v/>
      </c>
      <c r="V123" t="str">
        <f>IFERROR(INDEX('Output Utente'!$M$2:$M$492,MATCH(120,'Output Utente'!$R$2:$R$492,0)),"")</f>
        <v/>
      </c>
      <c r="W123" t="str">
        <f t="shared" si="1"/>
        <v/>
      </c>
      <c r="X123" t="str">
        <f>IFERROR(INDEX('Output Utente'!$AF$2:$AF$492,MATCH(120,'Output Utente'!$R$2:$R$492,0)),"")</f>
        <v/>
      </c>
    </row>
    <row r="124" spans="1:24" ht="15" customHeight="1" x14ac:dyDescent="0.25">
      <c r="A124" s="26">
        <v>121</v>
      </c>
      <c r="B124" s="23" t="str">
        <f>IFERROR(INDEX('Output Utente'!$A$2:$A$492,MATCH(121,'Output Utente'!$R$2:$R$492,0)),"")</f>
        <v/>
      </c>
      <c r="C124" s="23" t="str">
        <f>IFERROR(INDEX('Output Utente'!$B$2:$B$492,MATCH(121,'Output Utente'!$R$2:$R$492,0)),"")</f>
        <v/>
      </c>
      <c r="D124" s="23" t="str">
        <f>IFERROR(INDEX('Output Utente'!$C$2:$C$492,MATCH(121,'Output Utente'!$R$2:$R$492,0)),"")</f>
        <v/>
      </c>
      <c r="E124" s="23" t="str">
        <f>IFERROR(INDEX('Input Giocatori 2026_27'!$D$3:$D$493,MATCH($B124,'Input Giocatori 2026_27'!$A$3:$A$493,0)),"")</f>
        <v/>
      </c>
      <c r="F124" s="24" t="str">
        <f>IFERROR(INDEX('Output Utente'!$N$2:$N$492,MATCH(121,'Output Utente'!$R$2:$R$492,0)),"")</f>
        <v/>
      </c>
      <c r="G124" s="23" t="str">
        <f>IFERROR(INDEX('Output Utente'!$O$2:$O$492,MATCH(121,'Output Utente'!$R$2:$R$492,0)),"")</f>
        <v/>
      </c>
      <c r="H124" s="23" t="str">
        <f>IFERROR(INDEX('Output Utente'!$P$2:$P$492,MATCH(121,'Output Utente'!$R$2:$R$492,0)),"")</f>
        <v/>
      </c>
      <c r="I124" s="24" t="str">
        <f>IFERROR(INDEX('Output Utente'!$F$2:$F$492,MATCH(121,'Output Utente'!$R$2:$R$492,0)),"")</f>
        <v/>
      </c>
      <c r="J124" s="24" t="str">
        <f>IFERROR(INDEX('Output Utente'!$G$2:$G$492,MATCH(121,'Output Utente'!$R$2:$R$492,0)),"")</f>
        <v/>
      </c>
      <c r="K124" s="24" t="str">
        <f>IFERROR(INDEX('Output Utente'!$H$2:$H$492,MATCH(121,'Output Utente'!$R$2:$R$492,0)),"")</f>
        <v/>
      </c>
      <c r="L124" s="23" t="str">
        <f>IFERROR(INDEX('Output Utente'!$E$2:$E$492,MATCH(121,'Output Utente'!$R$2:$R$492,0)),"")</f>
        <v/>
      </c>
      <c r="V124" t="str">
        <f>IFERROR(INDEX('Output Utente'!$M$2:$M$492,MATCH(121,'Output Utente'!$R$2:$R$492,0)),"")</f>
        <v/>
      </c>
      <c r="W124" t="str">
        <f t="shared" si="1"/>
        <v/>
      </c>
      <c r="X124" t="str">
        <f>IFERROR(INDEX('Output Utente'!$AF$2:$AF$492,MATCH(121,'Output Utente'!$R$2:$R$492,0)),"")</f>
        <v/>
      </c>
    </row>
    <row r="125" spans="1:24" ht="15" customHeight="1" x14ac:dyDescent="0.25">
      <c r="A125" s="26">
        <v>122</v>
      </c>
      <c r="B125" s="23" t="str">
        <f>IFERROR(INDEX('Output Utente'!$A$2:$A$492,MATCH(122,'Output Utente'!$R$2:$R$492,0)),"")</f>
        <v/>
      </c>
      <c r="C125" s="23" t="str">
        <f>IFERROR(INDEX('Output Utente'!$B$2:$B$492,MATCH(122,'Output Utente'!$R$2:$R$492,0)),"")</f>
        <v/>
      </c>
      <c r="D125" s="23" t="str">
        <f>IFERROR(INDEX('Output Utente'!$C$2:$C$492,MATCH(122,'Output Utente'!$R$2:$R$492,0)),"")</f>
        <v/>
      </c>
      <c r="E125" s="23" t="str">
        <f>IFERROR(INDEX('Input Giocatori 2026_27'!$D$3:$D$493,MATCH($B125,'Input Giocatori 2026_27'!$A$3:$A$493,0)),"")</f>
        <v/>
      </c>
      <c r="F125" s="24" t="str">
        <f>IFERROR(INDEX('Output Utente'!$N$2:$N$492,MATCH(122,'Output Utente'!$R$2:$R$492,0)),"")</f>
        <v/>
      </c>
      <c r="G125" s="23" t="str">
        <f>IFERROR(INDEX('Output Utente'!$O$2:$O$492,MATCH(122,'Output Utente'!$R$2:$R$492,0)),"")</f>
        <v/>
      </c>
      <c r="H125" s="23" t="str">
        <f>IFERROR(INDEX('Output Utente'!$P$2:$P$492,MATCH(122,'Output Utente'!$R$2:$R$492,0)),"")</f>
        <v/>
      </c>
      <c r="I125" s="24" t="str">
        <f>IFERROR(INDEX('Output Utente'!$F$2:$F$492,MATCH(122,'Output Utente'!$R$2:$R$492,0)),"")</f>
        <v/>
      </c>
      <c r="J125" s="24" t="str">
        <f>IFERROR(INDEX('Output Utente'!$G$2:$G$492,MATCH(122,'Output Utente'!$R$2:$R$492,0)),"")</f>
        <v/>
      </c>
      <c r="K125" s="24" t="str">
        <f>IFERROR(INDEX('Output Utente'!$H$2:$H$492,MATCH(122,'Output Utente'!$R$2:$R$492,0)),"")</f>
        <v/>
      </c>
      <c r="L125" s="23" t="str">
        <f>IFERROR(INDEX('Output Utente'!$E$2:$E$492,MATCH(122,'Output Utente'!$R$2:$R$492,0)),"")</f>
        <v/>
      </c>
      <c r="V125" t="str">
        <f>IFERROR(INDEX('Output Utente'!$M$2:$M$492,MATCH(122,'Output Utente'!$R$2:$R$492,0)),"")</f>
        <v/>
      </c>
      <c r="W125" t="str">
        <f t="shared" si="1"/>
        <v/>
      </c>
      <c r="X125" t="str">
        <f>IFERROR(INDEX('Output Utente'!$AF$2:$AF$492,MATCH(122,'Output Utente'!$R$2:$R$492,0)),"")</f>
        <v/>
      </c>
    </row>
    <row r="126" spans="1:24" ht="15" customHeight="1" x14ac:dyDescent="0.25">
      <c r="A126" s="26">
        <v>123</v>
      </c>
      <c r="B126" s="23" t="str">
        <f>IFERROR(INDEX('Output Utente'!$A$2:$A$492,MATCH(123,'Output Utente'!$R$2:$R$492,0)),"")</f>
        <v/>
      </c>
      <c r="C126" s="23" t="str">
        <f>IFERROR(INDEX('Output Utente'!$B$2:$B$492,MATCH(123,'Output Utente'!$R$2:$R$492,0)),"")</f>
        <v/>
      </c>
      <c r="D126" s="23" t="str">
        <f>IFERROR(INDEX('Output Utente'!$C$2:$C$492,MATCH(123,'Output Utente'!$R$2:$R$492,0)),"")</f>
        <v/>
      </c>
      <c r="E126" s="23" t="str">
        <f>IFERROR(INDEX('Input Giocatori 2026_27'!$D$3:$D$493,MATCH($B126,'Input Giocatori 2026_27'!$A$3:$A$493,0)),"")</f>
        <v/>
      </c>
      <c r="F126" s="24" t="str">
        <f>IFERROR(INDEX('Output Utente'!$N$2:$N$492,MATCH(123,'Output Utente'!$R$2:$R$492,0)),"")</f>
        <v/>
      </c>
      <c r="G126" s="23" t="str">
        <f>IFERROR(INDEX('Output Utente'!$O$2:$O$492,MATCH(123,'Output Utente'!$R$2:$R$492,0)),"")</f>
        <v/>
      </c>
      <c r="H126" s="23" t="str">
        <f>IFERROR(INDEX('Output Utente'!$P$2:$P$492,MATCH(123,'Output Utente'!$R$2:$R$492,0)),"")</f>
        <v/>
      </c>
      <c r="I126" s="24" t="str">
        <f>IFERROR(INDEX('Output Utente'!$F$2:$F$492,MATCH(123,'Output Utente'!$R$2:$R$492,0)),"")</f>
        <v/>
      </c>
      <c r="J126" s="24" t="str">
        <f>IFERROR(INDEX('Output Utente'!$G$2:$G$492,MATCH(123,'Output Utente'!$R$2:$R$492,0)),"")</f>
        <v/>
      </c>
      <c r="K126" s="24" t="str">
        <f>IFERROR(INDEX('Output Utente'!$H$2:$H$492,MATCH(123,'Output Utente'!$R$2:$R$492,0)),"")</f>
        <v/>
      </c>
      <c r="L126" s="23" t="str">
        <f>IFERROR(INDEX('Output Utente'!$E$2:$E$492,MATCH(123,'Output Utente'!$R$2:$R$492,0)),"")</f>
        <v/>
      </c>
      <c r="V126" t="str">
        <f>IFERROR(INDEX('Output Utente'!$M$2:$M$492,MATCH(123,'Output Utente'!$R$2:$R$492,0)),"")</f>
        <v/>
      </c>
      <c r="W126" t="str">
        <f t="shared" si="1"/>
        <v/>
      </c>
      <c r="X126" t="str">
        <f>IFERROR(INDEX('Output Utente'!$AF$2:$AF$492,MATCH(123,'Output Utente'!$R$2:$R$492,0)),"")</f>
        <v/>
      </c>
    </row>
    <row r="127" spans="1:24" ht="15" customHeight="1" x14ac:dyDescent="0.25">
      <c r="A127" s="26">
        <v>124</v>
      </c>
      <c r="B127" s="23" t="str">
        <f>IFERROR(INDEX('Output Utente'!$A$2:$A$492,MATCH(124,'Output Utente'!$R$2:$R$492,0)),"")</f>
        <v/>
      </c>
      <c r="C127" s="23" t="str">
        <f>IFERROR(INDEX('Output Utente'!$B$2:$B$492,MATCH(124,'Output Utente'!$R$2:$R$492,0)),"")</f>
        <v/>
      </c>
      <c r="D127" s="23" t="str">
        <f>IFERROR(INDEX('Output Utente'!$C$2:$C$492,MATCH(124,'Output Utente'!$R$2:$R$492,0)),"")</f>
        <v/>
      </c>
      <c r="E127" s="23" t="str">
        <f>IFERROR(INDEX('Input Giocatori 2026_27'!$D$3:$D$493,MATCH($B127,'Input Giocatori 2026_27'!$A$3:$A$493,0)),"")</f>
        <v/>
      </c>
      <c r="F127" s="24" t="str">
        <f>IFERROR(INDEX('Output Utente'!$N$2:$N$492,MATCH(124,'Output Utente'!$R$2:$R$492,0)),"")</f>
        <v/>
      </c>
      <c r="G127" s="23" t="str">
        <f>IFERROR(INDEX('Output Utente'!$O$2:$O$492,MATCH(124,'Output Utente'!$R$2:$R$492,0)),"")</f>
        <v/>
      </c>
      <c r="H127" s="23" t="str">
        <f>IFERROR(INDEX('Output Utente'!$P$2:$P$492,MATCH(124,'Output Utente'!$R$2:$R$492,0)),"")</f>
        <v/>
      </c>
      <c r="I127" s="24" t="str">
        <f>IFERROR(INDEX('Output Utente'!$F$2:$F$492,MATCH(124,'Output Utente'!$R$2:$R$492,0)),"")</f>
        <v/>
      </c>
      <c r="J127" s="24" t="str">
        <f>IFERROR(INDEX('Output Utente'!$G$2:$G$492,MATCH(124,'Output Utente'!$R$2:$R$492,0)),"")</f>
        <v/>
      </c>
      <c r="K127" s="24" t="str">
        <f>IFERROR(INDEX('Output Utente'!$H$2:$H$492,MATCH(124,'Output Utente'!$R$2:$R$492,0)),"")</f>
        <v/>
      </c>
      <c r="L127" s="23" t="str">
        <f>IFERROR(INDEX('Output Utente'!$E$2:$E$492,MATCH(124,'Output Utente'!$R$2:$R$492,0)),"")</f>
        <v/>
      </c>
      <c r="V127" t="str">
        <f>IFERROR(INDEX('Output Utente'!$M$2:$M$492,MATCH(124,'Output Utente'!$R$2:$R$492,0)),"")</f>
        <v/>
      </c>
      <c r="W127" t="str">
        <f t="shared" si="1"/>
        <v/>
      </c>
      <c r="X127" t="str">
        <f>IFERROR(INDEX('Output Utente'!$AF$2:$AF$492,MATCH(124,'Output Utente'!$R$2:$R$492,0)),"")</f>
        <v/>
      </c>
    </row>
    <row r="128" spans="1:24" ht="15" customHeight="1" x14ac:dyDescent="0.25">
      <c r="A128" s="26">
        <v>125</v>
      </c>
      <c r="B128" s="23" t="str">
        <f>IFERROR(INDEX('Output Utente'!$A$2:$A$492,MATCH(125,'Output Utente'!$R$2:$R$492,0)),"")</f>
        <v/>
      </c>
      <c r="C128" s="23" t="str">
        <f>IFERROR(INDEX('Output Utente'!$B$2:$B$492,MATCH(125,'Output Utente'!$R$2:$R$492,0)),"")</f>
        <v/>
      </c>
      <c r="D128" s="23" t="str">
        <f>IFERROR(INDEX('Output Utente'!$C$2:$C$492,MATCH(125,'Output Utente'!$R$2:$R$492,0)),"")</f>
        <v/>
      </c>
      <c r="E128" s="23" t="str">
        <f>IFERROR(INDEX('Input Giocatori 2026_27'!$D$3:$D$493,MATCH($B128,'Input Giocatori 2026_27'!$A$3:$A$493,0)),"")</f>
        <v/>
      </c>
      <c r="F128" s="24" t="str">
        <f>IFERROR(INDEX('Output Utente'!$N$2:$N$492,MATCH(125,'Output Utente'!$R$2:$R$492,0)),"")</f>
        <v/>
      </c>
      <c r="G128" s="23" t="str">
        <f>IFERROR(INDEX('Output Utente'!$O$2:$O$492,MATCH(125,'Output Utente'!$R$2:$R$492,0)),"")</f>
        <v/>
      </c>
      <c r="H128" s="23" t="str">
        <f>IFERROR(INDEX('Output Utente'!$P$2:$P$492,MATCH(125,'Output Utente'!$R$2:$R$492,0)),"")</f>
        <v/>
      </c>
      <c r="I128" s="24" t="str">
        <f>IFERROR(INDEX('Output Utente'!$F$2:$F$492,MATCH(125,'Output Utente'!$R$2:$R$492,0)),"")</f>
        <v/>
      </c>
      <c r="J128" s="24" t="str">
        <f>IFERROR(INDEX('Output Utente'!$G$2:$G$492,MATCH(125,'Output Utente'!$R$2:$R$492,0)),"")</f>
        <v/>
      </c>
      <c r="K128" s="24" t="str">
        <f>IFERROR(INDEX('Output Utente'!$H$2:$H$492,MATCH(125,'Output Utente'!$R$2:$R$492,0)),"")</f>
        <v/>
      </c>
      <c r="L128" s="23" t="str">
        <f>IFERROR(INDEX('Output Utente'!$E$2:$E$492,MATCH(125,'Output Utente'!$R$2:$R$492,0)),"")</f>
        <v/>
      </c>
      <c r="V128" t="str">
        <f>IFERROR(INDEX('Output Utente'!$M$2:$M$492,MATCH(125,'Output Utente'!$R$2:$R$492,0)),"")</f>
        <v/>
      </c>
      <c r="W128" t="str">
        <f t="shared" si="1"/>
        <v/>
      </c>
      <c r="X128" t="str">
        <f>IFERROR(INDEX('Output Utente'!$AF$2:$AF$492,MATCH(125,'Output Utente'!$R$2:$R$492,0)),"")</f>
        <v/>
      </c>
    </row>
    <row r="129" spans="1:24" ht="15" customHeight="1" x14ac:dyDescent="0.25">
      <c r="A129" s="26">
        <v>126</v>
      </c>
      <c r="B129" s="23" t="str">
        <f>IFERROR(INDEX('Output Utente'!$A$2:$A$492,MATCH(126,'Output Utente'!$R$2:$R$492,0)),"")</f>
        <v/>
      </c>
      <c r="C129" s="23" t="str">
        <f>IFERROR(INDEX('Output Utente'!$B$2:$B$492,MATCH(126,'Output Utente'!$R$2:$R$492,0)),"")</f>
        <v/>
      </c>
      <c r="D129" s="23" t="str">
        <f>IFERROR(INDEX('Output Utente'!$C$2:$C$492,MATCH(126,'Output Utente'!$R$2:$R$492,0)),"")</f>
        <v/>
      </c>
      <c r="E129" s="23" t="str">
        <f>IFERROR(INDEX('Input Giocatori 2026_27'!$D$3:$D$493,MATCH($B129,'Input Giocatori 2026_27'!$A$3:$A$493,0)),"")</f>
        <v/>
      </c>
      <c r="F129" s="24" t="str">
        <f>IFERROR(INDEX('Output Utente'!$N$2:$N$492,MATCH(126,'Output Utente'!$R$2:$R$492,0)),"")</f>
        <v/>
      </c>
      <c r="G129" s="23" t="str">
        <f>IFERROR(INDEX('Output Utente'!$O$2:$O$492,MATCH(126,'Output Utente'!$R$2:$R$492,0)),"")</f>
        <v/>
      </c>
      <c r="H129" s="23" t="str">
        <f>IFERROR(INDEX('Output Utente'!$P$2:$P$492,MATCH(126,'Output Utente'!$R$2:$R$492,0)),"")</f>
        <v/>
      </c>
      <c r="I129" s="24" t="str">
        <f>IFERROR(INDEX('Output Utente'!$F$2:$F$492,MATCH(126,'Output Utente'!$R$2:$R$492,0)),"")</f>
        <v/>
      </c>
      <c r="J129" s="24" t="str">
        <f>IFERROR(INDEX('Output Utente'!$G$2:$G$492,MATCH(126,'Output Utente'!$R$2:$R$492,0)),"")</f>
        <v/>
      </c>
      <c r="K129" s="24" t="str">
        <f>IFERROR(INDEX('Output Utente'!$H$2:$H$492,MATCH(126,'Output Utente'!$R$2:$R$492,0)),"")</f>
        <v/>
      </c>
      <c r="L129" s="23" t="str">
        <f>IFERROR(INDEX('Output Utente'!$E$2:$E$492,MATCH(126,'Output Utente'!$R$2:$R$492,0)),"")</f>
        <v/>
      </c>
      <c r="V129" t="str">
        <f>IFERROR(INDEX('Output Utente'!$M$2:$M$492,MATCH(126,'Output Utente'!$R$2:$R$492,0)),"")</f>
        <v/>
      </c>
      <c r="W129" t="str">
        <f t="shared" si="1"/>
        <v/>
      </c>
      <c r="X129" t="str">
        <f>IFERROR(INDEX('Output Utente'!$AF$2:$AF$492,MATCH(126,'Output Utente'!$R$2:$R$492,0)),"")</f>
        <v/>
      </c>
    </row>
    <row r="130" spans="1:24" ht="15" customHeight="1" x14ac:dyDescent="0.25">
      <c r="A130" s="26">
        <v>127</v>
      </c>
      <c r="B130" s="23" t="str">
        <f>IFERROR(INDEX('Output Utente'!$A$2:$A$492,MATCH(127,'Output Utente'!$R$2:$R$492,0)),"")</f>
        <v/>
      </c>
      <c r="C130" s="23" t="str">
        <f>IFERROR(INDEX('Output Utente'!$B$2:$B$492,MATCH(127,'Output Utente'!$R$2:$R$492,0)),"")</f>
        <v/>
      </c>
      <c r="D130" s="23" t="str">
        <f>IFERROR(INDEX('Output Utente'!$C$2:$C$492,MATCH(127,'Output Utente'!$R$2:$R$492,0)),"")</f>
        <v/>
      </c>
      <c r="E130" s="23" t="str">
        <f>IFERROR(INDEX('Input Giocatori 2026_27'!$D$3:$D$493,MATCH($B130,'Input Giocatori 2026_27'!$A$3:$A$493,0)),"")</f>
        <v/>
      </c>
      <c r="F130" s="24" t="str">
        <f>IFERROR(INDEX('Output Utente'!$N$2:$N$492,MATCH(127,'Output Utente'!$R$2:$R$492,0)),"")</f>
        <v/>
      </c>
      <c r="G130" s="23" t="str">
        <f>IFERROR(INDEX('Output Utente'!$O$2:$O$492,MATCH(127,'Output Utente'!$R$2:$R$492,0)),"")</f>
        <v/>
      </c>
      <c r="H130" s="23" t="str">
        <f>IFERROR(INDEX('Output Utente'!$P$2:$P$492,MATCH(127,'Output Utente'!$R$2:$R$492,0)),"")</f>
        <v/>
      </c>
      <c r="I130" s="24" t="str">
        <f>IFERROR(INDEX('Output Utente'!$F$2:$F$492,MATCH(127,'Output Utente'!$R$2:$R$492,0)),"")</f>
        <v/>
      </c>
      <c r="J130" s="24" t="str">
        <f>IFERROR(INDEX('Output Utente'!$G$2:$G$492,MATCH(127,'Output Utente'!$R$2:$R$492,0)),"")</f>
        <v/>
      </c>
      <c r="K130" s="24" t="str">
        <f>IFERROR(INDEX('Output Utente'!$H$2:$H$492,MATCH(127,'Output Utente'!$R$2:$R$492,0)),"")</f>
        <v/>
      </c>
      <c r="L130" s="23" t="str">
        <f>IFERROR(INDEX('Output Utente'!$E$2:$E$492,MATCH(127,'Output Utente'!$R$2:$R$492,0)),"")</f>
        <v/>
      </c>
      <c r="V130" t="str">
        <f>IFERROR(INDEX('Output Utente'!$M$2:$M$492,MATCH(127,'Output Utente'!$R$2:$R$492,0)),"")</f>
        <v/>
      </c>
      <c r="W130" t="str">
        <f t="shared" si="1"/>
        <v/>
      </c>
      <c r="X130" t="str">
        <f>IFERROR(INDEX('Output Utente'!$AF$2:$AF$492,MATCH(127,'Output Utente'!$R$2:$R$492,0)),"")</f>
        <v/>
      </c>
    </row>
    <row r="131" spans="1:24" ht="15" customHeight="1" x14ac:dyDescent="0.25">
      <c r="A131" s="26">
        <v>128</v>
      </c>
      <c r="B131" s="23" t="str">
        <f>IFERROR(INDEX('Output Utente'!$A$2:$A$492,MATCH(128,'Output Utente'!$R$2:$R$492,0)),"")</f>
        <v/>
      </c>
      <c r="C131" s="23" t="str">
        <f>IFERROR(INDEX('Output Utente'!$B$2:$B$492,MATCH(128,'Output Utente'!$R$2:$R$492,0)),"")</f>
        <v/>
      </c>
      <c r="D131" s="23" t="str">
        <f>IFERROR(INDEX('Output Utente'!$C$2:$C$492,MATCH(128,'Output Utente'!$R$2:$R$492,0)),"")</f>
        <v/>
      </c>
      <c r="E131" s="23" t="str">
        <f>IFERROR(INDEX('Input Giocatori 2026_27'!$D$3:$D$493,MATCH($B131,'Input Giocatori 2026_27'!$A$3:$A$493,0)),"")</f>
        <v/>
      </c>
      <c r="F131" s="24" t="str">
        <f>IFERROR(INDEX('Output Utente'!$N$2:$N$492,MATCH(128,'Output Utente'!$R$2:$R$492,0)),"")</f>
        <v/>
      </c>
      <c r="G131" s="23" t="str">
        <f>IFERROR(INDEX('Output Utente'!$O$2:$O$492,MATCH(128,'Output Utente'!$R$2:$R$492,0)),"")</f>
        <v/>
      </c>
      <c r="H131" s="23" t="str">
        <f>IFERROR(INDEX('Output Utente'!$P$2:$P$492,MATCH(128,'Output Utente'!$R$2:$R$492,0)),"")</f>
        <v/>
      </c>
      <c r="I131" s="24" t="str">
        <f>IFERROR(INDEX('Output Utente'!$F$2:$F$492,MATCH(128,'Output Utente'!$R$2:$R$492,0)),"")</f>
        <v/>
      </c>
      <c r="J131" s="24" t="str">
        <f>IFERROR(INDEX('Output Utente'!$G$2:$G$492,MATCH(128,'Output Utente'!$R$2:$R$492,0)),"")</f>
        <v/>
      </c>
      <c r="K131" s="24" t="str">
        <f>IFERROR(INDEX('Output Utente'!$H$2:$H$492,MATCH(128,'Output Utente'!$R$2:$R$492,0)),"")</f>
        <v/>
      </c>
      <c r="L131" s="23" t="str">
        <f>IFERROR(INDEX('Output Utente'!$E$2:$E$492,MATCH(128,'Output Utente'!$R$2:$R$492,0)),"")</f>
        <v/>
      </c>
      <c r="V131" t="str">
        <f>IFERROR(INDEX('Output Utente'!$M$2:$M$492,MATCH(128,'Output Utente'!$R$2:$R$492,0)),"")</f>
        <v/>
      </c>
      <c r="W131" t="str">
        <f t="shared" si="1"/>
        <v/>
      </c>
      <c r="X131" t="str">
        <f>IFERROR(INDEX('Output Utente'!$AF$2:$AF$492,MATCH(128,'Output Utente'!$R$2:$R$492,0)),"")</f>
        <v/>
      </c>
    </row>
    <row r="132" spans="1:24" ht="15" customHeight="1" x14ac:dyDescent="0.25">
      <c r="A132" s="26">
        <v>129</v>
      </c>
      <c r="B132" s="23" t="str">
        <f>IFERROR(INDEX('Output Utente'!$A$2:$A$492,MATCH(129,'Output Utente'!$R$2:$R$492,0)),"")</f>
        <v/>
      </c>
      <c r="C132" s="23" t="str">
        <f>IFERROR(INDEX('Output Utente'!$B$2:$B$492,MATCH(129,'Output Utente'!$R$2:$R$492,0)),"")</f>
        <v/>
      </c>
      <c r="D132" s="23" t="str">
        <f>IFERROR(INDEX('Output Utente'!$C$2:$C$492,MATCH(129,'Output Utente'!$R$2:$R$492,0)),"")</f>
        <v/>
      </c>
      <c r="E132" s="23" t="str">
        <f>IFERROR(INDEX('Input Giocatori 2026_27'!$D$3:$D$493,MATCH($B132,'Input Giocatori 2026_27'!$A$3:$A$493,0)),"")</f>
        <v/>
      </c>
      <c r="F132" s="24" t="str">
        <f>IFERROR(INDEX('Output Utente'!$N$2:$N$492,MATCH(129,'Output Utente'!$R$2:$R$492,0)),"")</f>
        <v/>
      </c>
      <c r="G132" s="23" t="str">
        <f>IFERROR(INDEX('Output Utente'!$O$2:$O$492,MATCH(129,'Output Utente'!$R$2:$R$492,0)),"")</f>
        <v/>
      </c>
      <c r="H132" s="23" t="str">
        <f>IFERROR(INDEX('Output Utente'!$P$2:$P$492,MATCH(129,'Output Utente'!$R$2:$R$492,0)),"")</f>
        <v/>
      </c>
      <c r="I132" s="24" t="str">
        <f>IFERROR(INDEX('Output Utente'!$F$2:$F$492,MATCH(129,'Output Utente'!$R$2:$R$492,0)),"")</f>
        <v/>
      </c>
      <c r="J132" s="24" t="str">
        <f>IFERROR(INDEX('Output Utente'!$G$2:$G$492,MATCH(129,'Output Utente'!$R$2:$R$492,0)),"")</f>
        <v/>
      </c>
      <c r="K132" s="24" t="str">
        <f>IFERROR(INDEX('Output Utente'!$H$2:$H$492,MATCH(129,'Output Utente'!$R$2:$R$492,0)),"")</f>
        <v/>
      </c>
      <c r="L132" s="23" t="str">
        <f>IFERROR(INDEX('Output Utente'!$E$2:$E$492,MATCH(129,'Output Utente'!$R$2:$R$492,0)),"")</f>
        <v/>
      </c>
      <c r="V132" t="str">
        <f>IFERROR(INDEX('Output Utente'!$M$2:$M$492,MATCH(129,'Output Utente'!$R$2:$R$492,0)),"")</f>
        <v/>
      </c>
      <c r="W132" t="str">
        <f t="shared" ref="W132:W195" si="2">IF(OR($G132="",$V132=""),"",$G132-$V132)</f>
        <v/>
      </c>
      <c r="X132" t="str">
        <f>IFERROR(INDEX('Output Utente'!$AF$2:$AF$492,MATCH(129,'Output Utente'!$R$2:$R$492,0)),"")</f>
        <v/>
      </c>
    </row>
    <row r="133" spans="1:24" ht="15" customHeight="1" x14ac:dyDescent="0.25">
      <c r="A133" s="26">
        <v>130</v>
      </c>
      <c r="B133" s="23" t="str">
        <f>IFERROR(INDEX('Output Utente'!$A$2:$A$492,MATCH(130,'Output Utente'!$R$2:$R$492,0)),"")</f>
        <v/>
      </c>
      <c r="C133" s="23" t="str">
        <f>IFERROR(INDEX('Output Utente'!$B$2:$B$492,MATCH(130,'Output Utente'!$R$2:$R$492,0)),"")</f>
        <v/>
      </c>
      <c r="D133" s="23" t="str">
        <f>IFERROR(INDEX('Output Utente'!$C$2:$C$492,MATCH(130,'Output Utente'!$R$2:$R$492,0)),"")</f>
        <v/>
      </c>
      <c r="E133" s="23" t="str">
        <f>IFERROR(INDEX('Input Giocatori 2026_27'!$D$3:$D$493,MATCH($B133,'Input Giocatori 2026_27'!$A$3:$A$493,0)),"")</f>
        <v/>
      </c>
      <c r="F133" s="24" t="str">
        <f>IFERROR(INDEX('Output Utente'!$N$2:$N$492,MATCH(130,'Output Utente'!$R$2:$R$492,0)),"")</f>
        <v/>
      </c>
      <c r="G133" s="23" t="str">
        <f>IFERROR(INDEX('Output Utente'!$O$2:$O$492,MATCH(130,'Output Utente'!$R$2:$R$492,0)),"")</f>
        <v/>
      </c>
      <c r="H133" s="23" t="str">
        <f>IFERROR(INDEX('Output Utente'!$P$2:$P$492,MATCH(130,'Output Utente'!$R$2:$R$492,0)),"")</f>
        <v/>
      </c>
      <c r="I133" s="24" t="str">
        <f>IFERROR(INDEX('Output Utente'!$F$2:$F$492,MATCH(130,'Output Utente'!$R$2:$R$492,0)),"")</f>
        <v/>
      </c>
      <c r="J133" s="24" t="str">
        <f>IFERROR(INDEX('Output Utente'!$G$2:$G$492,MATCH(130,'Output Utente'!$R$2:$R$492,0)),"")</f>
        <v/>
      </c>
      <c r="K133" s="24" t="str">
        <f>IFERROR(INDEX('Output Utente'!$H$2:$H$492,MATCH(130,'Output Utente'!$R$2:$R$492,0)),"")</f>
        <v/>
      </c>
      <c r="L133" s="23" t="str">
        <f>IFERROR(INDEX('Output Utente'!$E$2:$E$492,MATCH(130,'Output Utente'!$R$2:$R$492,0)),"")</f>
        <v/>
      </c>
      <c r="V133" t="str">
        <f>IFERROR(INDEX('Output Utente'!$M$2:$M$492,MATCH(130,'Output Utente'!$R$2:$R$492,0)),"")</f>
        <v/>
      </c>
      <c r="W133" t="str">
        <f t="shared" si="2"/>
        <v/>
      </c>
      <c r="X133" t="str">
        <f>IFERROR(INDEX('Output Utente'!$AF$2:$AF$492,MATCH(130,'Output Utente'!$R$2:$R$492,0)),"")</f>
        <v/>
      </c>
    </row>
    <row r="134" spans="1:24" ht="15" customHeight="1" x14ac:dyDescent="0.25">
      <c r="A134" s="26">
        <v>131</v>
      </c>
      <c r="B134" s="23" t="str">
        <f>IFERROR(INDEX('Output Utente'!$A$2:$A$492,MATCH(131,'Output Utente'!$R$2:$R$492,0)),"")</f>
        <v/>
      </c>
      <c r="C134" s="23" t="str">
        <f>IFERROR(INDEX('Output Utente'!$B$2:$B$492,MATCH(131,'Output Utente'!$R$2:$R$492,0)),"")</f>
        <v/>
      </c>
      <c r="D134" s="23" t="str">
        <f>IFERROR(INDEX('Output Utente'!$C$2:$C$492,MATCH(131,'Output Utente'!$R$2:$R$492,0)),"")</f>
        <v/>
      </c>
      <c r="E134" s="23" t="str">
        <f>IFERROR(INDEX('Input Giocatori 2026_27'!$D$3:$D$493,MATCH($B134,'Input Giocatori 2026_27'!$A$3:$A$493,0)),"")</f>
        <v/>
      </c>
      <c r="F134" s="24" t="str">
        <f>IFERROR(INDEX('Output Utente'!$N$2:$N$492,MATCH(131,'Output Utente'!$R$2:$R$492,0)),"")</f>
        <v/>
      </c>
      <c r="G134" s="23" t="str">
        <f>IFERROR(INDEX('Output Utente'!$O$2:$O$492,MATCH(131,'Output Utente'!$R$2:$R$492,0)),"")</f>
        <v/>
      </c>
      <c r="H134" s="23" t="str">
        <f>IFERROR(INDEX('Output Utente'!$P$2:$P$492,MATCH(131,'Output Utente'!$R$2:$R$492,0)),"")</f>
        <v/>
      </c>
      <c r="I134" s="24" t="str">
        <f>IFERROR(INDEX('Output Utente'!$F$2:$F$492,MATCH(131,'Output Utente'!$R$2:$R$492,0)),"")</f>
        <v/>
      </c>
      <c r="J134" s="24" t="str">
        <f>IFERROR(INDEX('Output Utente'!$G$2:$G$492,MATCH(131,'Output Utente'!$R$2:$R$492,0)),"")</f>
        <v/>
      </c>
      <c r="K134" s="24" t="str">
        <f>IFERROR(INDEX('Output Utente'!$H$2:$H$492,MATCH(131,'Output Utente'!$R$2:$R$492,0)),"")</f>
        <v/>
      </c>
      <c r="L134" s="23" t="str">
        <f>IFERROR(INDEX('Output Utente'!$E$2:$E$492,MATCH(131,'Output Utente'!$R$2:$R$492,0)),"")</f>
        <v/>
      </c>
      <c r="V134" t="str">
        <f>IFERROR(INDEX('Output Utente'!$M$2:$M$492,MATCH(131,'Output Utente'!$R$2:$R$492,0)),"")</f>
        <v/>
      </c>
      <c r="W134" t="str">
        <f t="shared" si="2"/>
        <v/>
      </c>
      <c r="X134" t="str">
        <f>IFERROR(INDEX('Output Utente'!$AF$2:$AF$492,MATCH(131,'Output Utente'!$R$2:$R$492,0)),"")</f>
        <v/>
      </c>
    </row>
    <row r="135" spans="1:24" ht="15" customHeight="1" x14ac:dyDescent="0.25">
      <c r="A135" s="26">
        <v>132</v>
      </c>
      <c r="B135" s="23" t="str">
        <f>IFERROR(INDEX('Output Utente'!$A$2:$A$492,MATCH(132,'Output Utente'!$R$2:$R$492,0)),"")</f>
        <v/>
      </c>
      <c r="C135" s="23" t="str">
        <f>IFERROR(INDEX('Output Utente'!$B$2:$B$492,MATCH(132,'Output Utente'!$R$2:$R$492,0)),"")</f>
        <v/>
      </c>
      <c r="D135" s="23" t="str">
        <f>IFERROR(INDEX('Output Utente'!$C$2:$C$492,MATCH(132,'Output Utente'!$R$2:$R$492,0)),"")</f>
        <v/>
      </c>
      <c r="E135" s="23" t="str">
        <f>IFERROR(INDEX('Input Giocatori 2026_27'!$D$3:$D$493,MATCH($B135,'Input Giocatori 2026_27'!$A$3:$A$493,0)),"")</f>
        <v/>
      </c>
      <c r="F135" s="24" t="str">
        <f>IFERROR(INDEX('Output Utente'!$N$2:$N$492,MATCH(132,'Output Utente'!$R$2:$R$492,0)),"")</f>
        <v/>
      </c>
      <c r="G135" s="23" t="str">
        <f>IFERROR(INDEX('Output Utente'!$O$2:$O$492,MATCH(132,'Output Utente'!$R$2:$R$492,0)),"")</f>
        <v/>
      </c>
      <c r="H135" s="23" t="str">
        <f>IFERROR(INDEX('Output Utente'!$P$2:$P$492,MATCH(132,'Output Utente'!$R$2:$R$492,0)),"")</f>
        <v/>
      </c>
      <c r="I135" s="24" t="str">
        <f>IFERROR(INDEX('Output Utente'!$F$2:$F$492,MATCH(132,'Output Utente'!$R$2:$R$492,0)),"")</f>
        <v/>
      </c>
      <c r="J135" s="24" t="str">
        <f>IFERROR(INDEX('Output Utente'!$G$2:$G$492,MATCH(132,'Output Utente'!$R$2:$R$492,0)),"")</f>
        <v/>
      </c>
      <c r="K135" s="24" t="str">
        <f>IFERROR(INDEX('Output Utente'!$H$2:$H$492,MATCH(132,'Output Utente'!$R$2:$R$492,0)),"")</f>
        <v/>
      </c>
      <c r="L135" s="23" t="str">
        <f>IFERROR(INDEX('Output Utente'!$E$2:$E$492,MATCH(132,'Output Utente'!$R$2:$R$492,0)),"")</f>
        <v/>
      </c>
      <c r="V135" t="str">
        <f>IFERROR(INDEX('Output Utente'!$M$2:$M$492,MATCH(132,'Output Utente'!$R$2:$R$492,0)),"")</f>
        <v/>
      </c>
      <c r="W135" t="str">
        <f t="shared" si="2"/>
        <v/>
      </c>
      <c r="X135" t="str">
        <f>IFERROR(INDEX('Output Utente'!$AF$2:$AF$492,MATCH(132,'Output Utente'!$R$2:$R$492,0)),"")</f>
        <v/>
      </c>
    </row>
    <row r="136" spans="1:24" ht="15" customHeight="1" x14ac:dyDescent="0.25">
      <c r="A136" s="26">
        <v>133</v>
      </c>
      <c r="B136" s="23" t="str">
        <f>IFERROR(INDEX('Output Utente'!$A$2:$A$492,MATCH(133,'Output Utente'!$R$2:$R$492,0)),"")</f>
        <v/>
      </c>
      <c r="C136" s="23" t="str">
        <f>IFERROR(INDEX('Output Utente'!$B$2:$B$492,MATCH(133,'Output Utente'!$R$2:$R$492,0)),"")</f>
        <v/>
      </c>
      <c r="D136" s="23" t="str">
        <f>IFERROR(INDEX('Output Utente'!$C$2:$C$492,MATCH(133,'Output Utente'!$R$2:$R$492,0)),"")</f>
        <v/>
      </c>
      <c r="E136" s="23" t="str">
        <f>IFERROR(INDEX('Input Giocatori 2026_27'!$D$3:$D$493,MATCH($B136,'Input Giocatori 2026_27'!$A$3:$A$493,0)),"")</f>
        <v/>
      </c>
      <c r="F136" s="24" t="str">
        <f>IFERROR(INDEX('Output Utente'!$N$2:$N$492,MATCH(133,'Output Utente'!$R$2:$R$492,0)),"")</f>
        <v/>
      </c>
      <c r="G136" s="23" t="str">
        <f>IFERROR(INDEX('Output Utente'!$O$2:$O$492,MATCH(133,'Output Utente'!$R$2:$R$492,0)),"")</f>
        <v/>
      </c>
      <c r="H136" s="23" t="str">
        <f>IFERROR(INDEX('Output Utente'!$P$2:$P$492,MATCH(133,'Output Utente'!$R$2:$R$492,0)),"")</f>
        <v/>
      </c>
      <c r="I136" s="24" t="str">
        <f>IFERROR(INDEX('Output Utente'!$F$2:$F$492,MATCH(133,'Output Utente'!$R$2:$R$492,0)),"")</f>
        <v/>
      </c>
      <c r="J136" s="24" t="str">
        <f>IFERROR(INDEX('Output Utente'!$G$2:$G$492,MATCH(133,'Output Utente'!$R$2:$R$492,0)),"")</f>
        <v/>
      </c>
      <c r="K136" s="24" t="str">
        <f>IFERROR(INDEX('Output Utente'!$H$2:$H$492,MATCH(133,'Output Utente'!$R$2:$R$492,0)),"")</f>
        <v/>
      </c>
      <c r="L136" s="23" t="str">
        <f>IFERROR(INDEX('Output Utente'!$E$2:$E$492,MATCH(133,'Output Utente'!$R$2:$R$492,0)),"")</f>
        <v/>
      </c>
      <c r="V136" t="str">
        <f>IFERROR(INDEX('Output Utente'!$M$2:$M$492,MATCH(133,'Output Utente'!$R$2:$R$492,0)),"")</f>
        <v/>
      </c>
      <c r="W136" t="str">
        <f t="shared" si="2"/>
        <v/>
      </c>
      <c r="X136" t="str">
        <f>IFERROR(INDEX('Output Utente'!$AF$2:$AF$492,MATCH(133,'Output Utente'!$R$2:$R$492,0)),"")</f>
        <v/>
      </c>
    </row>
    <row r="137" spans="1:24" ht="15" customHeight="1" x14ac:dyDescent="0.25">
      <c r="A137" s="26">
        <v>134</v>
      </c>
      <c r="B137" s="23" t="str">
        <f>IFERROR(INDEX('Output Utente'!$A$2:$A$492,MATCH(134,'Output Utente'!$R$2:$R$492,0)),"")</f>
        <v/>
      </c>
      <c r="C137" s="23" t="str">
        <f>IFERROR(INDEX('Output Utente'!$B$2:$B$492,MATCH(134,'Output Utente'!$R$2:$R$492,0)),"")</f>
        <v/>
      </c>
      <c r="D137" s="23" t="str">
        <f>IFERROR(INDEX('Output Utente'!$C$2:$C$492,MATCH(134,'Output Utente'!$R$2:$R$492,0)),"")</f>
        <v/>
      </c>
      <c r="E137" s="23" t="str">
        <f>IFERROR(INDEX('Input Giocatori 2026_27'!$D$3:$D$493,MATCH($B137,'Input Giocatori 2026_27'!$A$3:$A$493,0)),"")</f>
        <v/>
      </c>
      <c r="F137" s="24" t="str">
        <f>IFERROR(INDEX('Output Utente'!$N$2:$N$492,MATCH(134,'Output Utente'!$R$2:$R$492,0)),"")</f>
        <v/>
      </c>
      <c r="G137" s="23" t="str">
        <f>IFERROR(INDEX('Output Utente'!$O$2:$O$492,MATCH(134,'Output Utente'!$R$2:$R$492,0)),"")</f>
        <v/>
      </c>
      <c r="H137" s="23" t="str">
        <f>IFERROR(INDEX('Output Utente'!$P$2:$P$492,MATCH(134,'Output Utente'!$R$2:$R$492,0)),"")</f>
        <v/>
      </c>
      <c r="I137" s="24" t="str">
        <f>IFERROR(INDEX('Output Utente'!$F$2:$F$492,MATCH(134,'Output Utente'!$R$2:$R$492,0)),"")</f>
        <v/>
      </c>
      <c r="J137" s="24" t="str">
        <f>IFERROR(INDEX('Output Utente'!$G$2:$G$492,MATCH(134,'Output Utente'!$R$2:$R$492,0)),"")</f>
        <v/>
      </c>
      <c r="K137" s="24" t="str">
        <f>IFERROR(INDEX('Output Utente'!$H$2:$H$492,MATCH(134,'Output Utente'!$R$2:$R$492,0)),"")</f>
        <v/>
      </c>
      <c r="L137" s="23" t="str">
        <f>IFERROR(INDEX('Output Utente'!$E$2:$E$492,MATCH(134,'Output Utente'!$R$2:$R$492,0)),"")</f>
        <v/>
      </c>
      <c r="V137" t="str">
        <f>IFERROR(INDEX('Output Utente'!$M$2:$M$492,MATCH(134,'Output Utente'!$R$2:$R$492,0)),"")</f>
        <v/>
      </c>
      <c r="W137" t="str">
        <f t="shared" si="2"/>
        <v/>
      </c>
      <c r="X137" t="str">
        <f>IFERROR(INDEX('Output Utente'!$AF$2:$AF$492,MATCH(134,'Output Utente'!$R$2:$R$492,0)),"")</f>
        <v/>
      </c>
    </row>
    <row r="138" spans="1:24" ht="15" customHeight="1" x14ac:dyDescent="0.25">
      <c r="A138" s="26">
        <v>135</v>
      </c>
      <c r="B138" s="23" t="str">
        <f>IFERROR(INDEX('Output Utente'!$A$2:$A$492,MATCH(135,'Output Utente'!$R$2:$R$492,0)),"")</f>
        <v/>
      </c>
      <c r="C138" s="23" t="str">
        <f>IFERROR(INDEX('Output Utente'!$B$2:$B$492,MATCH(135,'Output Utente'!$R$2:$R$492,0)),"")</f>
        <v/>
      </c>
      <c r="D138" s="23" t="str">
        <f>IFERROR(INDEX('Output Utente'!$C$2:$C$492,MATCH(135,'Output Utente'!$R$2:$R$492,0)),"")</f>
        <v/>
      </c>
      <c r="E138" s="23" t="str">
        <f>IFERROR(INDEX('Input Giocatori 2026_27'!$D$3:$D$493,MATCH($B138,'Input Giocatori 2026_27'!$A$3:$A$493,0)),"")</f>
        <v/>
      </c>
      <c r="F138" s="24" t="str">
        <f>IFERROR(INDEX('Output Utente'!$N$2:$N$492,MATCH(135,'Output Utente'!$R$2:$R$492,0)),"")</f>
        <v/>
      </c>
      <c r="G138" s="23" t="str">
        <f>IFERROR(INDEX('Output Utente'!$O$2:$O$492,MATCH(135,'Output Utente'!$R$2:$R$492,0)),"")</f>
        <v/>
      </c>
      <c r="H138" s="23" t="str">
        <f>IFERROR(INDEX('Output Utente'!$P$2:$P$492,MATCH(135,'Output Utente'!$R$2:$R$492,0)),"")</f>
        <v/>
      </c>
      <c r="I138" s="24" t="str">
        <f>IFERROR(INDEX('Output Utente'!$F$2:$F$492,MATCH(135,'Output Utente'!$R$2:$R$492,0)),"")</f>
        <v/>
      </c>
      <c r="J138" s="24" t="str">
        <f>IFERROR(INDEX('Output Utente'!$G$2:$G$492,MATCH(135,'Output Utente'!$R$2:$R$492,0)),"")</f>
        <v/>
      </c>
      <c r="K138" s="24" t="str">
        <f>IFERROR(INDEX('Output Utente'!$H$2:$H$492,MATCH(135,'Output Utente'!$R$2:$R$492,0)),"")</f>
        <v/>
      </c>
      <c r="L138" s="23" t="str">
        <f>IFERROR(INDEX('Output Utente'!$E$2:$E$492,MATCH(135,'Output Utente'!$R$2:$R$492,0)),"")</f>
        <v/>
      </c>
      <c r="V138" t="str">
        <f>IFERROR(INDEX('Output Utente'!$M$2:$M$492,MATCH(135,'Output Utente'!$R$2:$R$492,0)),"")</f>
        <v/>
      </c>
      <c r="W138" t="str">
        <f t="shared" si="2"/>
        <v/>
      </c>
      <c r="X138" t="str">
        <f>IFERROR(INDEX('Output Utente'!$AF$2:$AF$492,MATCH(135,'Output Utente'!$R$2:$R$492,0)),"")</f>
        <v/>
      </c>
    </row>
    <row r="139" spans="1:24" ht="15" customHeight="1" x14ac:dyDescent="0.25">
      <c r="A139" s="26">
        <v>136</v>
      </c>
      <c r="B139" s="23" t="str">
        <f>IFERROR(INDEX('Output Utente'!$A$2:$A$492,MATCH(136,'Output Utente'!$R$2:$R$492,0)),"")</f>
        <v/>
      </c>
      <c r="C139" s="23" t="str">
        <f>IFERROR(INDEX('Output Utente'!$B$2:$B$492,MATCH(136,'Output Utente'!$R$2:$R$492,0)),"")</f>
        <v/>
      </c>
      <c r="D139" s="23" t="str">
        <f>IFERROR(INDEX('Output Utente'!$C$2:$C$492,MATCH(136,'Output Utente'!$R$2:$R$492,0)),"")</f>
        <v/>
      </c>
      <c r="E139" s="23" t="str">
        <f>IFERROR(INDEX('Input Giocatori 2026_27'!$D$3:$D$493,MATCH($B139,'Input Giocatori 2026_27'!$A$3:$A$493,0)),"")</f>
        <v/>
      </c>
      <c r="F139" s="24" t="str">
        <f>IFERROR(INDEX('Output Utente'!$N$2:$N$492,MATCH(136,'Output Utente'!$R$2:$R$492,0)),"")</f>
        <v/>
      </c>
      <c r="G139" s="23" t="str">
        <f>IFERROR(INDEX('Output Utente'!$O$2:$O$492,MATCH(136,'Output Utente'!$R$2:$R$492,0)),"")</f>
        <v/>
      </c>
      <c r="H139" s="23" t="str">
        <f>IFERROR(INDEX('Output Utente'!$P$2:$P$492,MATCH(136,'Output Utente'!$R$2:$R$492,0)),"")</f>
        <v/>
      </c>
      <c r="I139" s="24" t="str">
        <f>IFERROR(INDEX('Output Utente'!$F$2:$F$492,MATCH(136,'Output Utente'!$R$2:$R$492,0)),"")</f>
        <v/>
      </c>
      <c r="J139" s="24" t="str">
        <f>IFERROR(INDEX('Output Utente'!$G$2:$G$492,MATCH(136,'Output Utente'!$R$2:$R$492,0)),"")</f>
        <v/>
      </c>
      <c r="K139" s="24" t="str">
        <f>IFERROR(INDEX('Output Utente'!$H$2:$H$492,MATCH(136,'Output Utente'!$R$2:$R$492,0)),"")</f>
        <v/>
      </c>
      <c r="L139" s="23" t="str">
        <f>IFERROR(INDEX('Output Utente'!$E$2:$E$492,MATCH(136,'Output Utente'!$R$2:$R$492,0)),"")</f>
        <v/>
      </c>
      <c r="V139" t="str">
        <f>IFERROR(INDEX('Output Utente'!$M$2:$M$492,MATCH(136,'Output Utente'!$R$2:$R$492,0)),"")</f>
        <v/>
      </c>
      <c r="W139" t="str">
        <f t="shared" si="2"/>
        <v/>
      </c>
      <c r="X139" t="str">
        <f>IFERROR(INDEX('Output Utente'!$AF$2:$AF$492,MATCH(136,'Output Utente'!$R$2:$R$492,0)),"")</f>
        <v/>
      </c>
    </row>
    <row r="140" spans="1:24" ht="15" customHeight="1" x14ac:dyDescent="0.25">
      <c r="A140" s="26">
        <v>137</v>
      </c>
      <c r="B140" s="23" t="str">
        <f>IFERROR(INDEX('Output Utente'!$A$2:$A$492,MATCH(137,'Output Utente'!$R$2:$R$492,0)),"")</f>
        <v/>
      </c>
      <c r="C140" s="23" t="str">
        <f>IFERROR(INDEX('Output Utente'!$B$2:$B$492,MATCH(137,'Output Utente'!$R$2:$R$492,0)),"")</f>
        <v/>
      </c>
      <c r="D140" s="23" t="str">
        <f>IFERROR(INDEX('Output Utente'!$C$2:$C$492,MATCH(137,'Output Utente'!$R$2:$R$492,0)),"")</f>
        <v/>
      </c>
      <c r="E140" s="23" t="str">
        <f>IFERROR(INDEX('Input Giocatori 2026_27'!$D$3:$D$493,MATCH($B140,'Input Giocatori 2026_27'!$A$3:$A$493,0)),"")</f>
        <v/>
      </c>
      <c r="F140" s="24" t="str">
        <f>IFERROR(INDEX('Output Utente'!$N$2:$N$492,MATCH(137,'Output Utente'!$R$2:$R$492,0)),"")</f>
        <v/>
      </c>
      <c r="G140" s="23" t="str">
        <f>IFERROR(INDEX('Output Utente'!$O$2:$O$492,MATCH(137,'Output Utente'!$R$2:$R$492,0)),"")</f>
        <v/>
      </c>
      <c r="H140" s="23" t="str">
        <f>IFERROR(INDEX('Output Utente'!$P$2:$P$492,MATCH(137,'Output Utente'!$R$2:$R$492,0)),"")</f>
        <v/>
      </c>
      <c r="I140" s="24" t="str">
        <f>IFERROR(INDEX('Output Utente'!$F$2:$F$492,MATCH(137,'Output Utente'!$R$2:$R$492,0)),"")</f>
        <v/>
      </c>
      <c r="J140" s="24" t="str">
        <f>IFERROR(INDEX('Output Utente'!$G$2:$G$492,MATCH(137,'Output Utente'!$R$2:$R$492,0)),"")</f>
        <v/>
      </c>
      <c r="K140" s="24" t="str">
        <f>IFERROR(INDEX('Output Utente'!$H$2:$H$492,MATCH(137,'Output Utente'!$R$2:$R$492,0)),"")</f>
        <v/>
      </c>
      <c r="L140" s="23" t="str">
        <f>IFERROR(INDEX('Output Utente'!$E$2:$E$492,MATCH(137,'Output Utente'!$R$2:$R$492,0)),"")</f>
        <v/>
      </c>
      <c r="V140" t="str">
        <f>IFERROR(INDEX('Output Utente'!$M$2:$M$492,MATCH(137,'Output Utente'!$R$2:$R$492,0)),"")</f>
        <v/>
      </c>
      <c r="W140" t="str">
        <f t="shared" si="2"/>
        <v/>
      </c>
      <c r="X140" t="str">
        <f>IFERROR(INDEX('Output Utente'!$AF$2:$AF$492,MATCH(137,'Output Utente'!$R$2:$R$492,0)),"")</f>
        <v/>
      </c>
    </row>
    <row r="141" spans="1:24" ht="15" customHeight="1" x14ac:dyDescent="0.25">
      <c r="A141" s="26">
        <v>138</v>
      </c>
      <c r="B141" s="23" t="str">
        <f>IFERROR(INDEX('Output Utente'!$A$2:$A$492,MATCH(138,'Output Utente'!$R$2:$R$492,0)),"")</f>
        <v/>
      </c>
      <c r="C141" s="23" t="str">
        <f>IFERROR(INDEX('Output Utente'!$B$2:$B$492,MATCH(138,'Output Utente'!$R$2:$R$492,0)),"")</f>
        <v/>
      </c>
      <c r="D141" s="23" t="str">
        <f>IFERROR(INDEX('Output Utente'!$C$2:$C$492,MATCH(138,'Output Utente'!$R$2:$R$492,0)),"")</f>
        <v/>
      </c>
      <c r="E141" s="23" t="str">
        <f>IFERROR(INDEX('Input Giocatori 2026_27'!$D$3:$D$493,MATCH($B141,'Input Giocatori 2026_27'!$A$3:$A$493,0)),"")</f>
        <v/>
      </c>
      <c r="F141" s="24" t="str">
        <f>IFERROR(INDEX('Output Utente'!$N$2:$N$492,MATCH(138,'Output Utente'!$R$2:$R$492,0)),"")</f>
        <v/>
      </c>
      <c r="G141" s="23" t="str">
        <f>IFERROR(INDEX('Output Utente'!$O$2:$O$492,MATCH(138,'Output Utente'!$R$2:$R$492,0)),"")</f>
        <v/>
      </c>
      <c r="H141" s="23" t="str">
        <f>IFERROR(INDEX('Output Utente'!$P$2:$P$492,MATCH(138,'Output Utente'!$R$2:$R$492,0)),"")</f>
        <v/>
      </c>
      <c r="I141" s="24" t="str">
        <f>IFERROR(INDEX('Output Utente'!$F$2:$F$492,MATCH(138,'Output Utente'!$R$2:$R$492,0)),"")</f>
        <v/>
      </c>
      <c r="J141" s="24" t="str">
        <f>IFERROR(INDEX('Output Utente'!$G$2:$G$492,MATCH(138,'Output Utente'!$R$2:$R$492,0)),"")</f>
        <v/>
      </c>
      <c r="K141" s="24" t="str">
        <f>IFERROR(INDEX('Output Utente'!$H$2:$H$492,MATCH(138,'Output Utente'!$R$2:$R$492,0)),"")</f>
        <v/>
      </c>
      <c r="L141" s="23" t="str">
        <f>IFERROR(INDEX('Output Utente'!$E$2:$E$492,MATCH(138,'Output Utente'!$R$2:$R$492,0)),"")</f>
        <v/>
      </c>
      <c r="V141" t="str">
        <f>IFERROR(INDEX('Output Utente'!$M$2:$M$492,MATCH(138,'Output Utente'!$R$2:$R$492,0)),"")</f>
        <v/>
      </c>
      <c r="W141" t="str">
        <f t="shared" si="2"/>
        <v/>
      </c>
      <c r="X141" t="str">
        <f>IFERROR(INDEX('Output Utente'!$AF$2:$AF$492,MATCH(138,'Output Utente'!$R$2:$R$492,0)),"")</f>
        <v/>
      </c>
    </row>
    <row r="142" spans="1:24" ht="15" customHeight="1" x14ac:dyDescent="0.25">
      <c r="A142" s="26">
        <v>139</v>
      </c>
      <c r="B142" s="23" t="str">
        <f>IFERROR(INDEX('Output Utente'!$A$2:$A$492,MATCH(139,'Output Utente'!$R$2:$R$492,0)),"")</f>
        <v/>
      </c>
      <c r="C142" s="23" t="str">
        <f>IFERROR(INDEX('Output Utente'!$B$2:$B$492,MATCH(139,'Output Utente'!$R$2:$R$492,0)),"")</f>
        <v/>
      </c>
      <c r="D142" s="23" t="str">
        <f>IFERROR(INDEX('Output Utente'!$C$2:$C$492,MATCH(139,'Output Utente'!$R$2:$R$492,0)),"")</f>
        <v/>
      </c>
      <c r="E142" s="23" t="str">
        <f>IFERROR(INDEX('Input Giocatori 2026_27'!$D$3:$D$493,MATCH($B142,'Input Giocatori 2026_27'!$A$3:$A$493,0)),"")</f>
        <v/>
      </c>
      <c r="F142" s="24" t="str">
        <f>IFERROR(INDEX('Output Utente'!$N$2:$N$492,MATCH(139,'Output Utente'!$R$2:$R$492,0)),"")</f>
        <v/>
      </c>
      <c r="G142" s="23" t="str">
        <f>IFERROR(INDEX('Output Utente'!$O$2:$O$492,MATCH(139,'Output Utente'!$R$2:$R$492,0)),"")</f>
        <v/>
      </c>
      <c r="H142" s="23" t="str">
        <f>IFERROR(INDEX('Output Utente'!$P$2:$P$492,MATCH(139,'Output Utente'!$R$2:$R$492,0)),"")</f>
        <v/>
      </c>
      <c r="I142" s="24" t="str">
        <f>IFERROR(INDEX('Output Utente'!$F$2:$F$492,MATCH(139,'Output Utente'!$R$2:$R$492,0)),"")</f>
        <v/>
      </c>
      <c r="J142" s="24" t="str">
        <f>IFERROR(INDEX('Output Utente'!$G$2:$G$492,MATCH(139,'Output Utente'!$R$2:$R$492,0)),"")</f>
        <v/>
      </c>
      <c r="K142" s="24" t="str">
        <f>IFERROR(INDEX('Output Utente'!$H$2:$H$492,MATCH(139,'Output Utente'!$R$2:$R$492,0)),"")</f>
        <v/>
      </c>
      <c r="L142" s="23" t="str">
        <f>IFERROR(INDEX('Output Utente'!$E$2:$E$492,MATCH(139,'Output Utente'!$R$2:$R$492,0)),"")</f>
        <v/>
      </c>
      <c r="V142" t="str">
        <f>IFERROR(INDEX('Output Utente'!$M$2:$M$492,MATCH(139,'Output Utente'!$R$2:$R$492,0)),"")</f>
        <v/>
      </c>
      <c r="W142" t="str">
        <f t="shared" si="2"/>
        <v/>
      </c>
      <c r="X142" t="str">
        <f>IFERROR(INDEX('Output Utente'!$AF$2:$AF$492,MATCH(139,'Output Utente'!$R$2:$R$492,0)),"")</f>
        <v/>
      </c>
    </row>
    <row r="143" spans="1:24" ht="15" customHeight="1" x14ac:dyDescent="0.25">
      <c r="A143" s="26">
        <v>140</v>
      </c>
      <c r="B143" s="23" t="str">
        <f>IFERROR(INDEX('Output Utente'!$A$2:$A$492,MATCH(140,'Output Utente'!$R$2:$R$492,0)),"")</f>
        <v/>
      </c>
      <c r="C143" s="23" t="str">
        <f>IFERROR(INDEX('Output Utente'!$B$2:$B$492,MATCH(140,'Output Utente'!$R$2:$R$492,0)),"")</f>
        <v/>
      </c>
      <c r="D143" s="23" t="str">
        <f>IFERROR(INDEX('Output Utente'!$C$2:$C$492,MATCH(140,'Output Utente'!$R$2:$R$492,0)),"")</f>
        <v/>
      </c>
      <c r="E143" s="23" t="str">
        <f>IFERROR(INDEX('Input Giocatori 2026_27'!$D$3:$D$493,MATCH($B143,'Input Giocatori 2026_27'!$A$3:$A$493,0)),"")</f>
        <v/>
      </c>
      <c r="F143" s="24" t="str">
        <f>IFERROR(INDEX('Output Utente'!$N$2:$N$492,MATCH(140,'Output Utente'!$R$2:$R$492,0)),"")</f>
        <v/>
      </c>
      <c r="G143" s="23" t="str">
        <f>IFERROR(INDEX('Output Utente'!$O$2:$O$492,MATCH(140,'Output Utente'!$R$2:$R$492,0)),"")</f>
        <v/>
      </c>
      <c r="H143" s="23" t="str">
        <f>IFERROR(INDEX('Output Utente'!$P$2:$P$492,MATCH(140,'Output Utente'!$R$2:$R$492,0)),"")</f>
        <v/>
      </c>
      <c r="I143" s="24" t="str">
        <f>IFERROR(INDEX('Output Utente'!$F$2:$F$492,MATCH(140,'Output Utente'!$R$2:$R$492,0)),"")</f>
        <v/>
      </c>
      <c r="J143" s="24" t="str">
        <f>IFERROR(INDEX('Output Utente'!$G$2:$G$492,MATCH(140,'Output Utente'!$R$2:$R$492,0)),"")</f>
        <v/>
      </c>
      <c r="K143" s="24" t="str">
        <f>IFERROR(INDEX('Output Utente'!$H$2:$H$492,MATCH(140,'Output Utente'!$R$2:$R$492,0)),"")</f>
        <v/>
      </c>
      <c r="L143" s="23" t="str">
        <f>IFERROR(INDEX('Output Utente'!$E$2:$E$492,MATCH(140,'Output Utente'!$R$2:$R$492,0)),"")</f>
        <v/>
      </c>
      <c r="V143" t="str">
        <f>IFERROR(INDEX('Output Utente'!$M$2:$M$492,MATCH(140,'Output Utente'!$R$2:$R$492,0)),"")</f>
        <v/>
      </c>
      <c r="W143" t="str">
        <f t="shared" si="2"/>
        <v/>
      </c>
      <c r="X143" t="str">
        <f>IFERROR(INDEX('Output Utente'!$AF$2:$AF$492,MATCH(140,'Output Utente'!$R$2:$R$492,0)),"")</f>
        <v/>
      </c>
    </row>
    <row r="144" spans="1:24" ht="15" customHeight="1" x14ac:dyDescent="0.25">
      <c r="A144" s="26">
        <v>141</v>
      </c>
      <c r="B144" s="23" t="str">
        <f>IFERROR(INDEX('Output Utente'!$A$2:$A$492,MATCH(141,'Output Utente'!$R$2:$R$492,0)),"")</f>
        <v/>
      </c>
      <c r="C144" s="23" t="str">
        <f>IFERROR(INDEX('Output Utente'!$B$2:$B$492,MATCH(141,'Output Utente'!$R$2:$R$492,0)),"")</f>
        <v/>
      </c>
      <c r="D144" s="23" t="str">
        <f>IFERROR(INDEX('Output Utente'!$C$2:$C$492,MATCH(141,'Output Utente'!$R$2:$R$492,0)),"")</f>
        <v/>
      </c>
      <c r="E144" s="23" t="str">
        <f>IFERROR(INDEX('Input Giocatori 2026_27'!$D$3:$D$493,MATCH($B144,'Input Giocatori 2026_27'!$A$3:$A$493,0)),"")</f>
        <v/>
      </c>
      <c r="F144" s="24" t="str">
        <f>IFERROR(INDEX('Output Utente'!$N$2:$N$492,MATCH(141,'Output Utente'!$R$2:$R$492,0)),"")</f>
        <v/>
      </c>
      <c r="G144" s="23" t="str">
        <f>IFERROR(INDEX('Output Utente'!$O$2:$O$492,MATCH(141,'Output Utente'!$R$2:$R$492,0)),"")</f>
        <v/>
      </c>
      <c r="H144" s="23" t="str">
        <f>IFERROR(INDEX('Output Utente'!$P$2:$P$492,MATCH(141,'Output Utente'!$R$2:$R$492,0)),"")</f>
        <v/>
      </c>
      <c r="I144" s="24" t="str">
        <f>IFERROR(INDEX('Output Utente'!$F$2:$F$492,MATCH(141,'Output Utente'!$R$2:$R$492,0)),"")</f>
        <v/>
      </c>
      <c r="J144" s="24" t="str">
        <f>IFERROR(INDEX('Output Utente'!$G$2:$G$492,MATCH(141,'Output Utente'!$R$2:$R$492,0)),"")</f>
        <v/>
      </c>
      <c r="K144" s="24" t="str">
        <f>IFERROR(INDEX('Output Utente'!$H$2:$H$492,MATCH(141,'Output Utente'!$R$2:$R$492,0)),"")</f>
        <v/>
      </c>
      <c r="L144" s="23" t="str">
        <f>IFERROR(INDEX('Output Utente'!$E$2:$E$492,MATCH(141,'Output Utente'!$R$2:$R$492,0)),"")</f>
        <v/>
      </c>
      <c r="V144" t="str">
        <f>IFERROR(INDEX('Output Utente'!$M$2:$M$492,MATCH(141,'Output Utente'!$R$2:$R$492,0)),"")</f>
        <v/>
      </c>
      <c r="W144" t="str">
        <f t="shared" si="2"/>
        <v/>
      </c>
      <c r="X144" t="str">
        <f>IFERROR(INDEX('Output Utente'!$AF$2:$AF$492,MATCH(141,'Output Utente'!$R$2:$R$492,0)),"")</f>
        <v/>
      </c>
    </row>
    <row r="145" spans="1:24" ht="15" customHeight="1" x14ac:dyDescent="0.25">
      <c r="A145" s="26">
        <v>142</v>
      </c>
      <c r="B145" s="23" t="str">
        <f>IFERROR(INDEX('Output Utente'!$A$2:$A$492,MATCH(142,'Output Utente'!$R$2:$R$492,0)),"")</f>
        <v/>
      </c>
      <c r="C145" s="23" t="str">
        <f>IFERROR(INDEX('Output Utente'!$B$2:$B$492,MATCH(142,'Output Utente'!$R$2:$R$492,0)),"")</f>
        <v/>
      </c>
      <c r="D145" s="23" t="str">
        <f>IFERROR(INDEX('Output Utente'!$C$2:$C$492,MATCH(142,'Output Utente'!$R$2:$R$492,0)),"")</f>
        <v/>
      </c>
      <c r="E145" s="23" t="str">
        <f>IFERROR(INDEX('Input Giocatori 2026_27'!$D$3:$D$493,MATCH($B145,'Input Giocatori 2026_27'!$A$3:$A$493,0)),"")</f>
        <v/>
      </c>
      <c r="F145" s="24" t="str">
        <f>IFERROR(INDEX('Output Utente'!$N$2:$N$492,MATCH(142,'Output Utente'!$R$2:$R$492,0)),"")</f>
        <v/>
      </c>
      <c r="G145" s="23" t="str">
        <f>IFERROR(INDEX('Output Utente'!$O$2:$O$492,MATCH(142,'Output Utente'!$R$2:$R$492,0)),"")</f>
        <v/>
      </c>
      <c r="H145" s="23" t="str">
        <f>IFERROR(INDEX('Output Utente'!$P$2:$P$492,MATCH(142,'Output Utente'!$R$2:$R$492,0)),"")</f>
        <v/>
      </c>
      <c r="I145" s="24" t="str">
        <f>IFERROR(INDEX('Output Utente'!$F$2:$F$492,MATCH(142,'Output Utente'!$R$2:$R$492,0)),"")</f>
        <v/>
      </c>
      <c r="J145" s="24" t="str">
        <f>IFERROR(INDEX('Output Utente'!$G$2:$G$492,MATCH(142,'Output Utente'!$R$2:$R$492,0)),"")</f>
        <v/>
      </c>
      <c r="K145" s="24" t="str">
        <f>IFERROR(INDEX('Output Utente'!$H$2:$H$492,MATCH(142,'Output Utente'!$R$2:$R$492,0)),"")</f>
        <v/>
      </c>
      <c r="L145" s="23" t="str">
        <f>IFERROR(INDEX('Output Utente'!$E$2:$E$492,MATCH(142,'Output Utente'!$R$2:$R$492,0)),"")</f>
        <v/>
      </c>
      <c r="V145" t="str">
        <f>IFERROR(INDEX('Output Utente'!$M$2:$M$492,MATCH(142,'Output Utente'!$R$2:$R$492,0)),"")</f>
        <v/>
      </c>
      <c r="W145" t="str">
        <f t="shared" si="2"/>
        <v/>
      </c>
      <c r="X145" t="str">
        <f>IFERROR(INDEX('Output Utente'!$AF$2:$AF$492,MATCH(142,'Output Utente'!$R$2:$R$492,0)),"")</f>
        <v/>
      </c>
    </row>
    <row r="146" spans="1:24" ht="15" customHeight="1" x14ac:dyDescent="0.25">
      <c r="A146" s="26">
        <v>143</v>
      </c>
      <c r="B146" s="23" t="str">
        <f>IFERROR(INDEX('Output Utente'!$A$2:$A$492,MATCH(143,'Output Utente'!$R$2:$R$492,0)),"")</f>
        <v/>
      </c>
      <c r="C146" s="23" t="str">
        <f>IFERROR(INDEX('Output Utente'!$B$2:$B$492,MATCH(143,'Output Utente'!$R$2:$R$492,0)),"")</f>
        <v/>
      </c>
      <c r="D146" s="23" t="str">
        <f>IFERROR(INDEX('Output Utente'!$C$2:$C$492,MATCH(143,'Output Utente'!$R$2:$R$492,0)),"")</f>
        <v/>
      </c>
      <c r="E146" s="23" t="str">
        <f>IFERROR(INDEX('Input Giocatori 2026_27'!$D$3:$D$493,MATCH($B146,'Input Giocatori 2026_27'!$A$3:$A$493,0)),"")</f>
        <v/>
      </c>
      <c r="F146" s="24" t="str">
        <f>IFERROR(INDEX('Output Utente'!$N$2:$N$492,MATCH(143,'Output Utente'!$R$2:$R$492,0)),"")</f>
        <v/>
      </c>
      <c r="G146" s="23" t="str">
        <f>IFERROR(INDEX('Output Utente'!$O$2:$O$492,MATCH(143,'Output Utente'!$R$2:$R$492,0)),"")</f>
        <v/>
      </c>
      <c r="H146" s="23" t="str">
        <f>IFERROR(INDEX('Output Utente'!$P$2:$P$492,MATCH(143,'Output Utente'!$R$2:$R$492,0)),"")</f>
        <v/>
      </c>
      <c r="I146" s="24" t="str">
        <f>IFERROR(INDEX('Output Utente'!$F$2:$F$492,MATCH(143,'Output Utente'!$R$2:$R$492,0)),"")</f>
        <v/>
      </c>
      <c r="J146" s="24" t="str">
        <f>IFERROR(INDEX('Output Utente'!$G$2:$G$492,MATCH(143,'Output Utente'!$R$2:$R$492,0)),"")</f>
        <v/>
      </c>
      <c r="K146" s="24" t="str">
        <f>IFERROR(INDEX('Output Utente'!$H$2:$H$492,MATCH(143,'Output Utente'!$R$2:$R$492,0)),"")</f>
        <v/>
      </c>
      <c r="L146" s="23" t="str">
        <f>IFERROR(INDEX('Output Utente'!$E$2:$E$492,MATCH(143,'Output Utente'!$R$2:$R$492,0)),"")</f>
        <v/>
      </c>
      <c r="V146" t="str">
        <f>IFERROR(INDEX('Output Utente'!$M$2:$M$492,MATCH(143,'Output Utente'!$R$2:$R$492,0)),"")</f>
        <v/>
      </c>
      <c r="W146" t="str">
        <f t="shared" si="2"/>
        <v/>
      </c>
      <c r="X146" t="str">
        <f>IFERROR(INDEX('Output Utente'!$AF$2:$AF$492,MATCH(143,'Output Utente'!$R$2:$R$492,0)),"")</f>
        <v/>
      </c>
    </row>
    <row r="147" spans="1:24" ht="15" customHeight="1" x14ac:dyDescent="0.25">
      <c r="A147" s="26">
        <v>144</v>
      </c>
      <c r="B147" s="23" t="str">
        <f>IFERROR(INDEX('Output Utente'!$A$2:$A$492,MATCH(144,'Output Utente'!$R$2:$R$492,0)),"")</f>
        <v/>
      </c>
      <c r="C147" s="23" t="str">
        <f>IFERROR(INDEX('Output Utente'!$B$2:$B$492,MATCH(144,'Output Utente'!$R$2:$R$492,0)),"")</f>
        <v/>
      </c>
      <c r="D147" s="23" t="str">
        <f>IFERROR(INDEX('Output Utente'!$C$2:$C$492,MATCH(144,'Output Utente'!$R$2:$R$492,0)),"")</f>
        <v/>
      </c>
      <c r="E147" s="23" t="str">
        <f>IFERROR(INDEX('Input Giocatori 2026_27'!$D$3:$D$493,MATCH($B147,'Input Giocatori 2026_27'!$A$3:$A$493,0)),"")</f>
        <v/>
      </c>
      <c r="F147" s="24" t="str">
        <f>IFERROR(INDEX('Output Utente'!$N$2:$N$492,MATCH(144,'Output Utente'!$R$2:$R$492,0)),"")</f>
        <v/>
      </c>
      <c r="G147" s="23" t="str">
        <f>IFERROR(INDEX('Output Utente'!$O$2:$O$492,MATCH(144,'Output Utente'!$R$2:$R$492,0)),"")</f>
        <v/>
      </c>
      <c r="H147" s="23" t="str">
        <f>IFERROR(INDEX('Output Utente'!$P$2:$P$492,MATCH(144,'Output Utente'!$R$2:$R$492,0)),"")</f>
        <v/>
      </c>
      <c r="I147" s="24" t="str">
        <f>IFERROR(INDEX('Output Utente'!$F$2:$F$492,MATCH(144,'Output Utente'!$R$2:$R$492,0)),"")</f>
        <v/>
      </c>
      <c r="J147" s="24" t="str">
        <f>IFERROR(INDEX('Output Utente'!$G$2:$G$492,MATCH(144,'Output Utente'!$R$2:$R$492,0)),"")</f>
        <v/>
      </c>
      <c r="K147" s="24" t="str">
        <f>IFERROR(INDEX('Output Utente'!$H$2:$H$492,MATCH(144,'Output Utente'!$R$2:$R$492,0)),"")</f>
        <v/>
      </c>
      <c r="L147" s="23" t="str">
        <f>IFERROR(INDEX('Output Utente'!$E$2:$E$492,MATCH(144,'Output Utente'!$R$2:$R$492,0)),"")</f>
        <v/>
      </c>
      <c r="V147" t="str">
        <f>IFERROR(INDEX('Output Utente'!$M$2:$M$492,MATCH(144,'Output Utente'!$R$2:$R$492,0)),"")</f>
        <v/>
      </c>
      <c r="W147" t="str">
        <f t="shared" si="2"/>
        <v/>
      </c>
      <c r="X147" t="str">
        <f>IFERROR(INDEX('Output Utente'!$AF$2:$AF$492,MATCH(144,'Output Utente'!$R$2:$R$492,0)),"")</f>
        <v/>
      </c>
    </row>
    <row r="148" spans="1:24" ht="15" customHeight="1" x14ac:dyDescent="0.25">
      <c r="A148" s="26">
        <v>145</v>
      </c>
      <c r="B148" s="23" t="str">
        <f>IFERROR(INDEX('Output Utente'!$A$2:$A$492,MATCH(145,'Output Utente'!$R$2:$R$492,0)),"")</f>
        <v/>
      </c>
      <c r="C148" s="23" t="str">
        <f>IFERROR(INDEX('Output Utente'!$B$2:$B$492,MATCH(145,'Output Utente'!$R$2:$R$492,0)),"")</f>
        <v/>
      </c>
      <c r="D148" s="23" t="str">
        <f>IFERROR(INDEX('Output Utente'!$C$2:$C$492,MATCH(145,'Output Utente'!$R$2:$R$492,0)),"")</f>
        <v/>
      </c>
      <c r="E148" s="23" t="str">
        <f>IFERROR(INDEX('Input Giocatori 2026_27'!$D$3:$D$493,MATCH($B148,'Input Giocatori 2026_27'!$A$3:$A$493,0)),"")</f>
        <v/>
      </c>
      <c r="F148" s="24" t="str">
        <f>IFERROR(INDEX('Output Utente'!$N$2:$N$492,MATCH(145,'Output Utente'!$R$2:$R$492,0)),"")</f>
        <v/>
      </c>
      <c r="G148" s="23" t="str">
        <f>IFERROR(INDEX('Output Utente'!$O$2:$O$492,MATCH(145,'Output Utente'!$R$2:$R$492,0)),"")</f>
        <v/>
      </c>
      <c r="H148" s="23" t="str">
        <f>IFERROR(INDEX('Output Utente'!$P$2:$P$492,MATCH(145,'Output Utente'!$R$2:$R$492,0)),"")</f>
        <v/>
      </c>
      <c r="I148" s="24" t="str">
        <f>IFERROR(INDEX('Output Utente'!$F$2:$F$492,MATCH(145,'Output Utente'!$R$2:$R$492,0)),"")</f>
        <v/>
      </c>
      <c r="J148" s="24" t="str">
        <f>IFERROR(INDEX('Output Utente'!$G$2:$G$492,MATCH(145,'Output Utente'!$R$2:$R$492,0)),"")</f>
        <v/>
      </c>
      <c r="K148" s="24" t="str">
        <f>IFERROR(INDEX('Output Utente'!$H$2:$H$492,MATCH(145,'Output Utente'!$R$2:$R$492,0)),"")</f>
        <v/>
      </c>
      <c r="L148" s="23" t="str">
        <f>IFERROR(INDEX('Output Utente'!$E$2:$E$492,MATCH(145,'Output Utente'!$R$2:$R$492,0)),"")</f>
        <v/>
      </c>
      <c r="V148" t="str">
        <f>IFERROR(INDEX('Output Utente'!$M$2:$M$492,MATCH(145,'Output Utente'!$R$2:$R$492,0)),"")</f>
        <v/>
      </c>
      <c r="W148" t="str">
        <f t="shared" si="2"/>
        <v/>
      </c>
      <c r="X148" t="str">
        <f>IFERROR(INDEX('Output Utente'!$AF$2:$AF$492,MATCH(145,'Output Utente'!$R$2:$R$492,0)),"")</f>
        <v/>
      </c>
    </row>
    <row r="149" spans="1:24" ht="15" customHeight="1" x14ac:dyDescent="0.25">
      <c r="A149" s="26">
        <v>146</v>
      </c>
      <c r="B149" s="23" t="str">
        <f>IFERROR(INDEX('Output Utente'!$A$2:$A$492,MATCH(146,'Output Utente'!$R$2:$R$492,0)),"")</f>
        <v/>
      </c>
      <c r="C149" s="23" t="str">
        <f>IFERROR(INDEX('Output Utente'!$B$2:$B$492,MATCH(146,'Output Utente'!$R$2:$R$492,0)),"")</f>
        <v/>
      </c>
      <c r="D149" s="23" t="str">
        <f>IFERROR(INDEX('Output Utente'!$C$2:$C$492,MATCH(146,'Output Utente'!$R$2:$R$492,0)),"")</f>
        <v/>
      </c>
      <c r="E149" s="23" t="str">
        <f>IFERROR(INDEX('Input Giocatori 2026_27'!$D$3:$D$493,MATCH($B149,'Input Giocatori 2026_27'!$A$3:$A$493,0)),"")</f>
        <v/>
      </c>
      <c r="F149" s="24" t="str">
        <f>IFERROR(INDEX('Output Utente'!$N$2:$N$492,MATCH(146,'Output Utente'!$R$2:$R$492,0)),"")</f>
        <v/>
      </c>
      <c r="G149" s="23" t="str">
        <f>IFERROR(INDEX('Output Utente'!$O$2:$O$492,MATCH(146,'Output Utente'!$R$2:$R$492,0)),"")</f>
        <v/>
      </c>
      <c r="H149" s="23" t="str">
        <f>IFERROR(INDEX('Output Utente'!$P$2:$P$492,MATCH(146,'Output Utente'!$R$2:$R$492,0)),"")</f>
        <v/>
      </c>
      <c r="I149" s="24" t="str">
        <f>IFERROR(INDEX('Output Utente'!$F$2:$F$492,MATCH(146,'Output Utente'!$R$2:$R$492,0)),"")</f>
        <v/>
      </c>
      <c r="J149" s="24" t="str">
        <f>IFERROR(INDEX('Output Utente'!$G$2:$G$492,MATCH(146,'Output Utente'!$R$2:$R$492,0)),"")</f>
        <v/>
      </c>
      <c r="K149" s="24" t="str">
        <f>IFERROR(INDEX('Output Utente'!$H$2:$H$492,MATCH(146,'Output Utente'!$R$2:$R$492,0)),"")</f>
        <v/>
      </c>
      <c r="L149" s="23" t="str">
        <f>IFERROR(INDEX('Output Utente'!$E$2:$E$492,MATCH(146,'Output Utente'!$R$2:$R$492,0)),"")</f>
        <v/>
      </c>
      <c r="V149" t="str">
        <f>IFERROR(INDEX('Output Utente'!$M$2:$M$492,MATCH(146,'Output Utente'!$R$2:$R$492,0)),"")</f>
        <v/>
      </c>
      <c r="W149" t="str">
        <f t="shared" si="2"/>
        <v/>
      </c>
      <c r="X149" t="str">
        <f>IFERROR(INDEX('Output Utente'!$AF$2:$AF$492,MATCH(146,'Output Utente'!$R$2:$R$492,0)),"")</f>
        <v/>
      </c>
    </row>
    <row r="150" spans="1:24" ht="15" customHeight="1" x14ac:dyDescent="0.25">
      <c r="A150" s="26">
        <v>147</v>
      </c>
      <c r="B150" s="23" t="str">
        <f>IFERROR(INDEX('Output Utente'!$A$2:$A$492,MATCH(147,'Output Utente'!$R$2:$R$492,0)),"")</f>
        <v/>
      </c>
      <c r="C150" s="23" t="str">
        <f>IFERROR(INDEX('Output Utente'!$B$2:$B$492,MATCH(147,'Output Utente'!$R$2:$R$492,0)),"")</f>
        <v/>
      </c>
      <c r="D150" s="23" t="str">
        <f>IFERROR(INDEX('Output Utente'!$C$2:$C$492,MATCH(147,'Output Utente'!$R$2:$R$492,0)),"")</f>
        <v/>
      </c>
      <c r="E150" s="23" t="str">
        <f>IFERROR(INDEX('Input Giocatori 2026_27'!$D$3:$D$493,MATCH($B150,'Input Giocatori 2026_27'!$A$3:$A$493,0)),"")</f>
        <v/>
      </c>
      <c r="F150" s="24" t="str">
        <f>IFERROR(INDEX('Output Utente'!$N$2:$N$492,MATCH(147,'Output Utente'!$R$2:$R$492,0)),"")</f>
        <v/>
      </c>
      <c r="G150" s="23" t="str">
        <f>IFERROR(INDEX('Output Utente'!$O$2:$O$492,MATCH(147,'Output Utente'!$R$2:$R$492,0)),"")</f>
        <v/>
      </c>
      <c r="H150" s="23" t="str">
        <f>IFERROR(INDEX('Output Utente'!$P$2:$P$492,MATCH(147,'Output Utente'!$R$2:$R$492,0)),"")</f>
        <v/>
      </c>
      <c r="I150" s="24" t="str">
        <f>IFERROR(INDEX('Output Utente'!$F$2:$F$492,MATCH(147,'Output Utente'!$R$2:$R$492,0)),"")</f>
        <v/>
      </c>
      <c r="J150" s="24" t="str">
        <f>IFERROR(INDEX('Output Utente'!$G$2:$G$492,MATCH(147,'Output Utente'!$R$2:$R$492,0)),"")</f>
        <v/>
      </c>
      <c r="K150" s="24" t="str">
        <f>IFERROR(INDEX('Output Utente'!$H$2:$H$492,MATCH(147,'Output Utente'!$R$2:$R$492,0)),"")</f>
        <v/>
      </c>
      <c r="L150" s="23" t="str">
        <f>IFERROR(INDEX('Output Utente'!$E$2:$E$492,MATCH(147,'Output Utente'!$R$2:$R$492,0)),"")</f>
        <v/>
      </c>
      <c r="V150" t="str">
        <f>IFERROR(INDEX('Output Utente'!$M$2:$M$492,MATCH(147,'Output Utente'!$R$2:$R$492,0)),"")</f>
        <v/>
      </c>
      <c r="W150" t="str">
        <f t="shared" si="2"/>
        <v/>
      </c>
      <c r="X150" t="str">
        <f>IFERROR(INDEX('Output Utente'!$AF$2:$AF$492,MATCH(147,'Output Utente'!$R$2:$R$492,0)),"")</f>
        <v/>
      </c>
    </row>
    <row r="151" spans="1:24" ht="15" customHeight="1" x14ac:dyDescent="0.25">
      <c r="A151" s="26">
        <v>148</v>
      </c>
      <c r="B151" s="23" t="str">
        <f>IFERROR(INDEX('Output Utente'!$A$2:$A$492,MATCH(148,'Output Utente'!$R$2:$R$492,0)),"")</f>
        <v/>
      </c>
      <c r="C151" s="23" t="str">
        <f>IFERROR(INDEX('Output Utente'!$B$2:$B$492,MATCH(148,'Output Utente'!$R$2:$R$492,0)),"")</f>
        <v/>
      </c>
      <c r="D151" s="23" t="str">
        <f>IFERROR(INDEX('Output Utente'!$C$2:$C$492,MATCH(148,'Output Utente'!$R$2:$R$492,0)),"")</f>
        <v/>
      </c>
      <c r="E151" s="23" t="str">
        <f>IFERROR(INDEX('Input Giocatori 2026_27'!$D$3:$D$493,MATCH($B151,'Input Giocatori 2026_27'!$A$3:$A$493,0)),"")</f>
        <v/>
      </c>
      <c r="F151" s="24" t="str">
        <f>IFERROR(INDEX('Output Utente'!$N$2:$N$492,MATCH(148,'Output Utente'!$R$2:$R$492,0)),"")</f>
        <v/>
      </c>
      <c r="G151" s="23" t="str">
        <f>IFERROR(INDEX('Output Utente'!$O$2:$O$492,MATCH(148,'Output Utente'!$R$2:$R$492,0)),"")</f>
        <v/>
      </c>
      <c r="H151" s="23" t="str">
        <f>IFERROR(INDEX('Output Utente'!$P$2:$P$492,MATCH(148,'Output Utente'!$R$2:$R$492,0)),"")</f>
        <v/>
      </c>
      <c r="I151" s="24" t="str">
        <f>IFERROR(INDEX('Output Utente'!$F$2:$F$492,MATCH(148,'Output Utente'!$R$2:$R$492,0)),"")</f>
        <v/>
      </c>
      <c r="J151" s="24" t="str">
        <f>IFERROR(INDEX('Output Utente'!$G$2:$G$492,MATCH(148,'Output Utente'!$R$2:$R$492,0)),"")</f>
        <v/>
      </c>
      <c r="K151" s="24" t="str">
        <f>IFERROR(INDEX('Output Utente'!$H$2:$H$492,MATCH(148,'Output Utente'!$R$2:$R$492,0)),"")</f>
        <v/>
      </c>
      <c r="L151" s="23" t="str">
        <f>IFERROR(INDEX('Output Utente'!$E$2:$E$492,MATCH(148,'Output Utente'!$R$2:$R$492,0)),"")</f>
        <v/>
      </c>
      <c r="V151" t="str">
        <f>IFERROR(INDEX('Output Utente'!$M$2:$M$492,MATCH(148,'Output Utente'!$R$2:$R$492,0)),"")</f>
        <v/>
      </c>
      <c r="W151" t="str">
        <f t="shared" si="2"/>
        <v/>
      </c>
      <c r="X151" t="str">
        <f>IFERROR(INDEX('Output Utente'!$AF$2:$AF$492,MATCH(148,'Output Utente'!$R$2:$R$492,0)),"")</f>
        <v/>
      </c>
    </row>
    <row r="152" spans="1:24" ht="15" customHeight="1" x14ac:dyDescent="0.25">
      <c r="A152" s="26">
        <v>149</v>
      </c>
      <c r="B152" s="23" t="str">
        <f>IFERROR(INDEX('Output Utente'!$A$2:$A$492,MATCH(149,'Output Utente'!$R$2:$R$492,0)),"")</f>
        <v/>
      </c>
      <c r="C152" s="23" t="str">
        <f>IFERROR(INDEX('Output Utente'!$B$2:$B$492,MATCH(149,'Output Utente'!$R$2:$R$492,0)),"")</f>
        <v/>
      </c>
      <c r="D152" s="23" t="str">
        <f>IFERROR(INDEX('Output Utente'!$C$2:$C$492,MATCH(149,'Output Utente'!$R$2:$R$492,0)),"")</f>
        <v/>
      </c>
      <c r="E152" s="23" t="str">
        <f>IFERROR(INDEX('Input Giocatori 2026_27'!$D$3:$D$493,MATCH($B152,'Input Giocatori 2026_27'!$A$3:$A$493,0)),"")</f>
        <v/>
      </c>
      <c r="F152" s="24" t="str">
        <f>IFERROR(INDEX('Output Utente'!$N$2:$N$492,MATCH(149,'Output Utente'!$R$2:$R$492,0)),"")</f>
        <v/>
      </c>
      <c r="G152" s="23" t="str">
        <f>IFERROR(INDEX('Output Utente'!$O$2:$O$492,MATCH(149,'Output Utente'!$R$2:$R$492,0)),"")</f>
        <v/>
      </c>
      <c r="H152" s="23" t="str">
        <f>IFERROR(INDEX('Output Utente'!$P$2:$P$492,MATCH(149,'Output Utente'!$R$2:$R$492,0)),"")</f>
        <v/>
      </c>
      <c r="I152" s="24" t="str">
        <f>IFERROR(INDEX('Output Utente'!$F$2:$F$492,MATCH(149,'Output Utente'!$R$2:$R$492,0)),"")</f>
        <v/>
      </c>
      <c r="J152" s="24" t="str">
        <f>IFERROR(INDEX('Output Utente'!$G$2:$G$492,MATCH(149,'Output Utente'!$R$2:$R$492,0)),"")</f>
        <v/>
      </c>
      <c r="K152" s="24" t="str">
        <f>IFERROR(INDEX('Output Utente'!$H$2:$H$492,MATCH(149,'Output Utente'!$R$2:$R$492,0)),"")</f>
        <v/>
      </c>
      <c r="L152" s="23" t="str">
        <f>IFERROR(INDEX('Output Utente'!$E$2:$E$492,MATCH(149,'Output Utente'!$R$2:$R$492,0)),"")</f>
        <v/>
      </c>
      <c r="V152" t="str">
        <f>IFERROR(INDEX('Output Utente'!$M$2:$M$492,MATCH(149,'Output Utente'!$R$2:$R$492,0)),"")</f>
        <v/>
      </c>
      <c r="W152" t="str">
        <f t="shared" si="2"/>
        <v/>
      </c>
      <c r="X152" t="str">
        <f>IFERROR(INDEX('Output Utente'!$AF$2:$AF$492,MATCH(149,'Output Utente'!$R$2:$R$492,0)),"")</f>
        <v/>
      </c>
    </row>
    <row r="153" spans="1:24" ht="15" customHeight="1" x14ac:dyDescent="0.25">
      <c r="A153" s="26">
        <v>150</v>
      </c>
      <c r="B153" s="23" t="str">
        <f>IFERROR(INDEX('Output Utente'!$A$2:$A$492,MATCH(150,'Output Utente'!$R$2:$R$492,0)),"")</f>
        <v/>
      </c>
      <c r="C153" s="23" t="str">
        <f>IFERROR(INDEX('Output Utente'!$B$2:$B$492,MATCH(150,'Output Utente'!$R$2:$R$492,0)),"")</f>
        <v/>
      </c>
      <c r="D153" s="23" t="str">
        <f>IFERROR(INDEX('Output Utente'!$C$2:$C$492,MATCH(150,'Output Utente'!$R$2:$R$492,0)),"")</f>
        <v/>
      </c>
      <c r="E153" s="23" t="str">
        <f>IFERROR(INDEX('Input Giocatori 2026_27'!$D$3:$D$493,MATCH($B153,'Input Giocatori 2026_27'!$A$3:$A$493,0)),"")</f>
        <v/>
      </c>
      <c r="F153" s="24" t="str">
        <f>IFERROR(INDEX('Output Utente'!$N$2:$N$492,MATCH(150,'Output Utente'!$R$2:$R$492,0)),"")</f>
        <v/>
      </c>
      <c r="G153" s="23" t="str">
        <f>IFERROR(INDEX('Output Utente'!$O$2:$O$492,MATCH(150,'Output Utente'!$R$2:$R$492,0)),"")</f>
        <v/>
      </c>
      <c r="H153" s="23" t="str">
        <f>IFERROR(INDEX('Output Utente'!$P$2:$P$492,MATCH(150,'Output Utente'!$R$2:$R$492,0)),"")</f>
        <v/>
      </c>
      <c r="I153" s="24" t="str">
        <f>IFERROR(INDEX('Output Utente'!$F$2:$F$492,MATCH(150,'Output Utente'!$R$2:$R$492,0)),"")</f>
        <v/>
      </c>
      <c r="J153" s="24" t="str">
        <f>IFERROR(INDEX('Output Utente'!$G$2:$G$492,MATCH(150,'Output Utente'!$R$2:$R$492,0)),"")</f>
        <v/>
      </c>
      <c r="K153" s="24" t="str">
        <f>IFERROR(INDEX('Output Utente'!$H$2:$H$492,MATCH(150,'Output Utente'!$R$2:$R$492,0)),"")</f>
        <v/>
      </c>
      <c r="L153" s="23" t="str">
        <f>IFERROR(INDEX('Output Utente'!$E$2:$E$492,MATCH(150,'Output Utente'!$R$2:$R$492,0)),"")</f>
        <v/>
      </c>
      <c r="V153" t="str">
        <f>IFERROR(INDEX('Output Utente'!$M$2:$M$492,MATCH(150,'Output Utente'!$R$2:$R$492,0)),"")</f>
        <v/>
      </c>
      <c r="W153" t="str">
        <f t="shared" si="2"/>
        <v/>
      </c>
      <c r="X153" t="str">
        <f>IFERROR(INDEX('Output Utente'!$AF$2:$AF$492,MATCH(150,'Output Utente'!$R$2:$R$492,0)),"")</f>
        <v/>
      </c>
    </row>
    <row r="154" spans="1:24" ht="15" customHeight="1" x14ac:dyDescent="0.25">
      <c r="A154" s="26">
        <v>151</v>
      </c>
      <c r="B154" s="23" t="str">
        <f>IFERROR(INDEX('Output Utente'!$A$2:$A$492,MATCH(151,'Output Utente'!$R$2:$R$492,0)),"")</f>
        <v/>
      </c>
      <c r="C154" s="23" t="str">
        <f>IFERROR(INDEX('Output Utente'!$B$2:$B$492,MATCH(151,'Output Utente'!$R$2:$R$492,0)),"")</f>
        <v/>
      </c>
      <c r="D154" s="23" t="str">
        <f>IFERROR(INDEX('Output Utente'!$C$2:$C$492,MATCH(151,'Output Utente'!$R$2:$R$492,0)),"")</f>
        <v/>
      </c>
      <c r="E154" s="23" t="str">
        <f>IFERROR(INDEX('Input Giocatori 2026_27'!$D$3:$D$493,MATCH($B154,'Input Giocatori 2026_27'!$A$3:$A$493,0)),"")</f>
        <v/>
      </c>
      <c r="F154" s="24" t="str">
        <f>IFERROR(INDEX('Output Utente'!$N$2:$N$492,MATCH(151,'Output Utente'!$R$2:$R$492,0)),"")</f>
        <v/>
      </c>
      <c r="G154" s="23" t="str">
        <f>IFERROR(INDEX('Output Utente'!$O$2:$O$492,MATCH(151,'Output Utente'!$R$2:$R$492,0)),"")</f>
        <v/>
      </c>
      <c r="H154" s="23" t="str">
        <f>IFERROR(INDEX('Output Utente'!$P$2:$P$492,MATCH(151,'Output Utente'!$R$2:$R$492,0)),"")</f>
        <v/>
      </c>
      <c r="I154" s="24" t="str">
        <f>IFERROR(INDEX('Output Utente'!$F$2:$F$492,MATCH(151,'Output Utente'!$R$2:$R$492,0)),"")</f>
        <v/>
      </c>
      <c r="J154" s="24" t="str">
        <f>IFERROR(INDEX('Output Utente'!$G$2:$G$492,MATCH(151,'Output Utente'!$R$2:$R$492,0)),"")</f>
        <v/>
      </c>
      <c r="K154" s="24" t="str">
        <f>IFERROR(INDEX('Output Utente'!$H$2:$H$492,MATCH(151,'Output Utente'!$R$2:$R$492,0)),"")</f>
        <v/>
      </c>
      <c r="L154" s="23" t="str">
        <f>IFERROR(INDEX('Output Utente'!$E$2:$E$492,MATCH(151,'Output Utente'!$R$2:$R$492,0)),"")</f>
        <v/>
      </c>
      <c r="V154" t="str">
        <f>IFERROR(INDEX('Output Utente'!$M$2:$M$492,MATCH(151,'Output Utente'!$R$2:$R$492,0)),"")</f>
        <v/>
      </c>
      <c r="W154" t="str">
        <f t="shared" si="2"/>
        <v/>
      </c>
      <c r="X154" t="str">
        <f>IFERROR(INDEX('Output Utente'!$AF$2:$AF$492,MATCH(151,'Output Utente'!$R$2:$R$492,0)),"")</f>
        <v/>
      </c>
    </row>
    <row r="155" spans="1:24" ht="15" customHeight="1" x14ac:dyDescent="0.25">
      <c r="A155" s="26">
        <v>152</v>
      </c>
      <c r="B155" s="23" t="str">
        <f>IFERROR(INDEX('Output Utente'!$A$2:$A$492,MATCH(152,'Output Utente'!$R$2:$R$492,0)),"")</f>
        <v/>
      </c>
      <c r="C155" s="23" t="str">
        <f>IFERROR(INDEX('Output Utente'!$B$2:$B$492,MATCH(152,'Output Utente'!$R$2:$R$492,0)),"")</f>
        <v/>
      </c>
      <c r="D155" s="23" t="str">
        <f>IFERROR(INDEX('Output Utente'!$C$2:$C$492,MATCH(152,'Output Utente'!$R$2:$R$492,0)),"")</f>
        <v/>
      </c>
      <c r="E155" s="23" t="str">
        <f>IFERROR(INDEX('Input Giocatori 2026_27'!$D$3:$D$493,MATCH($B155,'Input Giocatori 2026_27'!$A$3:$A$493,0)),"")</f>
        <v/>
      </c>
      <c r="F155" s="24" t="str">
        <f>IFERROR(INDEX('Output Utente'!$N$2:$N$492,MATCH(152,'Output Utente'!$R$2:$R$492,0)),"")</f>
        <v/>
      </c>
      <c r="G155" s="23" t="str">
        <f>IFERROR(INDEX('Output Utente'!$O$2:$O$492,MATCH(152,'Output Utente'!$R$2:$R$492,0)),"")</f>
        <v/>
      </c>
      <c r="H155" s="23" t="str">
        <f>IFERROR(INDEX('Output Utente'!$P$2:$P$492,MATCH(152,'Output Utente'!$R$2:$R$492,0)),"")</f>
        <v/>
      </c>
      <c r="I155" s="24" t="str">
        <f>IFERROR(INDEX('Output Utente'!$F$2:$F$492,MATCH(152,'Output Utente'!$R$2:$R$492,0)),"")</f>
        <v/>
      </c>
      <c r="J155" s="24" t="str">
        <f>IFERROR(INDEX('Output Utente'!$G$2:$G$492,MATCH(152,'Output Utente'!$R$2:$R$492,0)),"")</f>
        <v/>
      </c>
      <c r="K155" s="24" t="str">
        <f>IFERROR(INDEX('Output Utente'!$H$2:$H$492,MATCH(152,'Output Utente'!$R$2:$R$492,0)),"")</f>
        <v/>
      </c>
      <c r="L155" s="23" t="str">
        <f>IFERROR(INDEX('Output Utente'!$E$2:$E$492,MATCH(152,'Output Utente'!$R$2:$R$492,0)),"")</f>
        <v/>
      </c>
      <c r="V155" t="str">
        <f>IFERROR(INDEX('Output Utente'!$M$2:$M$492,MATCH(152,'Output Utente'!$R$2:$R$492,0)),"")</f>
        <v/>
      </c>
      <c r="W155" t="str">
        <f t="shared" si="2"/>
        <v/>
      </c>
      <c r="X155" t="str">
        <f>IFERROR(INDEX('Output Utente'!$AF$2:$AF$492,MATCH(152,'Output Utente'!$R$2:$R$492,0)),"")</f>
        <v/>
      </c>
    </row>
    <row r="156" spans="1:24" ht="15" customHeight="1" x14ac:dyDescent="0.25">
      <c r="A156" s="26">
        <v>153</v>
      </c>
      <c r="B156" s="23" t="str">
        <f>IFERROR(INDEX('Output Utente'!$A$2:$A$492,MATCH(153,'Output Utente'!$R$2:$R$492,0)),"")</f>
        <v/>
      </c>
      <c r="C156" s="23" t="str">
        <f>IFERROR(INDEX('Output Utente'!$B$2:$B$492,MATCH(153,'Output Utente'!$R$2:$R$492,0)),"")</f>
        <v/>
      </c>
      <c r="D156" s="23" t="str">
        <f>IFERROR(INDEX('Output Utente'!$C$2:$C$492,MATCH(153,'Output Utente'!$R$2:$R$492,0)),"")</f>
        <v/>
      </c>
      <c r="E156" s="23" t="str">
        <f>IFERROR(INDEX('Input Giocatori 2026_27'!$D$3:$D$493,MATCH($B156,'Input Giocatori 2026_27'!$A$3:$A$493,0)),"")</f>
        <v/>
      </c>
      <c r="F156" s="24" t="str">
        <f>IFERROR(INDEX('Output Utente'!$N$2:$N$492,MATCH(153,'Output Utente'!$R$2:$R$492,0)),"")</f>
        <v/>
      </c>
      <c r="G156" s="23" t="str">
        <f>IFERROR(INDEX('Output Utente'!$O$2:$O$492,MATCH(153,'Output Utente'!$R$2:$R$492,0)),"")</f>
        <v/>
      </c>
      <c r="H156" s="23" t="str">
        <f>IFERROR(INDEX('Output Utente'!$P$2:$P$492,MATCH(153,'Output Utente'!$R$2:$R$492,0)),"")</f>
        <v/>
      </c>
      <c r="I156" s="24" t="str">
        <f>IFERROR(INDEX('Output Utente'!$F$2:$F$492,MATCH(153,'Output Utente'!$R$2:$R$492,0)),"")</f>
        <v/>
      </c>
      <c r="J156" s="24" t="str">
        <f>IFERROR(INDEX('Output Utente'!$G$2:$G$492,MATCH(153,'Output Utente'!$R$2:$R$492,0)),"")</f>
        <v/>
      </c>
      <c r="K156" s="24" t="str">
        <f>IFERROR(INDEX('Output Utente'!$H$2:$H$492,MATCH(153,'Output Utente'!$R$2:$R$492,0)),"")</f>
        <v/>
      </c>
      <c r="L156" s="23" t="str">
        <f>IFERROR(INDEX('Output Utente'!$E$2:$E$492,MATCH(153,'Output Utente'!$R$2:$R$492,0)),"")</f>
        <v/>
      </c>
      <c r="V156" t="str">
        <f>IFERROR(INDEX('Output Utente'!$M$2:$M$492,MATCH(153,'Output Utente'!$R$2:$R$492,0)),"")</f>
        <v/>
      </c>
      <c r="W156" t="str">
        <f t="shared" si="2"/>
        <v/>
      </c>
      <c r="X156" t="str">
        <f>IFERROR(INDEX('Output Utente'!$AF$2:$AF$492,MATCH(153,'Output Utente'!$R$2:$R$492,0)),"")</f>
        <v/>
      </c>
    </row>
    <row r="157" spans="1:24" ht="15" customHeight="1" x14ac:dyDescent="0.25">
      <c r="A157" s="26">
        <v>154</v>
      </c>
      <c r="B157" s="23" t="str">
        <f>IFERROR(INDEX('Output Utente'!$A$2:$A$492,MATCH(154,'Output Utente'!$R$2:$R$492,0)),"")</f>
        <v/>
      </c>
      <c r="C157" s="23" t="str">
        <f>IFERROR(INDEX('Output Utente'!$B$2:$B$492,MATCH(154,'Output Utente'!$R$2:$R$492,0)),"")</f>
        <v/>
      </c>
      <c r="D157" s="23" t="str">
        <f>IFERROR(INDEX('Output Utente'!$C$2:$C$492,MATCH(154,'Output Utente'!$R$2:$R$492,0)),"")</f>
        <v/>
      </c>
      <c r="E157" s="23" t="str">
        <f>IFERROR(INDEX('Input Giocatori 2026_27'!$D$3:$D$493,MATCH($B157,'Input Giocatori 2026_27'!$A$3:$A$493,0)),"")</f>
        <v/>
      </c>
      <c r="F157" s="24" t="str">
        <f>IFERROR(INDEX('Output Utente'!$N$2:$N$492,MATCH(154,'Output Utente'!$R$2:$R$492,0)),"")</f>
        <v/>
      </c>
      <c r="G157" s="23" t="str">
        <f>IFERROR(INDEX('Output Utente'!$O$2:$O$492,MATCH(154,'Output Utente'!$R$2:$R$492,0)),"")</f>
        <v/>
      </c>
      <c r="H157" s="23" t="str">
        <f>IFERROR(INDEX('Output Utente'!$P$2:$P$492,MATCH(154,'Output Utente'!$R$2:$R$492,0)),"")</f>
        <v/>
      </c>
      <c r="I157" s="24" t="str">
        <f>IFERROR(INDEX('Output Utente'!$F$2:$F$492,MATCH(154,'Output Utente'!$R$2:$R$492,0)),"")</f>
        <v/>
      </c>
      <c r="J157" s="24" t="str">
        <f>IFERROR(INDEX('Output Utente'!$G$2:$G$492,MATCH(154,'Output Utente'!$R$2:$R$492,0)),"")</f>
        <v/>
      </c>
      <c r="K157" s="24" t="str">
        <f>IFERROR(INDEX('Output Utente'!$H$2:$H$492,MATCH(154,'Output Utente'!$R$2:$R$492,0)),"")</f>
        <v/>
      </c>
      <c r="L157" s="23" t="str">
        <f>IFERROR(INDEX('Output Utente'!$E$2:$E$492,MATCH(154,'Output Utente'!$R$2:$R$492,0)),"")</f>
        <v/>
      </c>
      <c r="V157" t="str">
        <f>IFERROR(INDEX('Output Utente'!$M$2:$M$492,MATCH(154,'Output Utente'!$R$2:$R$492,0)),"")</f>
        <v/>
      </c>
      <c r="W157" t="str">
        <f t="shared" si="2"/>
        <v/>
      </c>
      <c r="X157" t="str">
        <f>IFERROR(INDEX('Output Utente'!$AF$2:$AF$492,MATCH(154,'Output Utente'!$R$2:$R$492,0)),"")</f>
        <v/>
      </c>
    </row>
    <row r="158" spans="1:24" ht="15" customHeight="1" x14ac:dyDescent="0.25">
      <c r="A158" s="26">
        <v>155</v>
      </c>
      <c r="B158" s="23" t="str">
        <f>IFERROR(INDEX('Output Utente'!$A$2:$A$492,MATCH(155,'Output Utente'!$R$2:$R$492,0)),"")</f>
        <v/>
      </c>
      <c r="C158" s="23" t="str">
        <f>IFERROR(INDEX('Output Utente'!$B$2:$B$492,MATCH(155,'Output Utente'!$R$2:$R$492,0)),"")</f>
        <v/>
      </c>
      <c r="D158" s="23" t="str">
        <f>IFERROR(INDEX('Output Utente'!$C$2:$C$492,MATCH(155,'Output Utente'!$R$2:$R$492,0)),"")</f>
        <v/>
      </c>
      <c r="E158" s="23" t="str">
        <f>IFERROR(INDEX('Input Giocatori 2026_27'!$D$3:$D$493,MATCH($B158,'Input Giocatori 2026_27'!$A$3:$A$493,0)),"")</f>
        <v/>
      </c>
      <c r="F158" s="24" t="str">
        <f>IFERROR(INDEX('Output Utente'!$N$2:$N$492,MATCH(155,'Output Utente'!$R$2:$R$492,0)),"")</f>
        <v/>
      </c>
      <c r="G158" s="23" t="str">
        <f>IFERROR(INDEX('Output Utente'!$O$2:$O$492,MATCH(155,'Output Utente'!$R$2:$R$492,0)),"")</f>
        <v/>
      </c>
      <c r="H158" s="23" t="str">
        <f>IFERROR(INDEX('Output Utente'!$P$2:$P$492,MATCH(155,'Output Utente'!$R$2:$R$492,0)),"")</f>
        <v/>
      </c>
      <c r="I158" s="24" t="str">
        <f>IFERROR(INDEX('Output Utente'!$F$2:$F$492,MATCH(155,'Output Utente'!$R$2:$R$492,0)),"")</f>
        <v/>
      </c>
      <c r="J158" s="24" t="str">
        <f>IFERROR(INDEX('Output Utente'!$G$2:$G$492,MATCH(155,'Output Utente'!$R$2:$R$492,0)),"")</f>
        <v/>
      </c>
      <c r="K158" s="24" t="str">
        <f>IFERROR(INDEX('Output Utente'!$H$2:$H$492,MATCH(155,'Output Utente'!$R$2:$R$492,0)),"")</f>
        <v/>
      </c>
      <c r="L158" s="23" t="str">
        <f>IFERROR(INDEX('Output Utente'!$E$2:$E$492,MATCH(155,'Output Utente'!$R$2:$R$492,0)),"")</f>
        <v/>
      </c>
      <c r="V158" t="str">
        <f>IFERROR(INDEX('Output Utente'!$M$2:$M$492,MATCH(155,'Output Utente'!$R$2:$R$492,0)),"")</f>
        <v/>
      </c>
      <c r="W158" t="str">
        <f t="shared" si="2"/>
        <v/>
      </c>
      <c r="X158" t="str">
        <f>IFERROR(INDEX('Output Utente'!$AF$2:$AF$492,MATCH(155,'Output Utente'!$R$2:$R$492,0)),"")</f>
        <v/>
      </c>
    </row>
    <row r="159" spans="1:24" ht="15" customHeight="1" x14ac:dyDescent="0.25">
      <c r="A159" s="26">
        <v>156</v>
      </c>
      <c r="B159" s="23" t="str">
        <f>IFERROR(INDEX('Output Utente'!$A$2:$A$492,MATCH(156,'Output Utente'!$R$2:$R$492,0)),"")</f>
        <v/>
      </c>
      <c r="C159" s="23" t="str">
        <f>IFERROR(INDEX('Output Utente'!$B$2:$B$492,MATCH(156,'Output Utente'!$R$2:$R$492,0)),"")</f>
        <v/>
      </c>
      <c r="D159" s="23" t="str">
        <f>IFERROR(INDEX('Output Utente'!$C$2:$C$492,MATCH(156,'Output Utente'!$R$2:$R$492,0)),"")</f>
        <v/>
      </c>
      <c r="E159" s="23" t="str">
        <f>IFERROR(INDEX('Input Giocatori 2026_27'!$D$3:$D$493,MATCH($B159,'Input Giocatori 2026_27'!$A$3:$A$493,0)),"")</f>
        <v/>
      </c>
      <c r="F159" s="24" t="str">
        <f>IFERROR(INDEX('Output Utente'!$N$2:$N$492,MATCH(156,'Output Utente'!$R$2:$R$492,0)),"")</f>
        <v/>
      </c>
      <c r="G159" s="23" t="str">
        <f>IFERROR(INDEX('Output Utente'!$O$2:$O$492,MATCH(156,'Output Utente'!$R$2:$R$492,0)),"")</f>
        <v/>
      </c>
      <c r="H159" s="23" t="str">
        <f>IFERROR(INDEX('Output Utente'!$P$2:$P$492,MATCH(156,'Output Utente'!$R$2:$R$492,0)),"")</f>
        <v/>
      </c>
      <c r="I159" s="24" t="str">
        <f>IFERROR(INDEX('Output Utente'!$F$2:$F$492,MATCH(156,'Output Utente'!$R$2:$R$492,0)),"")</f>
        <v/>
      </c>
      <c r="J159" s="24" t="str">
        <f>IFERROR(INDEX('Output Utente'!$G$2:$G$492,MATCH(156,'Output Utente'!$R$2:$R$492,0)),"")</f>
        <v/>
      </c>
      <c r="K159" s="24" t="str">
        <f>IFERROR(INDEX('Output Utente'!$H$2:$H$492,MATCH(156,'Output Utente'!$R$2:$R$492,0)),"")</f>
        <v/>
      </c>
      <c r="L159" s="23" t="str">
        <f>IFERROR(INDEX('Output Utente'!$E$2:$E$492,MATCH(156,'Output Utente'!$R$2:$R$492,0)),"")</f>
        <v/>
      </c>
      <c r="V159" t="str">
        <f>IFERROR(INDEX('Output Utente'!$M$2:$M$492,MATCH(156,'Output Utente'!$R$2:$R$492,0)),"")</f>
        <v/>
      </c>
      <c r="W159" t="str">
        <f t="shared" si="2"/>
        <v/>
      </c>
      <c r="X159" t="str">
        <f>IFERROR(INDEX('Output Utente'!$AF$2:$AF$492,MATCH(156,'Output Utente'!$R$2:$R$492,0)),"")</f>
        <v/>
      </c>
    </row>
    <row r="160" spans="1:24" ht="15" customHeight="1" x14ac:dyDescent="0.25">
      <c r="A160" s="26">
        <v>157</v>
      </c>
      <c r="B160" s="23" t="str">
        <f>IFERROR(INDEX('Output Utente'!$A$2:$A$492,MATCH(157,'Output Utente'!$R$2:$R$492,0)),"")</f>
        <v/>
      </c>
      <c r="C160" s="23" t="str">
        <f>IFERROR(INDEX('Output Utente'!$B$2:$B$492,MATCH(157,'Output Utente'!$R$2:$R$492,0)),"")</f>
        <v/>
      </c>
      <c r="D160" s="23" t="str">
        <f>IFERROR(INDEX('Output Utente'!$C$2:$C$492,MATCH(157,'Output Utente'!$R$2:$R$492,0)),"")</f>
        <v/>
      </c>
      <c r="E160" s="23" t="str">
        <f>IFERROR(INDEX('Input Giocatori 2026_27'!$D$3:$D$493,MATCH($B160,'Input Giocatori 2026_27'!$A$3:$A$493,0)),"")</f>
        <v/>
      </c>
      <c r="F160" s="24" t="str">
        <f>IFERROR(INDEX('Output Utente'!$N$2:$N$492,MATCH(157,'Output Utente'!$R$2:$R$492,0)),"")</f>
        <v/>
      </c>
      <c r="G160" s="23" t="str">
        <f>IFERROR(INDEX('Output Utente'!$O$2:$O$492,MATCH(157,'Output Utente'!$R$2:$R$492,0)),"")</f>
        <v/>
      </c>
      <c r="H160" s="23" t="str">
        <f>IFERROR(INDEX('Output Utente'!$P$2:$P$492,MATCH(157,'Output Utente'!$R$2:$R$492,0)),"")</f>
        <v/>
      </c>
      <c r="I160" s="24" t="str">
        <f>IFERROR(INDEX('Output Utente'!$F$2:$F$492,MATCH(157,'Output Utente'!$R$2:$R$492,0)),"")</f>
        <v/>
      </c>
      <c r="J160" s="24" t="str">
        <f>IFERROR(INDEX('Output Utente'!$G$2:$G$492,MATCH(157,'Output Utente'!$R$2:$R$492,0)),"")</f>
        <v/>
      </c>
      <c r="K160" s="24" t="str">
        <f>IFERROR(INDEX('Output Utente'!$H$2:$H$492,MATCH(157,'Output Utente'!$R$2:$R$492,0)),"")</f>
        <v/>
      </c>
      <c r="L160" s="23" t="str">
        <f>IFERROR(INDEX('Output Utente'!$E$2:$E$492,MATCH(157,'Output Utente'!$R$2:$R$492,0)),"")</f>
        <v/>
      </c>
      <c r="V160" t="str">
        <f>IFERROR(INDEX('Output Utente'!$M$2:$M$492,MATCH(157,'Output Utente'!$R$2:$R$492,0)),"")</f>
        <v/>
      </c>
      <c r="W160" t="str">
        <f t="shared" si="2"/>
        <v/>
      </c>
      <c r="X160" t="str">
        <f>IFERROR(INDEX('Output Utente'!$AF$2:$AF$492,MATCH(157,'Output Utente'!$R$2:$R$492,0)),"")</f>
        <v/>
      </c>
    </row>
    <row r="161" spans="1:24" ht="15" customHeight="1" x14ac:dyDescent="0.25">
      <c r="A161" s="26">
        <v>158</v>
      </c>
      <c r="B161" s="23" t="str">
        <f>IFERROR(INDEX('Output Utente'!$A$2:$A$492,MATCH(158,'Output Utente'!$R$2:$R$492,0)),"")</f>
        <v/>
      </c>
      <c r="C161" s="23" t="str">
        <f>IFERROR(INDEX('Output Utente'!$B$2:$B$492,MATCH(158,'Output Utente'!$R$2:$R$492,0)),"")</f>
        <v/>
      </c>
      <c r="D161" s="23" t="str">
        <f>IFERROR(INDEX('Output Utente'!$C$2:$C$492,MATCH(158,'Output Utente'!$R$2:$R$492,0)),"")</f>
        <v/>
      </c>
      <c r="E161" s="23" t="str">
        <f>IFERROR(INDEX('Input Giocatori 2026_27'!$D$3:$D$493,MATCH($B161,'Input Giocatori 2026_27'!$A$3:$A$493,0)),"")</f>
        <v/>
      </c>
      <c r="F161" s="24" t="str">
        <f>IFERROR(INDEX('Output Utente'!$N$2:$N$492,MATCH(158,'Output Utente'!$R$2:$R$492,0)),"")</f>
        <v/>
      </c>
      <c r="G161" s="23" t="str">
        <f>IFERROR(INDEX('Output Utente'!$O$2:$O$492,MATCH(158,'Output Utente'!$R$2:$R$492,0)),"")</f>
        <v/>
      </c>
      <c r="H161" s="23" t="str">
        <f>IFERROR(INDEX('Output Utente'!$P$2:$P$492,MATCH(158,'Output Utente'!$R$2:$R$492,0)),"")</f>
        <v/>
      </c>
      <c r="I161" s="24" t="str">
        <f>IFERROR(INDEX('Output Utente'!$F$2:$F$492,MATCH(158,'Output Utente'!$R$2:$R$492,0)),"")</f>
        <v/>
      </c>
      <c r="J161" s="24" t="str">
        <f>IFERROR(INDEX('Output Utente'!$G$2:$G$492,MATCH(158,'Output Utente'!$R$2:$R$492,0)),"")</f>
        <v/>
      </c>
      <c r="K161" s="24" t="str">
        <f>IFERROR(INDEX('Output Utente'!$H$2:$H$492,MATCH(158,'Output Utente'!$R$2:$R$492,0)),"")</f>
        <v/>
      </c>
      <c r="L161" s="23" t="str">
        <f>IFERROR(INDEX('Output Utente'!$E$2:$E$492,MATCH(158,'Output Utente'!$R$2:$R$492,0)),"")</f>
        <v/>
      </c>
      <c r="V161" t="str">
        <f>IFERROR(INDEX('Output Utente'!$M$2:$M$492,MATCH(158,'Output Utente'!$R$2:$R$492,0)),"")</f>
        <v/>
      </c>
      <c r="W161" t="str">
        <f t="shared" si="2"/>
        <v/>
      </c>
      <c r="X161" t="str">
        <f>IFERROR(INDEX('Output Utente'!$AF$2:$AF$492,MATCH(158,'Output Utente'!$R$2:$R$492,0)),"")</f>
        <v/>
      </c>
    </row>
    <row r="162" spans="1:24" ht="15" customHeight="1" x14ac:dyDescent="0.25">
      <c r="A162" s="26">
        <v>159</v>
      </c>
      <c r="B162" s="23" t="str">
        <f>IFERROR(INDEX('Output Utente'!$A$2:$A$492,MATCH(159,'Output Utente'!$R$2:$R$492,0)),"")</f>
        <v/>
      </c>
      <c r="C162" s="23" t="str">
        <f>IFERROR(INDEX('Output Utente'!$B$2:$B$492,MATCH(159,'Output Utente'!$R$2:$R$492,0)),"")</f>
        <v/>
      </c>
      <c r="D162" s="23" t="str">
        <f>IFERROR(INDEX('Output Utente'!$C$2:$C$492,MATCH(159,'Output Utente'!$R$2:$R$492,0)),"")</f>
        <v/>
      </c>
      <c r="E162" s="23" t="str">
        <f>IFERROR(INDEX('Input Giocatori 2026_27'!$D$3:$D$493,MATCH($B162,'Input Giocatori 2026_27'!$A$3:$A$493,0)),"")</f>
        <v/>
      </c>
      <c r="F162" s="24" t="str">
        <f>IFERROR(INDEX('Output Utente'!$N$2:$N$492,MATCH(159,'Output Utente'!$R$2:$R$492,0)),"")</f>
        <v/>
      </c>
      <c r="G162" s="23" t="str">
        <f>IFERROR(INDEX('Output Utente'!$O$2:$O$492,MATCH(159,'Output Utente'!$R$2:$R$492,0)),"")</f>
        <v/>
      </c>
      <c r="H162" s="23" t="str">
        <f>IFERROR(INDEX('Output Utente'!$P$2:$P$492,MATCH(159,'Output Utente'!$R$2:$R$492,0)),"")</f>
        <v/>
      </c>
      <c r="I162" s="24" t="str">
        <f>IFERROR(INDEX('Output Utente'!$F$2:$F$492,MATCH(159,'Output Utente'!$R$2:$R$492,0)),"")</f>
        <v/>
      </c>
      <c r="J162" s="24" t="str">
        <f>IFERROR(INDEX('Output Utente'!$G$2:$G$492,MATCH(159,'Output Utente'!$R$2:$R$492,0)),"")</f>
        <v/>
      </c>
      <c r="K162" s="24" t="str">
        <f>IFERROR(INDEX('Output Utente'!$H$2:$H$492,MATCH(159,'Output Utente'!$R$2:$R$492,0)),"")</f>
        <v/>
      </c>
      <c r="L162" s="23" t="str">
        <f>IFERROR(INDEX('Output Utente'!$E$2:$E$492,MATCH(159,'Output Utente'!$R$2:$R$492,0)),"")</f>
        <v/>
      </c>
      <c r="V162" t="str">
        <f>IFERROR(INDEX('Output Utente'!$M$2:$M$492,MATCH(159,'Output Utente'!$R$2:$R$492,0)),"")</f>
        <v/>
      </c>
      <c r="W162" t="str">
        <f t="shared" si="2"/>
        <v/>
      </c>
      <c r="X162" t="str">
        <f>IFERROR(INDEX('Output Utente'!$AF$2:$AF$492,MATCH(159,'Output Utente'!$R$2:$R$492,0)),"")</f>
        <v/>
      </c>
    </row>
    <row r="163" spans="1:24" ht="15" customHeight="1" x14ac:dyDescent="0.25">
      <c r="A163" s="26">
        <v>160</v>
      </c>
      <c r="B163" s="23" t="str">
        <f>IFERROR(INDEX('Output Utente'!$A$2:$A$492,MATCH(160,'Output Utente'!$R$2:$R$492,0)),"")</f>
        <v/>
      </c>
      <c r="C163" s="23" t="str">
        <f>IFERROR(INDEX('Output Utente'!$B$2:$B$492,MATCH(160,'Output Utente'!$R$2:$R$492,0)),"")</f>
        <v/>
      </c>
      <c r="D163" s="23" t="str">
        <f>IFERROR(INDEX('Output Utente'!$C$2:$C$492,MATCH(160,'Output Utente'!$R$2:$R$492,0)),"")</f>
        <v/>
      </c>
      <c r="E163" s="23" t="str">
        <f>IFERROR(INDEX('Input Giocatori 2026_27'!$D$3:$D$493,MATCH($B163,'Input Giocatori 2026_27'!$A$3:$A$493,0)),"")</f>
        <v/>
      </c>
      <c r="F163" s="24" t="str">
        <f>IFERROR(INDEX('Output Utente'!$N$2:$N$492,MATCH(160,'Output Utente'!$R$2:$R$492,0)),"")</f>
        <v/>
      </c>
      <c r="G163" s="23" t="str">
        <f>IFERROR(INDEX('Output Utente'!$O$2:$O$492,MATCH(160,'Output Utente'!$R$2:$R$492,0)),"")</f>
        <v/>
      </c>
      <c r="H163" s="23" t="str">
        <f>IFERROR(INDEX('Output Utente'!$P$2:$P$492,MATCH(160,'Output Utente'!$R$2:$R$492,0)),"")</f>
        <v/>
      </c>
      <c r="I163" s="24" t="str">
        <f>IFERROR(INDEX('Output Utente'!$F$2:$F$492,MATCH(160,'Output Utente'!$R$2:$R$492,0)),"")</f>
        <v/>
      </c>
      <c r="J163" s="24" t="str">
        <f>IFERROR(INDEX('Output Utente'!$G$2:$G$492,MATCH(160,'Output Utente'!$R$2:$R$492,0)),"")</f>
        <v/>
      </c>
      <c r="K163" s="24" t="str">
        <f>IFERROR(INDEX('Output Utente'!$H$2:$H$492,MATCH(160,'Output Utente'!$R$2:$R$492,0)),"")</f>
        <v/>
      </c>
      <c r="L163" s="23" t="str">
        <f>IFERROR(INDEX('Output Utente'!$E$2:$E$492,MATCH(160,'Output Utente'!$R$2:$R$492,0)),"")</f>
        <v/>
      </c>
      <c r="V163" t="str">
        <f>IFERROR(INDEX('Output Utente'!$M$2:$M$492,MATCH(160,'Output Utente'!$R$2:$R$492,0)),"")</f>
        <v/>
      </c>
      <c r="W163" t="str">
        <f t="shared" si="2"/>
        <v/>
      </c>
      <c r="X163" t="str">
        <f>IFERROR(INDEX('Output Utente'!$AF$2:$AF$492,MATCH(160,'Output Utente'!$R$2:$R$492,0)),"")</f>
        <v/>
      </c>
    </row>
    <row r="164" spans="1:24" ht="15" customHeight="1" x14ac:dyDescent="0.25">
      <c r="A164" s="26">
        <v>161</v>
      </c>
      <c r="B164" s="23" t="str">
        <f>IFERROR(INDEX('Output Utente'!$A$2:$A$492,MATCH(161,'Output Utente'!$R$2:$R$492,0)),"")</f>
        <v/>
      </c>
      <c r="C164" s="23" t="str">
        <f>IFERROR(INDEX('Output Utente'!$B$2:$B$492,MATCH(161,'Output Utente'!$R$2:$R$492,0)),"")</f>
        <v/>
      </c>
      <c r="D164" s="23" t="str">
        <f>IFERROR(INDEX('Output Utente'!$C$2:$C$492,MATCH(161,'Output Utente'!$R$2:$R$492,0)),"")</f>
        <v/>
      </c>
      <c r="E164" s="23" t="str">
        <f>IFERROR(INDEX('Input Giocatori 2026_27'!$D$3:$D$493,MATCH($B164,'Input Giocatori 2026_27'!$A$3:$A$493,0)),"")</f>
        <v/>
      </c>
      <c r="F164" s="24" t="str">
        <f>IFERROR(INDEX('Output Utente'!$N$2:$N$492,MATCH(161,'Output Utente'!$R$2:$R$492,0)),"")</f>
        <v/>
      </c>
      <c r="G164" s="23" t="str">
        <f>IFERROR(INDEX('Output Utente'!$O$2:$O$492,MATCH(161,'Output Utente'!$R$2:$R$492,0)),"")</f>
        <v/>
      </c>
      <c r="H164" s="23" t="str">
        <f>IFERROR(INDEX('Output Utente'!$P$2:$P$492,MATCH(161,'Output Utente'!$R$2:$R$492,0)),"")</f>
        <v/>
      </c>
      <c r="I164" s="24" t="str">
        <f>IFERROR(INDEX('Output Utente'!$F$2:$F$492,MATCH(161,'Output Utente'!$R$2:$R$492,0)),"")</f>
        <v/>
      </c>
      <c r="J164" s="24" t="str">
        <f>IFERROR(INDEX('Output Utente'!$G$2:$G$492,MATCH(161,'Output Utente'!$R$2:$R$492,0)),"")</f>
        <v/>
      </c>
      <c r="K164" s="24" t="str">
        <f>IFERROR(INDEX('Output Utente'!$H$2:$H$492,MATCH(161,'Output Utente'!$R$2:$R$492,0)),"")</f>
        <v/>
      </c>
      <c r="L164" s="23" t="str">
        <f>IFERROR(INDEX('Output Utente'!$E$2:$E$492,MATCH(161,'Output Utente'!$R$2:$R$492,0)),"")</f>
        <v/>
      </c>
      <c r="V164" t="str">
        <f>IFERROR(INDEX('Output Utente'!$M$2:$M$492,MATCH(161,'Output Utente'!$R$2:$R$492,0)),"")</f>
        <v/>
      </c>
      <c r="W164" t="str">
        <f t="shared" si="2"/>
        <v/>
      </c>
      <c r="X164" t="str">
        <f>IFERROR(INDEX('Output Utente'!$AF$2:$AF$492,MATCH(161,'Output Utente'!$R$2:$R$492,0)),"")</f>
        <v/>
      </c>
    </row>
    <row r="165" spans="1:24" ht="15" customHeight="1" x14ac:dyDescent="0.25">
      <c r="A165" s="26">
        <v>162</v>
      </c>
      <c r="B165" s="23" t="str">
        <f>IFERROR(INDEX('Output Utente'!$A$2:$A$492,MATCH(162,'Output Utente'!$R$2:$R$492,0)),"")</f>
        <v/>
      </c>
      <c r="C165" s="23" t="str">
        <f>IFERROR(INDEX('Output Utente'!$B$2:$B$492,MATCH(162,'Output Utente'!$R$2:$R$492,0)),"")</f>
        <v/>
      </c>
      <c r="D165" s="23" t="str">
        <f>IFERROR(INDEX('Output Utente'!$C$2:$C$492,MATCH(162,'Output Utente'!$R$2:$R$492,0)),"")</f>
        <v/>
      </c>
      <c r="E165" s="23" t="str">
        <f>IFERROR(INDEX('Input Giocatori 2026_27'!$D$3:$D$493,MATCH($B165,'Input Giocatori 2026_27'!$A$3:$A$493,0)),"")</f>
        <v/>
      </c>
      <c r="F165" s="24" t="str">
        <f>IFERROR(INDEX('Output Utente'!$N$2:$N$492,MATCH(162,'Output Utente'!$R$2:$R$492,0)),"")</f>
        <v/>
      </c>
      <c r="G165" s="23" t="str">
        <f>IFERROR(INDEX('Output Utente'!$O$2:$O$492,MATCH(162,'Output Utente'!$R$2:$R$492,0)),"")</f>
        <v/>
      </c>
      <c r="H165" s="23" t="str">
        <f>IFERROR(INDEX('Output Utente'!$P$2:$P$492,MATCH(162,'Output Utente'!$R$2:$R$492,0)),"")</f>
        <v/>
      </c>
      <c r="I165" s="24" t="str">
        <f>IFERROR(INDEX('Output Utente'!$F$2:$F$492,MATCH(162,'Output Utente'!$R$2:$R$492,0)),"")</f>
        <v/>
      </c>
      <c r="J165" s="24" t="str">
        <f>IFERROR(INDEX('Output Utente'!$G$2:$G$492,MATCH(162,'Output Utente'!$R$2:$R$492,0)),"")</f>
        <v/>
      </c>
      <c r="K165" s="24" t="str">
        <f>IFERROR(INDEX('Output Utente'!$H$2:$H$492,MATCH(162,'Output Utente'!$R$2:$R$492,0)),"")</f>
        <v/>
      </c>
      <c r="L165" s="23" t="str">
        <f>IFERROR(INDEX('Output Utente'!$E$2:$E$492,MATCH(162,'Output Utente'!$R$2:$R$492,0)),"")</f>
        <v/>
      </c>
      <c r="V165" t="str">
        <f>IFERROR(INDEX('Output Utente'!$M$2:$M$492,MATCH(162,'Output Utente'!$R$2:$R$492,0)),"")</f>
        <v/>
      </c>
      <c r="W165" t="str">
        <f t="shared" si="2"/>
        <v/>
      </c>
      <c r="X165" t="str">
        <f>IFERROR(INDEX('Output Utente'!$AF$2:$AF$492,MATCH(162,'Output Utente'!$R$2:$R$492,0)),"")</f>
        <v/>
      </c>
    </row>
    <row r="166" spans="1:24" ht="15" customHeight="1" x14ac:dyDescent="0.25">
      <c r="A166" s="26">
        <v>163</v>
      </c>
      <c r="B166" s="23" t="str">
        <f>IFERROR(INDEX('Output Utente'!$A$2:$A$492,MATCH(163,'Output Utente'!$R$2:$R$492,0)),"")</f>
        <v/>
      </c>
      <c r="C166" s="23" t="str">
        <f>IFERROR(INDEX('Output Utente'!$B$2:$B$492,MATCH(163,'Output Utente'!$R$2:$R$492,0)),"")</f>
        <v/>
      </c>
      <c r="D166" s="23" t="str">
        <f>IFERROR(INDEX('Output Utente'!$C$2:$C$492,MATCH(163,'Output Utente'!$R$2:$R$492,0)),"")</f>
        <v/>
      </c>
      <c r="E166" s="23" t="str">
        <f>IFERROR(INDEX('Input Giocatori 2026_27'!$D$3:$D$493,MATCH($B166,'Input Giocatori 2026_27'!$A$3:$A$493,0)),"")</f>
        <v/>
      </c>
      <c r="F166" s="24" t="str">
        <f>IFERROR(INDEX('Output Utente'!$N$2:$N$492,MATCH(163,'Output Utente'!$R$2:$R$492,0)),"")</f>
        <v/>
      </c>
      <c r="G166" s="23" t="str">
        <f>IFERROR(INDEX('Output Utente'!$O$2:$O$492,MATCH(163,'Output Utente'!$R$2:$R$492,0)),"")</f>
        <v/>
      </c>
      <c r="H166" s="23" t="str">
        <f>IFERROR(INDEX('Output Utente'!$P$2:$P$492,MATCH(163,'Output Utente'!$R$2:$R$492,0)),"")</f>
        <v/>
      </c>
      <c r="I166" s="24" t="str">
        <f>IFERROR(INDEX('Output Utente'!$F$2:$F$492,MATCH(163,'Output Utente'!$R$2:$R$492,0)),"")</f>
        <v/>
      </c>
      <c r="J166" s="24" t="str">
        <f>IFERROR(INDEX('Output Utente'!$G$2:$G$492,MATCH(163,'Output Utente'!$R$2:$R$492,0)),"")</f>
        <v/>
      </c>
      <c r="K166" s="24" t="str">
        <f>IFERROR(INDEX('Output Utente'!$H$2:$H$492,MATCH(163,'Output Utente'!$R$2:$R$492,0)),"")</f>
        <v/>
      </c>
      <c r="L166" s="23" t="str">
        <f>IFERROR(INDEX('Output Utente'!$E$2:$E$492,MATCH(163,'Output Utente'!$R$2:$R$492,0)),"")</f>
        <v/>
      </c>
      <c r="V166" t="str">
        <f>IFERROR(INDEX('Output Utente'!$M$2:$M$492,MATCH(163,'Output Utente'!$R$2:$R$492,0)),"")</f>
        <v/>
      </c>
      <c r="W166" t="str">
        <f t="shared" si="2"/>
        <v/>
      </c>
      <c r="X166" t="str">
        <f>IFERROR(INDEX('Output Utente'!$AF$2:$AF$492,MATCH(163,'Output Utente'!$R$2:$R$492,0)),"")</f>
        <v/>
      </c>
    </row>
    <row r="167" spans="1:24" ht="15" customHeight="1" x14ac:dyDescent="0.25">
      <c r="A167" s="26">
        <v>164</v>
      </c>
      <c r="B167" s="23" t="str">
        <f>IFERROR(INDEX('Output Utente'!$A$2:$A$492,MATCH(164,'Output Utente'!$R$2:$R$492,0)),"")</f>
        <v/>
      </c>
      <c r="C167" s="23" t="str">
        <f>IFERROR(INDEX('Output Utente'!$B$2:$B$492,MATCH(164,'Output Utente'!$R$2:$R$492,0)),"")</f>
        <v/>
      </c>
      <c r="D167" s="23" t="str">
        <f>IFERROR(INDEX('Output Utente'!$C$2:$C$492,MATCH(164,'Output Utente'!$R$2:$R$492,0)),"")</f>
        <v/>
      </c>
      <c r="E167" s="23" t="str">
        <f>IFERROR(INDEX('Input Giocatori 2026_27'!$D$3:$D$493,MATCH($B167,'Input Giocatori 2026_27'!$A$3:$A$493,0)),"")</f>
        <v/>
      </c>
      <c r="F167" s="24" t="str">
        <f>IFERROR(INDEX('Output Utente'!$N$2:$N$492,MATCH(164,'Output Utente'!$R$2:$R$492,0)),"")</f>
        <v/>
      </c>
      <c r="G167" s="23" t="str">
        <f>IFERROR(INDEX('Output Utente'!$O$2:$O$492,MATCH(164,'Output Utente'!$R$2:$R$492,0)),"")</f>
        <v/>
      </c>
      <c r="H167" s="23" t="str">
        <f>IFERROR(INDEX('Output Utente'!$P$2:$P$492,MATCH(164,'Output Utente'!$R$2:$R$492,0)),"")</f>
        <v/>
      </c>
      <c r="I167" s="24" t="str">
        <f>IFERROR(INDEX('Output Utente'!$F$2:$F$492,MATCH(164,'Output Utente'!$R$2:$R$492,0)),"")</f>
        <v/>
      </c>
      <c r="J167" s="24" t="str">
        <f>IFERROR(INDEX('Output Utente'!$G$2:$G$492,MATCH(164,'Output Utente'!$R$2:$R$492,0)),"")</f>
        <v/>
      </c>
      <c r="K167" s="24" t="str">
        <f>IFERROR(INDEX('Output Utente'!$H$2:$H$492,MATCH(164,'Output Utente'!$R$2:$R$492,0)),"")</f>
        <v/>
      </c>
      <c r="L167" s="23" t="str">
        <f>IFERROR(INDEX('Output Utente'!$E$2:$E$492,MATCH(164,'Output Utente'!$R$2:$R$492,0)),"")</f>
        <v/>
      </c>
      <c r="V167" t="str">
        <f>IFERROR(INDEX('Output Utente'!$M$2:$M$492,MATCH(164,'Output Utente'!$R$2:$R$492,0)),"")</f>
        <v/>
      </c>
      <c r="W167" t="str">
        <f t="shared" si="2"/>
        <v/>
      </c>
      <c r="X167" t="str">
        <f>IFERROR(INDEX('Output Utente'!$AF$2:$AF$492,MATCH(164,'Output Utente'!$R$2:$R$492,0)),"")</f>
        <v/>
      </c>
    </row>
    <row r="168" spans="1:24" ht="15" customHeight="1" x14ac:dyDescent="0.25">
      <c r="A168" s="26">
        <v>165</v>
      </c>
      <c r="B168" s="23" t="str">
        <f>IFERROR(INDEX('Output Utente'!$A$2:$A$492,MATCH(165,'Output Utente'!$R$2:$R$492,0)),"")</f>
        <v/>
      </c>
      <c r="C168" s="23" t="str">
        <f>IFERROR(INDEX('Output Utente'!$B$2:$B$492,MATCH(165,'Output Utente'!$R$2:$R$492,0)),"")</f>
        <v/>
      </c>
      <c r="D168" s="23" t="str">
        <f>IFERROR(INDEX('Output Utente'!$C$2:$C$492,MATCH(165,'Output Utente'!$R$2:$R$492,0)),"")</f>
        <v/>
      </c>
      <c r="E168" s="23" t="str">
        <f>IFERROR(INDEX('Input Giocatori 2026_27'!$D$3:$D$493,MATCH($B168,'Input Giocatori 2026_27'!$A$3:$A$493,0)),"")</f>
        <v/>
      </c>
      <c r="F168" s="24" t="str">
        <f>IFERROR(INDEX('Output Utente'!$N$2:$N$492,MATCH(165,'Output Utente'!$R$2:$R$492,0)),"")</f>
        <v/>
      </c>
      <c r="G168" s="23" t="str">
        <f>IFERROR(INDEX('Output Utente'!$O$2:$O$492,MATCH(165,'Output Utente'!$R$2:$R$492,0)),"")</f>
        <v/>
      </c>
      <c r="H168" s="23" t="str">
        <f>IFERROR(INDEX('Output Utente'!$P$2:$P$492,MATCH(165,'Output Utente'!$R$2:$R$492,0)),"")</f>
        <v/>
      </c>
      <c r="I168" s="24" t="str">
        <f>IFERROR(INDEX('Output Utente'!$F$2:$F$492,MATCH(165,'Output Utente'!$R$2:$R$492,0)),"")</f>
        <v/>
      </c>
      <c r="J168" s="24" t="str">
        <f>IFERROR(INDEX('Output Utente'!$G$2:$G$492,MATCH(165,'Output Utente'!$R$2:$R$492,0)),"")</f>
        <v/>
      </c>
      <c r="K168" s="24" t="str">
        <f>IFERROR(INDEX('Output Utente'!$H$2:$H$492,MATCH(165,'Output Utente'!$R$2:$R$492,0)),"")</f>
        <v/>
      </c>
      <c r="L168" s="23" t="str">
        <f>IFERROR(INDEX('Output Utente'!$E$2:$E$492,MATCH(165,'Output Utente'!$R$2:$R$492,0)),"")</f>
        <v/>
      </c>
      <c r="V168" t="str">
        <f>IFERROR(INDEX('Output Utente'!$M$2:$M$492,MATCH(165,'Output Utente'!$R$2:$R$492,0)),"")</f>
        <v/>
      </c>
      <c r="W168" t="str">
        <f t="shared" si="2"/>
        <v/>
      </c>
      <c r="X168" t="str">
        <f>IFERROR(INDEX('Output Utente'!$AF$2:$AF$492,MATCH(165,'Output Utente'!$R$2:$R$492,0)),"")</f>
        <v/>
      </c>
    </row>
    <row r="169" spans="1:24" ht="15" customHeight="1" x14ac:dyDescent="0.25">
      <c r="A169" s="26">
        <v>166</v>
      </c>
      <c r="B169" s="23" t="str">
        <f>IFERROR(INDEX('Output Utente'!$A$2:$A$492,MATCH(166,'Output Utente'!$R$2:$R$492,0)),"")</f>
        <v/>
      </c>
      <c r="C169" s="23" t="str">
        <f>IFERROR(INDEX('Output Utente'!$B$2:$B$492,MATCH(166,'Output Utente'!$R$2:$R$492,0)),"")</f>
        <v/>
      </c>
      <c r="D169" s="23" t="str">
        <f>IFERROR(INDEX('Output Utente'!$C$2:$C$492,MATCH(166,'Output Utente'!$R$2:$R$492,0)),"")</f>
        <v/>
      </c>
      <c r="E169" s="23" t="str">
        <f>IFERROR(INDEX('Input Giocatori 2026_27'!$D$3:$D$493,MATCH($B169,'Input Giocatori 2026_27'!$A$3:$A$493,0)),"")</f>
        <v/>
      </c>
      <c r="F169" s="24" t="str">
        <f>IFERROR(INDEX('Output Utente'!$N$2:$N$492,MATCH(166,'Output Utente'!$R$2:$R$492,0)),"")</f>
        <v/>
      </c>
      <c r="G169" s="23" t="str">
        <f>IFERROR(INDEX('Output Utente'!$O$2:$O$492,MATCH(166,'Output Utente'!$R$2:$R$492,0)),"")</f>
        <v/>
      </c>
      <c r="H169" s="23" t="str">
        <f>IFERROR(INDEX('Output Utente'!$P$2:$P$492,MATCH(166,'Output Utente'!$R$2:$R$492,0)),"")</f>
        <v/>
      </c>
      <c r="I169" s="24" t="str">
        <f>IFERROR(INDEX('Output Utente'!$F$2:$F$492,MATCH(166,'Output Utente'!$R$2:$R$492,0)),"")</f>
        <v/>
      </c>
      <c r="J169" s="24" t="str">
        <f>IFERROR(INDEX('Output Utente'!$G$2:$G$492,MATCH(166,'Output Utente'!$R$2:$R$492,0)),"")</f>
        <v/>
      </c>
      <c r="K169" s="24" t="str">
        <f>IFERROR(INDEX('Output Utente'!$H$2:$H$492,MATCH(166,'Output Utente'!$R$2:$R$492,0)),"")</f>
        <v/>
      </c>
      <c r="L169" s="23" t="str">
        <f>IFERROR(INDEX('Output Utente'!$E$2:$E$492,MATCH(166,'Output Utente'!$R$2:$R$492,0)),"")</f>
        <v/>
      </c>
      <c r="V169" t="str">
        <f>IFERROR(INDEX('Output Utente'!$M$2:$M$492,MATCH(166,'Output Utente'!$R$2:$R$492,0)),"")</f>
        <v/>
      </c>
      <c r="W169" t="str">
        <f t="shared" si="2"/>
        <v/>
      </c>
      <c r="X169" t="str">
        <f>IFERROR(INDEX('Output Utente'!$AF$2:$AF$492,MATCH(166,'Output Utente'!$R$2:$R$492,0)),"")</f>
        <v/>
      </c>
    </row>
    <row r="170" spans="1:24" ht="15" customHeight="1" x14ac:dyDescent="0.25">
      <c r="A170" s="26">
        <v>167</v>
      </c>
      <c r="B170" s="23" t="str">
        <f>IFERROR(INDEX('Output Utente'!$A$2:$A$492,MATCH(167,'Output Utente'!$R$2:$R$492,0)),"")</f>
        <v/>
      </c>
      <c r="C170" s="23" t="str">
        <f>IFERROR(INDEX('Output Utente'!$B$2:$B$492,MATCH(167,'Output Utente'!$R$2:$R$492,0)),"")</f>
        <v/>
      </c>
      <c r="D170" s="23" t="str">
        <f>IFERROR(INDEX('Output Utente'!$C$2:$C$492,MATCH(167,'Output Utente'!$R$2:$R$492,0)),"")</f>
        <v/>
      </c>
      <c r="E170" s="23" t="str">
        <f>IFERROR(INDEX('Input Giocatori 2026_27'!$D$3:$D$493,MATCH($B170,'Input Giocatori 2026_27'!$A$3:$A$493,0)),"")</f>
        <v/>
      </c>
      <c r="F170" s="24" t="str">
        <f>IFERROR(INDEX('Output Utente'!$N$2:$N$492,MATCH(167,'Output Utente'!$R$2:$R$492,0)),"")</f>
        <v/>
      </c>
      <c r="G170" s="23" t="str">
        <f>IFERROR(INDEX('Output Utente'!$O$2:$O$492,MATCH(167,'Output Utente'!$R$2:$R$492,0)),"")</f>
        <v/>
      </c>
      <c r="H170" s="23" t="str">
        <f>IFERROR(INDEX('Output Utente'!$P$2:$P$492,MATCH(167,'Output Utente'!$R$2:$R$492,0)),"")</f>
        <v/>
      </c>
      <c r="I170" s="24" t="str">
        <f>IFERROR(INDEX('Output Utente'!$F$2:$F$492,MATCH(167,'Output Utente'!$R$2:$R$492,0)),"")</f>
        <v/>
      </c>
      <c r="J170" s="24" t="str">
        <f>IFERROR(INDEX('Output Utente'!$G$2:$G$492,MATCH(167,'Output Utente'!$R$2:$R$492,0)),"")</f>
        <v/>
      </c>
      <c r="K170" s="24" t="str">
        <f>IFERROR(INDEX('Output Utente'!$H$2:$H$492,MATCH(167,'Output Utente'!$R$2:$R$492,0)),"")</f>
        <v/>
      </c>
      <c r="L170" s="23" t="str">
        <f>IFERROR(INDEX('Output Utente'!$E$2:$E$492,MATCH(167,'Output Utente'!$R$2:$R$492,0)),"")</f>
        <v/>
      </c>
      <c r="V170" t="str">
        <f>IFERROR(INDEX('Output Utente'!$M$2:$M$492,MATCH(167,'Output Utente'!$R$2:$R$492,0)),"")</f>
        <v/>
      </c>
      <c r="W170" t="str">
        <f t="shared" si="2"/>
        <v/>
      </c>
      <c r="X170" t="str">
        <f>IFERROR(INDEX('Output Utente'!$AF$2:$AF$492,MATCH(167,'Output Utente'!$R$2:$R$492,0)),"")</f>
        <v/>
      </c>
    </row>
    <row r="171" spans="1:24" ht="15" customHeight="1" x14ac:dyDescent="0.25">
      <c r="A171" s="26">
        <v>168</v>
      </c>
      <c r="B171" s="23" t="str">
        <f>IFERROR(INDEX('Output Utente'!$A$2:$A$492,MATCH(168,'Output Utente'!$R$2:$R$492,0)),"")</f>
        <v/>
      </c>
      <c r="C171" s="23" t="str">
        <f>IFERROR(INDEX('Output Utente'!$B$2:$B$492,MATCH(168,'Output Utente'!$R$2:$R$492,0)),"")</f>
        <v/>
      </c>
      <c r="D171" s="23" t="str">
        <f>IFERROR(INDEX('Output Utente'!$C$2:$C$492,MATCH(168,'Output Utente'!$R$2:$R$492,0)),"")</f>
        <v/>
      </c>
      <c r="E171" s="23" t="str">
        <f>IFERROR(INDEX('Input Giocatori 2026_27'!$D$3:$D$493,MATCH($B171,'Input Giocatori 2026_27'!$A$3:$A$493,0)),"")</f>
        <v/>
      </c>
      <c r="F171" s="24" t="str">
        <f>IFERROR(INDEX('Output Utente'!$N$2:$N$492,MATCH(168,'Output Utente'!$R$2:$R$492,0)),"")</f>
        <v/>
      </c>
      <c r="G171" s="23" t="str">
        <f>IFERROR(INDEX('Output Utente'!$O$2:$O$492,MATCH(168,'Output Utente'!$R$2:$R$492,0)),"")</f>
        <v/>
      </c>
      <c r="H171" s="23" t="str">
        <f>IFERROR(INDEX('Output Utente'!$P$2:$P$492,MATCH(168,'Output Utente'!$R$2:$R$492,0)),"")</f>
        <v/>
      </c>
      <c r="I171" s="24" t="str">
        <f>IFERROR(INDEX('Output Utente'!$F$2:$F$492,MATCH(168,'Output Utente'!$R$2:$R$492,0)),"")</f>
        <v/>
      </c>
      <c r="J171" s="24" t="str">
        <f>IFERROR(INDEX('Output Utente'!$G$2:$G$492,MATCH(168,'Output Utente'!$R$2:$R$492,0)),"")</f>
        <v/>
      </c>
      <c r="K171" s="24" t="str">
        <f>IFERROR(INDEX('Output Utente'!$H$2:$H$492,MATCH(168,'Output Utente'!$R$2:$R$492,0)),"")</f>
        <v/>
      </c>
      <c r="L171" s="23" t="str">
        <f>IFERROR(INDEX('Output Utente'!$E$2:$E$492,MATCH(168,'Output Utente'!$R$2:$R$492,0)),"")</f>
        <v/>
      </c>
      <c r="V171" t="str">
        <f>IFERROR(INDEX('Output Utente'!$M$2:$M$492,MATCH(168,'Output Utente'!$R$2:$R$492,0)),"")</f>
        <v/>
      </c>
      <c r="W171" t="str">
        <f t="shared" si="2"/>
        <v/>
      </c>
      <c r="X171" t="str">
        <f>IFERROR(INDEX('Output Utente'!$AF$2:$AF$492,MATCH(168,'Output Utente'!$R$2:$R$492,0)),"")</f>
        <v/>
      </c>
    </row>
    <row r="172" spans="1:24" ht="15" customHeight="1" x14ac:dyDescent="0.25">
      <c r="A172" s="26">
        <v>169</v>
      </c>
      <c r="B172" s="23" t="str">
        <f>IFERROR(INDEX('Output Utente'!$A$2:$A$492,MATCH(169,'Output Utente'!$R$2:$R$492,0)),"")</f>
        <v/>
      </c>
      <c r="C172" s="23" t="str">
        <f>IFERROR(INDEX('Output Utente'!$B$2:$B$492,MATCH(169,'Output Utente'!$R$2:$R$492,0)),"")</f>
        <v/>
      </c>
      <c r="D172" s="23" t="str">
        <f>IFERROR(INDEX('Output Utente'!$C$2:$C$492,MATCH(169,'Output Utente'!$R$2:$R$492,0)),"")</f>
        <v/>
      </c>
      <c r="E172" s="23" t="str">
        <f>IFERROR(INDEX('Input Giocatori 2026_27'!$D$3:$D$493,MATCH($B172,'Input Giocatori 2026_27'!$A$3:$A$493,0)),"")</f>
        <v/>
      </c>
      <c r="F172" s="24" t="str">
        <f>IFERROR(INDEX('Output Utente'!$N$2:$N$492,MATCH(169,'Output Utente'!$R$2:$R$492,0)),"")</f>
        <v/>
      </c>
      <c r="G172" s="23" t="str">
        <f>IFERROR(INDEX('Output Utente'!$O$2:$O$492,MATCH(169,'Output Utente'!$R$2:$R$492,0)),"")</f>
        <v/>
      </c>
      <c r="H172" s="23" t="str">
        <f>IFERROR(INDEX('Output Utente'!$P$2:$P$492,MATCH(169,'Output Utente'!$R$2:$R$492,0)),"")</f>
        <v/>
      </c>
      <c r="I172" s="24" t="str">
        <f>IFERROR(INDEX('Output Utente'!$F$2:$F$492,MATCH(169,'Output Utente'!$R$2:$R$492,0)),"")</f>
        <v/>
      </c>
      <c r="J172" s="24" t="str">
        <f>IFERROR(INDEX('Output Utente'!$G$2:$G$492,MATCH(169,'Output Utente'!$R$2:$R$492,0)),"")</f>
        <v/>
      </c>
      <c r="K172" s="24" t="str">
        <f>IFERROR(INDEX('Output Utente'!$H$2:$H$492,MATCH(169,'Output Utente'!$R$2:$R$492,0)),"")</f>
        <v/>
      </c>
      <c r="L172" s="23" t="str">
        <f>IFERROR(INDEX('Output Utente'!$E$2:$E$492,MATCH(169,'Output Utente'!$R$2:$R$492,0)),"")</f>
        <v/>
      </c>
      <c r="V172" t="str">
        <f>IFERROR(INDEX('Output Utente'!$M$2:$M$492,MATCH(169,'Output Utente'!$R$2:$R$492,0)),"")</f>
        <v/>
      </c>
      <c r="W172" t="str">
        <f t="shared" si="2"/>
        <v/>
      </c>
      <c r="X172" t="str">
        <f>IFERROR(INDEX('Output Utente'!$AF$2:$AF$492,MATCH(169,'Output Utente'!$R$2:$R$492,0)),"")</f>
        <v/>
      </c>
    </row>
    <row r="173" spans="1:24" ht="15" customHeight="1" x14ac:dyDescent="0.25">
      <c r="A173" s="26">
        <v>170</v>
      </c>
      <c r="B173" s="23" t="str">
        <f>IFERROR(INDEX('Output Utente'!$A$2:$A$492,MATCH(170,'Output Utente'!$R$2:$R$492,0)),"")</f>
        <v/>
      </c>
      <c r="C173" s="23" t="str">
        <f>IFERROR(INDEX('Output Utente'!$B$2:$B$492,MATCH(170,'Output Utente'!$R$2:$R$492,0)),"")</f>
        <v/>
      </c>
      <c r="D173" s="23" t="str">
        <f>IFERROR(INDEX('Output Utente'!$C$2:$C$492,MATCH(170,'Output Utente'!$R$2:$R$492,0)),"")</f>
        <v/>
      </c>
      <c r="E173" s="23" t="str">
        <f>IFERROR(INDEX('Input Giocatori 2026_27'!$D$3:$D$493,MATCH($B173,'Input Giocatori 2026_27'!$A$3:$A$493,0)),"")</f>
        <v/>
      </c>
      <c r="F173" s="24" t="str">
        <f>IFERROR(INDEX('Output Utente'!$N$2:$N$492,MATCH(170,'Output Utente'!$R$2:$R$492,0)),"")</f>
        <v/>
      </c>
      <c r="G173" s="23" t="str">
        <f>IFERROR(INDEX('Output Utente'!$O$2:$O$492,MATCH(170,'Output Utente'!$R$2:$R$492,0)),"")</f>
        <v/>
      </c>
      <c r="H173" s="23" t="str">
        <f>IFERROR(INDEX('Output Utente'!$P$2:$P$492,MATCH(170,'Output Utente'!$R$2:$R$492,0)),"")</f>
        <v/>
      </c>
      <c r="I173" s="24" t="str">
        <f>IFERROR(INDEX('Output Utente'!$F$2:$F$492,MATCH(170,'Output Utente'!$R$2:$R$492,0)),"")</f>
        <v/>
      </c>
      <c r="J173" s="24" t="str">
        <f>IFERROR(INDEX('Output Utente'!$G$2:$G$492,MATCH(170,'Output Utente'!$R$2:$R$492,0)),"")</f>
        <v/>
      </c>
      <c r="K173" s="24" t="str">
        <f>IFERROR(INDEX('Output Utente'!$H$2:$H$492,MATCH(170,'Output Utente'!$R$2:$R$492,0)),"")</f>
        <v/>
      </c>
      <c r="L173" s="23" t="str">
        <f>IFERROR(INDEX('Output Utente'!$E$2:$E$492,MATCH(170,'Output Utente'!$R$2:$R$492,0)),"")</f>
        <v/>
      </c>
      <c r="V173" t="str">
        <f>IFERROR(INDEX('Output Utente'!$M$2:$M$492,MATCH(170,'Output Utente'!$R$2:$R$492,0)),"")</f>
        <v/>
      </c>
      <c r="W173" t="str">
        <f t="shared" si="2"/>
        <v/>
      </c>
      <c r="X173" t="str">
        <f>IFERROR(INDEX('Output Utente'!$AF$2:$AF$492,MATCH(170,'Output Utente'!$R$2:$R$492,0)),"")</f>
        <v/>
      </c>
    </row>
    <row r="174" spans="1:24" ht="15" customHeight="1" x14ac:dyDescent="0.25">
      <c r="A174" s="26">
        <v>171</v>
      </c>
      <c r="B174" s="23" t="str">
        <f>IFERROR(INDEX('Output Utente'!$A$2:$A$492,MATCH(171,'Output Utente'!$R$2:$R$492,0)),"")</f>
        <v/>
      </c>
      <c r="C174" s="23" t="str">
        <f>IFERROR(INDEX('Output Utente'!$B$2:$B$492,MATCH(171,'Output Utente'!$R$2:$R$492,0)),"")</f>
        <v/>
      </c>
      <c r="D174" s="23" t="str">
        <f>IFERROR(INDEX('Output Utente'!$C$2:$C$492,MATCH(171,'Output Utente'!$R$2:$R$492,0)),"")</f>
        <v/>
      </c>
      <c r="E174" s="23" t="str">
        <f>IFERROR(INDEX('Input Giocatori 2026_27'!$D$3:$D$493,MATCH($B174,'Input Giocatori 2026_27'!$A$3:$A$493,0)),"")</f>
        <v/>
      </c>
      <c r="F174" s="24" t="str">
        <f>IFERROR(INDEX('Output Utente'!$N$2:$N$492,MATCH(171,'Output Utente'!$R$2:$R$492,0)),"")</f>
        <v/>
      </c>
      <c r="G174" s="23" t="str">
        <f>IFERROR(INDEX('Output Utente'!$O$2:$O$492,MATCH(171,'Output Utente'!$R$2:$R$492,0)),"")</f>
        <v/>
      </c>
      <c r="H174" s="23" t="str">
        <f>IFERROR(INDEX('Output Utente'!$P$2:$P$492,MATCH(171,'Output Utente'!$R$2:$R$492,0)),"")</f>
        <v/>
      </c>
      <c r="I174" s="24" t="str">
        <f>IFERROR(INDEX('Output Utente'!$F$2:$F$492,MATCH(171,'Output Utente'!$R$2:$R$492,0)),"")</f>
        <v/>
      </c>
      <c r="J174" s="24" t="str">
        <f>IFERROR(INDEX('Output Utente'!$G$2:$G$492,MATCH(171,'Output Utente'!$R$2:$R$492,0)),"")</f>
        <v/>
      </c>
      <c r="K174" s="24" t="str">
        <f>IFERROR(INDEX('Output Utente'!$H$2:$H$492,MATCH(171,'Output Utente'!$R$2:$R$492,0)),"")</f>
        <v/>
      </c>
      <c r="L174" s="23" t="str">
        <f>IFERROR(INDEX('Output Utente'!$E$2:$E$492,MATCH(171,'Output Utente'!$R$2:$R$492,0)),"")</f>
        <v/>
      </c>
      <c r="V174" t="str">
        <f>IFERROR(INDEX('Output Utente'!$M$2:$M$492,MATCH(171,'Output Utente'!$R$2:$R$492,0)),"")</f>
        <v/>
      </c>
      <c r="W174" t="str">
        <f t="shared" si="2"/>
        <v/>
      </c>
      <c r="X174" t="str">
        <f>IFERROR(INDEX('Output Utente'!$AF$2:$AF$492,MATCH(171,'Output Utente'!$R$2:$R$492,0)),"")</f>
        <v/>
      </c>
    </row>
    <row r="175" spans="1:24" ht="15" customHeight="1" x14ac:dyDescent="0.25">
      <c r="A175" s="26">
        <v>172</v>
      </c>
      <c r="B175" s="23" t="str">
        <f>IFERROR(INDEX('Output Utente'!$A$2:$A$492,MATCH(172,'Output Utente'!$R$2:$R$492,0)),"")</f>
        <v/>
      </c>
      <c r="C175" s="23" t="str">
        <f>IFERROR(INDEX('Output Utente'!$B$2:$B$492,MATCH(172,'Output Utente'!$R$2:$R$492,0)),"")</f>
        <v/>
      </c>
      <c r="D175" s="23" t="str">
        <f>IFERROR(INDEX('Output Utente'!$C$2:$C$492,MATCH(172,'Output Utente'!$R$2:$R$492,0)),"")</f>
        <v/>
      </c>
      <c r="E175" s="23" t="str">
        <f>IFERROR(INDEX('Input Giocatori 2026_27'!$D$3:$D$493,MATCH($B175,'Input Giocatori 2026_27'!$A$3:$A$493,0)),"")</f>
        <v/>
      </c>
      <c r="F175" s="24" t="str">
        <f>IFERROR(INDEX('Output Utente'!$N$2:$N$492,MATCH(172,'Output Utente'!$R$2:$R$492,0)),"")</f>
        <v/>
      </c>
      <c r="G175" s="23" t="str">
        <f>IFERROR(INDEX('Output Utente'!$O$2:$O$492,MATCH(172,'Output Utente'!$R$2:$R$492,0)),"")</f>
        <v/>
      </c>
      <c r="H175" s="23" t="str">
        <f>IFERROR(INDEX('Output Utente'!$P$2:$P$492,MATCH(172,'Output Utente'!$R$2:$R$492,0)),"")</f>
        <v/>
      </c>
      <c r="I175" s="24" t="str">
        <f>IFERROR(INDEX('Output Utente'!$F$2:$F$492,MATCH(172,'Output Utente'!$R$2:$R$492,0)),"")</f>
        <v/>
      </c>
      <c r="J175" s="24" t="str">
        <f>IFERROR(INDEX('Output Utente'!$G$2:$G$492,MATCH(172,'Output Utente'!$R$2:$R$492,0)),"")</f>
        <v/>
      </c>
      <c r="K175" s="24" t="str">
        <f>IFERROR(INDEX('Output Utente'!$H$2:$H$492,MATCH(172,'Output Utente'!$R$2:$R$492,0)),"")</f>
        <v/>
      </c>
      <c r="L175" s="23" t="str">
        <f>IFERROR(INDEX('Output Utente'!$E$2:$E$492,MATCH(172,'Output Utente'!$R$2:$R$492,0)),"")</f>
        <v/>
      </c>
      <c r="V175" t="str">
        <f>IFERROR(INDEX('Output Utente'!$M$2:$M$492,MATCH(172,'Output Utente'!$R$2:$R$492,0)),"")</f>
        <v/>
      </c>
      <c r="W175" t="str">
        <f t="shared" si="2"/>
        <v/>
      </c>
      <c r="X175" t="str">
        <f>IFERROR(INDEX('Output Utente'!$AF$2:$AF$492,MATCH(172,'Output Utente'!$R$2:$R$492,0)),"")</f>
        <v/>
      </c>
    </row>
    <row r="176" spans="1:24" ht="15" customHeight="1" x14ac:dyDescent="0.25">
      <c r="A176" s="26">
        <v>173</v>
      </c>
      <c r="B176" s="23" t="str">
        <f>IFERROR(INDEX('Output Utente'!$A$2:$A$492,MATCH(173,'Output Utente'!$R$2:$R$492,0)),"")</f>
        <v/>
      </c>
      <c r="C176" s="23" t="str">
        <f>IFERROR(INDEX('Output Utente'!$B$2:$B$492,MATCH(173,'Output Utente'!$R$2:$R$492,0)),"")</f>
        <v/>
      </c>
      <c r="D176" s="23" t="str">
        <f>IFERROR(INDEX('Output Utente'!$C$2:$C$492,MATCH(173,'Output Utente'!$R$2:$R$492,0)),"")</f>
        <v/>
      </c>
      <c r="E176" s="23" t="str">
        <f>IFERROR(INDEX('Input Giocatori 2026_27'!$D$3:$D$493,MATCH($B176,'Input Giocatori 2026_27'!$A$3:$A$493,0)),"")</f>
        <v/>
      </c>
      <c r="F176" s="24" t="str">
        <f>IFERROR(INDEX('Output Utente'!$N$2:$N$492,MATCH(173,'Output Utente'!$R$2:$R$492,0)),"")</f>
        <v/>
      </c>
      <c r="G176" s="23" t="str">
        <f>IFERROR(INDEX('Output Utente'!$O$2:$O$492,MATCH(173,'Output Utente'!$R$2:$R$492,0)),"")</f>
        <v/>
      </c>
      <c r="H176" s="23" t="str">
        <f>IFERROR(INDEX('Output Utente'!$P$2:$P$492,MATCH(173,'Output Utente'!$R$2:$R$492,0)),"")</f>
        <v/>
      </c>
      <c r="I176" s="24" t="str">
        <f>IFERROR(INDEX('Output Utente'!$F$2:$F$492,MATCH(173,'Output Utente'!$R$2:$R$492,0)),"")</f>
        <v/>
      </c>
      <c r="J176" s="24" t="str">
        <f>IFERROR(INDEX('Output Utente'!$G$2:$G$492,MATCH(173,'Output Utente'!$R$2:$R$492,0)),"")</f>
        <v/>
      </c>
      <c r="K176" s="24" t="str">
        <f>IFERROR(INDEX('Output Utente'!$H$2:$H$492,MATCH(173,'Output Utente'!$R$2:$R$492,0)),"")</f>
        <v/>
      </c>
      <c r="L176" s="23" t="str">
        <f>IFERROR(INDEX('Output Utente'!$E$2:$E$492,MATCH(173,'Output Utente'!$R$2:$R$492,0)),"")</f>
        <v/>
      </c>
      <c r="V176" t="str">
        <f>IFERROR(INDEX('Output Utente'!$M$2:$M$492,MATCH(173,'Output Utente'!$R$2:$R$492,0)),"")</f>
        <v/>
      </c>
      <c r="W176" t="str">
        <f t="shared" si="2"/>
        <v/>
      </c>
      <c r="X176" t="str">
        <f>IFERROR(INDEX('Output Utente'!$AF$2:$AF$492,MATCH(173,'Output Utente'!$R$2:$R$492,0)),"")</f>
        <v/>
      </c>
    </row>
    <row r="177" spans="1:24" ht="15" customHeight="1" x14ac:dyDescent="0.25">
      <c r="A177" s="26">
        <v>174</v>
      </c>
      <c r="B177" s="23" t="str">
        <f>IFERROR(INDEX('Output Utente'!$A$2:$A$492,MATCH(174,'Output Utente'!$R$2:$R$492,0)),"")</f>
        <v/>
      </c>
      <c r="C177" s="23" t="str">
        <f>IFERROR(INDEX('Output Utente'!$B$2:$B$492,MATCH(174,'Output Utente'!$R$2:$R$492,0)),"")</f>
        <v/>
      </c>
      <c r="D177" s="23" t="str">
        <f>IFERROR(INDEX('Output Utente'!$C$2:$C$492,MATCH(174,'Output Utente'!$R$2:$R$492,0)),"")</f>
        <v/>
      </c>
      <c r="E177" s="23" t="str">
        <f>IFERROR(INDEX('Input Giocatori 2026_27'!$D$3:$D$493,MATCH($B177,'Input Giocatori 2026_27'!$A$3:$A$493,0)),"")</f>
        <v/>
      </c>
      <c r="F177" s="24" t="str">
        <f>IFERROR(INDEX('Output Utente'!$N$2:$N$492,MATCH(174,'Output Utente'!$R$2:$R$492,0)),"")</f>
        <v/>
      </c>
      <c r="G177" s="23" t="str">
        <f>IFERROR(INDEX('Output Utente'!$O$2:$O$492,MATCH(174,'Output Utente'!$R$2:$R$492,0)),"")</f>
        <v/>
      </c>
      <c r="H177" s="23" t="str">
        <f>IFERROR(INDEX('Output Utente'!$P$2:$P$492,MATCH(174,'Output Utente'!$R$2:$R$492,0)),"")</f>
        <v/>
      </c>
      <c r="I177" s="24" t="str">
        <f>IFERROR(INDEX('Output Utente'!$F$2:$F$492,MATCH(174,'Output Utente'!$R$2:$R$492,0)),"")</f>
        <v/>
      </c>
      <c r="J177" s="24" t="str">
        <f>IFERROR(INDEX('Output Utente'!$G$2:$G$492,MATCH(174,'Output Utente'!$R$2:$R$492,0)),"")</f>
        <v/>
      </c>
      <c r="K177" s="24" t="str">
        <f>IFERROR(INDEX('Output Utente'!$H$2:$H$492,MATCH(174,'Output Utente'!$R$2:$R$492,0)),"")</f>
        <v/>
      </c>
      <c r="L177" s="23" t="str">
        <f>IFERROR(INDEX('Output Utente'!$E$2:$E$492,MATCH(174,'Output Utente'!$R$2:$R$492,0)),"")</f>
        <v/>
      </c>
      <c r="V177" t="str">
        <f>IFERROR(INDEX('Output Utente'!$M$2:$M$492,MATCH(174,'Output Utente'!$R$2:$R$492,0)),"")</f>
        <v/>
      </c>
      <c r="W177" t="str">
        <f t="shared" si="2"/>
        <v/>
      </c>
      <c r="X177" t="str">
        <f>IFERROR(INDEX('Output Utente'!$AF$2:$AF$492,MATCH(174,'Output Utente'!$R$2:$R$492,0)),"")</f>
        <v/>
      </c>
    </row>
    <row r="178" spans="1:24" ht="15" customHeight="1" x14ac:dyDescent="0.25">
      <c r="A178" s="26">
        <v>175</v>
      </c>
      <c r="B178" s="23" t="str">
        <f>IFERROR(INDEX('Output Utente'!$A$2:$A$492,MATCH(175,'Output Utente'!$R$2:$R$492,0)),"")</f>
        <v/>
      </c>
      <c r="C178" s="23" t="str">
        <f>IFERROR(INDEX('Output Utente'!$B$2:$B$492,MATCH(175,'Output Utente'!$R$2:$R$492,0)),"")</f>
        <v/>
      </c>
      <c r="D178" s="23" t="str">
        <f>IFERROR(INDEX('Output Utente'!$C$2:$C$492,MATCH(175,'Output Utente'!$R$2:$R$492,0)),"")</f>
        <v/>
      </c>
      <c r="E178" s="23" t="str">
        <f>IFERROR(INDEX('Input Giocatori 2026_27'!$D$3:$D$493,MATCH($B178,'Input Giocatori 2026_27'!$A$3:$A$493,0)),"")</f>
        <v/>
      </c>
      <c r="F178" s="24" t="str">
        <f>IFERROR(INDEX('Output Utente'!$N$2:$N$492,MATCH(175,'Output Utente'!$R$2:$R$492,0)),"")</f>
        <v/>
      </c>
      <c r="G178" s="23" t="str">
        <f>IFERROR(INDEX('Output Utente'!$O$2:$O$492,MATCH(175,'Output Utente'!$R$2:$R$492,0)),"")</f>
        <v/>
      </c>
      <c r="H178" s="23" t="str">
        <f>IFERROR(INDEX('Output Utente'!$P$2:$P$492,MATCH(175,'Output Utente'!$R$2:$R$492,0)),"")</f>
        <v/>
      </c>
      <c r="I178" s="24" t="str">
        <f>IFERROR(INDEX('Output Utente'!$F$2:$F$492,MATCH(175,'Output Utente'!$R$2:$R$492,0)),"")</f>
        <v/>
      </c>
      <c r="J178" s="24" t="str">
        <f>IFERROR(INDEX('Output Utente'!$G$2:$G$492,MATCH(175,'Output Utente'!$R$2:$R$492,0)),"")</f>
        <v/>
      </c>
      <c r="K178" s="24" t="str">
        <f>IFERROR(INDEX('Output Utente'!$H$2:$H$492,MATCH(175,'Output Utente'!$R$2:$R$492,0)),"")</f>
        <v/>
      </c>
      <c r="L178" s="23" t="str">
        <f>IFERROR(INDEX('Output Utente'!$E$2:$E$492,MATCH(175,'Output Utente'!$R$2:$R$492,0)),"")</f>
        <v/>
      </c>
      <c r="V178" t="str">
        <f>IFERROR(INDEX('Output Utente'!$M$2:$M$492,MATCH(175,'Output Utente'!$R$2:$R$492,0)),"")</f>
        <v/>
      </c>
      <c r="W178" t="str">
        <f t="shared" si="2"/>
        <v/>
      </c>
      <c r="X178" t="str">
        <f>IFERROR(INDEX('Output Utente'!$AF$2:$AF$492,MATCH(175,'Output Utente'!$R$2:$R$492,0)),"")</f>
        <v/>
      </c>
    </row>
    <row r="179" spans="1:24" ht="15" customHeight="1" x14ac:dyDescent="0.25">
      <c r="A179" s="26">
        <v>176</v>
      </c>
      <c r="B179" s="23" t="str">
        <f>IFERROR(INDEX('Output Utente'!$A$2:$A$492,MATCH(176,'Output Utente'!$R$2:$R$492,0)),"")</f>
        <v/>
      </c>
      <c r="C179" s="23" t="str">
        <f>IFERROR(INDEX('Output Utente'!$B$2:$B$492,MATCH(176,'Output Utente'!$R$2:$R$492,0)),"")</f>
        <v/>
      </c>
      <c r="D179" s="23" t="str">
        <f>IFERROR(INDEX('Output Utente'!$C$2:$C$492,MATCH(176,'Output Utente'!$R$2:$R$492,0)),"")</f>
        <v/>
      </c>
      <c r="E179" s="23" t="str">
        <f>IFERROR(INDEX('Input Giocatori 2026_27'!$D$3:$D$493,MATCH($B179,'Input Giocatori 2026_27'!$A$3:$A$493,0)),"")</f>
        <v/>
      </c>
      <c r="F179" s="24" t="str">
        <f>IFERROR(INDEX('Output Utente'!$N$2:$N$492,MATCH(176,'Output Utente'!$R$2:$R$492,0)),"")</f>
        <v/>
      </c>
      <c r="G179" s="23" t="str">
        <f>IFERROR(INDEX('Output Utente'!$O$2:$O$492,MATCH(176,'Output Utente'!$R$2:$R$492,0)),"")</f>
        <v/>
      </c>
      <c r="H179" s="23" t="str">
        <f>IFERROR(INDEX('Output Utente'!$P$2:$P$492,MATCH(176,'Output Utente'!$R$2:$R$492,0)),"")</f>
        <v/>
      </c>
      <c r="I179" s="24" t="str">
        <f>IFERROR(INDEX('Output Utente'!$F$2:$F$492,MATCH(176,'Output Utente'!$R$2:$R$492,0)),"")</f>
        <v/>
      </c>
      <c r="J179" s="24" t="str">
        <f>IFERROR(INDEX('Output Utente'!$G$2:$G$492,MATCH(176,'Output Utente'!$R$2:$R$492,0)),"")</f>
        <v/>
      </c>
      <c r="K179" s="24" t="str">
        <f>IFERROR(INDEX('Output Utente'!$H$2:$H$492,MATCH(176,'Output Utente'!$R$2:$R$492,0)),"")</f>
        <v/>
      </c>
      <c r="L179" s="23" t="str">
        <f>IFERROR(INDEX('Output Utente'!$E$2:$E$492,MATCH(176,'Output Utente'!$R$2:$R$492,0)),"")</f>
        <v/>
      </c>
      <c r="V179" t="str">
        <f>IFERROR(INDEX('Output Utente'!$M$2:$M$492,MATCH(176,'Output Utente'!$R$2:$R$492,0)),"")</f>
        <v/>
      </c>
      <c r="W179" t="str">
        <f t="shared" si="2"/>
        <v/>
      </c>
      <c r="X179" t="str">
        <f>IFERROR(INDEX('Output Utente'!$AF$2:$AF$492,MATCH(176,'Output Utente'!$R$2:$R$492,0)),"")</f>
        <v/>
      </c>
    </row>
    <row r="180" spans="1:24" ht="15" customHeight="1" x14ac:dyDescent="0.25">
      <c r="A180" s="26">
        <v>177</v>
      </c>
      <c r="B180" s="23" t="str">
        <f>IFERROR(INDEX('Output Utente'!$A$2:$A$492,MATCH(177,'Output Utente'!$R$2:$R$492,0)),"")</f>
        <v/>
      </c>
      <c r="C180" s="23" t="str">
        <f>IFERROR(INDEX('Output Utente'!$B$2:$B$492,MATCH(177,'Output Utente'!$R$2:$R$492,0)),"")</f>
        <v/>
      </c>
      <c r="D180" s="23" t="str">
        <f>IFERROR(INDEX('Output Utente'!$C$2:$C$492,MATCH(177,'Output Utente'!$R$2:$R$492,0)),"")</f>
        <v/>
      </c>
      <c r="E180" s="23" t="str">
        <f>IFERROR(INDEX('Input Giocatori 2026_27'!$D$3:$D$493,MATCH($B180,'Input Giocatori 2026_27'!$A$3:$A$493,0)),"")</f>
        <v/>
      </c>
      <c r="F180" s="24" t="str">
        <f>IFERROR(INDEX('Output Utente'!$N$2:$N$492,MATCH(177,'Output Utente'!$R$2:$R$492,0)),"")</f>
        <v/>
      </c>
      <c r="G180" s="23" t="str">
        <f>IFERROR(INDEX('Output Utente'!$O$2:$O$492,MATCH(177,'Output Utente'!$R$2:$R$492,0)),"")</f>
        <v/>
      </c>
      <c r="H180" s="23" t="str">
        <f>IFERROR(INDEX('Output Utente'!$P$2:$P$492,MATCH(177,'Output Utente'!$R$2:$R$492,0)),"")</f>
        <v/>
      </c>
      <c r="I180" s="24" t="str">
        <f>IFERROR(INDEX('Output Utente'!$F$2:$F$492,MATCH(177,'Output Utente'!$R$2:$R$492,0)),"")</f>
        <v/>
      </c>
      <c r="J180" s="24" t="str">
        <f>IFERROR(INDEX('Output Utente'!$G$2:$G$492,MATCH(177,'Output Utente'!$R$2:$R$492,0)),"")</f>
        <v/>
      </c>
      <c r="K180" s="24" t="str">
        <f>IFERROR(INDEX('Output Utente'!$H$2:$H$492,MATCH(177,'Output Utente'!$R$2:$R$492,0)),"")</f>
        <v/>
      </c>
      <c r="L180" s="23" t="str">
        <f>IFERROR(INDEX('Output Utente'!$E$2:$E$492,MATCH(177,'Output Utente'!$R$2:$R$492,0)),"")</f>
        <v/>
      </c>
      <c r="V180" t="str">
        <f>IFERROR(INDEX('Output Utente'!$M$2:$M$492,MATCH(177,'Output Utente'!$R$2:$R$492,0)),"")</f>
        <v/>
      </c>
      <c r="W180" t="str">
        <f t="shared" si="2"/>
        <v/>
      </c>
      <c r="X180" t="str">
        <f>IFERROR(INDEX('Output Utente'!$AF$2:$AF$492,MATCH(177,'Output Utente'!$R$2:$R$492,0)),"")</f>
        <v/>
      </c>
    </row>
    <row r="181" spans="1:24" ht="15" customHeight="1" x14ac:dyDescent="0.25">
      <c r="A181" s="26">
        <v>178</v>
      </c>
      <c r="B181" s="23" t="str">
        <f>IFERROR(INDEX('Output Utente'!$A$2:$A$492,MATCH(178,'Output Utente'!$R$2:$R$492,0)),"")</f>
        <v/>
      </c>
      <c r="C181" s="23" t="str">
        <f>IFERROR(INDEX('Output Utente'!$B$2:$B$492,MATCH(178,'Output Utente'!$R$2:$R$492,0)),"")</f>
        <v/>
      </c>
      <c r="D181" s="23" t="str">
        <f>IFERROR(INDEX('Output Utente'!$C$2:$C$492,MATCH(178,'Output Utente'!$R$2:$R$492,0)),"")</f>
        <v/>
      </c>
      <c r="E181" s="23" t="str">
        <f>IFERROR(INDEX('Input Giocatori 2026_27'!$D$3:$D$493,MATCH($B181,'Input Giocatori 2026_27'!$A$3:$A$493,0)),"")</f>
        <v/>
      </c>
      <c r="F181" s="24" t="str">
        <f>IFERROR(INDEX('Output Utente'!$N$2:$N$492,MATCH(178,'Output Utente'!$R$2:$R$492,0)),"")</f>
        <v/>
      </c>
      <c r="G181" s="23" t="str">
        <f>IFERROR(INDEX('Output Utente'!$O$2:$O$492,MATCH(178,'Output Utente'!$R$2:$R$492,0)),"")</f>
        <v/>
      </c>
      <c r="H181" s="23" t="str">
        <f>IFERROR(INDEX('Output Utente'!$P$2:$P$492,MATCH(178,'Output Utente'!$R$2:$R$492,0)),"")</f>
        <v/>
      </c>
      <c r="I181" s="24" t="str">
        <f>IFERROR(INDEX('Output Utente'!$F$2:$F$492,MATCH(178,'Output Utente'!$R$2:$R$492,0)),"")</f>
        <v/>
      </c>
      <c r="J181" s="24" t="str">
        <f>IFERROR(INDEX('Output Utente'!$G$2:$G$492,MATCH(178,'Output Utente'!$R$2:$R$492,0)),"")</f>
        <v/>
      </c>
      <c r="K181" s="24" t="str">
        <f>IFERROR(INDEX('Output Utente'!$H$2:$H$492,MATCH(178,'Output Utente'!$R$2:$R$492,0)),"")</f>
        <v/>
      </c>
      <c r="L181" s="23" t="str">
        <f>IFERROR(INDEX('Output Utente'!$E$2:$E$492,MATCH(178,'Output Utente'!$R$2:$R$492,0)),"")</f>
        <v/>
      </c>
      <c r="V181" t="str">
        <f>IFERROR(INDEX('Output Utente'!$M$2:$M$492,MATCH(178,'Output Utente'!$R$2:$R$492,0)),"")</f>
        <v/>
      </c>
      <c r="W181" t="str">
        <f t="shared" si="2"/>
        <v/>
      </c>
      <c r="X181" t="str">
        <f>IFERROR(INDEX('Output Utente'!$AF$2:$AF$492,MATCH(178,'Output Utente'!$R$2:$R$492,0)),"")</f>
        <v/>
      </c>
    </row>
    <row r="182" spans="1:24" ht="15" customHeight="1" x14ac:dyDescent="0.25">
      <c r="A182" s="26">
        <v>179</v>
      </c>
      <c r="B182" s="23" t="str">
        <f>IFERROR(INDEX('Output Utente'!$A$2:$A$492,MATCH(179,'Output Utente'!$R$2:$R$492,0)),"")</f>
        <v/>
      </c>
      <c r="C182" s="23" t="str">
        <f>IFERROR(INDEX('Output Utente'!$B$2:$B$492,MATCH(179,'Output Utente'!$R$2:$R$492,0)),"")</f>
        <v/>
      </c>
      <c r="D182" s="23" t="str">
        <f>IFERROR(INDEX('Output Utente'!$C$2:$C$492,MATCH(179,'Output Utente'!$R$2:$R$492,0)),"")</f>
        <v/>
      </c>
      <c r="E182" s="23" t="str">
        <f>IFERROR(INDEX('Input Giocatori 2026_27'!$D$3:$D$493,MATCH($B182,'Input Giocatori 2026_27'!$A$3:$A$493,0)),"")</f>
        <v/>
      </c>
      <c r="F182" s="24" t="str">
        <f>IFERROR(INDEX('Output Utente'!$N$2:$N$492,MATCH(179,'Output Utente'!$R$2:$R$492,0)),"")</f>
        <v/>
      </c>
      <c r="G182" s="23" t="str">
        <f>IFERROR(INDEX('Output Utente'!$O$2:$O$492,MATCH(179,'Output Utente'!$R$2:$R$492,0)),"")</f>
        <v/>
      </c>
      <c r="H182" s="23" t="str">
        <f>IFERROR(INDEX('Output Utente'!$P$2:$P$492,MATCH(179,'Output Utente'!$R$2:$R$492,0)),"")</f>
        <v/>
      </c>
      <c r="I182" s="24" t="str">
        <f>IFERROR(INDEX('Output Utente'!$F$2:$F$492,MATCH(179,'Output Utente'!$R$2:$R$492,0)),"")</f>
        <v/>
      </c>
      <c r="J182" s="24" t="str">
        <f>IFERROR(INDEX('Output Utente'!$G$2:$G$492,MATCH(179,'Output Utente'!$R$2:$R$492,0)),"")</f>
        <v/>
      </c>
      <c r="K182" s="24" t="str">
        <f>IFERROR(INDEX('Output Utente'!$H$2:$H$492,MATCH(179,'Output Utente'!$R$2:$R$492,0)),"")</f>
        <v/>
      </c>
      <c r="L182" s="23" t="str">
        <f>IFERROR(INDEX('Output Utente'!$E$2:$E$492,MATCH(179,'Output Utente'!$R$2:$R$492,0)),"")</f>
        <v/>
      </c>
      <c r="V182" t="str">
        <f>IFERROR(INDEX('Output Utente'!$M$2:$M$492,MATCH(179,'Output Utente'!$R$2:$R$492,0)),"")</f>
        <v/>
      </c>
      <c r="W182" t="str">
        <f t="shared" si="2"/>
        <v/>
      </c>
      <c r="X182" t="str">
        <f>IFERROR(INDEX('Output Utente'!$AF$2:$AF$492,MATCH(179,'Output Utente'!$R$2:$R$492,0)),"")</f>
        <v/>
      </c>
    </row>
    <row r="183" spans="1:24" ht="15" customHeight="1" x14ac:dyDescent="0.25">
      <c r="A183" s="26">
        <v>180</v>
      </c>
      <c r="B183" s="23" t="str">
        <f>IFERROR(INDEX('Output Utente'!$A$2:$A$492,MATCH(180,'Output Utente'!$R$2:$R$492,0)),"")</f>
        <v/>
      </c>
      <c r="C183" s="23" t="str">
        <f>IFERROR(INDEX('Output Utente'!$B$2:$B$492,MATCH(180,'Output Utente'!$R$2:$R$492,0)),"")</f>
        <v/>
      </c>
      <c r="D183" s="23" t="str">
        <f>IFERROR(INDEX('Output Utente'!$C$2:$C$492,MATCH(180,'Output Utente'!$R$2:$R$492,0)),"")</f>
        <v/>
      </c>
      <c r="E183" s="23" t="str">
        <f>IFERROR(INDEX('Input Giocatori 2026_27'!$D$3:$D$493,MATCH($B183,'Input Giocatori 2026_27'!$A$3:$A$493,0)),"")</f>
        <v/>
      </c>
      <c r="F183" s="24" t="str">
        <f>IFERROR(INDEX('Output Utente'!$N$2:$N$492,MATCH(180,'Output Utente'!$R$2:$R$492,0)),"")</f>
        <v/>
      </c>
      <c r="G183" s="23" t="str">
        <f>IFERROR(INDEX('Output Utente'!$O$2:$O$492,MATCH(180,'Output Utente'!$R$2:$R$492,0)),"")</f>
        <v/>
      </c>
      <c r="H183" s="23" t="str">
        <f>IFERROR(INDEX('Output Utente'!$P$2:$P$492,MATCH(180,'Output Utente'!$R$2:$R$492,0)),"")</f>
        <v/>
      </c>
      <c r="I183" s="24" t="str">
        <f>IFERROR(INDEX('Output Utente'!$F$2:$F$492,MATCH(180,'Output Utente'!$R$2:$R$492,0)),"")</f>
        <v/>
      </c>
      <c r="J183" s="24" t="str">
        <f>IFERROR(INDEX('Output Utente'!$G$2:$G$492,MATCH(180,'Output Utente'!$R$2:$R$492,0)),"")</f>
        <v/>
      </c>
      <c r="K183" s="24" t="str">
        <f>IFERROR(INDEX('Output Utente'!$H$2:$H$492,MATCH(180,'Output Utente'!$R$2:$R$492,0)),"")</f>
        <v/>
      </c>
      <c r="L183" s="23" t="str">
        <f>IFERROR(INDEX('Output Utente'!$E$2:$E$492,MATCH(180,'Output Utente'!$R$2:$R$492,0)),"")</f>
        <v/>
      </c>
      <c r="V183" t="str">
        <f>IFERROR(INDEX('Output Utente'!$M$2:$M$492,MATCH(180,'Output Utente'!$R$2:$R$492,0)),"")</f>
        <v/>
      </c>
      <c r="W183" t="str">
        <f t="shared" si="2"/>
        <v/>
      </c>
      <c r="X183" t="str">
        <f>IFERROR(INDEX('Output Utente'!$AF$2:$AF$492,MATCH(180,'Output Utente'!$R$2:$R$492,0)),"")</f>
        <v/>
      </c>
    </row>
    <row r="184" spans="1:24" ht="15" customHeight="1" x14ac:dyDescent="0.25">
      <c r="A184" s="26">
        <v>181</v>
      </c>
      <c r="B184" s="23" t="str">
        <f>IFERROR(INDEX('Output Utente'!$A$2:$A$492,MATCH(181,'Output Utente'!$R$2:$R$492,0)),"")</f>
        <v/>
      </c>
      <c r="C184" s="23" t="str">
        <f>IFERROR(INDEX('Output Utente'!$B$2:$B$492,MATCH(181,'Output Utente'!$R$2:$R$492,0)),"")</f>
        <v/>
      </c>
      <c r="D184" s="23" t="str">
        <f>IFERROR(INDEX('Output Utente'!$C$2:$C$492,MATCH(181,'Output Utente'!$R$2:$R$492,0)),"")</f>
        <v/>
      </c>
      <c r="E184" s="23" t="str">
        <f>IFERROR(INDEX('Input Giocatori 2026_27'!$D$3:$D$493,MATCH($B184,'Input Giocatori 2026_27'!$A$3:$A$493,0)),"")</f>
        <v/>
      </c>
      <c r="F184" s="24" t="str">
        <f>IFERROR(INDEX('Output Utente'!$N$2:$N$492,MATCH(181,'Output Utente'!$R$2:$R$492,0)),"")</f>
        <v/>
      </c>
      <c r="G184" s="23" t="str">
        <f>IFERROR(INDEX('Output Utente'!$O$2:$O$492,MATCH(181,'Output Utente'!$R$2:$R$492,0)),"")</f>
        <v/>
      </c>
      <c r="H184" s="23" t="str">
        <f>IFERROR(INDEX('Output Utente'!$P$2:$P$492,MATCH(181,'Output Utente'!$R$2:$R$492,0)),"")</f>
        <v/>
      </c>
      <c r="I184" s="24" t="str">
        <f>IFERROR(INDEX('Output Utente'!$F$2:$F$492,MATCH(181,'Output Utente'!$R$2:$R$492,0)),"")</f>
        <v/>
      </c>
      <c r="J184" s="24" t="str">
        <f>IFERROR(INDEX('Output Utente'!$G$2:$G$492,MATCH(181,'Output Utente'!$R$2:$R$492,0)),"")</f>
        <v/>
      </c>
      <c r="K184" s="24" t="str">
        <f>IFERROR(INDEX('Output Utente'!$H$2:$H$492,MATCH(181,'Output Utente'!$R$2:$R$492,0)),"")</f>
        <v/>
      </c>
      <c r="L184" s="23" t="str">
        <f>IFERROR(INDEX('Output Utente'!$E$2:$E$492,MATCH(181,'Output Utente'!$R$2:$R$492,0)),"")</f>
        <v/>
      </c>
      <c r="V184" t="str">
        <f>IFERROR(INDEX('Output Utente'!$M$2:$M$492,MATCH(181,'Output Utente'!$R$2:$R$492,0)),"")</f>
        <v/>
      </c>
      <c r="W184" t="str">
        <f t="shared" si="2"/>
        <v/>
      </c>
      <c r="X184" t="str">
        <f>IFERROR(INDEX('Output Utente'!$AF$2:$AF$492,MATCH(181,'Output Utente'!$R$2:$R$492,0)),"")</f>
        <v/>
      </c>
    </row>
    <row r="185" spans="1:24" ht="15" customHeight="1" x14ac:dyDescent="0.25">
      <c r="A185" s="26">
        <v>182</v>
      </c>
      <c r="B185" s="23" t="str">
        <f>IFERROR(INDEX('Output Utente'!$A$2:$A$492,MATCH(182,'Output Utente'!$R$2:$R$492,0)),"")</f>
        <v/>
      </c>
      <c r="C185" s="23" t="str">
        <f>IFERROR(INDEX('Output Utente'!$B$2:$B$492,MATCH(182,'Output Utente'!$R$2:$R$492,0)),"")</f>
        <v/>
      </c>
      <c r="D185" s="23" t="str">
        <f>IFERROR(INDEX('Output Utente'!$C$2:$C$492,MATCH(182,'Output Utente'!$R$2:$R$492,0)),"")</f>
        <v/>
      </c>
      <c r="E185" s="23" t="str">
        <f>IFERROR(INDEX('Input Giocatori 2026_27'!$D$3:$D$493,MATCH($B185,'Input Giocatori 2026_27'!$A$3:$A$493,0)),"")</f>
        <v/>
      </c>
      <c r="F185" s="24" t="str">
        <f>IFERROR(INDEX('Output Utente'!$N$2:$N$492,MATCH(182,'Output Utente'!$R$2:$R$492,0)),"")</f>
        <v/>
      </c>
      <c r="G185" s="23" t="str">
        <f>IFERROR(INDEX('Output Utente'!$O$2:$O$492,MATCH(182,'Output Utente'!$R$2:$R$492,0)),"")</f>
        <v/>
      </c>
      <c r="H185" s="23" t="str">
        <f>IFERROR(INDEX('Output Utente'!$P$2:$P$492,MATCH(182,'Output Utente'!$R$2:$R$492,0)),"")</f>
        <v/>
      </c>
      <c r="I185" s="24" t="str">
        <f>IFERROR(INDEX('Output Utente'!$F$2:$F$492,MATCH(182,'Output Utente'!$R$2:$R$492,0)),"")</f>
        <v/>
      </c>
      <c r="J185" s="24" t="str">
        <f>IFERROR(INDEX('Output Utente'!$G$2:$G$492,MATCH(182,'Output Utente'!$R$2:$R$492,0)),"")</f>
        <v/>
      </c>
      <c r="K185" s="24" t="str">
        <f>IFERROR(INDEX('Output Utente'!$H$2:$H$492,MATCH(182,'Output Utente'!$R$2:$R$492,0)),"")</f>
        <v/>
      </c>
      <c r="L185" s="23" t="str">
        <f>IFERROR(INDEX('Output Utente'!$E$2:$E$492,MATCH(182,'Output Utente'!$R$2:$R$492,0)),"")</f>
        <v/>
      </c>
      <c r="V185" t="str">
        <f>IFERROR(INDEX('Output Utente'!$M$2:$M$492,MATCH(182,'Output Utente'!$R$2:$R$492,0)),"")</f>
        <v/>
      </c>
      <c r="W185" t="str">
        <f t="shared" si="2"/>
        <v/>
      </c>
      <c r="X185" t="str">
        <f>IFERROR(INDEX('Output Utente'!$AF$2:$AF$492,MATCH(182,'Output Utente'!$R$2:$R$492,0)),"")</f>
        <v/>
      </c>
    </row>
    <row r="186" spans="1:24" ht="15" customHeight="1" x14ac:dyDescent="0.25">
      <c r="A186" s="26">
        <v>183</v>
      </c>
      <c r="B186" s="23" t="str">
        <f>IFERROR(INDEX('Output Utente'!$A$2:$A$492,MATCH(183,'Output Utente'!$R$2:$R$492,0)),"")</f>
        <v/>
      </c>
      <c r="C186" s="23" t="str">
        <f>IFERROR(INDEX('Output Utente'!$B$2:$B$492,MATCH(183,'Output Utente'!$R$2:$R$492,0)),"")</f>
        <v/>
      </c>
      <c r="D186" s="23" t="str">
        <f>IFERROR(INDEX('Output Utente'!$C$2:$C$492,MATCH(183,'Output Utente'!$R$2:$R$492,0)),"")</f>
        <v/>
      </c>
      <c r="E186" s="23" t="str">
        <f>IFERROR(INDEX('Input Giocatori 2026_27'!$D$3:$D$493,MATCH($B186,'Input Giocatori 2026_27'!$A$3:$A$493,0)),"")</f>
        <v/>
      </c>
      <c r="F186" s="24" t="str">
        <f>IFERROR(INDEX('Output Utente'!$N$2:$N$492,MATCH(183,'Output Utente'!$R$2:$R$492,0)),"")</f>
        <v/>
      </c>
      <c r="G186" s="23" t="str">
        <f>IFERROR(INDEX('Output Utente'!$O$2:$O$492,MATCH(183,'Output Utente'!$R$2:$R$492,0)),"")</f>
        <v/>
      </c>
      <c r="H186" s="23" t="str">
        <f>IFERROR(INDEX('Output Utente'!$P$2:$P$492,MATCH(183,'Output Utente'!$R$2:$R$492,0)),"")</f>
        <v/>
      </c>
      <c r="I186" s="24" t="str">
        <f>IFERROR(INDEX('Output Utente'!$F$2:$F$492,MATCH(183,'Output Utente'!$R$2:$R$492,0)),"")</f>
        <v/>
      </c>
      <c r="J186" s="24" t="str">
        <f>IFERROR(INDEX('Output Utente'!$G$2:$G$492,MATCH(183,'Output Utente'!$R$2:$R$492,0)),"")</f>
        <v/>
      </c>
      <c r="K186" s="24" t="str">
        <f>IFERROR(INDEX('Output Utente'!$H$2:$H$492,MATCH(183,'Output Utente'!$R$2:$R$492,0)),"")</f>
        <v/>
      </c>
      <c r="L186" s="23" t="str">
        <f>IFERROR(INDEX('Output Utente'!$E$2:$E$492,MATCH(183,'Output Utente'!$R$2:$R$492,0)),"")</f>
        <v/>
      </c>
      <c r="V186" t="str">
        <f>IFERROR(INDEX('Output Utente'!$M$2:$M$492,MATCH(183,'Output Utente'!$R$2:$R$492,0)),"")</f>
        <v/>
      </c>
      <c r="W186" t="str">
        <f t="shared" si="2"/>
        <v/>
      </c>
      <c r="X186" t="str">
        <f>IFERROR(INDEX('Output Utente'!$AF$2:$AF$492,MATCH(183,'Output Utente'!$R$2:$R$492,0)),"")</f>
        <v/>
      </c>
    </row>
    <row r="187" spans="1:24" ht="15" customHeight="1" x14ac:dyDescent="0.25">
      <c r="A187" s="26">
        <v>184</v>
      </c>
      <c r="B187" s="23" t="str">
        <f>IFERROR(INDEX('Output Utente'!$A$2:$A$492,MATCH(184,'Output Utente'!$R$2:$R$492,0)),"")</f>
        <v/>
      </c>
      <c r="C187" s="23" t="str">
        <f>IFERROR(INDEX('Output Utente'!$B$2:$B$492,MATCH(184,'Output Utente'!$R$2:$R$492,0)),"")</f>
        <v/>
      </c>
      <c r="D187" s="23" t="str">
        <f>IFERROR(INDEX('Output Utente'!$C$2:$C$492,MATCH(184,'Output Utente'!$R$2:$R$492,0)),"")</f>
        <v/>
      </c>
      <c r="E187" s="23" t="str">
        <f>IFERROR(INDEX('Input Giocatori 2026_27'!$D$3:$D$493,MATCH($B187,'Input Giocatori 2026_27'!$A$3:$A$493,0)),"")</f>
        <v/>
      </c>
      <c r="F187" s="24" t="str">
        <f>IFERROR(INDEX('Output Utente'!$N$2:$N$492,MATCH(184,'Output Utente'!$R$2:$R$492,0)),"")</f>
        <v/>
      </c>
      <c r="G187" s="23" t="str">
        <f>IFERROR(INDEX('Output Utente'!$O$2:$O$492,MATCH(184,'Output Utente'!$R$2:$R$492,0)),"")</f>
        <v/>
      </c>
      <c r="H187" s="23" t="str">
        <f>IFERROR(INDEX('Output Utente'!$P$2:$P$492,MATCH(184,'Output Utente'!$R$2:$R$492,0)),"")</f>
        <v/>
      </c>
      <c r="I187" s="24" t="str">
        <f>IFERROR(INDEX('Output Utente'!$F$2:$F$492,MATCH(184,'Output Utente'!$R$2:$R$492,0)),"")</f>
        <v/>
      </c>
      <c r="J187" s="24" t="str">
        <f>IFERROR(INDEX('Output Utente'!$G$2:$G$492,MATCH(184,'Output Utente'!$R$2:$R$492,0)),"")</f>
        <v/>
      </c>
      <c r="K187" s="24" t="str">
        <f>IFERROR(INDEX('Output Utente'!$H$2:$H$492,MATCH(184,'Output Utente'!$R$2:$R$492,0)),"")</f>
        <v/>
      </c>
      <c r="L187" s="23" t="str">
        <f>IFERROR(INDEX('Output Utente'!$E$2:$E$492,MATCH(184,'Output Utente'!$R$2:$R$492,0)),"")</f>
        <v/>
      </c>
      <c r="V187" t="str">
        <f>IFERROR(INDEX('Output Utente'!$M$2:$M$492,MATCH(184,'Output Utente'!$R$2:$R$492,0)),"")</f>
        <v/>
      </c>
      <c r="W187" t="str">
        <f t="shared" si="2"/>
        <v/>
      </c>
      <c r="X187" t="str">
        <f>IFERROR(INDEX('Output Utente'!$AF$2:$AF$492,MATCH(184,'Output Utente'!$R$2:$R$492,0)),"")</f>
        <v/>
      </c>
    </row>
    <row r="188" spans="1:24" ht="15" customHeight="1" x14ac:dyDescent="0.25">
      <c r="A188" s="26">
        <v>185</v>
      </c>
      <c r="B188" s="23" t="str">
        <f>IFERROR(INDEX('Output Utente'!$A$2:$A$492,MATCH(185,'Output Utente'!$R$2:$R$492,0)),"")</f>
        <v/>
      </c>
      <c r="C188" s="23" t="str">
        <f>IFERROR(INDEX('Output Utente'!$B$2:$B$492,MATCH(185,'Output Utente'!$R$2:$R$492,0)),"")</f>
        <v/>
      </c>
      <c r="D188" s="23" t="str">
        <f>IFERROR(INDEX('Output Utente'!$C$2:$C$492,MATCH(185,'Output Utente'!$R$2:$R$492,0)),"")</f>
        <v/>
      </c>
      <c r="E188" s="23" t="str">
        <f>IFERROR(INDEX('Input Giocatori 2026_27'!$D$3:$D$493,MATCH($B188,'Input Giocatori 2026_27'!$A$3:$A$493,0)),"")</f>
        <v/>
      </c>
      <c r="F188" s="24" t="str">
        <f>IFERROR(INDEX('Output Utente'!$N$2:$N$492,MATCH(185,'Output Utente'!$R$2:$R$492,0)),"")</f>
        <v/>
      </c>
      <c r="G188" s="23" t="str">
        <f>IFERROR(INDEX('Output Utente'!$O$2:$O$492,MATCH(185,'Output Utente'!$R$2:$R$492,0)),"")</f>
        <v/>
      </c>
      <c r="H188" s="23" t="str">
        <f>IFERROR(INDEX('Output Utente'!$P$2:$P$492,MATCH(185,'Output Utente'!$R$2:$R$492,0)),"")</f>
        <v/>
      </c>
      <c r="I188" s="24" t="str">
        <f>IFERROR(INDEX('Output Utente'!$F$2:$F$492,MATCH(185,'Output Utente'!$R$2:$R$492,0)),"")</f>
        <v/>
      </c>
      <c r="J188" s="24" t="str">
        <f>IFERROR(INDEX('Output Utente'!$G$2:$G$492,MATCH(185,'Output Utente'!$R$2:$R$492,0)),"")</f>
        <v/>
      </c>
      <c r="K188" s="24" t="str">
        <f>IFERROR(INDEX('Output Utente'!$H$2:$H$492,MATCH(185,'Output Utente'!$R$2:$R$492,0)),"")</f>
        <v/>
      </c>
      <c r="L188" s="23" t="str">
        <f>IFERROR(INDEX('Output Utente'!$E$2:$E$492,MATCH(185,'Output Utente'!$R$2:$R$492,0)),"")</f>
        <v/>
      </c>
      <c r="V188" t="str">
        <f>IFERROR(INDEX('Output Utente'!$M$2:$M$492,MATCH(185,'Output Utente'!$R$2:$R$492,0)),"")</f>
        <v/>
      </c>
      <c r="W188" t="str">
        <f t="shared" si="2"/>
        <v/>
      </c>
      <c r="X188" t="str">
        <f>IFERROR(INDEX('Output Utente'!$AF$2:$AF$492,MATCH(185,'Output Utente'!$R$2:$R$492,0)),"")</f>
        <v/>
      </c>
    </row>
    <row r="189" spans="1:24" ht="15" customHeight="1" x14ac:dyDescent="0.25">
      <c r="A189" s="26">
        <v>186</v>
      </c>
      <c r="B189" s="23" t="str">
        <f>IFERROR(INDEX('Output Utente'!$A$2:$A$492,MATCH(186,'Output Utente'!$R$2:$R$492,0)),"")</f>
        <v/>
      </c>
      <c r="C189" s="23" t="str">
        <f>IFERROR(INDEX('Output Utente'!$B$2:$B$492,MATCH(186,'Output Utente'!$R$2:$R$492,0)),"")</f>
        <v/>
      </c>
      <c r="D189" s="23" t="str">
        <f>IFERROR(INDEX('Output Utente'!$C$2:$C$492,MATCH(186,'Output Utente'!$R$2:$R$492,0)),"")</f>
        <v/>
      </c>
      <c r="E189" s="23" t="str">
        <f>IFERROR(INDEX('Input Giocatori 2026_27'!$D$3:$D$493,MATCH($B189,'Input Giocatori 2026_27'!$A$3:$A$493,0)),"")</f>
        <v/>
      </c>
      <c r="F189" s="24" t="str">
        <f>IFERROR(INDEX('Output Utente'!$N$2:$N$492,MATCH(186,'Output Utente'!$R$2:$R$492,0)),"")</f>
        <v/>
      </c>
      <c r="G189" s="23" t="str">
        <f>IFERROR(INDEX('Output Utente'!$O$2:$O$492,MATCH(186,'Output Utente'!$R$2:$R$492,0)),"")</f>
        <v/>
      </c>
      <c r="H189" s="23" t="str">
        <f>IFERROR(INDEX('Output Utente'!$P$2:$P$492,MATCH(186,'Output Utente'!$R$2:$R$492,0)),"")</f>
        <v/>
      </c>
      <c r="I189" s="24" t="str">
        <f>IFERROR(INDEX('Output Utente'!$F$2:$F$492,MATCH(186,'Output Utente'!$R$2:$R$492,0)),"")</f>
        <v/>
      </c>
      <c r="J189" s="24" t="str">
        <f>IFERROR(INDEX('Output Utente'!$G$2:$G$492,MATCH(186,'Output Utente'!$R$2:$R$492,0)),"")</f>
        <v/>
      </c>
      <c r="K189" s="24" t="str">
        <f>IFERROR(INDEX('Output Utente'!$H$2:$H$492,MATCH(186,'Output Utente'!$R$2:$R$492,0)),"")</f>
        <v/>
      </c>
      <c r="L189" s="23" t="str">
        <f>IFERROR(INDEX('Output Utente'!$E$2:$E$492,MATCH(186,'Output Utente'!$R$2:$R$492,0)),"")</f>
        <v/>
      </c>
      <c r="V189" t="str">
        <f>IFERROR(INDEX('Output Utente'!$M$2:$M$492,MATCH(186,'Output Utente'!$R$2:$R$492,0)),"")</f>
        <v/>
      </c>
      <c r="W189" t="str">
        <f t="shared" si="2"/>
        <v/>
      </c>
      <c r="X189" t="str">
        <f>IFERROR(INDEX('Output Utente'!$AF$2:$AF$492,MATCH(186,'Output Utente'!$R$2:$R$492,0)),"")</f>
        <v/>
      </c>
    </row>
    <row r="190" spans="1:24" ht="15" customHeight="1" x14ac:dyDescent="0.25">
      <c r="A190" s="26">
        <v>187</v>
      </c>
      <c r="B190" s="23" t="str">
        <f>IFERROR(INDEX('Output Utente'!$A$2:$A$492,MATCH(187,'Output Utente'!$R$2:$R$492,0)),"")</f>
        <v/>
      </c>
      <c r="C190" s="23" t="str">
        <f>IFERROR(INDEX('Output Utente'!$B$2:$B$492,MATCH(187,'Output Utente'!$R$2:$R$492,0)),"")</f>
        <v/>
      </c>
      <c r="D190" s="23" t="str">
        <f>IFERROR(INDEX('Output Utente'!$C$2:$C$492,MATCH(187,'Output Utente'!$R$2:$R$492,0)),"")</f>
        <v/>
      </c>
      <c r="E190" s="23" t="str">
        <f>IFERROR(INDEX('Input Giocatori 2026_27'!$D$3:$D$493,MATCH($B190,'Input Giocatori 2026_27'!$A$3:$A$493,0)),"")</f>
        <v/>
      </c>
      <c r="F190" s="24" t="str">
        <f>IFERROR(INDEX('Output Utente'!$N$2:$N$492,MATCH(187,'Output Utente'!$R$2:$R$492,0)),"")</f>
        <v/>
      </c>
      <c r="G190" s="23" t="str">
        <f>IFERROR(INDEX('Output Utente'!$O$2:$O$492,MATCH(187,'Output Utente'!$R$2:$R$492,0)),"")</f>
        <v/>
      </c>
      <c r="H190" s="23" t="str">
        <f>IFERROR(INDEX('Output Utente'!$P$2:$P$492,MATCH(187,'Output Utente'!$R$2:$R$492,0)),"")</f>
        <v/>
      </c>
      <c r="I190" s="24" t="str">
        <f>IFERROR(INDEX('Output Utente'!$F$2:$F$492,MATCH(187,'Output Utente'!$R$2:$R$492,0)),"")</f>
        <v/>
      </c>
      <c r="J190" s="24" t="str">
        <f>IFERROR(INDEX('Output Utente'!$G$2:$G$492,MATCH(187,'Output Utente'!$R$2:$R$492,0)),"")</f>
        <v/>
      </c>
      <c r="K190" s="24" t="str">
        <f>IFERROR(INDEX('Output Utente'!$H$2:$H$492,MATCH(187,'Output Utente'!$R$2:$R$492,0)),"")</f>
        <v/>
      </c>
      <c r="L190" s="23" t="str">
        <f>IFERROR(INDEX('Output Utente'!$E$2:$E$492,MATCH(187,'Output Utente'!$R$2:$R$492,0)),"")</f>
        <v/>
      </c>
      <c r="V190" t="str">
        <f>IFERROR(INDEX('Output Utente'!$M$2:$M$492,MATCH(187,'Output Utente'!$R$2:$R$492,0)),"")</f>
        <v/>
      </c>
      <c r="W190" t="str">
        <f t="shared" si="2"/>
        <v/>
      </c>
      <c r="X190" t="str">
        <f>IFERROR(INDEX('Output Utente'!$AF$2:$AF$492,MATCH(187,'Output Utente'!$R$2:$R$492,0)),"")</f>
        <v/>
      </c>
    </row>
    <row r="191" spans="1:24" ht="15" customHeight="1" x14ac:dyDescent="0.25">
      <c r="A191" s="26">
        <v>188</v>
      </c>
      <c r="B191" s="23" t="str">
        <f>IFERROR(INDEX('Output Utente'!$A$2:$A$492,MATCH(188,'Output Utente'!$R$2:$R$492,0)),"")</f>
        <v/>
      </c>
      <c r="C191" s="23" t="str">
        <f>IFERROR(INDEX('Output Utente'!$B$2:$B$492,MATCH(188,'Output Utente'!$R$2:$R$492,0)),"")</f>
        <v/>
      </c>
      <c r="D191" s="23" t="str">
        <f>IFERROR(INDEX('Output Utente'!$C$2:$C$492,MATCH(188,'Output Utente'!$R$2:$R$492,0)),"")</f>
        <v/>
      </c>
      <c r="E191" s="23" t="str">
        <f>IFERROR(INDEX('Input Giocatori 2026_27'!$D$3:$D$493,MATCH($B191,'Input Giocatori 2026_27'!$A$3:$A$493,0)),"")</f>
        <v/>
      </c>
      <c r="F191" s="24" t="str">
        <f>IFERROR(INDEX('Output Utente'!$N$2:$N$492,MATCH(188,'Output Utente'!$R$2:$R$492,0)),"")</f>
        <v/>
      </c>
      <c r="G191" s="23" t="str">
        <f>IFERROR(INDEX('Output Utente'!$O$2:$O$492,MATCH(188,'Output Utente'!$R$2:$R$492,0)),"")</f>
        <v/>
      </c>
      <c r="H191" s="23" t="str">
        <f>IFERROR(INDEX('Output Utente'!$P$2:$P$492,MATCH(188,'Output Utente'!$R$2:$R$492,0)),"")</f>
        <v/>
      </c>
      <c r="I191" s="24" t="str">
        <f>IFERROR(INDEX('Output Utente'!$F$2:$F$492,MATCH(188,'Output Utente'!$R$2:$R$492,0)),"")</f>
        <v/>
      </c>
      <c r="J191" s="24" t="str">
        <f>IFERROR(INDEX('Output Utente'!$G$2:$G$492,MATCH(188,'Output Utente'!$R$2:$R$492,0)),"")</f>
        <v/>
      </c>
      <c r="K191" s="24" t="str">
        <f>IFERROR(INDEX('Output Utente'!$H$2:$H$492,MATCH(188,'Output Utente'!$R$2:$R$492,0)),"")</f>
        <v/>
      </c>
      <c r="L191" s="23" t="str">
        <f>IFERROR(INDEX('Output Utente'!$E$2:$E$492,MATCH(188,'Output Utente'!$R$2:$R$492,0)),"")</f>
        <v/>
      </c>
      <c r="V191" t="str">
        <f>IFERROR(INDEX('Output Utente'!$M$2:$M$492,MATCH(188,'Output Utente'!$R$2:$R$492,0)),"")</f>
        <v/>
      </c>
      <c r="W191" t="str">
        <f t="shared" si="2"/>
        <v/>
      </c>
      <c r="X191" t="str">
        <f>IFERROR(INDEX('Output Utente'!$AF$2:$AF$492,MATCH(188,'Output Utente'!$R$2:$R$492,0)),"")</f>
        <v/>
      </c>
    </row>
    <row r="192" spans="1:24" ht="15" customHeight="1" x14ac:dyDescent="0.25">
      <c r="A192" s="26">
        <v>189</v>
      </c>
      <c r="B192" s="23" t="str">
        <f>IFERROR(INDEX('Output Utente'!$A$2:$A$492,MATCH(189,'Output Utente'!$R$2:$R$492,0)),"")</f>
        <v/>
      </c>
      <c r="C192" s="23" t="str">
        <f>IFERROR(INDEX('Output Utente'!$B$2:$B$492,MATCH(189,'Output Utente'!$R$2:$R$492,0)),"")</f>
        <v/>
      </c>
      <c r="D192" s="23" t="str">
        <f>IFERROR(INDEX('Output Utente'!$C$2:$C$492,MATCH(189,'Output Utente'!$R$2:$R$492,0)),"")</f>
        <v/>
      </c>
      <c r="E192" s="23" t="str">
        <f>IFERROR(INDEX('Input Giocatori 2026_27'!$D$3:$D$493,MATCH($B192,'Input Giocatori 2026_27'!$A$3:$A$493,0)),"")</f>
        <v/>
      </c>
      <c r="F192" s="24" t="str">
        <f>IFERROR(INDEX('Output Utente'!$N$2:$N$492,MATCH(189,'Output Utente'!$R$2:$R$492,0)),"")</f>
        <v/>
      </c>
      <c r="G192" s="23" t="str">
        <f>IFERROR(INDEX('Output Utente'!$O$2:$O$492,MATCH(189,'Output Utente'!$R$2:$R$492,0)),"")</f>
        <v/>
      </c>
      <c r="H192" s="23" t="str">
        <f>IFERROR(INDEX('Output Utente'!$P$2:$P$492,MATCH(189,'Output Utente'!$R$2:$R$492,0)),"")</f>
        <v/>
      </c>
      <c r="I192" s="24" t="str">
        <f>IFERROR(INDEX('Output Utente'!$F$2:$F$492,MATCH(189,'Output Utente'!$R$2:$R$492,0)),"")</f>
        <v/>
      </c>
      <c r="J192" s="24" t="str">
        <f>IFERROR(INDEX('Output Utente'!$G$2:$G$492,MATCH(189,'Output Utente'!$R$2:$R$492,0)),"")</f>
        <v/>
      </c>
      <c r="K192" s="24" t="str">
        <f>IFERROR(INDEX('Output Utente'!$H$2:$H$492,MATCH(189,'Output Utente'!$R$2:$R$492,0)),"")</f>
        <v/>
      </c>
      <c r="L192" s="23" t="str">
        <f>IFERROR(INDEX('Output Utente'!$E$2:$E$492,MATCH(189,'Output Utente'!$R$2:$R$492,0)),"")</f>
        <v/>
      </c>
      <c r="V192" t="str">
        <f>IFERROR(INDEX('Output Utente'!$M$2:$M$492,MATCH(189,'Output Utente'!$R$2:$R$492,0)),"")</f>
        <v/>
      </c>
      <c r="W192" t="str">
        <f t="shared" si="2"/>
        <v/>
      </c>
      <c r="X192" t="str">
        <f>IFERROR(INDEX('Output Utente'!$AF$2:$AF$492,MATCH(189,'Output Utente'!$R$2:$R$492,0)),"")</f>
        <v/>
      </c>
    </row>
    <row r="193" spans="1:24" ht="15" customHeight="1" x14ac:dyDescent="0.25">
      <c r="A193" s="26">
        <v>190</v>
      </c>
      <c r="B193" s="23" t="str">
        <f>IFERROR(INDEX('Output Utente'!$A$2:$A$492,MATCH(190,'Output Utente'!$R$2:$R$492,0)),"")</f>
        <v/>
      </c>
      <c r="C193" s="23" t="str">
        <f>IFERROR(INDEX('Output Utente'!$B$2:$B$492,MATCH(190,'Output Utente'!$R$2:$R$492,0)),"")</f>
        <v/>
      </c>
      <c r="D193" s="23" t="str">
        <f>IFERROR(INDEX('Output Utente'!$C$2:$C$492,MATCH(190,'Output Utente'!$R$2:$R$492,0)),"")</f>
        <v/>
      </c>
      <c r="E193" s="23" t="str">
        <f>IFERROR(INDEX('Input Giocatori 2026_27'!$D$3:$D$493,MATCH($B193,'Input Giocatori 2026_27'!$A$3:$A$493,0)),"")</f>
        <v/>
      </c>
      <c r="F193" s="24" t="str">
        <f>IFERROR(INDEX('Output Utente'!$N$2:$N$492,MATCH(190,'Output Utente'!$R$2:$R$492,0)),"")</f>
        <v/>
      </c>
      <c r="G193" s="23" t="str">
        <f>IFERROR(INDEX('Output Utente'!$O$2:$O$492,MATCH(190,'Output Utente'!$R$2:$R$492,0)),"")</f>
        <v/>
      </c>
      <c r="H193" s="23" t="str">
        <f>IFERROR(INDEX('Output Utente'!$P$2:$P$492,MATCH(190,'Output Utente'!$R$2:$R$492,0)),"")</f>
        <v/>
      </c>
      <c r="I193" s="24" t="str">
        <f>IFERROR(INDEX('Output Utente'!$F$2:$F$492,MATCH(190,'Output Utente'!$R$2:$R$492,0)),"")</f>
        <v/>
      </c>
      <c r="J193" s="24" t="str">
        <f>IFERROR(INDEX('Output Utente'!$G$2:$G$492,MATCH(190,'Output Utente'!$R$2:$R$492,0)),"")</f>
        <v/>
      </c>
      <c r="K193" s="24" t="str">
        <f>IFERROR(INDEX('Output Utente'!$H$2:$H$492,MATCH(190,'Output Utente'!$R$2:$R$492,0)),"")</f>
        <v/>
      </c>
      <c r="L193" s="23" t="str">
        <f>IFERROR(INDEX('Output Utente'!$E$2:$E$492,MATCH(190,'Output Utente'!$R$2:$R$492,0)),"")</f>
        <v/>
      </c>
      <c r="V193" t="str">
        <f>IFERROR(INDEX('Output Utente'!$M$2:$M$492,MATCH(190,'Output Utente'!$R$2:$R$492,0)),"")</f>
        <v/>
      </c>
      <c r="W193" t="str">
        <f t="shared" si="2"/>
        <v/>
      </c>
      <c r="X193" t="str">
        <f>IFERROR(INDEX('Output Utente'!$AF$2:$AF$492,MATCH(190,'Output Utente'!$R$2:$R$492,0)),"")</f>
        <v/>
      </c>
    </row>
    <row r="194" spans="1:24" ht="15" customHeight="1" x14ac:dyDescent="0.25">
      <c r="A194" s="26">
        <v>191</v>
      </c>
      <c r="B194" s="23" t="str">
        <f>IFERROR(INDEX('Output Utente'!$A$2:$A$492,MATCH(191,'Output Utente'!$R$2:$R$492,0)),"")</f>
        <v/>
      </c>
      <c r="C194" s="23" t="str">
        <f>IFERROR(INDEX('Output Utente'!$B$2:$B$492,MATCH(191,'Output Utente'!$R$2:$R$492,0)),"")</f>
        <v/>
      </c>
      <c r="D194" s="23" t="str">
        <f>IFERROR(INDEX('Output Utente'!$C$2:$C$492,MATCH(191,'Output Utente'!$R$2:$R$492,0)),"")</f>
        <v/>
      </c>
      <c r="E194" s="23" t="str">
        <f>IFERROR(INDEX('Input Giocatori 2026_27'!$D$3:$D$493,MATCH($B194,'Input Giocatori 2026_27'!$A$3:$A$493,0)),"")</f>
        <v/>
      </c>
      <c r="F194" s="24" t="str">
        <f>IFERROR(INDEX('Output Utente'!$N$2:$N$492,MATCH(191,'Output Utente'!$R$2:$R$492,0)),"")</f>
        <v/>
      </c>
      <c r="G194" s="23" t="str">
        <f>IFERROR(INDEX('Output Utente'!$O$2:$O$492,MATCH(191,'Output Utente'!$R$2:$R$492,0)),"")</f>
        <v/>
      </c>
      <c r="H194" s="23" t="str">
        <f>IFERROR(INDEX('Output Utente'!$P$2:$P$492,MATCH(191,'Output Utente'!$R$2:$R$492,0)),"")</f>
        <v/>
      </c>
      <c r="I194" s="24" t="str">
        <f>IFERROR(INDEX('Output Utente'!$F$2:$F$492,MATCH(191,'Output Utente'!$R$2:$R$492,0)),"")</f>
        <v/>
      </c>
      <c r="J194" s="24" t="str">
        <f>IFERROR(INDEX('Output Utente'!$G$2:$G$492,MATCH(191,'Output Utente'!$R$2:$R$492,0)),"")</f>
        <v/>
      </c>
      <c r="K194" s="24" t="str">
        <f>IFERROR(INDEX('Output Utente'!$H$2:$H$492,MATCH(191,'Output Utente'!$R$2:$R$492,0)),"")</f>
        <v/>
      </c>
      <c r="L194" s="23" t="str">
        <f>IFERROR(INDEX('Output Utente'!$E$2:$E$492,MATCH(191,'Output Utente'!$R$2:$R$492,0)),"")</f>
        <v/>
      </c>
      <c r="V194" t="str">
        <f>IFERROR(INDEX('Output Utente'!$M$2:$M$492,MATCH(191,'Output Utente'!$R$2:$R$492,0)),"")</f>
        <v/>
      </c>
      <c r="W194" t="str">
        <f t="shared" si="2"/>
        <v/>
      </c>
      <c r="X194" t="str">
        <f>IFERROR(INDEX('Output Utente'!$AF$2:$AF$492,MATCH(191,'Output Utente'!$R$2:$R$492,0)),"")</f>
        <v/>
      </c>
    </row>
    <row r="195" spans="1:24" ht="15" customHeight="1" x14ac:dyDescent="0.25">
      <c r="A195" s="26">
        <v>192</v>
      </c>
      <c r="B195" s="23" t="str">
        <f>IFERROR(INDEX('Output Utente'!$A$2:$A$492,MATCH(192,'Output Utente'!$R$2:$R$492,0)),"")</f>
        <v/>
      </c>
      <c r="C195" s="23" t="str">
        <f>IFERROR(INDEX('Output Utente'!$B$2:$B$492,MATCH(192,'Output Utente'!$R$2:$R$492,0)),"")</f>
        <v/>
      </c>
      <c r="D195" s="23" t="str">
        <f>IFERROR(INDEX('Output Utente'!$C$2:$C$492,MATCH(192,'Output Utente'!$R$2:$R$492,0)),"")</f>
        <v/>
      </c>
      <c r="E195" s="23" t="str">
        <f>IFERROR(INDEX('Input Giocatori 2026_27'!$D$3:$D$493,MATCH($B195,'Input Giocatori 2026_27'!$A$3:$A$493,0)),"")</f>
        <v/>
      </c>
      <c r="F195" s="24" t="str">
        <f>IFERROR(INDEX('Output Utente'!$N$2:$N$492,MATCH(192,'Output Utente'!$R$2:$R$492,0)),"")</f>
        <v/>
      </c>
      <c r="G195" s="23" t="str">
        <f>IFERROR(INDEX('Output Utente'!$O$2:$O$492,MATCH(192,'Output Utente'!$R$2:$R$492,0)),"")</f>
        <v/>
      </c>
      <c r="H195" s="23" t="str">
        <f>IFERROR(INDEX('Output Utente'!$P$2:$P$492,MATCH(192,'Output Utente'!$R$2:$R$492,0)),"")</f>
        <v/>
      </c>
      <c r="I195" s="24" t="str">
        <f>IFERROR(INDEX('Output Utente'!$F$2:$F$492,MATCH(192,'Output Utente'!$R$2:$R$492,0)),"")</f>
        <v/>
      </c>
      <c r="J195" s="24" t="str">
        <f>IFERROR(INDEX('Output Utente'!$G$2:$G$492,MATCH(192,'Output Utente'!$R$2:$R$492,0)),"")</f>
        <v/>
      </c>
      <c r="K195" s="24" t="str">
        <f>IFERROR(INDEX('Output Utente'!$H$2:$H$492,MATCH(192,'Output Utente'!$R$2:$R$492,0)),"")</f>
        <v/>
      </c>
      <c r="L195" s="23" t="str">
        <f>IFERROR(INDEX('Output Utente'!$E$2:$E$492,MATCH(192,'Output Utente'!$R$2:$R$492,0)),"")</f>
        <v/>
      </c>
      <c r="V195" t="str">
        <f>IFERROR(INDEX('Output Utente'!$M$2:$M$492,MATCH(192,'Output Utente'!$R$2:$R$492,0)),"")</f>
        <v/>
      </c>
      <c r="W195" t="str">
        <f t="shared" si="2"/>
        <v/>
      </c>
      <c r="X195" t="str">
        <f>IFERROR(INDEX('Output Utente'!$AF$2:$AF$492,MATCH(192,'Output Utente'!$R$2:$R$492,0)),"")</f>
        <v/>
      </c>
    </row>
    <row r="196" spans="1:24" ht="15" customHeight="1" x14ac:dyDescent="0.25">
      <c r="A196" s="26">
        <v>193</v>
      </c>
      <c r="B196" s="23" t="str">
        <f>IFERROR(INDEX('Output Utente'!$A$2:$A$492,MATCH(193,'Output Utente'!$R$2:$R$492,0)),"")</f>
        <v/>
      </c>
      <c r="C196" s="23" t="str">
        <f>IFERROR(INDEX('Output Utente'!$B$2:$B$492,MATCH(193,'Output Utente'!$R$2:$R$492,0)),"")</f>
        <v/>
      </c>
      <c r="D196" s="23" t="str">
        <f>IFERROR(INDEX('Output Utente'!$C$2:$C$492,MATCH(193,'Output Utente'!$R$2:$R$492,0)),"")</f>
        <v/>
      </c>
      <c r="E196" s="23" t="str">
        <f>IFERROR(INDEX('Input Giocatori 2026_27'!$D$3:$D$493,MATCH($B196,'Input Giocatori 2026_27'!$A$3:$A$493,0)),"")</f>
        <v/>
      </c>
      <c r="F196" s="24" t="str">
        <f>IFERROR(INDEX('Output Utente'!$N$2:$N$492,MATCH(193,'Output Utente'!$R$2:$R$492,0)),"")</f>
        <v/>
      </c>
      <c r="G196" s="23" t="str">
        <f>IFERROR(INDEX('Output Utente'!$O$2:$O$492,MATCH(193,'Output Utente'!$R$2:$R$492,0)),"")</f>
        <v/>
      </c>
      <c r="H196" s="23" t="str">
        <f>IFERROR(INDEX('Output Utente'!$P$2:$P$492,MATCH(193,'Output Utente'!$R$2:$R$492,0)),"")</f>
        <v/>
      </c>
      <c r="I196" s="24" t="str">
        <f>IFERROR(INDEX('Output Utente'!$F$2:$F$492,MATCH(193,'Output Utente'!$R$2:$R$492,0)),"")</f>
        <v/>
      </c>
      <c r="J196" s="24" t="str">
        <f>IFERROR(INDEX('Output Utente'!$G$2:$G$492,MATCH(193,'Output Utente'!$R$2:$R$492,0)),"")</f>
        <v/>
      </c>
      <c r="K196" s="24" t="str">
        <f>IFERROR(INDEX('Output Utente'!$H$2:$H$492,MATCH(193,'Output Utente'!$R$2:$R$492,0)),"")</f>
        <v/>
      </c>
      <c r="L196" s="23" t="str">
        <f>IFERROR(INDEX('Output Utente'!$E$2:$E$492,MATCH(193,'Output Utente'!$R$2:$R$492,0)),"")</f>
        <v/>
      </c>
      <c r="V196" t="str">
        <f>IFERROR(INDEX('Output Utente'!$M$2:$M$492,MATCH(193,'Output Utente'!$R$2:$R$492,0)),"")</f>
        <v/>
      </c>
      <c r="W196" t="str">
        <f t="shared" ref="W196:W259" si="3">IF(OR($G196="",$V196=""),"",$G196-$V196)</f>
        <v/>
      </c>
      <c r="X196" t="str">
        <f>IFERROR(INDEX('Output Utente'!$AF$2:$AF$492,MATCH(193,'Output Utente'!$R$2:$R$492,0)),"")</f>
        <v/>
      </c>
    </row>
    <row r="197" spans="1:24" ht="15" customHeight="1" x14ac:dyDescent="0.25">
      <c r="A197" s="26">
        <v>194</v>
      </c>
      <c r="B197" s="23" t="str">
        <f>IFERROR(INDEX('Output Utente'!$A$2:$A$492,MATCH(194,'Output Utente'!$R$2:$R$492,0)),"")</f>
        <v/>
      </c>
      <c r="C197" s="23" t="str">
        <f>IFERROR(INDEX('Output Utente'!$B$2:$B$492,MATCH(194,'Output Utente'!$R$2:$R$492,0)),"")</f>
        <v/>
      </c>
      <c r="D197" s="23" t="str">
        <f>IFERROR(INDEX('Output Utente'!$C$2:$C$492,MATCH(194,'Output Utente'!$R$2:$R$492,0)),"")</f>
        <v/>
      </c>
      <c r="E197" s="23" t="str">
        <f>IFERROR(INDEX('Input Giocatori 2026_27'!$D$3:$D$493,MATCH($B197,'Input Giocatori 2026_27'!$A$3:$A$493,0)),"")</f>
        <v/>
      </c>
      <c r="F197" s="24" t="str">
        <f>IFERROR(INDEX('Output Utente'!$N$2:$N$492,MATCH(194,'Output Utente'!$R$2:$R$492,0)),"")</f>
        <v/>
      </c>
      <c r="G197" s="23" t="str">
        <f>IFERROR(INDEX('Output Utente'!$O$2:$O$492,MATCH(194,'Output Utente'!$R$2:$R$492,0)),"")</f>
        <v/>
      </c>
      <c r="H197" s="23" t="str">
        <f>IFERROR(INDEX('Output Utente'!$P$2:$P$492,MATCH(194,'Output Utente'!$R$2:$R$492,0)),"")</f>
        <v/>
      </c>
      <c r="I197" s="24" t="str">
        <f>IFERROR(INDEX('Output Utente'!$F$2:$F$492,MATCH(194,'Output Utente'!$R$2:$R$492,0)),"")</f>
        <v/>
      </c>
      <c r="J197" s="24" t="str">
        <f>IFERROR(INDEX('Output Utente'!$G$2:$G$492,MATCH(194,'Output Utente'!$R$2:$R$492,0)),"")</f>
        <v/>
      </c>
      <c r="K197" s="24" t="str">
        <f>IFERROR(INDEX('Output Utente'!$H$2:$H$492,MATCH(194,'Output Utente'!$R$2:$R$492,0)),"")</f>
        <v/>
      </c>
      <c r="L197" s="23" t="str">
        <f>IFERROR(INDEX('Output Utente'!$E$2:$E$492,MATCH(194,'Output Utente'!$R$2:$R$492,0)),"")</f>
        <v/>
      </c>
      <c r="V197" t="str">
        <f>IFERROR(INDEX('Output Utente'!$M$2:$M$492,MATCH(194,'Output Utente'!$R$2:$R$492,0)),"")</f>
        <v/>
      </c>
      <c r="W197" t="str">
        <f t="shared" si="3"/>
        <v/>
      </c>
      <c r="X197" t="str">
        <f>IFERROR(INDEX('Output Utente'!$AF$2:$AF$492,MATCH(194,'Output Utente'!$R$2:$R$492,0)),"")</f>
        <v/>
      </c>
    </row>
    <row r="198" spans="1:24" ht="15" customHeight="1" x14ac:dyDescent="0.25">
      <c r="A198" s="26">
        <v>195</v>
      </c>
      <c r="B198" s="23" t="str">
        <f>IFERROR(INDEX('Output Utente'!$A$2:$A$492,MATCH(195,'Output Utente'!$R$2:$R$492,0)),"")</f>
        <v/>
      </c>
      <c r="C198" s="23" t="str">
        <f>IFERROR(INDEX('Output Utente'!$B$2:$B$492,MATCH(195,'Output Utente'!$R$2:$R$492,0)),"")</f>
        <v/>
      </c>
      <c r="D198" s="23" t="str">
        <f>IFERROR(INDEX('Output Utente'!$C$2:$C$492,MATCH(195,'Output Utente'!$R$2:$R$492,0)),"")</f>
        <v/>
      </c>
      <c r="E198" s="23" t="str">
        <f>IFERROR(INDEX('Input Giocatori 2026_27'!$D$3:$D$493,MATCH($B198,'Input Giocatori 2026_27'!$A$3:$A$493,0)),"")</f>
        <v/>
      </c>
      <c r="F198" s="24" t="str">
        <f>IFERROR(INDEX('Output Utente'!$N$2:$N$492,MATCH(195,'Output Utente'!$R$2:$R$492,0)),"")</f>
        <v/>
      </c>
      <c r="G198" s="23" t="str">
        <f>IFERROR(INDEX('Output Utente'!$O$2:$O$492,MATCH(195,'Output Utente'!$R$2:$R$492,0)),"")</f>
        <v/>
      </c>
      <c r="H198" s="23" t="str">
        <f>IFERROR(INDEX('Output Utente'!$P$2:$P$492,MATCH(195,'Output Utente'!$R$2:$R$492,0)),"")</f>
        <v/>
      </c>
      <c r="I198" s="24" t="str">
        <f>IFERROR(INDEX('Output Utente'!$F$2:$F$492,MATCH(195,'Output Utente'!$R$2:$R$492,0)),"")</f>
        <v/>
      </c>
      <c r="J198" s="24" t="str">
        <f>IFERROR(INDEX('Output Utente'!$G$2:$G$492,MATCH(195,'Output Utente'!$R$2:$R$492,0)),"")</f>
        <v/>
      </c>
      <c r="K198" s="24" t="str">
        <f>IFERROR(INDEX('Output Utente'!$H$2:$H$492,MATCH(195,'Output Utente'!$R$2:$R$492,0)),"")</f>
        <v/>
      </c>
      <c r="L198" s="23" t="str">
        <f>IFERROR(INDEX('Output Utente'!$E$2:$E$492,MATCH(195,'Output Utente'!$R$2:$R$492,0)),"")</f>
        <v/>
      </c>
      <c r="V198" t="str">
        <f>IFERROR(INDEX('Output Utente'!$M$2:$M$492,MATCH(195,'Output Utente'!$R$2:$R$492,0)),"")</f>
        <v/>
      </c>
      <c r="W198" t="str">
        <f t="shared" si="3"/>
        <v/>
      </c>
      <c r="X198" t="str">
        <f>IFERROR(INDEX('Output Utente'!$AF$2:$AF$492,MATCH(195,'Output Utente'!$R$2:$R$492,0)),"")</f>
        <v/>
      </c>
    </row>
    <row r="199" spans="1:24" ht="15" customHeight="1" x14ac:dyDescent="0.25">
      <c r="A199" s="26">
        <v>196</v>
      </c>
      <c r="B199" s="23" t="str">
        <f>IFERROR(INDEX('Output Utente'!$A$2:$A$492,MATCH(196,'Output Utente'!$R$2:$R$492,0)),"")</f>
        <v/>
      </c>
      <c r="C199" s="23" t="str">
        <f>IFERROR(INDEX('Output Utente'!$B$2:$B$492,MATCH(196,'Output Utente'!$R$2:$R$492,0)),"")</f>
        <v/>
      </c>
      <c r="D199" s="23" t="str">
        <f>IFERROR(INDEX('Output Utente'!$C$2:$C$492,MATCH(196,'Output Utente'!$R$2:$R$492,0)),"")</f>
        <v/>
      </c>
      <c r="E199" s="23" t="str">
        <f>IFERROR(INDEX('Input Giocatori 2026_27'!$D$3:$D$493,MATCH($B199,'Input Giocatori 2026_27'!$A$3:$A$493,0)),"")</f>
        <v/>
      </c>
      <c r="F199" s="24" t="str">
        <f>IFERROR(INDEX('Output Utente'!$N$2:$N$492,MATCH(196,'Output Utente'!$R$2:$R$492,0)),"")</f>
        <v/>
      </c>
      <c r="G199" s="23" t="str">
        <f>IFERROR(INDEX('Output Utente'!$O$2:$O$492,MATCH(196,'Output Utente'!$R$2:$R$492,0)),"")</f>
        <v/>
      </c>
      <c r="H199" s="23" t="str">
        <f>IFERROR(INDEX('Output Utente'!$P$2:$P$492,MATCH(196,'Output Utente'!$R$2:$R$492,0)),"")</f>
        <v/>
      </c>
      <c r="I199" s="24" t="str">
        <f>IFERROR(INDEX('Output Utente'!$F$2:$F$492,MATCH(196,'Output Utente'!$R$2:$R$492,0)),"")</f>
        <v/>
      </c>
      <c r="J199" s="24" t="str">
        <f>IFERROR(INDEX('Output Utente'!$G$2:$G$492,MATCH(196,'Output Utente'!$R$2:$R$492,0)),"")</f>
        <v/>
      </c>
      <c r="K199" s="24" t="str">
        <f>IFERROR(INDEX('Output Utente'!$H$2:$H$492,MATCH(196,'Output Utente'!$R$2:$R$492,0)),"")</f>
        <v/>
      </c>
      <c r="L199" s="23" t="str">
        <f>IFERROR(INDEX('Output Utente'!$E$2:$E$492,MATCH(196,'Output Utente'!$R$2:$R$492,0)),"")</f>
        <v/>
      </c>
      <c r="V199" t="str">
        <f>IFERROR(INDEX('Output Utente'!$M$2:$M$492,MATCH(196,'Output Utente'!$R$2:$R$492,0)),"")</f>
        <v/>
      </c>
      <c r="W199" t="str">
        <f t="shared" si="3"/>
        <v/>
      </c>
      <c r="X199" t="str">
        <f>IFERROR(INDEX('Output Utente'!$AF$2:$AF$492,MATCH(196,'Output Utente'!$R$2:$R$492,0)),"")</f>
        <v/>
      </c>
    </row>
    <row r="200" spans="1:24" ht="15" customHeight="1" x14ac:dyDescent="0.25">
      <c r="A200" s="26">
        <v>197</v>
      </c>
      <c r="B200" s="23" t="str">
        <f>IFERROR(INDEX('Output Utente'!$A$2:$A$492,MATCH(197,'Output Utente'!$R$2:$R$492,0)),"")</f>
        <v/>
      </c>
      <c r="C200" s="23" t="str">
        <f>IFERROR(INDEX('Output Utente'!$B$2:$B$492,MATCH(197,'Output Utente'!$R$2:$R$492,0)),"")</f>
        <v/>
      </c>
      <c r="D200" s="23" t="str">
        <f>IFERROR(INDEX('Output Utente'!$C$2:$C$492,MATCH(197,'Output Utente'!$R$2:$R$492,0)),"")</f>
        <v/>
      </c>
      <c r="E200" s="23" t="str">
        <f>IFERROR(INDEX('Input Giocatori 2026_27'!$D$3:$D$493,MATCH($B200,'Input Giocatori 2026_27'!$A$3:$A$493,0)),"")</f>
        <v/>
      </c>
      <c r="F200" s="24" t="str">
        <f>IFERROR(INDEX('Output Utente'!$N$2:$N$492,MATCH(197,'Output Utente'!$R$2:$R$492,0)),"")</f>
        <v/>
      </c>
      <c r="G200" s="23" t="str">
        <f>IFERROR(INDEX('Output Utente'!$O$2:$O$492,MATCH(197,'Output Utente'!$R$2:$R$492,0)),"")</f>
        <v/>
      </c>
      <c r="H200" s="23" t="str">
        <f>IFERROR(INDEX('Output Utente'!$P$2:$P$492,MATCH(197,'Output Utente'!$R$2:$R$492,0)),"")</f>
        <v/>
      </c>
      <c r="I200" s="24" t="str">
        <f>IFERROR(INDEX('Output Utente'!$F$2:$F$492,MATCH(197,'Output Utente'!$R$2:$R$492,0)),"")</f>
        <v/>
      </c>
      <c r="J200" s="24" t="str">
        <f>IFERROR(INDEX('Output Utente'!$G$2:$G$492,MATCH(197,'Output Utente'!$R$2:$R$492,0)),"")</f>
        <v/>
      </c>
      <c r="K200" s="24" t="str">
        <f>IFERROR(INDEX('Output Utente'!$H$2:$H$492,MATCH(197,'Output Utente'!$R$2:$R$492,0)),"")</f>
        <v/>
      </c>
      <c r="L200" s="23" t="str">
        <f>IFERROR(INDEX('Output Utente'!$E$2:$E$492,MATCH(197,'Output Utente'!$R$2:$R$492,0)),"")</f>
        <v/>
      </c>
      <c r="V200" t="str">
        <f>IFERROR(INDEX('Output Utente'!$M$2:$M$492,MATCH(197,'Output Utente'!$R$2:$R$492,0)),"")</f>
        <v/>
      </c>
      <c r="W200" t="str">
        <f t="shared" si="3"/>
        <v/>
      </c>
      <c r="X200" t="str">
        <f>IFERROR(INDEX('Output Utente'!$AF$2:$AF$492,MATCH(197,'Output Utente'!$R$2:$R$492,0)),"")</f>
        <v/>
      </c>
    </row>
    <row r="201" spans="1:24" ht="15" customHeight="1" x14ac:dyDescent="0.25">
      <c r="A201" s="26">
        <v>198</v>
      </c>
      <c r="B201" s="23" t="str">
        <f>IFERROR(INDEX('Output Utente'!$A$2:$A$492,MATCH(198,'Output Utente'!$R$2:$R$492,0)),"")</f>
        <v/>
      </c>
      <c r="C201" s="23" t="str">
        <f>IFERROR(INDEX('Output Utente'!$B$2:$B$492,MATCH(198,'Output Utente'!$R$2:$R$492,0)),"")</f>
        <v/>
      </c>
      <c r="D201" s="23" t="str">
        <f>IFERROR(INDEX('Output Utente'!$C$2:$C$492,MATCH(198,'Output Utente'!$R$2:$R$492,0)),"")</f>
        <v/>
      </c>
      <c r="E201" s="23" t="str">
        <f>IFERROR(INDEX('Input Giocatori 2026_27'!$D$3:$D$493,MATCH($B201,'Input Giocatori 2026_27'!$A$3:$A$493,0)),"")</f>
        <v/>
      </c>
      <c r="F201" s="24" t="str">
        <f>IFERROR(INDEX('Output Utente'!$N$2:$N$492,MATCH(198,'Output Utente'!$R$2:$R$492,0)),"")</f>
        <v/>
      </c>
      <c r="G201" s="23" t="str">
        <f>IFERROR(INDEX('Output Utente'!$O$2:$O$492,MATCH(198,'Output Utente'!$R$2:$R$492,0)),"")</f>
        <v/>
      </c>
      <c r="H201" s="23" t="str">
        <f>IFERROR(INDEX('Output Utente'!$P$2:$P$492,MATCH(198,'Output Utente'!$R$2:$R$492,0)),"")</f>
        <v/>
      </c>
      <c r="I201" s="24" t="str">
        <f>IFERROR(INDEX('Output Utente'!$F$2:$F$492,MATCH(198,'Output Utente'!$R$2:$R$492,0)),"")</f>
        <v/>
      </c>
      <c r="J201" s="24" t="str">
        <f>IFERROR(INDEX('Output Utente'!$G$2:$G$492,MATCH(198,'Output Utente'!$R$2:$R$492,0)),"")</f>
        <v/>
      </c>
      <c r="K201" s="24" t="str">
        <f>IFERROR(INDEX('Output Utente'!$H$2:$H$492,MATCH(198,'Output Utente'!$R$2:$R$492,0)),"")</f>
        <v/>
      </c>
      <c r="L201" s="23" t="str">
        <f>IFERROR(INDEX('Output Utente'!$E$2:$E$492,MATCH(198,'Output Utente'!$R$2:$R$492,0)),"")</f>
        <v/>
      </c>
      <c r="V201" t="str">
        <f>IFERROR(INDEX('Output Utente'!$M$2:$M$492,MATCH(198,'Output Utente'!$R$2:$R$492,0)),"")</f>
        <v/>
      </c>
      <c r="W201" t="str">
        <f t="shared" si="3"/>
        <v/>
      </c>
      <c r="X201" t="str">
        <f>IFERROR(INDEX('Output Utente'!$AF$2:$AF$492,MATCH(198,'Output Utente'!$R$2:$R$492,0)),"")</f>
        <v/>
      </c>
    </row>
    <row r="202" spans="1:24" ht="15" customHeight="1" x14ac:dyDescent="0.25">
      <c r="A202" s="26">
        <v>199</v>
      </c>
      <c r="B202" s="23" t="str">
        <f>IFERROR(INDEX('Output Utente'!$A$2:$A$492,MATCH(199,'Output Utente'!$R$2:$R$492,0)),"")</f>
        <v/>
      </c>
      <c r="C202" s="23" t="str">
        <f>IFERROR(INDEX('Output Utente'!$B$2:$B$492,MATCH(199,'Output Utente'!$R$2:$R$492,0)),"")</f>
        <v/>
      </c>
      <c r="D202" s="23" t="str">
        <f>IFERROR(INDEX('Output Utente'!$C$2:$C$492,MATCH(199,'Output Utente'!$R$2:$R$492,0)),"")</f>
        <v/>
      </c>
      <c r="E202" s="23" t="str">
        <f>IFERROR(INDEX('Input Giocatori 2026_27'!$D$3:$D$493,MATCH($B202,'Input Giocatori 2026_27'!$A$3:$A$493,0)),"")</f>
        <v/>
      </c>
      <c r="F202" s="24" t="str">
        <f>IFERROR(INDEX('Output Utente'!$N$2:$N$492,MATCH(199,'Output Utente'!$R$2:$R$492,0)),"")</f>
        <v/>
      </c>
      <c r="G202" s="23" t="str">
        <f>IFERROR(INDEX('Output Utente'!$O$2:$O$492,MATCH(199,'Output Utente'!$R$2:$R$492,0)),"")</f>
        <v/>
      </c>
      <c r="H202" s="23" t="str">
        <f>IFERROR(INDEX('Output Utente'!$P$2:$P$492,MATCH(199,'Output Utente'!$R$2:$R$492,0)),"")</f>
        <v/>
      </c>
      <c r="I202" s="24" t="str">
        <f>IFERROR(INDEX('Output Utente'!$F$2:$F$492,MATCH(199,'Output Utente'!$R$2:$R$492,0)),"")</f>
        <v/>
      </c>
      <c r="J202" s="24" t="str">
        <f>IFERROR(INDEX('Output Utente'!$G$2:$G$492,MATCH(199,'Output Utente'!$R$2:$R$492,0)),"")</f>
        <v/>
      </c>
      <c r="K202" s="24" t="str">
        <f>IFERROR(INDEX('Output Utente'!$H$2:$H$492,MATCH(199,'Output Utente'!$R$2:$R$492,0)),"")</f>
        <v/>
      </c>
      <c r="L202" s="23" t="str">
        <f>IFERROR(INDEX('Output Utente'!$E$2:$E$492,MATCH(199,'Output Utente'!$R$2:$R$492,0)),"")</f>
        <v/>
      </c>
      <c r="V202" t="str">
        <f>IFERROR(INDEX('Output Utente'!$M$2:$M$492,MATCH(199,'Output Utente'!$R$2:$R$492,0)),"")</f>
        <v/>
      </c>
      <c r="W202" t="str">
        <f t="shared" si="3"/>
        <v/>
      </c>
      <c r="X202" t="str">
        <f>IFERROR(INDEX('Output Utente'!$AF$2:$AF$492,MATCH(199,'Output Utente'!$R$2:$R$492,0)),"")</f>
        <v/>
      </c>
    </row>
    <row r="203" spans="1:24" ht="15" customHeight="1" x14ac:dyDescent="0.25">
      <c r="A203" s="26">
        <v>200</v>
      </c>
      <c r="B203" s="23" t="str">
        <f>IFERROR(INDEX('Output Utente'!$A$2:$A$492,MATCH(200,'Output Utente'!$R$2:$R$492,0)),"")</f>
        <v/>
      </c>
      <c r="C203" s="23" t="str">
        <f>IFERROR(INDEX('Output Utente'!$B$2:$B$492,MATCH(200,'Output Utente'!$R$2:$R$492,0)),"")</f>
        <v/>
      </c>
      <c r="D203" s="23" t="str">
        <f>IFERROR(INDEX('Output Utente'!$C$2:$C$492,MATCH(200,'Output Utente'!$R$2:$R$492,0)),"")</f>
        <v/>
      </c>
      <c r="E203" s="23" t="str">
        <f>IFERROR(INDEX('Input Giocatori 2026_27'!$D$3:$D$493,MATCH($B203,'Input Giocatori 2026_27'!$A$3:$A$493,0)),"")</f>
        <v/>
      </c>
      <c r="F203" s="24" t="str">
        <f>IFERROR(INDEX('Output Utente'!$N$2:$N$492,MATCH(200,'Output Utente'!$R$2:$R$492,0)),"")</f>
        <v/>
      </c>
      <c r="G203" s="23" t="str">
        <f>IFERROR(INDEX('Output Utente'!$O$2:$O$492,MATCH(200,'Output Utente'!$R$2:$R$492,0)),"")</f>
        <v/>
      </c>
      <c r="H203" s="23" t="str">
        <f>IFERROR(INDEX('Output Utente'!$P$2:$P$492,MATCH(200,'Output Utente'!$R$2:$R$492,0)),"")</f>
        <v/>
      </c>
      <c r="I203" s="24" t="str">
        <f>IFERROR(INDEX('Output Utente'!$F$2:$F$492,MATCH(200,'Output Utente'!$R$2:$R$492,0)),"")</f>
        <v/>
      </c>
      <c r="J203" s="24" t="str">
        <f>IFERROR(INDEX('Output Utente'!$G$2:$G$492,MATCH(200,'Output Utente'!$R$2:$R$492,0)),"")</f>
        <v/>
      </c>
      <c r="K203" s="24" t="str">
        <f>IFERROR(INDEX('Output Utente'!$H$2:$H$492,MATCH(200,'Output Utente'!$R$2:$R$492,0)),"")</f>
        <v/>
      </c>
      <c r="L203" s="23" t="str">
        <f>IFERROR(INDEX('Output Utente'!$E$2:$E$492,MATCH(200,'Output Utente'!$R$2:$R$492,0)),"")</f>
        <v/>
      </c>
      <c r="V203" t="str">
        <f>IFERROR(INDEX('Output Utente'!$M$2:$M$492,MATCH(200,'Output Utente'!$R$2:$R$492,0)),"")</f>
        <v/>
      </c>
      <c r="W203" t="str">
        <f t="shared" si="3"/>
        <v/>
      </c>
      <c r="X203" t="str">
        <f>IFERROR(INDEX('Output Utente'!$AF$2:$AF$492,MATCH(200,'Output Utente'!$R$2:$R$492,0)),"")</f>
        <v/>
      </c>
    </row>
    <row r="204" spans="1:24" ht="15" customHeight="1" x14ac:dyDescent="0.25">
      <c r="A204" s="26">
        <v>201</v>
      </c>
      <c r="B204" s="23" t="str">
        <f>IFERROR(INDEX('Output Utente'!$A$2:$A$492,MATCH(201,'Output Utente'!$R$2:$R$492,0)),"")</f>
        <v/>
      </c>
      <c r="C204" s="23" t="str">
        <f>IFERROR(INDEX('Output Utente'!$B$2:$B$492,MATCH(201,'Output Utente'!$R$2:$R$492,0)),"")</f>
        <v/>
      </c>
      <c r="D204" s="23" t="str">
        <f>IFERROR(INDEX('Output Utente'!$C$2:$C$492,MATCH(201,'Output Utente'!$R$2:$R$492,0)),"")</f>
        <v/>
      </c>
      <c r="E204" s="23" t="str">
        <f>IFERROR(INDEX('Input Giocatori 2026_27'!$D$3:$D$493,MATCH($B204,'Input Giocatori 2026_27'!$A$3:$A$493,0)),"")</f>
        <v/>
      </c>
      <c r="F204" s="24" t="str">
        <f>IFERROR(INDEX('Output Utente'!$N$2:$N$492,MATCH(201,'Output Utente'!$R$2:$R$492,0)),"")</f>
        <v/>
      </c>
      <c r="G204" s="23" t="str">
        <f>IFERROR(INDEX('Output Utente'!$O$2:$O$492,MATCH(201,'Output Utente'!$R$2:$R$492,0)),"")</f>
        <v/>
      </c>
      <c r="H204" s="23" t="str">
        <f>IFERROR(INDEX('Output Utente'!$P$2:$P$492,MATCH(201,'Output Utente'!$R$2:$R$492,0)),"")</f>
        <v/>
      </c>
      <c r="I204" s="24" t="str">
        <f>IFERROR(INDEX('Output Utente'!$F$2:$F$492,MATCH(201,'Output Utente'!$R$2:$R$492,0)),"")</f>
        <v/>
      </c>
      <c r="J204" s="24" t="str">
        <f>IFERROR(INDEX('Output Utente'!$G$2:$G$492,MATCH(201,'Output Utente'!$R$2:$R$492,0)),"")</f>
        <v/>
      </c>
      <c r="K204" s="24" t="str">
        <f>IFERROR(INDEX('Output Utente'!$H$2:$H$492,MATCH(201,'Output Utente'!$R$2:$R$492,0)),"")</f>
        <v/>
      </c>
      <c r="L204" s="23" t="str">
        <f>IFERROR(INDEX('Output Utente'!$E$2:$E$492,MATCH(201,'Output Utente'!$R$2:$R$492,0)),"")</f>
        <v/>
      </c>
      <c r="V204" t="str">
        <f>IFERROR(INDEX('Output Utente'!$M$2:$M$492,MATCH(201,'Output Utente'!$R$2:$R$492,0)),"")</f>
        <v/>
      </c>
      <c r="W204" t="str">
        <f t="shared" si="3"/>
        <v/>
      </c>
      <c r="X204" t="str">
        <f>IFERROR(INDEX('Output Utente'!$AF$2:$AF$492,MATCH(201,'Output Utente'!$R$2:$R$492,0)),"")</f>
        <v/>
      </c>
    </row>
    <row r="205" spans="1:24" ht="15" customHeight="1" x14ac:dyDescent="0.25">
      <c r="A205" s="26">
        <v>202</v>
      </c>
      <c r="B205" s="23" t="str">
        <f>IFERROR(INDEX('Output Utente'!$A$2:$A$492,MATCH(202,'Output Utente'!$R$2:$R$492,0)),"")</f>
        <v/>
      </c>
      <c r="C205" s="23" t="str">
        <f>IFERROR(INDEX('Output Utente'!$B$2:$B$492,MATCH(202,'Output Utente'!$R$2:$R$492,0)),"")</f>
        <v/>
      </c>
      <c r="D205" s="23" t="str">
        <f>IFERROR(INDEX('Output Utente'!$C$2:$C$492,MATCH(202,'Output Utente'!$R$2:$R$492,0)),"")</f>
        <v/>
      </c>
      <c r="E205" s="23" t="str">
        <f>IFERROR(INDEX('Input Giocatori 2026_27'!$D$3:$D$493,MATCH($B205,'Input Giocatori 2026_27'!$A$3:$A$493,0)),"")</f>
        <v/>
      </c>
      <c r="F205" s="24" t="str">
        <f>IFERROR(INDEX('Output Utente'!$N$2:$N$492,MATCH(202,'Output Utente'!$R$2:$R$492,0)),"")</f>
        <v/>
      </c>
      <c r="G205" s="23" t="str">
        <f>IFERROR(INDEX('Output Utente'!$O$2:$O$492,MATCH(202,'Output Utente'!$R$2:$R$492,0)),"")</f>
        <v/>
      </c>
      <c r="H205" s="23" t="str">
        <f>IFERROR(INDEX('Output Utente'!$P$2:$P$492,MATCH(202,'Output Utente'!$R$2:$R$492,0)),"")</f>
        <v/>
      </c>
      <c r="I205" s="24" t="str">
        <f>IFERROR(INDEX('Output Utente'!$F$2:$F$492,MATCH(202,'Output Utente'!$R$2:$R$492,0)),"")</f>
        <v/>
      </c>
      <c r="J205" s="24" t="str">
        <f>IFERROR(INDEX('Output Utente'!$G$2:$G$492,MATCH(202,'Output Utente'!$R$2:$R$492,0)),"")</f>
        <v/>
      </c>
      <c r="K205" s="24" t="str">
        <f>IFERROR(INDEX('Output Utente'!$H$2:$H$492,MATCH(202,'Output Utente'!$R$2:$R$492,0)),"")</f>
        <v/>
      </c>
      <c r="L205" s="23" t="str">
        <f>IFERROR(INDEX('Output Utente'!$E$2:$E$492,MATCH(202,'Output Utente'!$R$2:$R$492,0)),"")</f>
        <v/>
      </c>
      <c r="V205" t="str">
        <f>IFERROR(INDEX('Output Utente'!$M$2:$M$492,MATCH(202,'Output Utente'!$R$2:$R$492,0)),"")</f>
        <v/>
      </c>
      <c r="W205" t="str">
        <f t="shared" si="3"/>
        <v/>
      </c>
      <c r="X205" t="str">
        <f>IFERROR(INDEX('Output Utente'!$AF$2:$AF$492,MATCH(202,'Output Utente'!$R$2:$R$492,0)),"")</f>
        <v/>
      </c>
    </row>
    <row r="206" spans="1:24" ht="15" customHeight="1" x14ac:dyDescent="0.25">
      <c r="A206" s="26">
        <v>203</v>
      </c>
      <c r="B206" s="23" t="str">
        <f>IFERROR(INDEX('Output Utente'!$A$2:$A$492,MATCH(203,'Output Utente'!$R$2:$R$492,0)),"")</f>
        <v/>
      </c>
      <c r="C206" s="23" t="str">
        <f>IFERROR(INDEX('Output Utente'!$B$2:$B$492,MATCH(203,'Output Utente'!$R$2:$R$492,0)),"")</f>
        <v/>
      </c>
      <c r="D206" s="23" t="str">
        <f>IFERROR(INDEX('Output Utente'!$C$2:$C$492,MATCH(203,'Output Utente'!$R$2:$R$492,0)),"")</f>
        <v/>
      </c>
      <c r="E206" s="23" t="str">
        <f>IFERROR(INDEX('Input Giocatori 2026_27'!$D$3:$D$493,MATCH($B206,'Input Giocatori 2026_27'!$A$3:$A$493,0)),"")</f>
        <v/>
      </c>
      <c r="F206" s="24" t="str">
        <f>IFERROR(INDEX('Output Utente'!$N$2:$N$492,MATCH(203,'Output Utente'!$R$2:$R$492,0)),"")</f>
        <v/>
      </c>
      <c r="G206" s="23" t="str">
        <f>IFERROR(INDEX('Output Utente'!$O$2:$O$492,MATCH(203,'Output Utente'!$R$2:$R$492,0)),"")</f>
        <v/>
      </c>
      <c r="H206" s="23" t="str">
        <f>IFERROR(INDEX('Output Utente'!$P$2:$P$492,MATCH(203,'Output Utente'!$R$2:$R$492,0)),"")</f>
        <v/>
      </c>
      <c r="I206" s="24" t="str">
        <f>IFERROR(INDEX('Output Utente'!$F$2:$F$492,MATCH(203,'Output Utente'!$R$2:$R$492,0)),"")</f>
        <v/>
      </c>
      <c r="J206" s="24" t="str">
        <f>IFERROR(INDEX('Output Utente'!$G$2:$G$492,MATCH(203,'Output Utente'!$R$2:$R$492,0)),"")</f>
        <v/>
      </c>
      <c r="K206" s="24" t="str">
        <f>IFERROR(INDEX('Output Utente'!$H$2:$H$492,MATCH(203,'Output Utente'!$R$2:$R$492,0)),"")</f>
        <v/>
      </c>
      <c r="L206" s="23" t="str">
        <f>IFERROR(INDEX('Output Utente'!$E$2:$E$492,MATCH(203,'Output Utente'!$R$2:$R$492,0)),"")</f>
        <v/>
      </c>
      <c r="V206" t="str">
        <f>IFERROR(INDEX('Output Utente'!$M$2:$M$492,MATCH(203,'Output Utente'!$R$2:$R$492,0)),"")</f>
        <v/>
      </c>
      <c r="W206" t="str">
        <f t="shared" si="3"/>
        <v/>
      </c>
      <c r="X206" t="str">
        <f>IFERROR(INDEX('Output Utente'!$AF$2:$AF$492,MATCH(203,'Output Utente'!$R$2:$R$492,0)),"")</f>
        <v/>
      </c>
    </row>
    <row r="207" spans="1:24" ht="15" customHeight="1" x14ac:dyDescent="0.25">
      <c r="A207" s="26">
        <v>204</v>
      </c>
      <c r="B207" s="23" t="str">
        <f>IFERROR(INDEX('Output Utente'!$A$2:$A$492,MATCH(204,'Output Utente'!$R$2:$R$492,0)),"")</f>
        <v/>
      </c>
      <c r="C207" s="23" t="str">
        <f>IFERROR(INDEX('Output Utente'!$B$2:$B$492,MATCH(204,'Output Utente'!$R$2:$R$492,0)),"")</f>
        <v/>
      </c>
      <c r="D207" s="23" t="str">
        <f>IFERROR(INDEX('Output Utente'!$C$2:$C$492,MATCH(204,'Output Utente'!$R$2:$R$492,0)),"")</f>
        <v/>
      </c>
      <c r="E207" s="23" t="str">
        <f>IFERROR(INDEX('Input Giocatori 2026_27'!$D$3:$D$493,MATCH($B207,'Input Giocatori 2026_27'!$A$3:$A$493,0)),"")</f>
        <v/>
      </c>
      <c r="F207" s="24" t="str">
        <f>IFERROR(INDEX('Output Utente'!$N$2:$N$492,MATCH(204,'Output Utente'!$R$2:$R$492,0)),"")</f>
        <v/>
      </c>
      <c r="G207" s="23" t="str">
        <f>IFERROR(INDEX('Output Utente'!$O$2:$O$492,MATCH(204,'Output Utente'!$R$2:$R$492,0)),"")</f>
        <v/>
      </c>
      <c r="H207" s="23" t="str">
        <f>IFERROR(INDEX('Output Utente'!$P$2:$P$492,MATCH(204,'Output Utente'!$R$2:$R$492,0)),"")</f>
        <v/>
      </c>
      <c r="I207" s="24" t="str">
        <f>IFERROR(INDEX('Output Utente'!$F$2:$F$492,MATCH(204,'Output Utente'!$R$2:$R$492,0)),"")</f>
        <v/>
      </c>
      <c r="J207" s="24" t="str">
        <f>IFERROR(INDEX('Output Utente'!$G$2:$G$492,MATCH(204,'Output Utente'!$R$2:$R$492,0)),"")</f>
        <v/>
      </c>
      <c r="K207" s="24" t="str">
        <f>IFERROR(INDEX('Output Utente'!$H$2:$H$492,MATCH(204,'Output Utente'!$R$2:$R$492,0)),"")</f>
        <v/>
      </c>
      <c r="L207" s="23" t="str">
        <f>IFERROR(INDEX('Output Utente'!$E$2:$E$492,MATCH(204,'Output Utente'!$R$2:$R$492,0)),"")</f>
        <v/>
      </c>
      <c r="V207" t="str">
        <f>IFERROR(INDEX('Output Utente'!$M$2:$M$492,MATCH(204,'Output Utente'!$R$2:$R$492,0)),"")</f>
        <v/>
      </c>
      <c r="W207" t="str">
        <f t="shared" si="3"/>
        <v/>
      </c>
      <c r="X207" t="str">
        <f>IFERROR(INDEX('Output Utente'!$AF$2:$AF$492,MATCH(204,'Output Utente'!$R$2:$R$492,0)),"")</f>
        <v/>
      </c>
    </row>
    <row r="208" spans="1:24" ht="15" customHeight="1" x14ac:dyDescent="0.25">
      <c r="A208" s="26">
        <v>205</v>
      </c>
      <c r="B208" s="23" t="str">
        <f>IFERROR(INDEX('Output Utente'!$A$2:$A$492,MATCH(205,'Output Utente'!$R$2:$R$492,0)),"")</f>
        <v/>
      </c>
      <c r="C208" s="23" t="str">
        <f>IFERROR(INDEX('Output Utente'!$B$2:$B$492,MATCH(205,'Output Utente'!$R$2:$R$492,0)),"")</f>
        <v/>
      </c>
      <c r="D208" s="23" t="str">
        <f>IFERROR(INDEX('Output Utente'!$C$2:$C$492,MATCH(205,'Output Utente'!$R$2:$R$492,0)),"")</f>
        <v/>
      </c>
      <c r="E208" s="23" t="str">
        <f>IFERROR(INDEX('Input Giocatori 2026_27'!$D$3:$D$493,MATCH($B208,'Input Giocatori 2026_27'!$A$3:$A$493,0)),"")</f>
        <v/>
      </c>
      <c r="F208" s="24" t="str">
        <f>IFERROR(INDEX('Output Utente'!$N$2:$N$492,MATCH(205,'Output Utente'!$R$2:$R$492,0)),"")</f>
        <v/>
      </c>
      <c r="G208" s="23" t="str">
        <f>IFERROR(INDEX('Output Utente'!$O$2:$O$492,MATCH(205,'Output Utente'!$R$2:$R$492,0)),"")</f>
        <v/>
      </c>
      <c r="H208" s="23" t="str">
        <f>IFERROR(INDEX('Output Utente'!$P$2:$P$492,MATCH(205,'Output Utente'!$R$2:$R$492,0)),"")</f>
        <v/>
      </c>
      <c r="I208" s="24" t="str">
        <f>IFERROR(INDEX('Output Utente'!$F$2:$F$492,MATCH(205,'Output Utente'!$R$2:$R$492,0)),"")</f>
        <v/>
      </c>
      <c r="J208" s="24" t="str">
        <f>IFERROR(INDEX('Output Utente'!$G$2:$G$492,MATCH(205,'Output Utente'!$R$2:$R$492,0)),"")</f>
        <v/>
      </c>
      <c r="K208" s="24" t="str">
        <f>IFERROR(INDEX('Output Utente'!$H$2:$H$492,MATCH(205,'Output Utente'!$R$2:$R$492,0)),"")</f>
        <v/>
      </c>
      <c r="L208" s="23" t="str">
        <f>IFERROR(INDEX('Output Utente'!$E$2:$E$492,MATCH(205,'Output Utente'!$R$2:$R$492,0)),"")</f>
        <v/>
      </c>
      <c r="V208" t="str">
        <f>IFERROR(INDEX('Output Utente'!$M$2:$M$492,MATCH(205,'Output Utente'!$R$2:$R$492,0)),"")</f>
        <v/>
      </c>
      <c r="W208" t="str">
        <f t="shared" si="3"/>
        <v/>
      </c>
      <c r="X208" t="str">
        <f>IFERROR(INDEX('Output Utente'!$AF$2:$AF$492,MATCH(205,'Output Utente'!$R$2:$R$492,0)),"")</f>
        <v/>
      </c>
    </row>
    <row r="209" spans="1:24" ht="15" customHeight="1" x14ac:dyDescent="0.25">
      <c r="A209" s="26">
        <v>206</v>
      </c>
      <c r="B209" s="23" t="str">
        <f>IFERROR(INDEX('Output Utente'!$A$2:$A$492,MATCH(206,'Output Utente'!$R$2:$R$492,0)),"")</f>
        <v/>
      </c>
      <c r="C209" s="23" t="str">
        <f>IFERROR(INDEX('Output Utente'!$B$2:$B$492,MATCH(206,'Output Utente'!$R$2:$R$492,0)),"")</f>
        <v/>
      </c>
      <c r="D209" s="23" t="str">
        <f>IFERROR(INDEX('Output Utente'!$C$2:$C$492,MATCH(206,'Output Utente'!$R$2:$R$492,0)),"")</f>
        <v/>
      </c>
      <c r="E209" s="23" t="str">
        <f>IFERROR(INDEX('Input Giocatori 2026_27'!$D$3:$D$493,MATCH($B209,'Input Giocatori 2026_27'!$A$3:$A$493,0)),"")</f>
        <v/>
      </c>
      <c r="F209" s="24" t="str">
        <f>IFERROR(INDEX('Output Utente'!$N$2:$N$492,MATCH(206,'Output Utente'!$R$2:$R$492,0)),"")</f>
        <v/>
      </c>
      <c r="G209" s="23" t="str">
        <f>IFERROR(INDEX('Output Utente'!$O$2:$O$492,MATCH(206,'Output Utente'!$R$2:$R$492,0)),"")</f>
        <v/>
      </c>
      <c r="H209" s="23" t="str">
        <f>IFERROR(INDEX('Output Utente'!$P$2:$P$492,MATCH(206,'Output Utente'!$R$2:$R$492,0)),"")</f>
        <v/>
      </c>
      <c r="I209" s="24" t="str">
        <f>IFERROR(INDEX('Output Utente'!$F$2:$F$492,MATCH(206,'Output Utente'!$R$2:$R$492,0)),"")</f>
        <v/>
      </c>
      <c r="J209" s="24" t="str">
        <f>IFERROR(INDEX('Output Utente'!$G$2:$G$492,MATCH(206,'Output Utente'!$R$2:$R$492,0)),"")</f>
        <v/>
      </c>
      <c r="K209" s="24" t="str">
        <f>IFERROR(INDEX('Output Utente'!$H$2:$H$492,MATCH(206,'Output Utente'!$R$2:$R$492,0)),"")</f>
        <v/>
      </c>
      <c r="L209" s="23" t="str">
        <f>IFERROR(INDEX('Output Utente'!$E$2:$E$492,MATCH(206,'Output Utente'!$R$2:$R$492,0)),"")</f>
        <v/>
      </c>
      <c r="V209" t="str">
        <f>IFERROR(INDEX('Output Utente'!$M$2:$M$492,MATCH(206,'Output Utente'!$R$2:$R$492,0)),"")</f>
        <v/>
      </c>
      <c r="W209" t="str">
        <f t="shared" si="3"/>
        <v/>
      </c>
      <c r="X209" t="str">
        <f>IFERROR(INDEX('Output Utente'!$AF$2:$AF$492,MATCH(206,'Output Utente'!$R$2:$R$492,0)),"")</f>
        <v/>
      </c>
    </row>
    <row r="210" spans="1:24" ht="15" customHeight="1" x14ac:dyDescent="0.25">
      <c r="A210" s="26">
        <v>207</v>
      </c>
      <c r="B210" s="23" t="str">
        <f>IFERROR(INDEX('Output Utente'!$A$2:$A$492,MATCH(207,'Output Utente'!$R$2:$R$492,0)),"")</f>
        <v/>
      </c>
      <c r="C210" s="23" t="str">
        <f>IFERROR(INDEX('Output Utente'!$B$2:$B$492,MATCH(207,'Output Utente'!$R$2:$R$492,0)),"")</f>
        <v/>
      </c>
      <c r="D210" s="23" t="str">
        <f>IFERROR(INDEX('Output Utente'!$C$2:$C$492,MATCH(207,'Output Utente'!$R$2:$R$492,0)),"")</f>
        <v/>
      </c>
      <c r="E210" s="23" t="str">
        <f>IFERROR(INDEX('Input Giocatori 2026_27'!$D$3:$D$493,MATCH($B210,'Input Giocatori 2026_27'!$A$3:$A$493,0)),"")</f>
        <v/>
      </c>
      <c r="F210" s="24" t="str">
        <f>IFERROR(INDEX('Output Utente'!$N$2:$N$492,MATCH(207,'Output Utente'!$R$2:$R$492,0)),"")</f>
        <v/>
      </c>
      <c r="G210" s="23" t="str">
        <f>IFERROR(INDEX('Output Utente'!$O$2:$O$492,MATCH(207,'Output Utente'!$R$2:$R$492,0)),"")</f>
        <v/>
      </c>
      <c r="H210" s="23" t="str">
        <f>IFERROR(INDEX('Output Utente'!$P$2:$P$492,MATCH(207,'Output Utente'!$R$2:$R$492,0)),"")</f>
        <v/>
      </c>
      <c r="I210" s="24" t="str">
        <f>IFERROR(INDEX('Output Utente'!$F$2:$F$492,MATCH(207,'Output Utente'!$R$2:$R$492,0)),"")</f>
        <v/>
      </c>
      <c r="J210" s="24" t="str">
        <f>IFERROR(INDEX('Output Utente'!$G$2:$G$492,MATCH(207,'Output Utente'!$R$2:$R$492,0)),"")</f>
        <v/>
      </c>
      <c r="K210" s="24" t="str">
        <f>IFERROR(INDEX('Output Utente'!$H$2:$H$492,MATCH(207,'Output Utente'!$R$2:$R$492,0)),"")</f>
        <v/>
      </c>
      <c r="L210" s="23" t="str">
        <f>IFERROR(INDEX('Output Utente'!$E$2:$E$492,MATCH(207,'Output Utente'!$R$2:$R$492,0)),"")</f>
        <v/>
      </c>
      <c r="V210" t="str">
        <f>IFERROR(INDEX('Output Utente'!$M$2:$M$492,MATCH(207,'Output Utente'!$R$2:$R$492,0)),"")</f>
        <v/>
      </c>
      <c r="W210" t="str">
        <f t="shared" si="3"/>
        <v/>
      </c>
      <c r="X210" t="str">
        <f>IFERROR(INDEX('Output Utente'!$AF$2:$AF$492,MATCH(207,'Output Utente'!$R$2:$R$492,0)),"")</f>
        <v/>
      </c>
    </row>
    <row r="211" spans="1:24" ht="15" customHeight="1" x14ac:dyDescent="0.25">
      <c r="A211" s="26">
        <v>208</v>
      </c>
      <c r="B211" s="23" t="str">
        <f>IFERROR(INDEX('Output Utente'!$A$2:$A$492,MATCH(208,'Output Utente'!$R$2:$R$492,0)),"")</f>
        <v/>
      </c>
      <c r="C211" s="23" t="str">
        <f>IFERROR(INDEX('Output Utente'!$B$2:$B$492,MATCH(208,'Output Utente'!$R$2:$R$492,0)),"")</f>
        <v/>
      </c>
      <c r="D211" s="23" t="str">
        <f>IFERROR(INDEX('Output Utente'!$C$2:$C$492,MATCH(208,'Output Utente'!$R$2:$R$492,0)),"")</f>
        <v/>
      </c>
      <c r="E211" s="23" t="str">
        <f>IFERROR(INDEX('Input Giocatori 2026_27'!$D$3:$D$493,MATCH($B211,'Input Giocatori 2026_27'!$A$3:$A$493,0)),"")</f>
        <v/>
      </c>
      <c r="F211" s="24" t="str">
        <f>IFERROR(INDEX('Output Utente'!$N$2:$N$492,MATCH(208,'Output Utente'!$R$2:$R$492,0)),"")</f>
        <v/>
      </c>
      <c r="G211" s="23" t="str">
        <f>IFERROR(INDEX('Output Utente'!$O$2:$O$492,MATCH(208,'Output Utente'!$R$2:$R$492,0)),"")</f>
        <v/>
      </c>
      <c r="H211" s="23" t="str">
        <f>IFERROR(INDEX('Output Utente'!$P$2:$P$492,MATCH(208,'Output Utente'!$R$2:$R$492,0)),"")</f>
        <v/>
      </c>
      <c r="I211" s="24" t="str">
        <f>IFERROR(INDEX('Output Utente'!$F$2:$F$492,MATCH(208,'Output Utente'!$R$2:$R$492,0)),"")</f>
        <v/>
      </c>
      <c r="J211" s="24" t="str">
        <f>IFERROR(INDEX('Output Utente'!$G$2:$G$492,MATCH(208,'Output Utente'!$R$2:$R$492,0)),"")</f>
        <v/>
      </c>
      <c r="K211" s="24" t="str">
        <f>IFERROR(INDEX('Output Utente'!$H$2:$H$492,MATCH(208,'Output Utente'!$R$2:$R$492,0)),"")</f>
        <v/>
      </c>
      <c r="L211" s="23" t="str">
        <f>IFERROR(INDEX('Output Utente'!$E$2:$E$492,MATCH(208,'Output Utente'!$R$2:$R$492,0)),"")</f>
        <v/>
      </c>
      <c r="V211" t="str">
        <f>IFERROR(INDEX('Output Utente'!$M$2:$M$492,MATCH(208,'Output Utente'!$R$2:$R$492,0)),"")</f>
        <v/>
      </c>
      <c r="W211" t="str">
        <f t="shared" si="3"/>
        <v/>
      </c>
      <c r="X211" t="str">
        <f>IFERROR(INDEX('Output Utente'!$AF$2:$AF$492,MATCH(208,'Output Utente'!$R$2:$R$492,0)),"")</f>
        <v/>
      </c>
    </row>
    <row r="212" spans="1:24" ht="15" customHeight="1" x14ac:dyDescent="0.25">
      <c r="A212" s="26">
        <v>209</v>
      </c>
      <c r="B212" s="23" t="str">
        <f>IFERROR(INDEX('Output Utente'!$A$2:$A$492,MATCH(209,'Output Utente'!$R$2:$R$492,0)),"")</f>
        <v/>
      </c>
      <c r="C212" s="23" t="str">
        <f>IFERROR(INDEX('Output Utente'!$B$2:$B$492,MATCH(209,'Output Utente'!$R$2:$R$492,0)),"")</f>
        <v/>
      </c>
      <c r="D212" s="23" t="str">
        <f>IFERROR(INDEX('Output Utente'!$C$2:$C$492,MATCH(209,'Output Utente'!$R$2:$R$492,0)),"")</f>
        <v/>
      </c>
      <c r="E212" s="23" t="str">
        <f>IFERROR(INDEX('Input Giocatori 2026_27'!$D$3:$D$493,MATCH($B212,'Input Giocatori 2026_27'!$A$3:$A$493,0)),"")</f>
        <v/>
      </c>
      <c r="F212" s="24" t="str">
        <f>IFERROR(INDEX('Output Utente'!$N$2:$N$492,MATCH(209,'Output Utente'!$R$2:$R$492,0)),"")</f>
        <v/>
      </c>
      <c r="G212" s="23" t="str">
        <f>IFERROR(INDEX('Output Utente'!$O$2:$O$492,MATCH(209,'Output Utente'!$R$2:$R$492,0)),"")</f>
        <v/>
      </c>
      <c r="H212" s="23" t="str">
        <f>IFERROR(INDEX('Output Utente'!$P$2:$P$492,MATCH(209,'Output Utente'!$R$2:$R$492,0)),"")</f>
        <v/>
      </c>
      <c r="I212" s="24" t="str">
        <f>IFERROR(INDEX('Output Utente'!$F$2:$F$492,MATCH(209,'Output Utente'!$R$2:$R$492,0)),"")</f>
        <v/>
      </c>
      <c r="J212" s="24" t="str">
        <f>IFERROR(INDEX('Output Utente'!$G$2:$G$492,MATCH(209,'Output Utente'!$R$2:$R$492,0)),"")</f>
        <v/>
      </c>
      <c r="K212" s="24" t="str">
        <f>IFERROR(INDEX('Output Utente'!$H$2:$H$492,MATCH(209,'Output Utente'!$R$2:$R$492,0)),"")</f>
        <v/>
      </c>
      <c r="L212" s="23" t="str">
        <f>IFERROR(INDEX('Output Utente'!$E$2:$E$492,MATCH(209,'Output Utente'!$R$2:$R$492,0)),"")</f>
        <v/>
      </c>
      <c r="V212" t="str">
        <f>IFERROR(INDEX('Output Utente'!$M$2:$M$492,MATCH(209,'Output Utente'!$R$2:$R$492,0)),"")</f>
        <v/>
      </c>
      <c r="W212" t="str">
        <f t="shared" si="3"/>
        <v/>
      </c>
      <c r="X212" t="str">
        <f>IFERROR(INDEX('Output Utente'!$AF$2:$AF$492,MATCH(209,'Output Utente'!$R$2:$R$492,0)),"")</f>
        <v/>
      </c>
    </row>
    <row r="213" spans="1:24" ht="15" customHeight="1" x14ac:dyDescent="0.25">
      <c r="A213" s="26">
        <v>210</v>
      </c>
      <c r="B213" s="23" t="str">
        <f>IFERROR(INDEX('Output Utente'!$A$2:$A$492,MATCH(210,'Output Utente'!$R$2:$R$492,0)),"")</f>
        <v/>
      </c>
      <c r="C213" s="23" t="str">
        <f>IFERROR(INDEX('Output Utente'!$B$2:$B$492,MATCH(210,'Output Utente'!$R$2:$R$492,0)),"")</f>
        <v/>
      </c>
      <c r="D213" s="23" t="str">
        <f>IFERROR(INDEX('Output Utente'!$C$2:$C$492,MATCH(210,'Output Utente'!$R$2:$R$492,0)),"")</f>
        <v/>
      </c>
      <c r="E213" s="23" t="str">
        <f>IFERROR(INDEX('Input Giocatori 2026_27'!$D$3:$D$493,MATCH($B213,'Input Giocatori 2026_27'!$A$3:$A$493,0)),"")</f>
        <v/>
      </c>
      <c r="F213" s="24" t="str">
        <f>IFERROR(INDEX('Output Utente'!$N$2:$N$492,MATCH(210,'Output Utente'!$R$2:$R$492,0)),"")</f>
        <v/>
      </c>
      <c r="G213" s="23" t="str">
        <f>IFERROR(INDEX('Output Utente'!$O$2:$O$492,MATCH(210,'Output Utente'!$R$2:$R$492,0)),"")</f>
        <v/>
      </c>
      <c r="H213" s="23" t="str">
        <f>IFERROR(INDEX('Output Utente'!$P$2:$P$492,MATCH(210,'Output Utente'!$R$2:$R$492,0)),"")</f>
        <v/>
      </c>
      <c r="I213" s="24" t="str">
        <f>IFERROR(INDEX('Output Utente'!$F$2:$F$492,MATCH(210,'Output Utente'!$R$2:$R$492,0)),"")</f>
        <v/>
      </c>
      <c r="J213" s="24" t="str">
        <f>IFERROR(INDEX('Output Utente'!$G$2:$G$492,MATCH(210,'Output Utente'!$R$2:$R$492,0)),"")</f>
        <v/>
      </c>
      <c r="K213" s="24" t="str">
        <f>IFERROR(INDEX('Output Utente'!$H$2:$H$492,MATCH(210,'Output Utente'!$R$2:$R$492,0)),"")</f>
        <v/>
      </c>
      <c r="L213" s="23" t="str">
        <f>IFERROR(INDEX('Output Utente'!$E$2:$E$492,MATCH(210,'Output Utente'!$R$2:$R$492,0)),"")</f>
        <v/>
      </c>
      <c r="V213" t="str">
        <f>IFERROR(INDEX('Output Utente'!$M$2:$M$492,MATCH(210,'Output Utente'!$R$2:$R$492,0)),"")</f>
        <v/>
      </c>
      <c r="W213" t="str">
        <f t="shared" si="3"/>
        <v/>
      </c>
      <c r="X213" t="str">
        <f>IFERROR(INDEX('Output Utente'!$AF$2:$AF$492,MATCH(210,'Output Utente'!$R$2:$R$492,0)),"")</f>
        <v/>
      </c>
    </row>
    <row r="214" spans="1:24" ht="15" customHeight="1" x14ac:dyDescent="0.25">
      <c r="A214" s="26">
        <v>211</v>
      </c>
      <c r="B214" s="23" t="str">
        <f>IFERROR(INDEX('Output Utente'!$A$2:$A$492,MATCH(211,'Output Utente'!$R$2:$R$492,0)),"")</f>
        <v/>
      </c>
      <c r="C214" s="23" t="str">
        <f>IFERROR(INDEX('Output Utente'!$B$2:$B$492,MATCH(211,'Output Utente'!$R$2:$R$492,0)),"")</f>
        <v/>
      </c>
      <c r="D214" s="23" t="str">
        <f>IFERROR(INDEX('Output Utente'!$C$2:$C$492,MATCH(211,'Output Utente'!$R$2:$R$492,0)),"")</f>
        <v/>
      </c>
      <c r="E214" s="23" t="str">
        <f>IFERROR(INDEX('Input Giocatori 2026_27'!$D$3:$D$493,MATCH($B214,'Input Giocatori 2026_27'!$A$3:$A$493,0)),"")</f>
        <v/>
      </c>
      <c r="F214" s="24" t="str">
        <f>IFERROR(INDEX('Output Utente'!$N$2:$N$492,MATCH(211,'Output Utente'!$R$2:$R$492,0)),"")</f>
        <v/>
      </c>
      <c r="G214" s="23" t="str">
        <f>IFERROR(INDEX('Output Utente'!$O$2:$O$492,MATCH(211,'Output Utente'!$R$2:$R$492,0)),"")</f>
        <v/>
      </c>
      <c r="H214" s="23" t="str">
        <f>IFERROR(INDEX('Output Utente'!$P$2:$P$492,MATCH(211,'Output Utente'!$R$2:$R$492,0)),"")</f>
        <v/>
      </c>
      <c r="I214" s="24" t="str">
        <f>IFERROR(INDEX('Output Utente'!$F$2:$F$492,MATCH(211,'Output Utente'!$R$2:$R$492,0)),"")</f>
        <v/>
      </c>
      <c r="J214" s="24" t="str">
        <f>IFERROR(INDEX('Output Utente'!$G$2:$G$492,MATCH(211,'Output Utente'!$R$2:$R$492,0)),"")</f>
        <v/>
      </c>
      <c r="K214" s="24" t="str">
        <f>IFERROR(INDEX('Output Utente'!$H$2:$H$492,MATCH(211,'Output Utente'!$R$2:$R$492,0)),"")</f>
        <v/>
      </c>
      <c r="L214" s="23" t="str">
        <f>IFERROR(INDEX('Output Utente'!$E$2:$E$492,MATCH(211,'Output Utente'!$R$2:$R$492,0)),"")</f>
        <v/>
      </c>
      <c r="V214" t="str">
        <f>IFERROR(INDEX('Output Utente'!$M$2:$M$492,MATCH(211,'Output Utente'!$R$2:$R$492,0)),"")</f>
        <v/>
      </c>
      <c r="W214" t="str">
        <f t="shared" si="3"/>
        <v/>
      </c>
      <c r="X214" t="str">
        <f>IFERROR(INDEX('Output Utente'!$AF$2:$AF$492,MATCH(211,'Output Utente'!$R$2:$R$492,0)),"")</f>
        <v/>
      </c>
    </row>
    <row r="215" spans="1:24" ht="15" customHeight="1" x14ac:dyDescent="0.25">
      <c r="A215" s="26">
        <v>212</v>
      </c>
      <c r="B215" s="23" t="str">
        <f>IFERROR(INDEX('Output Utente'!$A$2:$A$492,MATCH(212,'Output Utente'!$R$2:$R$492,0)),"")</f>
        <v/>
      </c>
      <c r="C215" s="23" t="str">
        <f>IFERROR(INDEX('Output Utente'!$B$2:$B$492,MATCH(212,'Output Utente'!$R$2:$R$492,0)),"")</f>
        <v/>
      </c>
      <c r="D215" s="23" t="str">
        <f>IFERROR(INDEX('Output Utente'!$C$2:$C$492,MATCH(212,'Output Utente'!$R$2:$R$492,0)),"")</f>
        <v/>
      </c>
      <c r="E215" s="23" t="str">
        <f>IFERROR(INDEX('Input Giocatori 2026_27'!$D$3:$D$493,MATCH($B215,'Input Giocatori 2026_27'!$A$3:$A$493,0)),"")</f>
        <v/>
      </c>
      <c r="F215" s="24" t="str">
        <f>IFERROR(INDEX('Output Utente'!$N$2:$N$492,MATCH(212,'Output Utente'!$R$2:$R$492,0)),"")</f>
        <v/>
      </c>
      <c r="G215" s="23" t="str">
        <f>IFERROR(INDEX('Output Utente'!$O$2:$O$492,MATCH(212,'Output Utente'!$R$2:$R$492,0)),"")</f>
        <v/>
      </c>
      <c r="H215" s="23" t="str">
        <f>IFERROR(INDEX('Output Utente'!$P$2:$P$492,MATCH(212,'Output Utente'!$R$2:$R$492,0)),"")</f>
        <v/>
      </c>
      <c r="I215" s="24" t="str">
        <f>IFERROR(INDEX('Output Utente'!$F$2:$F$492,MATCH(212,'Output Utente'!$R$2:$R$492,0)),"")</f>
        <v/>
      </c>
      <c r="J215" s="24" t="str">
        <f>IFERROR(INDEX('Output Utente'!$G$2:$G$492,MATCH(212,'Output Utente'!$R$2:$R$492,0)),"")</f>
        <v/>
      </c>
      <c r="K215" s="24" t="str">
        <f>IFERROR(INDEX('Output Utente'!$H$2:$H$492,MATCH(212,'Output Utente'!$R$2:$R$492,0)),"")</f>
        <v/>
      </c>
      <c r="L215" s="23" t="str">
        <f>IFERROR(INDEX('Output Utente'!$E$2:$E$492,MATCH(212,'Output Utente'!$R$2:$R$492,0)),"")</f>
        <v/>
      </c>
      <c r="V215" t="str">
        <f>IFERROR(INDEX('Output Utente'!$M$2:$M$492,MATCH(212,'Output Utente'!$R$2:$R$492,0)),"")</f>
        <v/>
      </c>
      <c r="W215" t="str">
        <f t="shared" si="3"/>
        <v/>
      </c>
      <c r="X215" t="str">
        <f>IFERROR(INDEX('Output Utente'!$AF$2:$AF$492,MATCH(212,'Output Utente'!$R$2:$R$492,0)),"")</f>
        <v/>
      </c>
    </row>
    <row r="216" spans="1:24" ht="15" customHeight="1" x14ac:dyDescent="0.25">
      <c r="A216" s="26">
        <v>213</v>
      </c>
      <c r="B216" s="23" t="str">
        <f>IFERROR(INDEX('Output Utente'!$A$2:$A$492,MATCH(213,'Output Utente'!$R$2:$R$492,0)),"")</f>
        <v/>
      </c>
      <c r="C216" s="23" t="str">
        <f>IFERROR(INDEX('Output Utente'!$B$2:$B$492,MATCH(213,'Output Utente'!$R$2:$R$492,0)),"")</f>
        <v/>
      </c>
      <c r="D216" s="23" t="str">
        <f>IFERROR(INDEX('Output Utente'!$C$2:$C$492,MATCH(213,'Output Utente'!$R$2:$R$492,0)),"")</f>
        <v/>
      </c>
      <c r="E216" s="23" t="str">
        <f>IFERROR(INDEX('Input Giocatori 2026_27'!$D$3:$D$493,MATCH($B216,'Input Giocatori 2026_27'!$A$3:$A$493,0)),"")</f>
        <v/>
      </c>
      <c r="F216" s="24" t="str">
        <f>IFERROR(INDEX('Output Utente'!$N$2:$N$492,MATCH(213,'Output Utente'!$R$2:$R$492,0)),"")</f>
        <v/>
      </c>
      <c r="G216" s="23" t="str">
        <f>IFERROR(INDEX('Output Utente'!$O$2:$O$492,MATCH(213,'Output Utente'!$R$2:$R$492,0)),"")</f>
        <v/>
      </c>
      <c r="H216" s="23" t="str">
        <f>IFERROR(INDEX('Output Utente'!$P$2:$P$492,MATCH(213,'Output Utente'!$R$2:$R$492,0)),"")</f>
        <v/>
      </c>
      <c r="I216" s="24" t="str">
        <f>IFERROR(INDEX('Output Utente'!$F$2:$F$492,MATCH(213,'Output Utente'!$R$2:$R$492,0)),"")</f>
        <v/>
      </c>
      <c r="J216" s="24" t="str">
        <f>IFERROR(INDEX('Output Utente'!$G$2:$G$492,MATCH(213,'Output Utente'!$R$2:$R$492,0)),"")</f>
        <v/>
      </c>
      <c r="K216" s="24" t="str">
        <f>IFERROR(INDEX('Output Utente'!$H$2:$H$492,MATCH(213,'Output Utente'!$R$2:$R$492,0)),"")</f>
        <v/>
      </c>
      <c r="L216" s="23" t="str">
        <f>IFERROR(INDEX('Output Utente'!$E$2:$E$492,MATCH(213,'Output Utente'!$R$2:$R$492,0)),"")</f>
        <v/>
      </c>
      <c r="V216" t="str">
        <f>IFERROR(INDEX('Output Utente'!$M$2:$M$492,MATCH(213,'Output Utente'!$R$2:$R$492,0)),"")</f>
        <v/>
      </c>
      <c r="W216" t="str">
        <f t="shared" si="3"/>
        <v/>
      </c>
      <c r="X216" t="str">
        <f>IFERROR(INDEX('Output Utente'!$AF$2:$AF$492,MATCH(213,'Output Utente'!$R$2:$R$492,0)),"")</f>
        <v/>
      </c>
    </row>
    <row r="217" spans="1:24" ht="15" customHeight="1" x14ac:dyDescent="0.25">
      <c r="A217" s="26">
        <v>214</v>
      </c>
      <c r="B217" s="23" t="str">
        <f>IFERROR(INDEX('Output Utente'!$A$2:$A$492,MATCH(214,'Output Utente'!$R$2:$R$492,0)),"")</f>
        <v/>
      </c>
      <c r="C217" s="23" t="str">
        <f>IFERROR(INDEX('Output Utente'!$B$2:$B$492,MATCH(214,'Output Utente'!$R$2:$R$492,0)),"")</f>
        <v/>
      </c>
      <c r="D217" s="23" t="str">
        <f>IFERROR(INDEX('Output Utente'!$C$2:$C$492,MATCH(214,'Output Utente'!$R$2:$R$492,0)),"")</f>
        <v/>
      </c>
      <c r="E217" s="23" t="str">
        <f>IFERROR(INDEX('Input Giocatori 2026_27'!$D$3:$D$493,MATCH($B217,'Input Giocatori 2026_27'!$A$3:$A$493,0)),"")</f>
        <v/>
      </c>
      <c r="F217" s="24" t="str">
        <f>IFERROR(INDEX('Output Utente'!$N$2:$N$492,MATCH(214,'Output Utente'!$R$2:$R$492,0)),"")</f>
        <v/>
      </c>
      <c r="G217" s="23" t="str">
        <f>IFERROR(INDEX('Output Utente'!$O$2:$O$492,MATCH(214,'Output Utente'!$R$2:$R$492,0)),"")</f>
        <v/>
      </c>
      <c r="H217" s="23" t="str">
        <f>IFERROR(INDEX('Output Utente'!$P$2:$P$492,MATCH(214,'Output Utente'!$R$2:$R$492,0)),"")</f>
        <v/>
      </c>
      <c r="I217" s="24" t="str">
        <f>IFERROR(INDEX('Output Utente'!$F$2:$F$492,MATCH(214,'Output Utente'!$R$2:$R$492,0)),"")</f>
        <v/>
      </c>
      <c r="J217" s="24" t="str">
        <f>IFERROR(INDEX('Output Utente'!$G$2:$G$492,MATCH(214,'Output Utente'!$R$2:$R$492,0)),"")</f>
        <v/>
      </c>
      <c r="K217" s="24" t="str">
        <f>IFERROR(INDEX('Output Utente'!$H$2:$H$492,MATCH(214,'Output Utente'!$R$2:$R$492,0)),"")</f>
        <v/>
      </c>
      <c r="L217" s="23" t="str">
        <f>IFERROR(INDEX('Output Utente'!$E$2:$E$492,MATCH(214,'Output Utente'!$R$2:$R$492,0)),"")</f>
        <v/>
      </c>
      <c r="V217" t="str">
        <f>IFERROR(INDEX('Output Utente'!$M$2:$M$492,MATCH(214,'Output Utente'!$R$2:$R$492,0)),"")</f>
        <v/>
      </c>
      <c r="W217" t="str">
        <f t="shared" si="3"/>
        <v/>
      </c>
      <c r="X217" t="str">
        <f>IFERROR(INDEX('Output Utente'!$AF$2:$AF$492,MATCH(214,'Output Utente'!$R$2:$R$492,0)),"")</f>
        <v/>
      </c>
    </row>
    <row r="218" spans="1:24" ht="15" customHeight="1" x14ac:dyDescent="0.25">
      <c r="A218" s="26">
        <v>215</v>
      </c>
      <c r="B218" s="23" t="str">
        <f>IFERROR(INDEX('Output Utente'!$A$2:$A$492,MATCH(215,'Output Utente'!$R$2:$R$492,0)),"")</f>
        <v/>
      </c>
      <c r="C218" s="23" t="str">
        <f>IFERROR(INDEX('Output Utente'!$B$2:$B$492,MATCH(215,'Output Utente'!$R$2:$R$492,0)),"")</f>
        <v/>
      </c>
      <c r="D218" s="23" t="str">
        <f>IFERROR(INDEX('Output Utente'!$C$2:$C$492,MATCH(215,'Output Utente'!$R$2:$R$492,0)),"")</f>
        <v/>
      </c>
      <c r="E218" s="23" t="str">
        <f>IFERROR(INDEX('Input Giocatori 2026_27'!$D$3:$D$493,MATCH($B218,'Input Giocatori 2026_27'!$A$3:$A$493,0)),"")</f>
        <v/>
      </c>
      <c r="F218" s="24" t="str">
        <f>IFERROR(INDEX('Output Utente'!$N$2:$N$492,MATCH(215,'Output Utente'!$R$2:$R$492,0)),"")</f>
        <v/>
      </c>
      <c r="G218" s="23" t="str">
        <f>IFERROR(INDEX('Output Utente'!$O$2:$O$492,MATCH(215,'Output Utente'!$R$2:$R$492,0)),"")</f>
        <v/>
      </c>
      <c r="H218" s="23" t="str">
        <f>IFERROR(INDEX('Output Utente'!$P$2:$P$492,MATCH(215,'Output Utente'!$R$2:$R$492,0)),"")</f>
        <v/>
      </c>
      <c r="I218" s="24" t="str">
        <f>IFERROR(INDEX('Output Utente'!$F$2:$F$492,MATCH(215,'Output Utente'!$R$2:$R$492,0)),"")</f>
        <v/>
      </c>
      <c r="J218" s="24" t="str">
        <f>IFERROR(INDEX('Output Utente'!$G$2:$G$492,MATCH(215,'Output Utente'!$R$2:$R$492,0)),"")</f>
        <v/>
      </c>
      <c r="K218" s="24" t="str">
        <f>IFERROR(INDEX('Output Utente'!$H$2:$H$492,MATCH(215,'Output Utente'!$R$2:$R$492,0)),"")</f>
        <v/>
      </c>
      <c r="L218" s="23" t="str">
        <f>IFERROR(INDEX('Output Utente'!$E$2:$E$492,MATCH(215,'Output Utente'!$R$2:$R$492,0)),"")</f>
        <v/>
      </c>
      <c r="V218" t="str">
        <f>IFERROR(INDEX('Output Utente'!$M$2:$M$492,MATCH(215,'Output Utente'!$R$2:$R$492,0)),"")</f>
        <v/>
      </c>
      <c r="W218" t="str">
        <f t="shared" si="3"/>
        <v/>
      </c>
      <c r="X218" t="str">
        <f>IFERROR(INDEX('Output Utente'!$AF$2:$AF$492,MATCH(215,'Output Utente'!$R$2:$R$492,0)),"")</f>
        <v/>
      </c>
    </row>
    <row r="219" spans="1:24" ht="15" customHeight="1" x14ac:dyDescent="0.25">
      <c r="A219" s="26">
        <v>216</v>
      </c>
      <c r="B219" s="23" t="str">
        <f>IFERROR(INDEX('Output Utente'!$A$2:$A$492,MATCH(216,'Output Utente'!$R$2:$R$492,0)),"")</f>
        <v/>
      </c>
      <c r="C219" s="23" t="str">
        <f>IFERROR(INDEX('Output Utente'!$B$2:$B$492,MATCH(216,'Output Utente'!$R$2:$R$492,0)),"")</f>
        <v/>
      </c>
      <c r="D219" s="23" t="str">
        <f>IFERROR(INDEX('Output Utente'!$C$2:$C$492,MATCH(216,'Output Utente'!$R$2:$R$492,0)),"")</f>
        <v/>
      </c>
      <c r="E219" s="23" t="str">
        <f>IFERROR(INDEX('Input Giocatori 2026_27'!$D$3:$D$493,MATCH($B219,'Input Giocatori 2026_27'!$A$3:$A$493,0)),"")</f>
        <v/>
      </c>
      <c r="F219" s="24" t="str">
        <f>IFERROR(INDEX('Output Utente'!$N$2:$N$492,MATCH(216,'Output Utente'!$R$2:$R$492,0)),"")</f>
        <v/>
      </c>
      <c r="G219" s="23" t="str">
        <f>IFERROR(INDEX('Output Utente'!$O$2:$O$492,MATCH(216,'Output Utente'!$R$2:$R$492,0)),"")</f>
        <v/>
      </c>
      <c r="H219" s="23" t="str">
        <f>IFERROR(INDEX('Output Utente'!$P$2:$P$492,MATCH(216,'Output Utente'!$R$2:$R$492,0)),"")</f>
        <v/>
      </c>
      <c r="I219" s="24" t="str">
        <f>IFERROR(INDEX('Output Utente'!$F$2:$F$492,MATCH(216,'Output Utente'!$R$2:$R$492,0)),"")</f>
        <v/>
      </c>
      <c r="J219" s="24" t="str">
        <f>IFERROR(INDEX('Output Utente'!$G$2:$G$492,MATCH(216,'Output Utente'!$R$2:$R$492,0)),"")</f>
        <v/>
      </c>
      <c r="K219" s="24" t="str">
        <f>IFERROR(INDEX('Output Utente'!$H$2:$H$492,MATCH(216,'Output Utente'!$R$2:$R$492,0)),"")</f>
        <v/>
      </c>
      <c r="L219" s="23" t="str">
        <f>IFERROR(INDEX('Output Utente'!$E$2:$E$492,MATCH(216,'Output Utente'!$R$2:$R$492,0)),"")</f>
        <v/>
      </c>
      <c r="V219" t="str">
        <f>IFERROR(INDEX('Output Utente'!$M$2:$M$492,MATCH(216,'Output Utente'!$R$2:$R$492,0)),"")</f>
        <v/>
      </c>
      <c r="W219" t="str">
        <f t="shared" si="3"/>
        <v/>
      </c>
      <c r="X219" t="str">
        <f>IFERROR(INDEX('Output Utente'!$AF$2:$AF$492,MATCH(216,'Output Utente'!$R$2:$R$492,0)),"")</f>
        <v/>
      </c>
    </row>
    <row r="220" spans="1:24" ht="15" customHeight="1" x14ac:dyDescent="0.25">
      <c r="A220" s="26">
        <v>217</v>
      </c>
      <c r="B220" s="23" t="str">
        <f>IFERROR(INDEX('Output Utente'!$A$2:$A$492,MATCH(217,'Output Utente'!$R$2:$R$492,0)),"")</f>
        <v/>
      </c>
      <c r="C220" s="23" t="str">
        <f>IFERROR(INDEX('Output Utente'!$B$2:$B$492,MATCH(217,'Output Utente'!$R$2:$R$492,0)),"")</f>
        <v/>
      </c>
      <c r="D220" s="23" t="str">
        <f>IFERROR(INDEX('Output Utente'!$C$2:$C$492,MATCH(217,'Output Utente'!$R$2:$R$492,0)),"")</f>
        <v/>
      </c>
      <c r="E220" s="23" t="str">
        <f>IFERROR(INDEX('Input Giocatori 2026_27'!$D$3:$D$493,MATCH($B220,'Input Giocatori 2026_27'!$A$3:$A$493,0)),"")</f>
        <v/>
      </c>
      <c r="F220" s="24" t="str">
        <f>IFERROR(INDEX('Output Utente'!$N$2:$N$492,MATCH(217,'Output Utente'!$R$2:$R$492,0)),"")</f>
        <v/>
      </c>
      <c r="G220" s="23" t="str">
        <f>IFERROR(INDEX('Output Utente'!$O$2:$O$492,MATCH(217,'Output Utente'!$R$2:$R$492,0)),"")</f>
        <v/>
      </c>
      <c r="H220" s="23" t="str">
        <f>IFERROR(INDEX('Output Utente'!$P$2:$P$492,MATCH(217,'Output Utente'!$R$2:$R$492,0)),"")</f>
        <v/>
      </c>
      <c r="I220" s="24" t="str">
        <f>IFERROR(INDEX('Output Utente'!$F$2:$F$492,MATCH(217,'Output Utente'!$R$2:$R$492,0)),"")</f>
        <v/>
      </c>
      <c r="J220" s="24" t="str">
        <f>IFERROR(INDEX('Output Utente'!$G$2:$G$492,MATCH(217,'Output Utente'!$R$2:$R$492,0)),"")</f>
        <v/>
      </c>
      <c r="K220" s="24" t="str">
        <f>IFERROR(INDEX('Output Utente'!$H$2:$H$492,MATCH(217,'Output Utente'!$R$2:$R$492,0)),"")</f>
        <v/>
      </c>
      <c r="L220" s="23" t="str">
        <f>IFERROR(INDEX('Output Utente'!$E$2:$E$492,MATCH(217,'Output Utente'!$R$2:$R$492,0)),"")</f>
        <v/>
      </c>
      <c r="V220" t="str">
        <f>IFERROR(INDEX('Output Utente'!$M$2:$M$492,MATCH(217,'Output Utente'!$R$2:$R$492,0)),"")</f>
        <v/>
      </c>
      <c r="W220" t="str">
        <f t="shared" si="3"/>
        <v/>
      </c>
      <c r="X220" t="str">
        <f>IFERROR(INDEX('Output Utente'!$AF$2:$AF$492,MATCH(217,'Output Utente'!$R$2:$R$492,0)),"")</f>
        <v/>
      </c>
    </row>
    <row r="221" spans="1:24" ht="15" customHeight="1" x14ac:dyDescent="0.25">
      <c r="A221" s="26">
        <v>218</v>
      </c>
      <c r="B221" s="23" t="str">
        <f>IFERROR(INDEX('Output Utente'!$A$2:$A$492,MATCH(218,'Output Utente'!$R$2:$R$492,0)),"")</f>
        <v/>
      </c>
      <c r="C221" s="23" t="str">
        <f>IFERROR(INDEX('Output Utente'!$B$2:$B$492,MATCH(218,'Output Utente'!$R$2:$R$492,0)),"")</f>
        <v/>
      </c>
      <c r="D221" s="23" t="str">
        <f>IFERROR(INDEX('Output Utente'!$C$2:$C$492,MATCH(218,'Output Utente'!$R$2:$R$492,0)),"")</f>
        <v/>
      </c>
      <c r="E221" s="23" t="str">
        <f>IFERROR(INDEX('Input Giocatori 2026_27'!$D$3:$D$493,MATCH($B221,'Input Giocatori 2026_27'!$A$3:$A$493,0)),"")</f>
        <v/>
      </c>
      <c r="F221" s="24" t="str">
        <f>IFERROR(INDEX('Output Utente'!$N$2:$N$492,MATCH(218,'Output Utente'!$R$2:$R$492,0)),"")</f>
        <v/>
      </c>
      <c r="G221" s="23" t="str">
        <f>IFERROR(INDEX('Output Utente'!$O$2:$O$492,MATCH(218,'Output Utente'!$R$2:$R$492,0)),"")</f>
        <v/>
      </c>
      <c r="H221" s="23" t="str">
        <f>IFERROR(INDEX('Output Utente'!$P$2:$P$492,MATCH(218,'Output Utente'!$R$2:$R$492,0)),"")</f>
        <v/>
      </c>
      <c r="I221" s="24" t="str">
        <f>IFERROR(INDEX('Output Utente'!$F$2:$F$492,MATCH(218,'Output Utente'!$R$2:$R$492,0)),"")</f>
        <v/>
      </c>
      <c r="J221" s="24" t="str">
        <f>IFERROR(INDEX('Output Utente'!$G$2:$G$492,MATCH(218,'Output Utente'!$R$2:$R$492,0)),"")</f>
        <v/>
      </c>
      <c r="K221" s="24" t="str">
        <f>IFERROR(INDEX('Output Utente'!$H$2:$H$492,MATCH(218,'Output Utente'!$R$2:$R$492,0)),"")</f>
        <v/>
      </c>
      <c r="L221" s="23" t="str">
        <f>IFERROR(INDEX('Output Utente'!$E$2:$E$492,MATCH(218,'Output Utente'!$R$2:$R$492,0)),"")</f>
        <v/>
      </c>
      <c r="V221" t="str">
        <f>IFERROR(INDEX('Output Utente'!$M$2:$M$492,MATCH(218,'Output Utente'!$R$2:$R$492,0)),"")</f>
        <v/>
      </c>
      <c r="W221" t="str">
        <f t="shared" si="3"/>
        <v/>
      </c>
      <c r="X221" t="str">
        <f>IFERROR(INDEX('Output Utente'!$AF$2:$AF$492,MATCH(218,'Output Utente'!$R$2:$R$492,0)),"")</f>
        <v/>
      </c>
    </row>
    <row r="222" spans="1:24" ht="15" customHeight="1" x14ac:dyDescent="0.25">
      <c r="A222" s="26">
        <v>219</v>
      </c>
      <c r="B222" s="23" t="str">
        <f>IFERROR(INDEX('Output Utente'!$A$2:$A$492,MATCH(219,'Output Utente'!$R$2:$R$492,0)),"")</f>
        <v/>
      </c>
      <c r="C222" s="23" t="str">
        <f>IFERROR(INDEX('Output Utente'!$B$2:$B$492,MATCH(219,'Output Utente'!$R$2:$R$492,0)),"")</f>
        <v/>
      </c>
      <c r="D222" s="23" t="str">
        <f>IFERROR(INDEX('Output Utente'!$C$2:$C$492,MATCH(219,'Output Utente'!$R$2:$R$492,0)),"")</f>
        <v/>
      </c>
      <c r="E222" s="23" t="str">
        <f>IFERROR(INDEX('Input Giocatori 2026_27'!$D$3:$D$493,MATCH($B222,'Input Giocatori 2026_27'!$A$3:$A$493,0)),"")</f>
        <v/>
      </c>
      <c r="F222" s="24" t="str">
        <f>IFERROR(INDEX('Output Utente'!$N$2:$N$492,MATCH(219,'Output Utente'!$R$2:$R$492,0)),"")</f>
        <v/>
      </c>
      <c r="G222" s="23" t="str">
        <f>IFERROR(INDEX('Output Utente'!$O$2:$O$492,MATCH(219,'Output Utente'!$R$2:$R$492,0)),"")</f>
        <v/>
      </c>
      <c r="H222" s="23" t="str">
        <f>IFERROR(INDEX('Output Utente'!$P$2:$P$492,MATCH(219,'Output Utente'!$R$2:$R$492,0)),"")</f>
        <v/>
      </c>
      <c r="I222" s="24" t="str">
        <f>IFERROR(INDEX('Output Utente'!$F$2:$F$492,MATCH(219,'Output Utente'!$R$2:$R$492,0)),"")</f>
        <v/>
      </c>
      <c r="J222" s="24" t="str">
        <f>IFERROR(INDEX('Output Utente'!$G$2:$G$492,MATCH(219,'Output Utente'!$R$2:$R$492,0)),"")</f>
        <v/>
      </c>
      <c r="K222" s="24" t="str">
        <f>IFERROR(INDEX('Output Utente'!$H$2:$H$492,MATCH(219,'Output Utente'!$R$2:$R$492,0)),"")</f>
        <v/>
      </c>
      <c r="L222" s="23" t="str">
        <f>IFERROR(INDEX('Output Utente'!$E$2:$E$492,MATCH(219,'Output Utente'!$R$2:$R$492,0)),"")</f>
        <v/>
      </c>
      <c r="V222" t="str">
        <f>IFERROR(INDEX('Output Utente'!$M$2:$M$492,MATCH(219,'Output Utente'!$R$2:$R$492,0)),"")</f>
        <v/>
      </c>
      <c r="W222" t="str">
        <f t="shared" si="3"/>
        <v/>
      </c>
      <c r="X222" t="str">
        <f>IFERROR(INDEX('Output Utente'!$AF$2:$AF$492,MATCH(219,'Output Utente'!$R$2:$R$492,0)),"")</f>
        <v/>
      </c>
    </row>
    <row r="223" spans="1:24" ht="15" customHeight="1" x14ac:dyDescent="0.25">
      <c r="A223" s="26">
        <v>220</v>
      </c>
      <c r="B223" s="23" t="str">
        <f>IFERROR(INDEX('Output Utente'!$A$2:$A$492,MATCH(220,'Output Utente'!$R$2:$R$492,0)),"")</f>
        <v/>
      </c>
      <c r="C223" s="23" t="str">
        <f>IFERROR(INDEX('Output Utente'!$B$2:$B$492,MATCH(220,'Output Utente'!$R$2:$R$492,0)),"")</f>
        <v/>
      </c>
      <c r="D223" s="23" t="str">
        <f>IFERROR(INDEX('Output Utente'!$C$2:$C$492,MATCH(220,'Output Utente'!$R$2:$R$492,0)),"")</f>
        <v/>
      </c>
      <c r="E223" s="23" t="str">
        <f>IFERROR(INDEX('Input Giocatori 2026_27'!$D$3:$D$493,MATCH($B223,'Input Giocatori 2026_27'!$A$3:$A$493,0)),"")</f>
        <v/>
      </c>
      <c r="F223" s="24" t="str">
        <f>IFERROR(INDEX('Output Utente'!$N$2:$N$492,MATCH(220,'Output Utente'!$R$2:$R$492,0)),"")</f>
        <v/>
      </c>
      <c r="G223" s="23" t="str">
        <f>IFERROR(INDEX('Output Utente'!$O$2:$O$492,MATCH(220,'Output Utente'!$R$2:$R$492,0)),"")</f>
        <v/>
      </c>
      <c r="H223" s="23" t="str">
        <f>IFERROR(INDEX('Output Utente'!$P$2:$P$492,MATCH(220,'Output Utente'!$R$2:$R$492,0)),"")</f>
        <v/>
      </c>
      <c r="I223" s="24" t="str">
        <f>IFERROR(INDEX('Output Utente'!$F$2:$F$492,MATCH(220,'Output Utente'!$R$2:$R$492,0)),"")</f>
        <v/>
      </c>
      <c r="J223" s="24" t="str">
        <f>IFERROR(INDEX('Output Utente'!$G$2:$G$492,MATCH(220,'Output Utente'!$R$2:$R$492,0)),"")</f>
        <v/>
      </c>
      <c r="K223" s="24" t="str">
        <f>IFERROR(INDEX('Output Utente'!$H$2:$H$492,MATCH(220,'Output Utente'!$R$2:$R$492,0)),"")</f>
        <v/>
      </c>
      <c r="L223" s="23" t="str">
        <f>IFERROR(INDEX('Output Utente'!$E$2:$E$492,MATCH(220,'Output Utente'!$R$2:$R$492,0)),"")</f>
        <v/>
      </c>
      <c r="V223" t="str">
        <f>IFERROR(INDEX('Output Utente'!$M$2:$M$492,MATCH(220,'Output Utente'!$R$2:$R$492,0)),"")</f>
        <v/>
      </c>
      <c r="W223" t="str">
        <f t="shared" si="3"/>
        <v/>
      </c>
      <c r="X223" t="str">
        <f>IFERROR(INDEX('Output Utente'!$AF$2:$AF$492,MATCH(220,'Output Utente'!$R$2:$R$492,0)),"")</f>
        <v/>
      </c>
    </row>
    <row r="224" spans="1:24" ht="15" customHeight="1" x14ac:dyDescent="0.25">
      <c r="A224" s="26">
        <v>221</v>
      </c>
      <c r="B224" s="23" t="str">
        <f>IFERROR(INDEX('Output Utente'!$A$2:$A$492,MATCH(221,'Output Utente'!$R$2:$R$492,0)),"")</f>
        <v/>
      </c>
      <c r="C224" s="23" t="str">
        <f>IFERROR(INDEX('Output Utente'!$B$2:$B$492,MATCH(221,'Output Utente'!$R$2:$R$492,0)),"")</f>
        <v/>
      </c>
      <c r="D224" s="23" t="str">
        <f>IFERROR(INDEX('Output Utente'!$C$2:$C$492,MATCH(221,'Output Utente'!$R$2:$R$492,0)),"")</f>
        <v/>
      </c>
      <c r="E224" s="23" t="str">
        <f>IFERROR(INDEX('Input Giocatori 2026_27'!$D$3:$D$493,MATCH($B224,'Input Giocatori 2026_27'!$A$3:$A$493,0)),"")</f>
        <v/>
      </c>
      <c r="F224" s="24" t="str">
        <f>IFERROR(INDEX('Output Utente'!$N$2:$N$492,MATCH(221,'Output Utente'!$R$2:$R$492,0)),"")</f>
        <v/>
      </c>
      <c r="G224" s="23" t="str">
        <f>IFERROR(INDEX('Output Utente'!$O$2:$O$492,MATCH(221,'Output Utente'!$R$2:$R$492,0)),"")</f>
        <v/>
      </c>
      <c r="H224" s="23" t="str">
        <f>IFERROR(INDEX('Output Utente'!$P$2:$P$492,MATCH(221,'Output Utente'!$R$2:$R$492,0)),"")</f>
        <v/>
      </c>
      <c r="I224" s="24" t="str">
        <f>IFERROR(INDEX('Output Utente'!$F$2:$F$492,MATCH(221,'Output Utente'!$R$2:$R$492,0)),"")</f>
        <v/>
      </c>
      <c r="J224" s="24" t="str">
        <f>IFERROR(INDEX('Output Utente'!$G$2:$G$492,MATCH(221,'Output Utente'!$R$2:$R$492,0)),"")</f>
        <v/>
      </c>
      <c r="K224" s="24" t="str">
        <f>IFERROR(INDEX('Output Utente'!$H$2:$H$492,MATCH(221,'Output Utente'!$R$2:$R$492,0)),"")</f>
        <v/>
      </c>
      <c r="L224" s="23" t="str">
        <f>IFERROR(INDEX('Output Utente'!$E$2:$E$492,MATCH(221,'Output Utente'!$R$2:$R$492,0)),"")</f>
        <v/>
      </c>
      <c r="V224" t="str">
        <f>IFERROR(INDEX('Output Utente'!$M$2:$M$492,MATCH(221,'Output Utente'!$R$2:$R$492,0)),"")</f>
        <v/>
      </c>
      <c r="W224" t="str">
        <f t="shared" si="3"/>
        <v/>
      </c>
      <c r="X224" t="str">
        <f>IFERROR(INDEX('Output Utente'!$AF$2:$AF$492,MATCH(221,'Output Utente'!$R$2:$R$492,0)),"")</f>
        <v/>
      </c>
    </row>
    <row r="225" spans="1:24" ht="15" customHeight="1" x14ac:dyDescent="0.25">
      <c r="A225" s="26">
        <v>222</v>
      </c>
      <c r="B225" s="23" t="str">
        <f>IFERROR(INDEX('Output Utente'!$A$2:$A$492,MATCH(222,'Output Utente'!$R$2:$R$492,0)),"")</f>
        <v/>
      </c>
      <c r="C225" s="23" t="str">
        <f>IFERROR(INDEX('Output Utente'!$B$2:$B$492,MATCH(222,'Output Utente'!$R$2:$R$492,0)),"")</f>
        <v/>
      </c>
      <c r="D225" s="23" t="str">
        <f>IFERROR(INDEX('Output Utente'!$C$2:$C$492,MATCH(222,'Output Utente'!$R$2:$R$492,0)),"")</f>
        <v/>
      </c>
      <c r="E225" s="23" t="str">
        <f>IFERROR(INDEX('Input Giocatori 2026_27'!$D$3:$D$493,MATCH($B225,'Input Giocatori 2026_27'!$A$3:$A$493,0)),"")</f>
        <v/>
      </c>
      <c r="F225" s="24" t="str">
        <f>IFERROR(INDEX('Output Utente'!$N$2:$N$492,MATCH(222,'Output Utente'!$R$2:$R$492,0)),"")</f>
        <v/>
      </c>
      <c r="G225" s="23" t="str">
        <f>IFERROR(INDEX('Output Utente'!$O$2:$O$492,MATCH(222,'Output Utente'!$R$2:$R$492,0)),"")</f>
        <v/>
      </c>
      <c r="H225" s="23" t="str">
        <f>IFERROR(INDEX('Output Utente'!$P$2:$P$492,MATCH(222,'Output Utente'!$R$2:$R$492,0)),"")</f>
        <v/>
      </c>
      <c r="I225" s="24" t="str">
        <f>IFERROR(INDEX('Output Utente'!$F$2:$F$492,MATCH(222,'Output Utente'!$R$2:$R$492,0)),"")</f>
        <v/>
      </c>
      <c r="J225" s="24" t="str">
        <f>IFERROR(INDEX('Output Utente'!$G$2:$G$492,MATCH(222,'Output Utente'!$R$2:$R$492,0)),"")</f>
        <v/>
      </c>
      <c r="K225" s="24" t="str">
        <f>IFERROR(INDEX('Output Utente'!$H$2:$H$492,MATCH(222,'Output Utente'!$R$2:$R$492,0)),"")</f>
        <v/>
      </c>
      <c r="L225" s="23" t="str">
        <f>IFERROR(INDEX('Output Utente'!$E$2:$E$492,MATCH(222,'Output Utente'!$R$2:$R$492,0)),"")</f>
        <v/>
      </c>
      <c r="V225" t="str">
        <f>IFERROR(INDEX('Output Utente'!$M$2:$M$492,MATCH(222,'Output Utente'!$R$2:$R$492,0)),"")</f>
        <v/>
      </c>
      <c r="W225" t="str">
        <f t="shared" si="3"/>
        <v/>
      </c>
      <c r="X225" t="str">
        <f>IFERROR(INDEX('Output Utente'!$AF$2:$AF$492,MATCH(222,'Output Utente'!$R$2:$R$492,0)),"")</f>
        <v/>
      </c>
    </row>
    <row r="226" spans="1:24" ht="15" customHeight="1" x14ac:dyDescent="0.25">
      <c r="A226" s="26">
        <v>223</v>
      </c>
      <c r="B226" s="23" t="str">
        <f>IFERROR(INDEX('Output Utente'!$A$2:$A$492,MATCH(223,'Output Utente'!$R$2:$R$492,0)),"")</f>
        <v/>
      </c>
      <c r="C226" s="23" t="str">
        <f>IFERROR(INDEX('Output Utente'!$B$2:$B$492,MATCH(223,'Output Utente'!$R$2:$R$492,0)),"")</f>
        <v/>
      </c>
      <c r="D226" s="23" t="str">
        <f>IFERROR(INDEX('Output Utente'!$C$2:$C$492,MATCH(223,'Output Utente'!$R$2:$R$492,0)),"")</f>
        <v/>
      </c>
      <c r="E226" s="23" t="str">
        <f>IFERROR(INDEX('Input Giocatori 2026_27'!$D$3:$D$493,MATCH($B226,'Input Giocatori 2026_27'!$A$3:$A$493,0)),"")</f>
        <v/>
      </c>
      <c r="F226" s="24" t="str">
        <f>IFERROR(INDEX('Output Utente'!$N$2:$N$492,MATCH(223,'Output Utente'!$R$2:$R$492,0)),"")</f>
        <v/>
      </c>
      <c r="G226" s="23" t="str">
        <f>IFERROR(INDEX('Output Utente'!$O$2:$O$492,MATCH(223,'Output Utente'!$R$2:$R$492,0)),"")</f>
        <v/>
      </c>
      <c r="H226" s="23" t="str">
        <f>IFERROR(INDEX('Output Utente'!$P$2:$P$492,MATCH(223,'Output Utente'!$R$2:$R$492,0)),"")</f>
        <v/>
      </c>
      <c r="I226" s="24" t="str">
        <f>IFERROR(INDEX('Output Utente'!$F$2:$F$492,MATCH(223,'Output Utente'!$R$2:$R$492,0)),"")</f>
        <v/>
      </c>
      <c r="J226" s="24" t="str">
        <f>IFERROR(INDEX('Output Utente'!$G$2:$G$492,MATCH(223,'Output Utente'!$R$2:$R$492,0)),"")</f>
        <v/>
      </c>
      <c r="K226" s="24" t="str">
        <f>IFERROR(INDEX('Output Utente'!$H$2:$H$492,MATCH(223,'Output Utente'!$R$2:$R$492,0)),"")</f>
        <v/>
      </c>
      <c r="L226" s="23" t="str">
        <f>IFERROR(INDEX('Output Utente'!$E$2:$E$492,MATCH(223,'Output Utente'!$R$2:$R$492,0)),"")</f>
        <v/>
      </c>
      <c r="V226" t="str">
        <f>IFERROR(INDEX('Output Utente'!$M$2:$M$492,MATCH(223,'Output Utente'!$R$2:$R$492,0)),"")</f>
        <v/>
      </c>
      <c r="W226" t="str">
        <f t="shared" si="3"/>
        <v/>
      </c>
      <c r="X226" t="str">
        <f>IFERROR(INDEX('Output Utente'!$AF$2:$AF$492,MATCH(223,'Output Utente'!$R$2:$R$492,0)),"")</f>
        <v/>
      </c>
    </row>
    <row r="227" spans="1:24" ht="15" customHeight="1" x14ac:dyDescent="0.25">
      <c r="A227" s="26">
        <v>224</v>
      </c>
      <c r="B227" s="23" t="str">
        <f>IFERROR(INDEX('Output Utente'!$A$2:$A$492,MATCH(224,'Output Utente'!$R$2:$R$492,0)),"")</f>
        <v/>
      </c>
      <c r="C227" s="23" t="str">
        <f>IFERROR(INDEX('Output Utente'!$B$2:$B$492,MATCH(224,'Output Utente'!$R$2:$R$492,0)),"")</f>
        <v/>
      </c>
      <c r="D227" s="23" t="str">
        <f>IFERROR(INDEX('Output Utente'!$C$2:$C$492,MATCH(224,'Output Utente'!$R$2:$R$492,0)),"")</f>
        <v/>
      </c>
      <c r="E227" s="23" t="str">
        <f>IFERROR(INDEX('Input Giocatori 2026_27'!$D$3:$D$493,MATCH($B227,'Input Giocatori 2026_27'!$A$3:$A$493,0)),"")</f>
        <v/>
      </c>
      <c r="F227" s="24" t="str">
        <f>IFERROR(INDEX('Output Utente'!$N$2:$N$492,MATCH(224,'Output Utente'!$R$2:$R$492,0)),"")</f>
        <v/>
      </c>
      <c r="G227" s="23" t="str">
        <f>IFERROR(INDEX('Output Utente'!$O$2:$O$492,MATCH(224,'Output Utente'!$R$2:$R$492,0)),"")</f>
        <v/>
      </c>
      <c r="H227" s="23" t="str">
        <f>IFERROR(INDEX('Output Utente'!$P$2:$P$492,MATCH(224,'Output Utente'!$R$2:$R$492,0)),"")</f>
        <v/>
      </c>
      <c r="I227" s="24" t="str">
        <f>IFERROR(INDEX('Output Utente'!$F$2:$F$492,MATCH(224,'Output Utente'!$R$2:$R$492,0)),"")</f>
        <v/>
      </c>
      <c r="J227" s="24" t="str">
        <f>IFERROR(INDEX('Output Utente'!$G$2:$G$492,MATCH(224,'Output Utente'!$R$2:$R$492,0)),"")</f>
        <v/>
      </c>
      <c r="K227" s="24" t="str">
        <f>IFERROR(INDEX('Output Utente'!$H$2:$H$492,MATCH(224,'Output Utente'!$R$2:$R$492,0)),"")</f>
        <v/>
      </c>
      <c r="L227" s="23" t="str">
        <f>IFERROR(INDEX('Output Utente'!$E$2:$E$492,MATCH(224,'Output Utente'!$R$2:$R$492,0)),"")</f>
        <v/>
      </c>
      <c r="V227" t="str">
        <f>IFERROR(INDEX('Output Utente'!$M$2:$M$492,MATCH(224,'Output Utente'!$R$2:$R$492,0)),"")</f>
        <v/>
      </c>
      <c r="W227" t="str">
        <f t="shared" si="3"/>
        <v/>
      </c>
      <c r="X227" t="str">
        <f>IFERROR(INDEX('Output Utente'!$AF$2:$AF$492,MATCH(224,'Output Utente'!$R$2:$R$492,0)),"")</f>
        <v/>
      </c>
    </row>
    <row r="228" spans="1:24" ht="15" customHeight="1" x14ac:dyDescent="0.25">
      <c r="A228" s="26">
        <v>225</v>
      </c>
      <c r="B228" s="23" t="str">
        <f>IFERROR(INDEX('Output Utente'!$A$2:$A$492,MATCH(225,'Output Utente'!$R$2:$R$492,0)),"")</f>
        <v/>
      </c>
      <c r="C228" s="23" t="str">
        <f>IFERROR(INDEX('Output Utente'!$B$2:$B$492,MATCH(225,'Output Utente'!$R$2:$R$492,0)),"")</f>
        <v/>
      </c>
      <c r="D228" s="23" t="str">
        <f>IFERROR(INDEX('Output Utente'!$C$2:$C$492,MATCH(225,'Output Utente'!$R$2:$R$492,0)),"")</f>
        <v/>
      </c>
      <c r="E228" s="23" t="str">
        <f>IFERROR(INDEX('Input Giocatori 2026_27'!$D$3:$D$493,MATCH($B228,'Input Giocatori 2026_27'!$A$3:$A$493,0)),"")</f>
        <v/>
      </c>
      <c r="F228" s="24" t="str">
        <f>IFERROR(INDEX('Output Utente'!$N$2:$N$492,MATCH(225,'Output Utente'!$R$2:$R$492,0)),"")</f>
        <v/>
      </c>
      <c r="G228" s="23" t="str">
        <f>IFERROR(INDEX('Output Utente'!$O$2:$O$492,MATCH(225,'Output Utente'!$R$2:$R$492,0)),"")</f>
        <v/>
      </c>
      <c r="H228" s="23" t="str">
        <f>IFERROR(INDEX('Output Utente'!$P$2:$P$492,MATCH(225,'Output Utente'!$R$2:$R$492,0)),"")</f>
        <v/>
      </c>
      <c r="I228" s="24" t="str">
        <f>IFERROR(INDEX('Output Utente'!$F$2:$F$492,MATCH(225,'Output Utente'!$R$2:$R$492,0)),"")</f>
        <v/>
      </c>
      <c r="J228" s="24" t="str">
        <f>IFERROR(INDEX('Output Utente'!$G$2:$G$492,MATCH(225,'Output Utente'!$R$2:$R$492,0)),"")</f>
        <v/>
      </c>
      <c r="K228" s="24" t="str">
        <f>IFERROR(INDEX('Output Utente'!$H$2:$H$492,MATCH(225,'Output Utente'!$R$2:$R$492,0)),"")</f>
        <v/>
      </c>
      <c r="L228" s="23" t="str">
        <f>IFERROR(INDEX('Output Utente'!$E$2:$E$492,MATCH(225,'Output Utente'!$R$2:$R$492,0)),"")</f>
        <v/>
      </c>
      <c r="V228" t="str">
        <f>IFERROR(INDEX('Output Utente'!$M$2:$M$492,MATCH(225,'Output Utente'!$R$2:$R$492,0)),"")</f>
        <v/>
      </c>
      <c r="W228" t="str">
        <f t="shared" si="3"/>
        <v/>
      </c>
      <c r="X228" t="str">
        <f>IFERROR(INDEX('Output Utente'!$AF$2:$AF$492,MATCH(225,'Output Utente'!$R$2:$R$492,0)),"")</f>
        <v/>
      </c>
    </row>
    <row r="229" spans="1:24" ht="15" customHeight="1" x14ac:dyDescent="0.25">
      <c r="A229" s="26">
        <v>226</v>
      </c>
      <c r="B229" s="23" t="str">
        <f>IFERROR(INDEX('Output Utente'!$A$2:$A$492,MATCH(226,'Output Utente'!$R$2:$R$492,0)),"")</f>
        <v/>
      </c>
      <c r="C229" s="23" t="str">
        <f>IFERROR(INDEX('Output Utente'!$B$2:$B$492,MATCH(226,'Output Utente'!$R$2:$R$492,0)),"")</f>
        <v/>
      </c>
      <c r="D229" s="23" t="str">
        <f>IFERROR(INDEX('Output Utente'!$C$2:$C$492,MATCH(226,'Output Utente'!$R$2:$R$492,0)),"")</f>
        <v/>
      </c>
      <c r="E229" s="23" t="str">
        <f>IFERROR(INDEX('Input Giocatori 2026_27'!$D$3:$D$493,MATCH($B229,'Input Giocatori 2026_27'!$A$3:$A$493,0)),"")</f>
        <v/>
      </c>
      <c r="F229" s="24" t="str">
        <f>IFERROR(INDEX('Output Utente'!$N$2:$N$492,MATCH(226,'Output Utente'!$R$2:$R$492,0)),"")</f>
        <v/>
      </c>
      <c r="G229" s="23" t="str">
        <f>IFERROR(INDEX('Output Utente'!$O$2:$O$492,MATCH(226,'Output Utente'!$R$2:$R$492,0)),"")</f>
        <v/>
      </c>
      <c r="H229" s="23" t="str">
        <f>IFERROR(INDEX('Output Utente'!$P$2:$P$492,MATCH(226,'Output Utente'!$R$2:$R$492,0)),"")</f>
        <v/>
      </c>
      <c r="I229" s="24" t="str">
        <f>IFERROR(INDEX('Output Utente'!$F$2:$F$492,MATCH(226,'Output Utente'!$R$2:$R$492,0)),"")</f>
        <v/>
      </c>
      <c r="J229" s="24" t="str">
        <f>IFERROR(INDEX('Output Utente'!$G$2:$G$492,MATCH(226,'Output Utente'!$R$2:$R$492,0)),"")</f>
        <v/>
      </c>
      <c r="K229" s="24" t="str">
        <f>IFERROR(INDEX('Output Utente'!$H$2:$H$492,MATCH(226,'Output Utente'!$R$2:$R$492,0)),"")</f>
        <v/>
      </c>
      <c r="L229" s="23" t="str">
        <f>IFERROR(INDEX('Output Utente'!$E$2:$E$492,MATCH(226,'Output Utente'!$R$2:$R$492,0)),"")</f>
        <v/>
      </c>
      <c r="V229" t="str">
        <f>IFERROR(INDEX('Output Utente'!$M$2:$M$492,MATCH(226,'Output Utente'!$R$2:$R$492,0)),"")</f>
        <v/>
      </c>
      <c r="W229" t="str">
        <f t="shared" si="3"/>
        <v/>
      </c>
      <c r="X229" t="str">
        <f>IFERROR(INDEX('Output Utente'!$AF$2:$AF$492,MATCH(226,'Output Utente'!$R$2:$R$492,0)),"")</f>
        <v/>
      </c>
    </row>
    <row r="230" spans="1:24" ht="15" customHeight="1" x14ac:dyDescent="0.25">
      <c r="A230" s="26">
        <v>227</v>
      </c>
      <c r="B230" s="23" t="str">
        <f>IFERROR(INDEX('Output Utente'!$A$2:$A$492,MATCH(227,'Output Utente'!$R$2:$R$492,0)),"")</f>
        <v/>
      </c>
      <c r="C230" s="23" t="str">
        <f>IFERROR(INDEX('Output Utente'!$B$2:$B$492,MATCH(227,'Output Utente'!$R$2:$R$492,0)),"")</f>
        <v/>
      </c>
      <c r="D230" s="23" t="str">
        <f>IFERROR(INDEX('Output Utente'!$C$2:$C$492,MATCH(227,'Output Utente'!$R$2:$R$492,0)),"")</f>
        <v/>
      </c>
      <c r="E230" s="23" t="str">
        <f>IFERROR(INDEX('Input Giocatori 2026_27'!$D$3:$D$493,MATCH($B230,'Input Giocatori 2026_27'!$A$3:$A$493,0)),"")</f>
        <v/>
      </c>
      <c r="F230" s="24" t="str">
        <f>IFERROR(INDEX('Output Utente'!$N$2:$N$492,MATCH(227,'Output Utente'!$R$2:$R$492,0)),"")</f>
        <v/>
      </c>
      <c r="G230" s="23" t="str">
        <f>IFERROR(INDEX('Output Utente'!$O$2:$O$492,MATCH(227,'Output Utente'!$R$2:$R$492,0)),"")</f>
        <v/>
      </c>
      <c r="H230" s="23" t="str">
        <f>IFERROR(INDEX('Output Utente'!$P$2:$P$492,MATCH(227,'Output Utente'!$R$2:$R$492,0)),"")</f>
        <v/>
      </c>
      <c r="I230" s="24" t="str">
        <f>IFERROR(INDEX('Output Utente'!$F$2:$F$492,MATCH(227,'Output Utente'!$R$2:$R$492,0)),"")</f>
        <v/>
      </c>
      <c r="J230" s="24" t="str">
        <f>IFERROR(INDEX('Output Utente'!$G$2:$G$492,MATCH(227,'Output Utente'!$R$2:$R$492,0)),"")</f>
        <v/>
      </c>
      <c r="K230" s="24" t="str">
        <f>IFERROR(INDEX('Output Utente'!$H$2:$H$492,MATCH(227,'Output Utente'!$R$2:$R$492,0)),"")</f>
        <v/>
      </c>
      <c r="L230" s="23" t="str">
        <f>IFERROR(INDEX('Output Utente'!$E$2:$E$492,MATCH(227,'Output Utente'!$R$2:$R$492,0)),"")</f>
        <v/>
      </c>
      <c r="V230" t="str">
        <f>IFERROR(INDEX('Output Utente'!$M$2:$M$492,MATCH(227,'Output Utente'!$R$2:$R$492,0)),"")</f>
        <v/>
      </c>
      <c r="W230" t="str">
        <f t="shared" si="3"/>
        <v/>
      </c>
      <c r="X230" t="str">
        <f>IFERROR(INDEX('Output Utente'!$AF$2:$AF$492,MATCH(227,'Output Utente'!$R$2:$R$492,0)),"")</f>
        <v/>
      </c>
    </row>
    <row r="231" spans="1:24" ht="15" customHeight="1" x14ac:dyDescent="0.25">
      <c r="A231" s="26">
        <v>228</v>
      </c>
      <c r="B231" s="23" t="str">
        <f>IFERROR(INDEX('Output Utente'!$A$2:$A$492,MATCH(228,'Output Utente'!$R$2:$R$492,0)),"")</f>
        <v/>
      </c>
      <c r="C231" s="23" t="str">
        <f>IFERROR(INDEX('Output Utente'!$B$2:$B$492,MATCH(228,'Output Utente'!$R$2:$R$492,0)),"")</f>
        <v/>
      </c>
      <c r="D231" s="23" t="str">
        <f>IFERROR(INDEX('Output Utente'!$C$2:$C$492,MATCH(228,'Output Utente'!$R$2:$R$492,0)),"")</f>
        <v/>
      </c>
      <c r="E231" s="23" t="str">
        <f>IFERROR(INDEX('Input Giocatori 2026_27'!$D$3:$D$493,MATCH($B231,'Input Giocatori 2026_27'!$A$3:$A$493,0)),"")</f>
        <v/>
      </c>
      <c r="F231" s="24" t="str">
        <f>IFERROR(INDEX('Output Utente'!$N$2:$N$492,MATCH(228,'Output Utente'!$R$2:$R$492,0)),"")</f>
        <v/>
      </c>
      <c r="G231" s="23" t="str">
        <f>IFERROR(INDEX('Output Utente'!$O$2:$O$492,MATCH(228,'Output Utente'!$R$2:$R$492,0)),"")</f>
        <v/>
      </c>
      <c r="H231" s="23" t="str">
        <f>IFERROR(INDEX('Output Utente'!$P$2:$P$492,MATCH(228,'Output Utente'!$R$2:$R$492,0)),"")</f>
        <v/>
      </c>
      <c r="I231" s="24" t="str">
        <f>IFERROR(INDEX('Output Utente'!$F$2:$F$492,MATCH(228,'Output Utente'!$R$2:$R$492,0)),"")</f>
        <v/>
      </c>
      <c r="J231" s="24" t="str">
        <f>IFERROR(INDEX('Output Utente'!$G$2:$G$492,MATCH(228,'Output Utente'!$R$2:$R$492,0)),"")</f>
        <v/>
      </c>
      <c r="K231" s="24" t="str">
        <f>IFERROR(INDEX('Output Utente'!$H$2:$H$492,MATCH(228,'Output Utente'!$R$2:$R$492,0)),"")</f>
        <v/>
      </c>
      <c r="L231" s="23" t="str">
        <f>IFERROR(INDEX('Output Utente'!$E$2:$E$492,MATCH(228,'Output Utente'!$R$2:$R$492,0)),"")</f>
        <v/>
      </c>
      <c r="V231" t="str">
        <f>IFERROR(INDEX('Output Utente'!$M$2:$M$492,MATCH(228,'Output Utente'!$R$2:$R$492,0)),"")</f>
        <v/>
      </c>
      <c r="W231" t="str">
        <f t="shared" si="3"/>
        <v/>
      </c>
      <c r="X231" t="str">
        <f>IFERROR(INDEX('Output Utente'!$AF$2:$AF$492,MATCH(228,'Output Utente'!$R$2:$R$492,0)),"")</f>
        <v/>
      </c>
    </row>
    <row r="232" spans="1:24" ht="15" customHeight="1" x14ac:dyDescent="0.25">
      <c r="A232" s="26">
        <v>229</v>
      </c>
      <c r="B232" s="23" t="str">
        <f>IFERROR(INDEX('Output Utente'!$A$2:$A$492,MATCH(229,'Output Utente'!$R$2:$R$492,0)),"")</f>
        <v/>
      </c>
      <c r="C232" s="23" t="str">
        <f>IFERROR(INDEX('Output Utente'!$B$2:$B$492,MATCH(229,'Output Utente'!$R$2:$R$492,0)),"")</f>
        <v/>
      </c>
      <c r="D232" s="23" t="str">
        <f>IFERROR(INDEX('Output Utente'!$C$2:$C$492,MATCH(229,'Output Utente'!$R$2:$R$492,0)),"")</f>
        <v/>
      </c>
      <c r="E232" s="23" t="str">
        <f>IFERROR(INDEX('Input Giocatori 2026_27'!$D$3:$D$493,MATCH($B232,'Input Giocatori 2026_27'!$A$3:$A$493,0)),"")</f>
        <v/>
      </c>
      <c r="F232" s="24" t="str">
        <f>IFERROR(INDEX('Output Utente'!$N$2:$N$492,MATCH(229,'Output Utente'!$R$2:$R$492,0)),"")</f>
        <v/>
      </c>
      <c r="G232" s="23" t="str">
        <f>IFERROR(INDEX('Output Utente'!$O$2:$O$492,MATCH(229,'Output Utente'!$R$2:$R$492,0)),"")</f>
        <v/>
      </c>
      <c r="H232" s="23" t="str">
        <f>IFERROR(INDEX('Output Utente'!$P$2:$P$492,MATCH(229,'Output Utente'!$R$2:$R$492,0)),"")</f>
        <v/>
      </c>
      <c r="I232" s="24" t="str">
        <f>IFERROR(INDEX('Output Utente'!$F$2:$F$492,MATCH(229,'Output Utente'!$R$2:$R$492,0)),"")</f>
        <v/>
      </c>
      <c r="J232" s="24" t="str">
        <f>IFERROR(INDEX('Output Utente'!$G$2:$G$492,MATCH(229,'Output Utente'!$R$2:$R$492,0)),"")</f>
        <v/>
      </c>
      <c r="K232" s="24" t="str">
        <f>IFERROR(INDEX('Output Utente'!$H$2:$H$492,MATCH(229,'Output Utente'!$R$2:$R$492,0)),"")</f>
        <v/>
      </c>
      <c r="L232" s="23" t="str">
        <f>IFERROR(INDEX('Output Utente'!$E$2:$E$492,MATCH(229,'Output Utente'!$R$2:$R$492,0)),"")</f>
        <v/>
      </c>
      <c r="V232" t="str">
        <f>IFERROR(INDEX('Output Utente'!$M$2:$M$492,MATCH(229,'Output Utente'!$R$2:$R$492,0)),"")</f>
        <v/>
      </c>
      <c r="W232" t="str">
        <f t="shared" si="3"/>
        <v/>
      </c>
      <c r="X232" t="str">
        <f>IFERROR(INDEX('Output Utente'!$AF$2:$AF$492,MATCH(229,'Output Utente'!$R$2:$R$492,0)),"")</f>
        <v/>
      </c>
    </row>
    <row r="233" spans="1:24" ht="15" customHeight="1" x14ac:dyDescent="0.25">
      <c r="A233" s="26">
        <v>230</v>
      </c>
      <c r="B233" s="23" t="str">
        <f>IFERROR(INDEX('Output Utente'!$A$2:$A$492,MATCH(230,'Output Utente'!$R$2:$R$492,0)),"")</f>
        <v/>
      </c>
      <c r="C233" s="23" t="str">
        <f>IFERROR(INDEX('Output Utente'!$B$2:$B$492,MATCH(230,'Output Utente'!$R$2:$R$492,0)),"")</f>
        <v/>
      </c>
      <c r="D233" s="23" t="str">
        <f>IFERROR(INDEX('Output Utente'!$C$2:$C$492,MATCH(230,'Output Utente'!$R$2:$R$492,0)),"")</f>
        <v/>
      </c>
      <c r="E233" s="23" t="str">
        <f>IFERROR(INDEX('Input Giocatori 2026_27'!$D$3:$D$493,MATCH($B233,'Input Giocatori 2026_27'!$A$3:$A$493,0)),"")</f>
        <v/>
      </c>
      <c r="F233" s="24" t="str">
        <f>IFERROR(INDEX('Output Utente'!$N$2:$N$492,MATCH(230,'Output Utente'!$R$2:$R$492,0)),"")</f>
        <v/>
      </c>
      <c r="G233" s="23" t="str">
        <f>IFERROR(INDEX('Output Utente'!$O$2:$O$492,MATCH(230,'Output Utente'!$R$2:$R$492,0)),"")</f>
        <v/>
      </c>
      <c r="H233" s="23" t="str">
        <f>IFERROR(INDEX('Output Utente'!$P$2:$P$492,MATCH(230,'Output Utente'!$R$2:$R$492,0)),"")</f>
        <v/>
      </c>
      <c r="I233" s="24" t="str">
        <f>IFERROR(INDEX('Output Utente'!$F$2:$F$492,MATCH(230,'Output Utente'!$R$2:$R$492,0)),"")</f>
        <v/>
      </c>
      <c r="J233" s="24" t="str">
        <f>IFERROR(INDEX('Output Utente'!$G$2:$G$492,MATCH(230,'Output Utente'!$R$2:$R$492,0)),"")</f>
        <v/>
      </c>
      <c r="K233" s="24" t="str">
        <f>IFERROR(INDEX('Output Utente'!$H$2:$H$492,MATCH(230,'Output Utente'!$R$2:$R$492,0)),"")</f>
        <v/>
      </c>
      <c r="L233" s="23" t="str">
        <f>IFERROR(INDEX('Output Utente'!$E$2:$E$492,MATCH(230,'Output Utente'!$R$2:$R$492,0)),"")</f>
        <v/>
      </c>
      <c r="V233" t="str">
        <f>IFERROR(INDEX('Output Utente'!$M$2:$M$492,MATCH(230,'Output Utente'!$R$2:$R$492,0)),"")</f>
        <v/>
      </c>
      <c r="W233" t="str">
        <f t="shared" si="3"/>
        <v/>
      </c>
      <c r="X233" t="str">
        <f>IFERROR(INDEX('Output Utente'!$AF$2:$AF$492,MATCH(230,'Output Utente'!$R$2:$R$492,0)),"")</f>
        <v/>
      </c>
    </row>
    <row r="234" spans="1:24" ht="15" customHeight="1" x14ac:dyDescent="0.25">
      <c r="A234" s="26">
        <v>231</v>
      </c>
      <c r="B234" s="23" t="str">
        <f>IFERROR(INDEX('Output Utente'!$A$2:$A$492,MATCH(231,'Output Utente'!$R$2:$R$492,0)),"")</f>
        <v/>
      </c>
      <c r="C234" s="23" t="str">
        <f>IFERROR(INDEX('Output Utente'!$B$2:$B$492,MATCH(231,'Output Utente'!$R$2:$R$492,0)),"")</f>
        <v/>
      </c>
      <c r="D234" s="23" t="str">
        <f>IFERROR(INDEX('Output Utente'!$C$2:$C$492,MATCH(231,'Output Utente'!$R$2:$R$492,0)),"")</f>
        <v/>
      </c>
      <c r="E234" s="23" t="str">
        <f>IFERROR(INDEX('Input Giocatori 2026_27'!$D$3:$D$493,MATCH($B234,'Input Giocatori 2026_27'!$A$3:$A$493,0)),"")</f>
        <v/>
      </c>
      <c r="F234" s="24" t="str">
        <f>IFERROR(INDEX('Output Utente'!$N$2:$N$492,MATCH(231,'Output Utente'!$R$2:$R$492,0)),"")</f>
        <v/>
      </c>
      <c r="G234" s="23" t="str">
        <f>IFERROR(INDEX('Output Utente'!$O$2:$O$492,MATCH(231,'Output Utente'!$R$2:$R$492,0)),"")</f>
        <v/>
      </c>
      <c r="H234" s="23" t="str">
        <f>IFERROR(INDEX('Output Utente'!$P$2:$P$492,MATCH(231,'Output Utente'!$R$2:$R$492,0)),"")</f>
        <v/>
      </c>
      <c r="I234" s="24" t="str">
        <f>IFERROR(INDEX('Output Utente'!$F$2:$F$492,MATCH(231,'Output Utente'!$R$2:$R$492,0)),"")</f>
        <v/>
      </c>
      <c r="J234" s="24" t="str">
        <f>IFERROR(INDEX('Output Utente'!$G$2:$G$492,MATCH(231,'Output Utente'!$R$2:$R$492,0)),"")</f>
        <v/>
      </c>
      <c r="K234" s="24" t="str">
        <f>IFERROR(INDEX('Output Utente'!$H$2:$H$492,MATCH(231,'Output Utente'!$R$2:$R$492,0)),"")</f>
        <v/>
      </c>
      <c r="L234" s="23" t="str">
        <f>IFERROR(INDEX('Output Utente'!$E$2:$E$492,MATCH(231,'Output Utente'!$R$2:$R$492,0)),"")</f>
        <v/>
      </c>
      <c r="V234" t="str">
        <f>IFERROR(INDEX('Output Utente'!$M$2:$M$492,MATCH(231,'Output Utente'!$R$2:$R$492,0)),"")</f>
        <v/>
      </c>
      <c r="W234" t="str">
        <f t="shared" si="3"/>
        <v/>
      </c>
      <c r="X234" t="str">
        <f>IFERROR(INDEX('Output Utente'!$AF$2:$AF$492,MATCH(231,'Output Utente'!$R$2:$R$492,0)),"")</f>
        <v/>
      </c>
    </row>
    <row r="235" spans="1:24" ht="15" customHeight="1" x14ac:dyDescent="0.25">
      <c r="A235" s="26">
        <v>232</v>
      </c>
      <c r="B235" s="23" t="str">
        <f>IFERROR(INDEX('Output Utente'!$A$2:$A$492,MATCH(232,'Output Utente'!$R$2:$R$492,0)),"")</f>
        <v/>
      </c>
      <c r="C235" s="23" t="str">
        <f>IFERROR(INDEX('Output Utente'!$B$2:$B$492,MATCH(232,'Output Utente'!$R$2:$R$492,0)),"")</f>
        <v/>
      </c>
      <c r="D235" s="23" t="str">
        <f>IFERROR(INDEX('Output Utente'!$C$2:$C$492,MATCH(232,'Output Utente'!$R$2:$R$492,0)),"")</f>
        <v/>
      </c>
      <c r="E235" s="23" t="str">
        <f>IFERROR(INDEX('Input Giocatori 2026_27'!$D$3:$D$493,MATCH($B235,'Input Giocatori 2026_27'!$A$3:$A$493,0)),"")</f>
        <v/>
      </c>
      <c r="F235" s="24" t="str">
        <f>IFERROR(INDEX('Output Utente'!$N$2:$N$492,MATCH(232,'Output Utente'!$R$2:$R$492,0)),"")</f>
        <v/>
      </c>
      <c r="G235" s="23" t="str">
        <f>IFERROR(INDEX('Output Utente'!$O$2:$O$492,MATCH(232,'Output Utente'!$R$2:$R$492,0)),"")</f>
        <v/>
      </c>
      <c r="H235" s="23" t="str">
        <f>IFERROR(INDEX('Output Utente'!$P$2:$P$492,MATCH(232,'Output Utente'!$R$2:$R$492,0)),"")</f>
        <v/>
      </c>
      <c r="I235" s="24" t="str">
        <f>IFERROR(INDEX('Output Utente'!$F$2:$F$492,MATCH(232,'Output Utente'!$R$2:$R$492,0)),"")</f>
        <v/>
      </c>
      <c r="J235" s="24" t="str">
        <f>IFERROR(INDEX('Output Utente'!$G$2:$G$492,MATCH(232,'Output Utente'!$R$2:$R$492,0)),"")</f>
        <v/>
      </c>
      <c r="K235" s="24" t="str">
        <f>IFERROR(INDEX('Output Utente'!$H$2:$H$492,MATCH(232,'Output Utente'!$R$2:$R$492,0)),"")</f>
        <v/>
      </c>
      <c r="L235" s="23" t="str">
        <f>IFERROR(INDEX('Output Utente'!$E$2:$E$492,MATCH(232,'Output Utente'!$R$2:$R$492,0)),"")</f>
        <v/>
      </c>
      <c r="V235" t="str">
        <f>IFERROR(INDEX('Output Utente'!$M$2:$M$492,MATCH(232,'Output Utente'!$R$2:$R$492,0)),"")</f>
        <v/>
      </c>
      <c r="W235" t="str">
        <f t="shared" si="3"/>
        <v/>
      </c>
      <c r="X235" t="str">
        <f>IFERROR(INDEX('Output Utente'!$AF$2:$AF$492,MATCH(232,'Output Utente'!$R$2:$R$492,0)),"")</f>
        <v/>
      </c>
    </row>
    <row r="236" spans="1:24" ht="15" customHeight="1" x14ac:dyDescent="0.25">
      <c r="A236" s="26">
        <v>233</v>
      </c>
      <c r="B236" s="23" t="str">
        <f>IFERROR(INDEX('Output Utente'!$A$2:$A$492,MATCH(233,'Output Utente'!$R$2:$R$492,0)),"")</f>
        <v/>
      </c>
      <c r="C236" s="23" t="str">
        <f>IFERROR(INDEX('Output Utente'!$B$2:$B$492,MATCH(233,'Output Utente'!$R$2:$R$492,0)),"")</f>
        <v/>
      </c>
      <c r="D236" s="23" t="str">
        <f>IFERROR(INDEX('Output Utente'!$C$2:$C$492,MATCH(233,'Output Utente'!$R$2:$R$492,0)),"")</f>
        <v/>
      </c>
      <c r="E236" s="23" t="str">
        <f>IFERROR(INDEX('Input Giocatori 2026_27'!$D$3:$D$493,MATCH($B236,'Input Giocatori 2026_27'!$A$3:$A$493,0)),"")</f>
        <v/>
      </c>
      <c r="F236" s="24" t="str">
        <f>IFERROR(INDEX('Output Utente'!$N$2:$N$492,MATCH(233,'Output Utente'!$R$2:$R$492,0)),"")</f>
        <v/>
      </c>
      <c r="G236" s="23" t="str">
        <f>IFERROR(INDEX('Output Utente'!$O$2:$O$492,MATCH(233,'Output Utente'!$R$2:$R$492,0)),"")</f>
        <v/>
      </c>
      <c r="H236" s="23" t="str">
        <f>IFERROR(INDEX('Output Utente'!$P$2:$P$492,MATCH(233,'Output Utente'!$R$2:$R$492,0)),"")</f>
        <v/>
      </c>
      <c r="I236" s="24" t="str">
        <f>IFERROR(INDEX('Output Utente'!$F$2:$F$492,MATCH(233,'Output Utente'!$R$2:$R$492,0)),"")</f>
        <v/>
      </c>
      <c r="J236" s="24" t="str">
        <f>IFERROR(INDEX('Output Utente'!$G$2:$G$492,MATCH(233,'Output Utente'!$R$2:$R$492,0)),"")</f>
        <v/>
      </c>
      <c r="K236" s="24" t="str">
        <f>IFERROR(INDEX('Output Utente'!$H$2:$H$492,MATCH(233,'Output Utente'!$R$2:$R$492,0)),"")</f>
        <v/>
      </c>
      <c r="L236" s="23" t="str">
        <f>IFERROR(INDEX('Output Utente'!$E$2:$E$492,MATCH(233,'Output Utente'!$R$2:$R$492,0)),"")</f>
        <v/>
      </c>
      <c r="V236" t="str">
        <f>IFERROR(INDEX('Output Utente'!$M$2:$M$492,MATCH(233,'Output Utente'!$R$2:$R$492,0)),"")</f>
        <v/>
      </c>
      <c r="W236" t="str">
        <f t="shared" si="3"/>
        <v/>
      </c>
      <c r="X236" t="str">
        <f>IFERROR(INDEX('Output Utente'!$AF$2:$AF$492,MATCH(233,'Output Utente'!$R$2:$R$492,0)),"")</f>
        <v/>
      </c>
    </row>
    <row r="237" spans="1:24" ht="15" customHeight="1" x14ac:dyDescent="0.25">
      <c r="A237" s="26">
        <v>234</v>
      </c>
      <c r="B237" s="23" t="str">
        <f>IFERROR(INDEX('Output Utente'!$A$2:$A$492,MATCH(234,'Output Utente'!$R$2:$R$492,0)),"")</f>
        <v/>
      </c>
      <c r="C237" s="23" t="str">
        <f>IFERROR(INDEX('Output Utente'!$B$2:$B$492,MATCH(234,'Output Utente'!$R$2:$R$492,0)),"")</f>
        <v/>
      </c>
      <c r="D237" s="23" t="str">
        <f>IFERROR(INDEX('Output Utente'!$C$2:$C$492,MATCH(234,'Output Utente'!$R$2:$R$492,0)),"")</f>
        <v/>
      </c>
      <c r="E237" s="23" t="str">
        <f>IFERROR(INDEX('Input Giocatori 2026_27'!$D$3:$D$493,MATCH($B237,'Input Giocatori 2026_27'!$A$3:$A$493,0)),"")</f>
        <v/>
      </c>
      <c r="F237" s="24" t="str">
        <f>IFERROR(INDEX('Output Utente'!$N$2:$N$492,MATCH(234,'Output Utente'!$R$2:$R$492,0)),"")</f>
        <v/>
      </c>
      <c r="G237" s="23" t="str">
        <f>IFERROR(INDEX('Output Utente'!$O$2:$O$492,MATCH(234,'Output Utente'!$R$2:$R$492,0)),"")</f>
        <v/>
      </c>
      <c r="H237" s="23" t="str">
        <f>IFERROR(INDEX('Output Utente'!$P$2:$P$492,MATCH(234,'Output Utente'!$R$2:$R$492,0)),"")</f>
        <v/>
      </c>
      <c r="I237" s="24" t="str">
        <f>IFERROR(INDEX('Output Utente'!$F$2:$F$492,MATCH(234,'Output Utente'!$R$2:$R$492,0)),"")</f>
        <v/>
      </c>
      <c r="J237" s="24" t="str">
        <f>IFERROR(INDEX('Output Utente'!$G$2:$G$492,MATCH(234,'Output Utente'!$R$2:$R$492,0)),"")</f>
        <v/>
      </c>
      <c r="K237" s="24" t="str">
        <f>IFERROR(INDEX('Output Utente'!$H$2:$H$492,MATCH(234,'Output Utente'!$R$2:$R$492,0)),"")</f>
        <v/>
      </c>
      <c r="L237" s="23" t="str">
        <f>IFERROR(INDEX('Output Utente'!$E$2:$E$492,MATCH(234,'Output Utente'!$R$2:$R$492,0)),"")</f>
        <v/>
      </c>
      <c r="V237" t="str">
        <f>IFERROR(INDEX('Output Utente'!$M$2:$M$492,MATCH(234,'Output Utente'!$R$2:$R$492,0)),"")</f>
        <v/>
      </c>
      <c r="W237" t="str">
        <f t="shared" si="3"/>
        <v/>
      </c>
      <c r="X237" t="str">
        <f>IFERROR(INDEX('Output Utente'!$AF$2:$AF$492,MATCH(234,'Output Utente'!$R$2:$R$492,0)),"")</f>
        <v/>
      </c>
    </row>
    <row r="238" spans="1:24" ht="15" customHeight="1" x14ac:dyDescent="0.25">
      <c r="A238" s="26">
        <v>235</v>
      </c>
      <c r="B238" s="23" t="str">
        <f>IFERROR(INDEX('Output Utente'!$A$2:$A$492,MATCH(235,'Output Utente'!$R$2:$R$492,0)),"")</f>
        <v/>
      </c>
      <c r="C238" s="23" t="str">
        <f>IFERROR(INDEX('Output Utente'!$B$2:$B$492,MATCH(235,'Output Utente'!$R$2:$R$492,0)),"")</f>
        <v/>
      </c>
      <c r="D238" s="23" t="str">
        <f>IFERROR(INDEX('Output Utente'!$C$2:$C$492,MATCH(235,'Output Utente'!$R$2:$R$492,0)),"")</f>
        <v/>
      </c>
      <c r="E238" s="23" t="str">
        <f>IFERROR(INDEX('Input Giocatori 2026_27'!$D$3:$D$493,MATCH($B238,'Input Giocatori 2026_27'!$A$3:$A$493,0)),"")</f>
        <v/>
      </c>
      <c r="F238" s="24" t="str">
        <f>IFERROR(INDEX('Output Utente'!$N$2:$N$492,MATCH(235,'Output Utente'!$R$2:$R$492,0)),"")</f>
        <v/>
      </c>
      <c r="G238" s="23" t="str">
        <f>IFERROR(INDEX('Output Utente'!$O$2:$O$492,MATCH(235,'Output Utente'!$R$2:$R$492,0)),"")</f>
        <v/>
      </c>
      <c r="H238" s="23" t="str">
        <f>IFERROR(INDEX('Output Utente'!$P$2:$P$492,MATCH(235,'Output Utente'!$R$2:$R$492,0)),"")</f>
        <v/>
      </c>
      <c r="I238" s="24" t="str">
        <f>IFERROR(INDEX('Output Utente'!$F$2:$F$492,MATCH(235,'Output Utente'!$R$2:$R$492,0)),"")</f>
        <v/>
      </c>
      <c r="J238" s="24" t="str">
        <f>IFERROR(INDEX('Output Utente'!$G$2:$G$492,MATCH(235,'Output Utente'!$R$2:$R$492,0)),"")</f>
        <v/>
      </c>
      <c r="K238" s="24" t="str">
        <f>IFERROR(INDEX('Output Utente'!$H$2:$H$492,MATCH(235,'Output Utente'!$R$2:$R$492,0)),"")</f>
        <v/>
      </c>
      <c r="L238" s="23" t="str">
        <f>IFERROR(INDEX('Output Utente'!$E$2:$E$492,MATCH(235,'Output Utente'!$R$2:$R$492,0)),"")</f>
        <v/>
      </c>
      <c r="V238" t="str">
        <f>IFERROR(INDEX('Output Utente'!$M$2:$M$492,MATCH(235,'Output Utente'!$R$2:$R$492,0)),"")</f>
        <v/>
      </c>
      <c r="W238" t="str">
        <f t="shared" si="3"/>
        <v/>
      </c>
      <c r="X238" t="str">
        <f>IFERROR(INDEX('Output Utente'!$AF$2:$AF$492,MATCH(235,'Output Utente'!$R$2:$R$492,0)),"")</f>
        <v/>
      </c>
    </row>
    <row r="239" spans="1:24" ht="15" customHeight="1" x14ac:dyDescent="0.25">
      <c r="A239" s="26">
        <v>236</v>
      </c>
      <c r="B239" s="23" t="str">
        <f>IFERROR(INDEX('Output Utente'!$A$2:$A$492,MATCH(236,'Output Utente'!$R$2:$R$492,0)),"")</f>
        <v/>
      </c>
      <c r="C239" s="23" t="str">
        <f>IFERROR(INDEX('Output Utente'!$B$2:$B$492,MATCH(236,'Output Utente'!$R$2:$R$492,0)),"")</f>
        <v/>
      </c>
      <c r="D239" s="23" t="str">
        <f>IFERROR(INDEX('Output Utente'!$C$2:$C$492,MATCH(236,'Output Utente'!$R$2:$R$492,0)),"")</f>
        <v/>
      </c>
      <c r="E239" s="23" t="str">
        <f>IFERROR(INDEX('Input Giocatori 2026_27'!$D$3:$D$493,MATCH($B239,'Input Giocatori 2026_27'!$A$3:$A$493,0)),"")</f>
        <v/>
      </c>
      <c r="F239" s="24" t="str">
        <f>IFERROR(INDEX('Output Utente'!$N$2:$N$492,MATCH(236,'Output Utente'!$R$2:$R$492,0)),"")</f>
        <v/>
      </c>
      <c r="G239" s="23" t="str">
        <f>IFERROR(INDEX('Output Utente'!$O$2:$O$492,MATCH(236,'Output Utente'!$R$2:$R$492,0)),"")</f>
        <v/>
      </c>
      <c r="H239" s="23" t="str">
        <f>IFERROR(INDEX('Output Utente'!$P$2:$P$492,MATCH(236,'Output Utente'!$R$2:$R$492,0)),"")</f>
        <v/>
      </c>
      <c r="I239" s="24" t="str">
        <f>IFERROR(INDEX('Output Utente'!$F$2:$F$492,MATCH(236,'Output Utente'!$R$2:$R$492,0)),"")</f>
        <v/>
      </c>
      <c r="J239" s="24" t="str">
        <f>IFERROR(INDEX('Output Utente'!$G$2:$G$492,MATCH(236,'Output Utente'!$R$2:$R$492,0)),"")</f>
        <v/>
      </c>
      <c r="K239" s="24" t="str">
        <f>IFERROR(INDEX('Output Utente'!$H$2:$H$492,MATCH(236,'Output Utente'!$R$2:$R$492,0)),"")</f>
        <v/>
      </c>
      <c r="L239" s="23" t="str">
        <f>IFERROR(INDEX('Output Utente'!$E$2:$E$492,MATCH(236,'Output Utente'!$R$2:$R$492,0)),"")</f>
        <v/>
      </c>
      <c r="V239" t="str">
        <f>IFERROR(INDEX('Output Utente'!$M$2:$M$492,MATCH(236,'Output Utente'!$R$2:$R$492,0)),"")</f>
        <v/>
      </c>
      <c r="W239" t="str">
        <f t="shared" si="3"/>
        <v/>
      </c>
      <c r="X239" t="str">
        <f>IFERROR(INDEX('Output Utente'!$AF$2:$AF$492,MATCH(236,'Output Utente'!$R$2:$R$492,0)),"")</f>
        <v/>
      </c>
    </row>
    <row r="240" spans="1:24" ht="15" customHeight="1" x14ac:dyDescent="0.25">
      <c r="A240" s="26">
        <v>237</v>
      </c>
      <c r="B240" s="23" t="str">
        <f>IFERROR(INDEX('Output Utente'!$A$2:$A$492,MATCH(237,'Output Utente'!$R$2:$R$492,0)),"")</f>
        <v/>
      </c>
      <c r="C240" s="23" t="str">
        <f>IFERROR(INDEX('Output Utente'!$B$2:$B$492,MATCH(237,'Output Utente'!$R$2:$R$492,0)),"")</f>
        <v/>
      </c>
      <c r="D240" s="23" t="str">
        <f>IFERROR(INDEX('Output Utente'!$C$2:$C$492,MATCH(237,'Output Utente'!$R$2:$R$492,0)),"")</f>
        <v/>
      </c>
      <c r="E240" s="23" t="str">
        <f>IFERROR(INDEX('Input Giocatori 2026_27'!$D$3:$D$493,MATCH($B240,'Input Giocatori 2026_27'!$A$3:$A$493,0)),"")</f>
        <v/>
      </c>
      <c r="F240" s="24" t="str">
        <f>IFERROR(INDEX('Output Utente'!$N$2:$N$492,MATCH(237,'Output Utente'!$R$2:$R$492,0)),"")</f>
        <v/>
      </c>
      <c r="G240" s="23" t="str">
        <f>IFERROR(INDEX('Output Utente'!$O$2:$O$492,MATCH(237,'Output Utente'!$R$2:$R$492,0)),"")</f>
        <v/>
      </c>
      <c r="H240" s="23" t="str">
        <f>IFERROR(INDEX('Output Utente'!$P$2:$P$492,MATCH(237,'Output Utente'!$R$2:$R$492,0)),"")</f>
        <v/>
      </c>
      <c r="I240" s="24" t="str">
        <f>IFERROR(INDEX('Output Utente'!$F$2:$F$492,MATCH(237,'Output Utente'!$R$2:$R$492,0)),"")</f>
        <v/>
      </c>
      <c r="J240" s="24" t="str">
        <f>IFERROR(INDEX('Output Utente'!$G$2:$G$492,MATCH(237,'Output Utente'!$R$2:$R$492,0)),"")</f>
        <v/>
      </c>
      <c r="K240" s="24" t="str">
        <f>IFERROR(INDEX('Output Utente'!$H$2:$H$492,MATCH(237,'Output Utente'!$R$2:$R$492,0)),"")</f>
        <v/>
      </c>
      <c r="L240" s="23" t="str">
        <f>IFERROR(INDEX('Output Utente'!$E$2:$E$492,MATCH(237,'Output Utente'!$R$2:$R$492,0)),"")</f>
        <v/>
      </c>
      <c r="V240" t="str">
        <f>IFERROR(INDEX('Output Utente'!$M$2:$M$492,MATCH(237,'Output Utente'!$R$2:$R$492,0)),"")</f>
        <v/>
      </c>
      <c r="W240" t="str">
        <f t="shared" si="3"/>
        <v/>
      </c>
      <c r="X240" t="str">
        <f>IFERROR(INDEX('Output Utente'!$AF$2:$AF$492,MATCH(237,'Output Utente'!$R$2:$R$492,0)),"")</f>
        <v/>
      </c>
    </row>
    <row r="241" spans="1:24" ht="15" customHeight="1" x14ac:dyDescent="0.25">
      <c r="A241" s="26">
        <v>238</v>
      </c>
      <c r="B241" s="23" t="str">
        <f>IFERROR(INDEX('Output Utente'!$A$2:$A$492,MATCH(238,'Output Utente'!$R$2:$R$492,0)),"")</f>
        <v/>
      </c>
      <c r="C241" s="23" t="str">
        <f>IFERROR(INDEX('Output Utente'!$B$2:$B$492,MATCH(238,'Output Utente'!$R$2:$R$492,0)),"")</f>
        <v/>
      </c>
      <c r="D241" s="23" t="str">
        <f>IFERROR(INDEX('Output Utente'!$C$2:$C$492,MATCH(238,'Output Utente'!$R$2:$R$492,0)),"")</f>
        <v/>
      </c>
      <c r="E241" s="23" t="str">
        <f>IFERROR(INDEX('Input Giocatori 2026_27'!$D$3:$D$493,MATCH($B241,'Input Giocatori 2026_27'!$A$3:$A$493,0)),"")</f>
        <v/>
      </c>
      <c r="F241" s="24" t="str">
        <f>IFERROR(INDEX('Output Utente'!$N$2:$N$492,MATCH(238,'Output Utente'!$R$2:$R$492,0)),"")</f>
        <v/>
      </c>
      <c r="G241" s="23" t="str">
        <f>IFERROR(INDEX('Output Utente'!$O$2:$O$492,MATCH(238,'Output Utente'!$R$2:$R$492,0)),"")</f>
        <v/>
      </c>
      <c r="H241" s="23" t="str">
        <f>IFERROR(INDEX('Output Utente'!$P$2:$P$492,MATCH(238,'Output Utente'!$R$2:$R$492,0)),"")</f>
        <v/>
      </c>
      <c r="I241" s="24" t="str">
        <f>IFERROR(INDEX('Output Utente'!$F$2:$F$492,MATCH(238,'Output Utente'!$R$2:$R$492,0)),"")</f>
        <v/>
      </c>
      <c r="J241" s="24" t="str">
        <f>IFERROR(INDEX('Output Utente'!$G$2:$G$492,MATCH(238,'Output Utente'!$R$2:$R$492,0)),"")</f>
        <v/>
      </c>
      <c r="K241" s="24" t="str">
        <f>IFERROR(INDEX('Output Utente'!$H$2:$H$492,MATCH(238,'Output Utente'!$R$2:$R$492,0)),"")</f>
        <v/>
      </c>
      <c r="L241" s="23" t="str">
        <f>IFERROR(INDEX('Output Utente'!$E$2:$E$492,MATCH(238,'Output Utente'!$R$2:$R$492,0)),"")</f>
        <v/>
      </c>
      <c r="V241" t="str">
        <f>IFERROR(INDEX('Output Utente'!$M$2:$M$492,MATCH(238,'Output Utente'!$R$2:$R$492,0)),"")</f>
        <v/>
      </c>
      <c r="W241" t="str">
        <f t="shared" si="3"/>
        <v/>
      </c>
      <c r="X241" t="str">
        <f>IFERROR(INDEX('Output Utente'!$AF$2:$AF$492,MATCH(238,'Output Utente'!$R$2:$R$492,0)),"")</f>
        <v/>
      </c>
    </row>
    <row r="242" spans="1:24" ht="15" customHeight="1" x14ac:dyDescent="0.25">
      <c r="A242" s="26">
        <v>239</v>
      </c>
      <c r="B242" s="23" t="str">
        <f>IFERROR(INDEX('Output Utente'!$A$2:$A$492,MATCH(239,'Output Utente'!$R$2:$R$492,0)),"")</f>
        <v/>
      </c>
      <c r="C242" s="23" t="str">
        <f>IFERROR(INDEX('Output Utente'!$B$2:$B$492,MATCH(239,'Output Utente'!$R$2:$R$492,0)),"")</f>
        <v/>
      </c>
      <c r="D242" s="23" t="str">
        <f>IFERROR(INDEX('Output Utente'!$C$2:$C$492,MATCH(239,'Output Utente'!$R$2:$R$492,0)),"")</f>
        <v/>
      </c>
      <c r="E242" s="23" t="str">
        <f>IFERROR(INDEX('Input Giocatori 2026_27'!$D$3:$D$493,MATCH($B242,'Input Giocatori 2026_27'!$A$3:$A$493,0)),"")</f>
        <v/>
      </c>
      <c r="F242" s="24" t="str">
        <f>IFERROR(INDEX('Output Utente'!$N$2:$N$492,MATCH(239,'Output Utente'!$R$2:$R$492,0)),"")</f>
        <v/>
      </c>
      <c r="G242" s="23" t="str">
        <f>IFERROR(INDEX('Output Utente'!$O$2:$O$492,MATCH(239,'Output Utente'!$R$2:$R$492,0)),"")</f>
        <v/>
      </c>
      <c r="H242" s="23" t="str">
        <f>IFERROR(INDEX('Output Utente'!$P$2:$P$492,MATCH(239,'Output Utente'!$R$2:$R$492,0)),"")</f>
        <v/>
      </c>
      <c r="I242" s="24" t="str">
        <f>IFERROR(INDEX('Output Utente'!$F$2:$F$492,MATCH(239,'Output Utente'!$R$2:$R$492,0)),"")</f>
        <v/>
      </c>
      <c r="J242" s="24" t="str">
        <f>IFERROR(INDEX('Output Utente'!$G$2:$G$492,MATCH(239,'Output Utente'!$R$2:$R$492,0)),"")</f>
        <v/>
      </c>
      <c r="K242" s="24" t="str">
        <f>IFERROR(INDEX('Output Utente'!$H$2:$H$492,MATCH(239,'Output Utente'!$R$2:$R$492,0)),"")</f>
        <v/>
      </c>
      <c r="L242" s="23" t="str">
        <f>IFERROR(INDEX('Output Utente'!$E$2:$E$492,MATCH(239,'Output Utente'!$R$2:$R$492,0)),"")</f>
        <v/>
      </c>
      <c r="V242" t="str">
        <f>IFERROR(INDEX('Output Utente'!$M$2:$M$492,MATCH(239,'Output Utente'!$R$2:$R$492,0)),"")</f>
        <v/>
      </c>
      <c r="W242" t="str">
        <f t="shared" si="3"/>
        <v/>
      </c>
      <c r="X242" t="str">
        <f>IFERROR(INDEX('Output Utente'!$AF$2:$AF$492,MATCH(239,'Output Utente'!$R$2:$R$492,0)),"")</f>
        <v/>
      </c>
    </row>
    <row r="243" spans="1:24" ht="15" customHeight="1" x14ac:dyDescent="0.25">
      <c r="A243" s="26">
        <v>240</v>
      </c>
      <c r="B243" s="23" t="str">
        <f>IFERROR(INDEX('Output Utente'!$A$2:$A$492,MATCH(240,'Output Utente'!$R$2:$R$492,0)),"")</f>
        <v/>
      </c>
      <c r="C243" s="23" t="str">
        <f>IFERROR(INDEX('Output Utente'!$B$2:$B$492,MATCH(240,'Output Utente'!$R$2:$R$492,0)),"")</f>
        <v/>
      </c>
      <c r="D243" s="23" t="str">
        <f>IFERROR(INDEX('Output Utente'!$C$2:$C$492,MATCH(240,'Output Utente'!$R$2:$R$492,0)),"")</f>
        <v/>
      </c>
      <c r="E243" s="23" t="str">
        <f>IFERROR(INDEX('Input Giocatori 2026_27'!$D$3:$D$493,MATCH($B243,'Input Giocatori 2026_27'!$A$3:$A$493,0)),"")</f>
        <v/>
      </c>
      <c r="F243" s="24" t="str">
        <f>IFERROR(INDEX('Output Utente'!$N$2:$N$492,MATCH(240,'Output Utente'!$R$2:$R$492,0)),"")</f>
        <v/>
      </c>
      <c r="G243" s="23" t="str">
        <f>IFERROR(INDEX('Output Utente'!$O$2:$O$492,MATCH(240,'Output Utente'!$R$2:$R$492,0)),"")</f>
        <v/>
      </c>
      <c r="H243" s="23" t="str">
        <f>IFERROR(INDEX('Output Utente'!$P$2:$P$492,MATCH(240,'Output Utente'!$R$2:$R$492,0)),"")</f>
        <v/>
      </c>
      <c r="I243" s="24" t="str">
        <f>IFERROR(INDEX('Output Utente'!$F$2:$F$492,MATCH(240,'Output Utente'!$R$2:$R$492,0)),"")</f>
        <v/>
      </c>
      <c r="J243" s="24" t="str">
        <f>IFERROR(INDEX('Output Utente'!$G$2:$G$492,MATCH(240,'Output Utente'!$R$2:$R$492,0)),"")</f>
        <v/>
      </c>
      <c r="K243" s="24" t="str">
        <f>IFERROR(INDEX('Output Utente'!$H$2:$H$492,MATCH(240,'Output Utente'!$R$2:$R$492,0)),"")</f>
        <v/>
      </c>
      <c r="L243" s="23" t="str">
        <f>IFERROR(INDEX('Output Utente'!$E$2:$E$492,MATCH(240,'Output Utente'!$R$2:$R$492,0)),"")</f>
        <v/>
      </c>
      <c r="V243" t="str">
        <f>IFERROR(INDEX('Output Utente'!$M$2:$M$492,MATCH(240,'Output Utente'!$R$2:$R$492,0)),"")</f>
        <v/>
      </c>
      <c r="W243" t="str">
        <f t="shared" si="3"/>
        <v/>
      </c>
      <c r="X243" t="str">
        <f>IFERROR(INDEX('Output Utente'!$AF$2:$AF$492,MATCH(240,'Output Utente'!$R$2:$R$492,0)),"")</f>
        <v/>
      </c>
    </row>
    <row r="244" spans="1:24" ht="15" customHeight="1" x14ac:dyDescent="0.25">
      <c r="A244" s="26">
        <v>241</v>
      </c>
      <c r="B244" s="23" t="str">
        <f>IFERROR(INDEX('Output Utente'!$A$2:$A$492,MATCH(241,'Output Utente'!$R$2:$R$492,0)),"")</f>
        <v/>
      </c>
      <c r="C244" s="23" t="str">
        <f>IFERROR(INDEX('Output Utente'!$B$2:$B$492,MATCH(241,'Output Utente'!$R$2:$R$492,0)),"")</f>
        <v/>
      </c>
      <c r="D244" s="23" t="str">
        <f>IFERROR(INDEX('Output Utente'!$C$2:$C$492,MATCH(241,'Output Utente'!$R$2:$R$492,0)),"")</f>
        <v/>
      </c>
      <c r="E244" s="23" t="str">
        <f>IFERROR(INDEX('Input Giocatori 2026_27'!$D$3:$D$493,MATCH($B244,'Input Giocatori 2026_27'!$A$3:$A$493,0)),"")</f>
        <v/>
      </c>
      <c r="F244" s="24" t="str">
        <f>IFERROR(INDEX('Output Utente'!$N$2:$N$492,MATCH(241,'Output Utente'!$R$2:$R$492,0)),"")</f>
        <v/>
      </c>
      <c r="G244" s="23" t="str">
        <f>IFERROR(INDEX('Output Utente'!$O$2:$O$492,MATCH(241,'Output Utente'!$R$2:$R$492,0)),"")</f>
        <v/>
      </c>
      <c r="H244" s="23" t="str">
        <f>IFERROR(INDEX('Output Utente'!$P$2:$P$492,MATCH(241,'Output Utente'!$R$2:$R$492,0)),"")</f>
        <v/>
      </c>
      <c r="I244" s="24" t="str">
        <f>IFERROR(INDEX('Output Utente'!$F$2:$F$492,MATCH(241,'Output Utente'!$R$2:$R$492,0)),"")</f>
        <v/>
      </c>
      <c r="J244" s="24" t="str">
        <f>IFERROR(INDEX('Output Utente'!$G$2:$G$492,MATCH(241,'Output Utente'!$R$2:$R$492,0)),"")</f>
        <v/>
      </c>
      <c r="K244" s="24" t="str">
        <f>IFERROR(INDEX('Output Utente'!$H$2:$H$492,MATCH(241,'Output Utente'!$R$2:$R$492,0)),"")</f>
        <v/>
      </c>
      <c r="L244" s="23" t="str">
        <f>IFERROR(INDEX('Output Utente'!$E$2:$E$492,MATCH(241,'Output Utente'!$R$2:$R$492,0)),"")</f>
        <v/>
      </c>
      <c r="V244" t="str">
        <f>IFERROR(INDEX('Output Utente'!$M$2:$M$492,MATCH(241,'Output Utente'!$R$2:$R$492,0)),"")</f>
        <v/>
      </c>
      <c r="W244" t="str">
        <f t="shared" si="3"/>
        <v/>
      </c>
      <c r="X244" t="str">
        <f>IFERROR(INDEX('Output Utente'!$AF$2:$AF$492,MATCH(241,'Output Utente'!$R$2:$R$492,0)),"")</f>
        <v/>
      </c>
    </row>
    <row r="245" spans="1:24" ht="15" customHeight="1" x14ac:dyDescent="0.25">
      <c r="A245" s="26">
        <v>242</v>
      </c>
      <c r="B245" s="23" t="str">
        <f>IFERROR(INDEX('Output Utente'!$A$2:$A$492,MATCH(242,'Output Utente'!$R$2:$R$492,0)),"")</f>
        <v/>
      </c>
      <c r="C245" s="23" t="str">
        <f>IFERROR(INDEX('Output Utente'!$B$2:$B$492,MATCH(242,'Output Utente'!$R$2:$R$492,0)),"")</f>
        <v/>
      </c>
      <c r="D245" s="23" t="str">
        <f>IFERROR(INDEX('Output Utente'!$C$2:$C$492,MATCH(242,'Output Utente'!$R$2:$R$492,0)),"")</f>
        <v/>
      </c>
      <c r="E245" s="23" t="str">
        <f>IFERROR(INDEX('Input Giocatori 2026_27'!$D$3:$D$493,MATCH($B245,'Input Giocatori 2026_27'!$A$3:$A$493,0)),"")</f>
        <v/>
      </c>
      <c r="F245" s="24" t="str">
        <f>IFERROR(INDEX('Output Utente'!$N$2:$N$492,MATCH(242,'Output Utente'!$R$2:$R$492,0)),"")</f>
        <v/>
      </c>
      <c r="G245" s="23" t="str">
        <f>IFERROR(INDEX('Output Utente'!$O$2:$O$492,MATCH(242,'Output Utente'!$R$2:$R$492,0)),"")</f>
        <v/>
      </c>
      <c r="H245" s="23" t="str">
        <f>IFERROR(INDEX('Output Utente'!$P$2:$P$492,MATCH(242,'Output Utente'!$R$2:$R$492,0)),"")</f>
        <v/>
      </c>
      <c r="I245" s="24" t="str">
        <f>IFERROR(INDEX('Output Utente'!$F$2:$F$492,MATCH(242,'Output Utente'!$R$2:$R$492,0)),"")</f>
        <v/>
      </c>
      <c r="J245" s="24" t="str">
        <f>IFERROR(INDEX('Output Utente'!$G$2:$G$492,MATCH(242,'Output Utente'!$R$2:$R$492,0)),"")</f>
        <v/>
      </c>
      <c r="K245" s="24" t="str">
        <f>IFERROR(INDEX('Output Utente'!$H$2:$H$492,MATCH(242,'Output Utente'!$R$2:$R$492,0)),"")</f>
        <v/>
      </c>
      <c r="L245" s="23" t="str">
        <f>IFERROR(INDEX('Output Utente'!$E$2:$E$492,MATCH(242,'Output Utente'!$R$2:$R$492,0)),"")</f>
        <v/>
      </c>
      <c r="V245" t="str">
        <f>IFERROR(INDEX('Output Utente'!$M$2:$M$492,MATCH(242,'Output Utente'!$R$2:$R$492,0)),"")</f>
        <v/>
      </c>
      <c r="W245" t="str">
        <f t="shared" si="3"/>
        <v/>
      </c>
      <c r="X245" t="str">
        <f>IFERROR(INDEX('Output Utente'!$AF$2:$AF$492,MATCH(242,'Output Utente'!$R$2:$R$492,0)),"")</f>
        <v/>
      </c>
    </row>
    <row r="246" spans="1:24" ht="15" customHeight="1" x14ac:dyDescent="0.25">
      <c r="A246" s="26">
        <v>243</v>
      </c>
      <c r="B246" s="23" t="str">
        <f>IFERROR(INDEX('Output Utente'!$A$2:$A$492,MATCH(243,'Output Utente'!$R$2:$R$492,0)),"")</f>
        <v/>
      </c>
      <c r="C246" s="23" t="str">
        <f>IFERROR(INDEX('Output Utente'!$B$2:$B$492,MATCH(243,'Output Utente'!$R$2:$R$492,0)),"")</f>
        <v/>
      </c>
      <c r="D246" s="23" t="str">
        <f>IFERROR(INDEX('Output Utente'!$C$2:$C$492,MATCH(243,'Output Utente'!$R$2:$R$492,0)),"")</f>
        <v/>
      </c>
      <c r="E246" s="23" t="str">
        <f>IFERROR(INDEX('Input Giocatori 2026_27'!$D$3:$D$493,MATCH($B246,'Input Giocatori 2026_27'!$A$3:$A$493,0)),"")</f>
        <v/>
      </c>
      <c r="F246" s="24" t="str">
        <f>IFERROR(INDEX('Output Utente'!$N$2:$N$492,MATCH(243,'Output Utente'!$R$2:$R$492,0)),"")</f>
        <v/>
      </c>
      <c r="G246" s="23" t="str">
        <f>IFERROR(INDEX('Output Utente'!$O$2:$O$492,MATCH(243,'Output Utente'!$R$2:$R$492,0)),"")</f>
        <v/>
      </c>
      <c r="H246" s="23" t="str">
        <f>IFERROR(INDEX('Output Utente'!$P$2:$P$492,MATCH(243,'Output Utente'!$R$2:$R$492,0)),"")</f>
        <v/>
      </c>
      <c r="I246" s="24" t="str">
        <f>IFERROR(INDEX('Output Utente'!$F$2:$F$492,MATCH(243,'Output Utente'!$R$2:$R$492,0)),"")</f>
        <v/>
      </c>
      <c r="J246" s="24" t="str">
        <f>IFERROR(INDEX('Output Utente'!$G$2:$G$492,MATCH(243,'Output Utente'!$R$2:$R$492,0)),"")</f>
        <v/>
      </c>
      <c r="K246" s="24" t="str">
        <f>IFERROR(INDEX('Output Utente'!$H$2:$H$492,MATCH(243,'Output Utente'!$R$2:$R$492,0)),"")</f>
        <v/>
      </c>
      <c r="L246" s="23" t="str">
        <f>IFERROR(INDEX('Output Utente'!$E$2:$E$492,MATCH(243,'Output Utente'!$R$2:$R$492,0)),"")</f>
        <v/>
      </c>
      <c r="V246" t="str">
        <f>IFERROR(INDEX('Output Utente'!$M$2:$M$492,MATCH(243,'Output Utente'!$R$2:$R$492,0)),"")</f>
        <v/>
      </c>
      <c r="W246" t="str">
        <f t="shared" si="3"/>
        <v/>
      </c>
      <c r="X246" t="str">
        <f>IFERROR(INDEX('Output Utente'!$AF$2:$AF$492,MATCH(243,'Output Utente'!$R$2:$R$492,0)),"")</f>
        <v/>
      </c>
    </row>
    <row r="247" spans="1:24" ht="15" customHeight="1" x14ac:dyDescent="0.25">
      <c r="A247" s="26">
        <v>244</v>
      </c>
      <c r="B247" s="23" t="str">
        <f>IFERROR(INDEX('Output Utente'!$A$2:$A$492,MATCH(244,'Output Utente'!$R$2:$R$492,0)),"")</f>
        <v/>
      </c>
      <c r="C247" s="23" t="str">
        <f>IFERROR(INDEX('Output Utente'!$B$2:$B$492,MATCH(244,'Output Utente'!$R$2:$R$492,0)),"")</f>
        <v/>
      </c>
      <c r="D247" s="23" t="str">
        <f>IFERROR(INDEX('Output Utente'!$C$2:$C$492,MATCH(244,'Output Utente'!$R$2:$R$492,0)),"")</f>
        <v/>
      </c>
      <c r="E247" s="23" t="str">
        <f>IFERROR(INDEX('Input Giocatori 2026_27'!$D$3:$D$493,MATCH($B247,'Input Giocatori 2026_27'!$A$3:$A$493,0)),"")</f>
        <v/>
      </c>
      <c r="F247" s="24" t="str">
        <f>IFERROR(INDEX('Output Utente'!$N$2:$N$492,MATCH(244,'Output Utente'!$R$2:$R$492,0)),"")</f>
        <v/>
      </c>
      <c r="G247" s="23" t="str">
        <f>IFERROR(INDEX('Output Utente'!$O$2:$O$492,MATCH(244,'Output Utente'!$R$2:$R$492,0)),"")</f>
        <v/>
      </c>
      <c r="H247" s="23" t="str">
        <f>IFERROR(INDEX('Output Utente'!$P$2:$P$492,MATCH(244,'Output Utente'!$R$2:$R$492,0)),"")</f>
        <v/>
      </c>
      <c r="I247" s="24" t="str">
        <f>IFERROR(INDEX('Output Utente'!$F$2:$F$492,MATCH(244,'Output Utente'!$R$2:$R$492,0)),"")</f>
        <v/>
      </c>
      <c r="J247" s="24" t="str">
        <f>IFERROR(INDEX('Output Utente'!$G$2:$G$492,MATCH(244,'Output Utente'!$R$2:$R$492,0)),"")</f>
        <v/>
      </c>
      <c r="K247" s="24" t="str">
        <f>IFERROR(INDEX('Output Utente'!$H$2:$H$492,MATCH(244,'Output Utente'!$R$2:$R$492,0)),"")</f>
        <v/>
      </c>
      <c r="L247" s="23" t="str">
        <f>IFERROR(INDEX('Output Utente'!$E$2:$E$492,MATCH(244,'Output Utente'!$R$2:$R$492,0)),"")</f>
        <v/>
      </c>
      <c r="V247" t="str">
        <f>IFERROR(INDEX('Output Utente'!$M$2:$M$492,MATCH(244,'Output Utente'!$R$2:$R$492,0)),"")</f>
        <v/>
      </c>
      <c r="W247" t="str">
        <f t="shared" si="3"/>
        <v/>
      </c>
      <c r="X247" t="str">
        <f>IFERROR(INDEX('Output Utente'!$AF$2:$AF$492,MATCH(244,'Output Utente'!$R$2:$R$492,0)),"")</f>
        <v/>
      </c>
    </row>
    <row r="248" spans="1:24" ht="15" customHeight="1" x14ac:dyDescent="0.25">
      <c r="A248" s="26">
        <v>245</v>
      </c>
      <c r="B248" s="23" t="str">
        <f>IFERROR(INDEX('Output Utente'!$A$2:$A$492,MATCH(245,'Output Utente'!$R$2:$R$492,0)),"")</f>
        <v/>
      </c>
      <c r="C248" s="23" t="str">
        <f>IFERROR(INDEX('Output Utente'!$B$2:$B$492,MATCH(245,'Output Utente'!$R$2:$R$492,0)),"")</f>
        <v/>
      </c>
      <c r="D248" s="23" t="str">
        <f>IFERROR(INDEX('Output Utente'!$C$2:$C$492,MATCH(245,'Output Utente'!$R$2:$R$492,0)),"")</f>
        <v/>
      </c>
      <c r="E248" s="23" t="str">
        <f>IFERROR(INDEX('Input Giocatori 2026_27'!$D$3:$D$493,MATCH($B248,'Input Giocatori 2026_27'!$A$3:$A$493,0)),"")</f>
        <v/>
      </c>
      <c r="F248" s="24" t="str">
        <f>IFERROR(INDEX('Output Utente'!$N$2:$N$492,MATCH(245,'Output Utente'!$R$2:$R$492,0)),"")</f>
        <v/>
      </c>
      <c r="G248" s="23" t="str">
        <f>IFERROR(INDEX('Output Utente'!$O$2:$O$492,MATCH(245,'Output Utente'!$R$2:$R$492,0)),"")</f>
        <v/>
      </c>
      <c r="H248" s="23" t="str">
        <f>IFERROR(INDEX('Output Utente'!$P$2:$P$492,MATCH(245,'Output Utente'!$R$2:$R$492,0)),"")</f>
        <v/>
      </c>
      <c r="I248" s="24" t="str">
        <f>IFERROR(INDEX('Output Utente'!$F$2:$F$492,MATCH(245,'Output Utente'!$R$2:$R$492,0)),"")</f>
        <v/>
      </c>
      <c r="J248" s="24" t="str">
        <f>IFERROR(INDEX('Output Utente'!$G$2:$G$492,MATCH(245,'Output Utente'!$R$2:$R$492,0)),"")</f>
        <v/>
      </c>
      <c r="K248" s="24" t="str">
        <f>IFERROR(INDEX('Output Utente'!$H$2:$H$492,MATCH(245,'Output Utente'!$R$2:$R$492,0)),"")</f>
        <v/>
      </c>
      <c r="L248" s="23" t="str">
        <f>IFERROR(INDEX('Output Utente'!$E$2:$E$492,MATCH(245,'Output Utente'!$R$2:$R$492,0)),"")</f>
        <v/>
      </c>
      <c r="V248" t="str">
        <f>IFERROR(INDEX('Output Utente'!$M$2:$M$492,MATCH(245,'Output Utente'!$R$2:$R$492,0)),"")</f>
        <v/>
      </c>
      <c r="W248" t="str">
        <f t="shared" si="3"/>
        <v/>
      </c>
      <c r="X248" t="str">
        <f>IFERROR(INDEX('Output Utente'!$AF$2:$AF$492,MATCH(245,'Output Utente'!$R$2:$R$492,0)),"")</f>
        <v/>
      </c>
    </row>
    <row r="249" spans="1:24" ht="15" customHeight="1" x14ac:dyDescent="0.25">
      <c r="A249" s="26">
        <v>246</v>
      </c>
      <c r="B249" s="23" t="str">
        <f>IFERROR(INDEX('Output Utente'!$A$2:$A$492,MATCH(246,'Output Utente'!$R$2:$R$492,0)),"")</f>
        <v/>
      </c>
      <c r="C249" s="23" t="str">
        <f>IFERROR(INDEX('Output Utente'!$B$2:$B$492,MATCH(246,'Output Utente'!$R$2:$R$492,0)),"")</f>
        <v/>
      </c>
      <c r="D249" s="23" t="str">
        <f>IFERROR(INDEX('Output Utente'!$C$2:$C$492,MATCH(246,'Output Utente'!$R$2:$R$492,0)),"")</f>
        <v/>
      </c>
      <c r="E249" s="23" t="str">
        <f>IFERROR(INDEX('Input Giocatori 2026_27'!$D$3:$D$493,MATCH($B249,'Input Giocatori 2026_27'!$A$3:$A$493,0)),"")</f>
        <v/>
      </c>
      <c r="F249" s="24" t="str">
        <f>IFERROR(INDEX('Output Utente'!$N$2:$N$492,MATCH(246,'Output Utente'!$R$2:$R$492,0)),"")</f>
        <v/>
      </c>
      <c r="G249" s="23" t="str">
        <f>IFERROR(INDEX('Output Utente'!$O$2:$O$492,MATCH(246,'Output Utente'!$R$2:$R$492,0)),"")</f>
        <v/>
      </c>
      <c r="H249" s="23" t="str">
        <f>IFERROR(INDEX('Output Utente'!$P$2:$P$492,MATCH(246,'Output Utente'!$R$2:$R$492,0)),"")</f>
        <v/>
      </c>
      <c r="I249" s="24" t="str">
        <f>IFERROR(INDEX('Output Utente'!$F$2:$F$492,MATCH(246,'Output Utente'!$R$2:$R$492,0)),"")</f>
        <v/>
      </c>
      <c r="J249" s="24" t="str">
        <f>IFERROR(INDEX('Output Utente'!$G$2:$G$492,MATCH(246,'Output Utente'!$R$2:$R$492,0)),"")</f>
        <v/>
      </c>
      <c r="K249" s="24" t="str">
        <f>IFERROR(INDEX('Output Utente'!$H$2:$H$492,MATCH(246,'Output Utente'!$R$2:$R$492,0)),"")</f>
        <v/>
      </c>
      <c r="L249" s="23" t="str">
        <f>IFERROR(INDEX('Output Utente'!$E$2:$E$492,MATCH(246,'Output Utente'!$R$2:$R$492,0)),"")</f>
        <v/>
      </c>
      <c r="V249" t="str">
        <f>IFERROR(INDEX('Output Utente'!$M$2:$M$492,MATCH(246,'Output Utente'!$R$2:$R$492,0)),"")</f>
        <v/>
      </c>
      <c r="W249" t="str">
        <f t="shared" si="3"/>
        <v/>
      </c>
      <c r="X249" t="str">
        <f>IFERROR(INDEX('Output Utente'!$AF$2:$AF$492,MATCH(246,'Output Utente'!$R$2:$R$492,0)),"")</f>
        <v/>
      </c>
    </row>
    <row r="250" spans="1:24" ht="15" customHeight="1" x14ac:dyDescent="0.25">
      <c r="A250" s="26">
        <v>247</v>
      </c>
      <c r="B250" s="23" t="str">
        <f>IFERROR(INDEX('Output Utente'!$A$2:$A$492,MATCH(247,'Output Utente'!$R$2:$R$492,0)),"")</f>
        <v/>
      </c>
      <c r="C250" s="23" t="str">
        <f>IFERROR(INDEX('Output Utente'!$B$2:$B$492,MATCH(247,'Output Utente'!$R$2:$R$492,0)),"")</f>
        <v/>
      </c>
      <c r="D250" s="23" t="str">
        <f>IFERROR(INDEX('Output Utente'!$C$2:$C$492,MATCH(247,'Output Utente'!$R$2:$R$492,0)),"")</f>
        <v/>
      </c>
      <c r="E250" s="23" t="str">
        <f>IFERROR(INDEX('Input Giocatori 2026_27'!$D$3:$D$493,MATCH($B250,'Input Giocatori 2026_27'!$A$3:$A$493,0)),"")</f>
        <v/>
      </c>
      <c r="F250" s="24" t="str">
        <f>IFERROR(INDEX('Output Utente'!$N$2:$N$492,MATCH(247,'Output Utente'!$R$2:$R$492,0)),"")</f>
        <v/>
      </c>
      <c r="G250" s="23" t="str">
        <f>IFERROR(INDEX('Output Utente'!$O$2:$O$492,MATCH(247,'Output Utente'!$R$2:$R$492,0)),"")</f>
        <v/>
      </c>
      <c r="H250" s="23" t="str">
        <f>IFERROR(INDEX('Output Utente'!$P$2:$P$492,MATCH(247,'Output Utente'!$R$2:$R$492,0)),"")</f>
        <v/>
      </c>
      <c r="I250" s="24" t="str">
        <f>IFERROR(INDEX('Output Utente'!$F$2:$F$492,MATCH(247,'Output Utente'!$R$2:$R$492,0)),"")</f>
        <v/>
      </c>
      <c r="J250" s="24" t="str">
        <f>IFERROR(INDEX('Output Utente'!$G$2:$G$492,MATCH(247,'Output Utente'!$R$2:$R$492,0)),"")</f>
        <v/>
      </c>
      <c r="K250" s="24" t="str">
        <f>IFERROR(INDEX('Output Utente'!$H$2:$H$492,MATCH(247,'Output Utente'!$R$2:$R$492,0)),"")</f>
        <v/>
      </c>
      <c r="L250" s="23" t="str">
        <f>IFERROR(INDEX('Output Utente'!$E$2:$E$492,MATCH(247,'Output Utente'!$R$2:$R$492,0)),"")</f>
        <v/>
      </c>
      <c r="V250" t="str">
        <f>IFERROR(INDEX('Output Utente'!$M$2:$M$492,MATCH(247,'Output Utente'!$R$2:$R$492,0)),"")</f>
        <v/>
      </c>
      <c r="W250" t="str">
        <f t="shared" si="3"/>
        <v/>
      </c>
      <c r="X250" t="str">
        <f>IFERROR(INDEX('Output Utente'!$AF$2:$AF$492,MATCH(247,'Output Utente'!$R$2:$R$492,0)),"")</f>
        <v/>
      </c>
    </row>
    <row r="251" spans="1:24" ht="15" customHeight="1" x14ac:dyDescent="0.25">
      <c r="A251" s="26">
        <v>248</v>
      </c>
      <c r="B251" s="23" t="str">
        <f>IFERROR(INDEX('Output Utente'!$A$2:$A$492,MATCH(248,'Output Utente'!$R$2:$R$492,0)),"")</f>
        <v/>
      </c>
      <c r="C251" s="23" t="str">
        <f>IFERROR(INDEX('Output Utente'!$B$2:$B$492,MATCH(248,'Output Utente'!$R$2:$R$492,0)),"")</f>
        <v/>
      </c>
      <c r="D251" s="23" t="str">
        <f>IFERROR(INDEX('Output Utente'!$C$2:$C$492,MATCH(248,'Output Utente'!$R$2:$R$492,0)),"")</f>
        <v/>
      </c>
      <c r="E251" s="23" t="str">
        <f>IFERROR(INDEX('Input Giocatori 2026_27'!$D$3:$D$493,MATCH($B251,'Input Giocatori 2026_27'!$A$3:$A$493,0)),"")</f>
        <v/>
      </c>
      <c r="F251" s="24" t="str">
        <f>IFERROR(INDEX('Output Utente'!$N$2:$N$492,MATCH(248,'Output Utente'!$R$2:$R$492,0)),"")</f>
        <v/>
      </c>
      <c r="G251" s="23" t="str">
        <f>IFERROR(INDEX('Output Utente'!$O$2:$O$492,MATCH(248,'Output Utente'!$R$2:$R$492,0)),"")</f>
        <v/>
      </c>
      <c r="H251" s="23" t="str">
        <f>IFERROR(INDEX('Output Utente'!$P$2:$P$492,MATCH(248,'Output Utente'!$R$2:$R$492,0)),"")</f>
        <v/>
      </c>
      <c r="I251" s="24" t="str">
        <f>IFERROR(INDEX('Output Utente'!$F$2:$F$492,MATCH(248,'Output Utente'!$R$2:$R$492,0)),"")</f>
        <v/>
      </c>
      <c r="J251" s="24" t="str">
        <f>IFERROR(INDEX('Output Utente'!$G$2:$G$492,MATCH(248,'Output Utente'!$R$2:$R$492,0)),"")</f>
        <v/>
      </c>
      <c r="K251" s="24" t="str">
        <f>IFERROR(INDEX('Output Utente'!$H$2:$H$492,MATCH(248,'Output Utente'!$R$2:$R$492,0)),"")</f>
        <v/>
      </c>
      <c r="L251" s="23" t="str">
        <f>IFERROR(INDEX('Output Utente'!$E$2:$E$492,MATCH(248,'Output Utente'!$R$2:$R$492,0)),"")</f>
        <v/>
      </c>
      <c r="V251" t="str">
        <f>IFERROR(INDEX('Output Utente'!$M$2:$M$492,MATCH(248,'Output Utente'!$R$2:$R$492,0)),"")</f>
        <v/>
      </c>
      <c r="W251" t="str">
        <f t="shared" si="3"/>
        <v/>
      </c>
      <c r="X251" t="str">
        <f>IFERROR(INDEX('Output Utente'!$AF$2:$AF$492,MATCH(248,'Output Utente'!$R$2:$R$492,0)),"")</f>
        <v/>
      </c>
    </row>
    <row r="252" spans="1:24" ht="15" customHeight="1" x14ac:dyDescent="0.25">
      <c r="A252" s="26">
        <v>249</v>
      </c>
      <c r="B252" s="23" t="str">
        <f>IFERROR(INDEX('Output Utente'!$A$2:$A$492,MATCH(249,'Output Utente'!$R$2:$R$492,0)),"")</f>
        <v/>
      </c>
      <c r="C252" s="23" t="str">
        <f>IFERROR(INDEX('Output Utente'!$B$2:$B$492,MATCH(249,'Output Utente'!$R$2:$R$492,0)),"")</f>
        <v/>
      </c>
      <c r="D252" s="23" t="str">
        <f>IFERROR(INDEX('Output Utente'!$C$2:$C$492,MATCH(249,'Output Utente'!$R$2:$R$492,0)),"")</f>
        <v/>
      </c>
      <c r="E252" s="23" t="str">
        <f>IFERROR(INDEX('Input Giocatori 2026_27'!$D$3:$D$493,MATCH($B252,'Input Giocatori 2026_27'!$A$3:$A$493,0)),"")</f>
        <v/>
      </c>
      <c r="F252" s="24" t="str">
        <f>IFERROR(INDEX('Output Utente'!$N$2:$N$492,MATCH(249,'Output Utente'!$R$2:$R$492,0)),"")</f>
        <v/>
      </c>
      <c r="G252" s="23" t="str">
        <f>IFERROR(INDEX('Output Utente'!$O$2:$O$492,MATCH(249,'Output Utente'!$R$2:$R$492,0)),"")</f>
        <v/>
      </c>
      <c r="H252" s="23" t="str">
        <f>IFERROR(INDEX('Output Utente'!$P$2:$P$492,MATCH(249,'Output Utente'!$R$2:$R$492,0)),"")</f>
        <v/>
      </c>
      <c r="I252" s="24" t="str">
        <f>IFERROR(INDEX('Output Utente'!$F$2:$F$492,MATCH(249,'Output Utente'!$R$2:$R$492,0)),"")</f>
        <v/>
      </c>
      <c r="J252" s="24" t="str">
        <f>IFERROR(INDEX('Output Utente'!$G$2:$G$492,MATCH(249,'Output Utente'!$R$2:$R$492,0)),"")</f>
        <v/>
      </c>
      <c r="K252" s="24" t="str">
        <f>IFERROR(INDEX('Output Utente'!$H$2:$H$492,MATCH(249,'Output Utente'!$R$2:$R$492,0)),"")</f>
        <v/>
      </c>
      <c r="L252" s="23" t="str">
        <f>IFERROR(INDEX('Output Utente'!$E$2:$E$492,MATCH(249,'Output Utente'!$R$2:$R$492,0)),"")</f>
        <v/>
      </c>
      <c r="V252" t="str">
        <f>IFERROR(INDEX('Output Utente'!$M$2:$M$492,MATCH(249,'Output Utente'!$R$2:$R$492,0)),"")</f>
        <v/>
      </c>
      <c r="W252" t="str">
        <f t="shared" si="3"/>
        <v/>
      </c>
      <c r="X252" t="str">
        <f>IFERROR(INDEX('Output Utente'!$AF$2:$AF$492,MATCH(249,'Output Utente'!$R$2:$R$492,0)),"")</f>
        <v/>
      </c>
    </row>
    <row r="253" spans="1:24" ht="15" customHeight="1" x14ac:dyDescent="0.25">
      <c r="A253" s="26">
        <v>250</v>
      </c>
      <c r="B253" s="23" t="str">
        <f>IFERROR(INDEX('Output Utente'!$A$2:$A$492,MATCH(250,'Output Utente'!$R$2:$R$492,0)),"")</f>
        <v/>
      </c>
      <c r="C253" s="23" t="str">
        <f>IFERROR(INDEX('Output Utente'!$B$2:$B$492,MATCH(250,'Output Utente'!$R$2:$R$492,0)),"")</f>
        <v/>
      </c>
      <c r="D253" s="23" t="str">
        <f>IFERROR(INDEX('Output Utente'!$C$2:$C$492,MATCH(250,'Output Utente'!$R$2:$R$492,0)),"")</f>
        <v/>
      </c>
      <c r="E253" s="23" t="str">
        <f>IFERROR(INDEX('Input Giocatori 2026_27'!$D$3:$D$493,MATCH($B253,'Input Giocatori 2026_27'!$A$3:$A$493,0)),"")</f>
        <v/>
      </c>
      <c r="F253" s="24" t="str">
        <f>IFERROR(INDEX('Output Utente'!$N$2:$N$492,MATCH(250,'Output Utente'!$R$2:$R$492,0)),"")</f>
        <v/>
      </c>
      <c r="G253" s="23" t="str">
        <f>IFERROR(INDEX('Output Utente'!$O$2:$O$492,MATCH(250,'Output Utente'!$R$2:$R$492,0)),"")</f>
        <v/>
      </c>
      <c r="H253" s="23" t="str">
        <f>IFERROR(INDEX('Output Utente'!$P$2:$P$492,MATCH(250,'Output Utente'!$R$2:$R$492,0)),"")</f>
        <v/>
      </c>
      <c r="I253" s="24" t="str">
        <f>IFERROR(INDEX('Output Utente'!$F$2:$F$492,MATCH(250,'Output Utente'!$R$2:$R$492,0)),"")</f>
        <v/>
      </c>
      <c r="J253" s="24" t="str">
        <f>IFERROR(INDEX('Output Utente'!$G$2:$G$492,MATCH(250,'Output Utente'!$R$2:$R$492,0)),"")</f>
        <v/>
      </c>
      <c r="K253" s="24" t="str">
        <f>IFERROR(INDEX('Output Utente'!$H$2:$H$492,MATCH(250,'Output Utente'!$R$2:$R$492,0)),"")</f>
        <v/>
      </c>
      <c r="L253" s="23" t="str">
        <f>IFERROR(INDEX('Output Utente'!$E$2:$E$492,MATCH(250,'Output Utente'!$R$2:$R$492,0)),"")</f>
        <v/>
      </c>
      <c r="V253" t="str">
        <f>IFERROR(INDEX('Output Utente'!$M$2:$M$492,MATCH(250,'Output Utente'!$R$2:$R$492,0)),"")</f>
        <v/>
      </c>
      <c r="W253" t="str">
        <f t="shared" si="3"/>
        <v/>
      </c>
      <c r="X253" t="str">
        <f>IFERROR(INDEX('Output Utente'!$AF$2:$AF$492,MATCH(250,'Output Utente'!$R$2:$R$492,0)),"")</f>
        <v/>
      </c>
    </row>
    <row r="254" spans="1:24" ht="15" customHeight="1" x14ac:dyDescent="0.25">
      <c r="A254" s="26">
        <v>251</v>
      </c>
      <c r="B254" s="23" t="str">
        <f>IFERROR(INDEX('Output Utente'!$A$2:$A$492,MATCH(251,'Output Utente'!$R$2:$R$492,0)),"")</f>
        <v/>
      </c>
      <c r="C254" s="23" t="str">
        <f>IFERROR(INDEX('Output Utente'!$B$2:$B$492,MATCH(251,'Output Utente'!$R$2:$R$492,0)),"")</f>
        <v/>
      </c>
      <c r="D254" s="23" t="str">
        <f>IFERROR(INDEX('Output Utente'!$C$2:$C$492,MATCH(251,'Output Utente'!$R$2:$R$492,0)),"")</f>
        <v/>
      </c>
      <c r="E254" s="23" t="str">
        <f>IFERROR(INDEX('Input Giocatori 2026_27'!$D$3:$D$493,MATCH($B254,'Input Giocatori 2026_27'!$A$3:$A$493,0)),"")</f>
        <v/>
      </c>
      <c r="F254" s="24" t="str">
        <f>IFERROR(INDEX('Output Utente'!$N$2:$N$492,MATCH(251,'Output Utente'!$R$2:$R$492,0)),"")</f>
        <v/>
      </c>
      <c r="G254" s="23" t="str">
        <f>IFERROR(INDEX('Output Utente'!$O$2:$O$492,MATCH(251,'Output Utente'!$R$2:$R$492,0)),"")</f>
        <v/>
      </c>
      <c r="H254" s="23" t="str">
        <f>IFERROR(INDEX('Output Utente'!$P$2:$P$492,MATCH(251,'Output Utente'!$R$2:$R$492,0)),"")</f>
        <v/>
      </c>
      <c r="I254" s="24" t="str">
        <f>IFERROR(INDEX('Output Utente'!$F$2:$F$492,MATCH(251,'Output Utente'!$R$2:$R$492,0)),"")</f>
        <v/>
      </c>
      <c r="J254" s="24" t="str">
        <f>IFERROR(INDEX('Output Utente'!$G$2:$G$492,MATCH(251,'Output Utente'!$R$2:$R$492,0)),"")</f>
        <v/>
      </c>
      <c r="K254" s="24" t="str">
        <f>IFERROR(INDEX('Output Utente'!$H$2:$H$492,MATCH(251,'Output Utente'!$R$2:$R$492,0)),"")</f>
        <v/>
      </c>
      <c r="L254" s="23" t="str">
        <f>IFERROR(INDEX('Output Utente'!$E$2:$E$492,MATCH(251,'Output Utente'!$R$2:$R$492,0)),"")</f>
        <v/>
      </c>
      <c r="V254" t="str">
        <f>IFERROR(INDEX('Output Utente'!$M$2:$M$492,MATCH(251,'Output Utente'!$R$2:$R$492,0)),"")</f>
        <v/>
      </c>
      <c r="W254" t="str">
        <f t="shared" si="3"/>
        <v/>
      </c>
      <c r="X254" t="str">
        <f>IFERROR(INDEX('Output Utente'!$AF$2:$AF$492,MATCH(251,'Output Utente'!$R$2:$R$492,0)),"")</f>
        <v/>
      </c>
    </row>
    <row r="255" spans="1:24" ht="15" customHeight="1" x14ac:dyDescent="0.25">
      <c r="A255" s="26">
        <v>252</v>
      </c>
      <c r="B255" s="23" t="str">
        <f>IFERROR(INDEX('Output Utente'!$A$2:$A$492,MATCH(252,'Output Utente'!$R$2:$R$492,0)),"")</f>
        <v/>
      </c>
      <c r="C255" s="23" t="str">
        <f>IFERROR(INDEX('Output Utente'!$B$2:$B$492,MATCH(252,'Output Utente'!$R$2:$R$492,0)),"")</f>
        <v/>
      </c>
      <c r="D255" s="23" t="str">
        <f>IFERROR(INDEX('Output Utente'!$C$2:$C$492,MATCH(252,'Output Utente'!$R$2:$R$492,0)),"")</f>
        <v/>
      </c>
      <c r="E255" s="23" t="str">
        <f>IFERROR(INDEX('Input Giocatori 2026_27'!$D$3:$D$493,MATCH($B255,'Input Giocatori 2026_27'!$A$3:$A$493,0)),"")</f>
        <v/>
      </c>
      <c r="F255" s="24" t="str">
        <f>IFERROR(INDEX('Output Utente'!$N$2:$N$492,MATCH(252,'Output Utente'!$R$2:$R$492,0)),"")</f>
        <v/>
      </c>
      <c r="G255" s="23" t="str">
        <f>IFERROR(INDEX('Output Utente'!$O$2:$O$492,MATCH(252,'Output Utente'!$R$2:$R$492,0)),"")</f>
        <v/>
      </c>
      <c r="H255" s="23" t="str">
        <f>IFERROR(INDEX('Output Utente'!$P$2:$P$492,MATCH(252,'Output Utente'!$R$2:$R$492,0)),"")</f>
        <v/>
      </c>
      <c r="I255" s="24" t="str">
        <f>IFERROR(INDEX('Output Utente'!$F$2:$F$492,MATCH(252,'Output Utente'!$R$2:$R$492,0)),"")</f>
        <v/>
      </c>
      <c r="J255" s="24" t="str">
        <f>IFERROR(INDEX('Output Utente'!$G$2:$G$492,MATCH(252,'Output Utente'!$R$2:$R$492,0)),"")</f>
        <v/>
      </c>
      <c r="K255" s="24" t="str">
        <f>IFERROR(INDEX('Output Utente'!$H$2:$H$492,MATCH(252,'Output Utente'!$R$2:$R$492,0)),"")</f>
        <v/>
      </c>
      <c r="L255" s="23" t="str">
        <f>IFERROR(INDEX('Output Utente'!$E$2:$E$492,MATCH(252,'Output Utente'!$R$2:$R$492,0)),"")</f>
        <v/>
      </c>
      <c r="V255" t="str">
        <f>IFERROR(INDEX('Output Utente'!$M$2:$M$492,MATCH(252,'Output Utente'!$R$2:$R$492,0)),"")</f>
        <v/>
      </c>
      <c r="W255" t="str">
        <f t="shared" si="3"/>
        <v/>
      </c>
      <c r="X255" t="str">
        <f>IFERROR(INDEX('Output Utente'!$AF$2:$AF$492,MATCH(252,'Output Utente'!$R$2:$R$492,0)),"")</f>
        <v/>
      </c>
    </row>
    <row r="256" spans="1:24" ht="15" customHeight="1" x14ac:dyDescent="0.25">
      <c r="A256" s="26">
        <v>253</v>
      </c>
      <c r="B256" s="23" t="str">
        <f>IFERROR(INDEX('Output Utente'!$A$2:$A$492,MATCH(253,'Output Utente'!$R$2:$R$492,0)),"")</f>
        <v/>
      </c>
      <c r="C256" s="23" t="str">
        <f>IFERROR(INDEX('Output Utente'!$B$2:$B$492,MATCH(253,'Output Utente'!$R$2:$R$492,0)),"")</f>
        <v/>
      </c>
      <c r="D256" s="23" t="str">
        <f>IFERROR(INDEX('Output Utente'!$C$2:$C$492,MATCH(253,'Output Utente'!$R$2:$R$492,0)),"")</f>
        <v/>
      </c>
      <c r="E256" s="23" t="str">
        <f>IFERROR(INDEX('Input Giocatori 2026_27'!$D$3:$D$493,MATCH($B256,'Input Giocatori 2026_27'!$A$3:$A$493,0)),"")</f>
        <v/>
      </c>
      <c r="F256" s="24" t="str">
        <f>IFERROR(INDEX('Output Utente'!$N$2:$N$492,MATCH(253,'Output Utente'!$R$2:$R$492,0)),"")</f>
        <v/>
      </c>
      <c r="G256" s="23" t="str">
        <f>IFERROR(INDEX('Output Utente'!$O$2:$O$492,MATCH(253,'Output Utente'!$R$2:$R$492,0)),"")</f>
        <v/>
      </c>
      <c r="H256" s="23" t="str">
        <f>IFERROR(INDEX('Output Utente'!$P$2:$P$492,MATCH(253,'Output Utente'!$R$2:$R$492,0)),"")</f>
        <v/>
      </c>
      <c r="I256" s="24" t="str">
        <f>IFERROR(INDEX('Output Utente'!$F$2:$F$492,MATCH(253,'Output Utente'!$R$2:$R$492,0)),"")</f>
        <v/>
      </c>
      <c r="J256" s="24" t="str">
        <f>IFERROR(INDEX('Output Utente'!$G$2:$G$492,MATCH(253,'Output Utente'!$R$2:$R$492,0)),"")</f>
        <v/>
      </c>
      <c r="K256" s="24" t="str">
        <f>IFERROR(INDEX('Output Utente'!$H$2:$H$492,MATCH(253,'Output Utente'!$R$2:$R$492,0)),"")</f>
        <v/>
      </c>
      <c r="L256" s="23" t="str">
        <f>IFERROR(INDEX('Output Utente'!$E$2:$E$492,MATCH(253,'Output Utente'!$R$2:$R$492,0)),"")</f>
        <v/>
      </c>
      <c r="V256" t="str">
        <f>IFERROR(INDEX('Output Utente'!$M$2:$M$492,MATCH(253,'Output Utente'!$R$2:$R$492,0)),"")</f>
        <v/>
      </c>
      <c r="W256" t="str">
        <f t="shared" si="3"/>
        <v/>
      </c>
      <c r="X256" t="str">
        <f>IFERROR(INDEX('Output Utente'!$AF$2:$AF$492,MATCH(253,'Output Utente'!$R$2:$R$492,0)),"")</f>
        <v/>
      </c>
    </row>
    <row r="257" spans="1:24" ht="15" customHeight="1" x14ac:dyDescent="0.25">
      <c r="A257" s="26">
        <v>254</v>
      </c>
      <c r="B257" s="23" t="str">
        <f>IFERROR(INDEX('Output Utente'!$A$2:$A$492,MATCH(254,'Output Utente'!$R$2:$R$492,0)),"")</f>
        <v/>
      </c>
      <c r="C257" s="23" t="str">
        <f>IFERROR(INDEX('Output Utente'!$B$2:$B$492,MATCH(254,'Output Utente'!$R$2:$R$492,0)),"")</f>
        <v/>
      </c>
      <c r="D257" s="23" t="str">
        <f>IFERROR(INDEX('Output Utente'!$C$2:$C$492,MATCH(254,'Output Utente'!$R$2:$R$492,0)),"")</f>
        <v/>
      </c>
      <c r="E257" s="23" t="str">
        <f>IFERROR(INDEX('Input Giocatori 2026_27'!$D$3:$D$493,MATCH($B257,'Input Giocatori 2026_27'!$A$3:$A$493,0)),"")</f>
        <v/>
      </c>
      <c r="F257" s="24" t="str">
        <f>IFERROR(INDEX('Output Utente'!$N$2:$N$492,MATCH(254,'Output Utente'!$R$2:$R$492,0)),"")</f>
        <v/>
      </c>
      <c r="G257" s="23" t="str">
        <f>IFERROR(INDEX('Output Utente'!$O$2:$O$492,MATCH(254,'Output Utente'!$R$2:$R$492,0)),"")</f>
        <v/>
      </c>
      <c r="H257" s="23" t="str">
        <f>IFERROR(INDEX('Output Utente'!$P$2:$P$492,MATCH(254,'Output Utente'!$R$2:$R$492,0)),"")</f>
        <v/>
      </c>
      <c r="I257" s="24" t="str">
        <f>IFERROR(INDEX('Output Utente'!$F$2:$F$492,MATCH(254,'Output Utente'!$R$2:$R$492,0)),"")</f>
        <v/>
      </c>
      <c r="J257" s="24" t="str">
        <f>IFERROR(INDEX('Output Utente'!$G$2:$G$492,MATCH(254,'Output Utente'!$R$2:$R$492,0)),"")</f>
        <v/>
      </c>
      <c r="K257" s="24" t="str">
        <f>IFERROR(INDEX('Output Utente'!$H$2:$H$492,MATCH(254,'Output Utente'!$R$2:$R$492,0)),"")</f>
        <v/>
      </c>
      <c r="L257" s="23" t="str">
        <f>IFERROR(INDEX('Output Utente'!$E$2:$E$492,MATCH(254,'Output Utente'!$R$2:$R$492,0)),"")</f>
        <v/>
      </c>
      <c r="V257" t="str">
        <f>IFERROR(INDEX('Output Utente'!$M$2:$M$492,MATCH(254,'Output Utente'!$R$2:$R$492,0)),"")</f>
        <v/>
      </c>
      <c r="W257" t="str">
        <f t="shared" si="3"/>
        <v/>
      </c>
      <c r="X257" t="str">
        <f>IFERROR(INDEX('Output Utente'!$AF$2:$AF$492,MATCH(254,'Output Utente'!$R$2:$R$492,0)),"")</f>
        <v/>
      </c>
    </row>
    <row r="258" spans="1:24" ht="15" customHeight="1" x14ac:dyDescent="0.25">
      <c r="A258" s="26">
        <v>255</v>
      </c>
      <c r="B258" s="23" t="str">
        <f>IFERROR(INDEX('Output Utente'!$A$2:$A$492,MATCH(255,'Output Utente'!$R$2:$R$492,0)),"")</f>
        <v/>
      </c>
      <c r="C258" s="23" t="str">
        <f>IFERROR(INDEX('Output Utente'!$B$2:$B$492,MATCH(255,'Output Utente'!$R$2:$R$492,0)),"")</f>
        <v/>
      </c>
      <c r="D258" s="23" t="str">
        <f>IFERROR(INDEX('Output Utente'!$C$2:$C$492,MATCH(255,'Output Utente'!$R$2:$R$492,0)),"")</f>
        <v/>
      </c>
      <c r="E258" s="23" t="str">
        <f>IFERROR(INDEX('Input Giocatori 2026_27'!$D$3:$D$493,MATCH($B258,'Input Giocatori 2026_27'!$A$3:$A$493,0)),"")</f>
        <v/>
      </c>
      <c r="F258" s="24" t="str">
        <f>IFERROR(INDEX('Output Utente'!$N$2:$N$492,MATCH(255,'Output Utente'!$R$2:$R$492,0)),"")</f>
        <v/>
      </c>
      <c r="G258" s="23" t="str">
        <f>IFERROR(INDEX('Output Utente'!$O$2:$O$492,MATCH(255,'Output Utente'!$R$2:$R$492,0)),"")</f>
        <v/>
      </c>
      <c r="H258" s="23" t="str">
        <f>IFERROR(INDEX('Output Utente'!$P$2:$P$492,MATCH(255,'Output Utente'!$R$2:$R$492,0)),"")</f>
        <v/>
      </c>
      <c r="I258" s="24" t="str">
        <f>IFERROR(INDEX('Output Utente'!$F$2:$F$492,MATCH(255,'Output Utente'!$R$2:$R$492,0)),"")</f>
        <v/>
      </c>
      <c r="J258" s="24" t="str">
        <f>IFERROR(INDEX('Output Utente'!$G$2:$G$492,MATCH(255,'Output Utente'!$R$2:$R$492,0)),"")</f>
        <v/>
      </c>
      <c r="K258" s="24" t="str">
        <f>IFERROR(INDEX('Output Utente'!$H$2:$H$492,MATCH(255,'Output Utente'!$R$2:$R$492,0)),"")</f>
        <v/>
      </c>
      <c r="L258" s="23" t="str">
        <f>IFERROR(INDEX('Output Utente'!$E$2:$E$492,MATCH(255,'Output Utente'!$R$2:$R$492,0)),"")</f>
        <v/>
      </c>
      <c r="V258" t="str">
        <f>IFERROR(INDEX('Output Utente'!$M$2:$M$492,MATCH(255,'Output Utente'!$R$2:$R$492,0)),"")</f>
        <v/>
      </c>
      <c r="W258" t="str">
        <f t="shared" si="3"/>
        <v/>
      </c>
      <c r="X258" t="str">
        <f>IFERROR(INDEX('Output Utente'!$AF$2:$AF$492,MATCH(255,'Output Utente'!$R$2:$R$492,0)),"")</f>
        <v/>
      </c>
    </row>
    <row r="259" spans="1:24" ht="15" customHeight="1" x14ac:dyDescent="0.25">
      <c r="A259" s="26">
        <v>256</v>
      </c>
      <c r="B259" s="23" t="str">
        <f>IFERROR(INDEX('Output Utente'!$A$2:$A$492,MATCH(256,'Output Utente'!$R$2:$R$492,0)),"")</f>
        <v/>
      </c>
      <c r="C259" s="23" t="str">
        <f>IFERROR(INDEX('Output Utente'!$B$2:$B$492,MATCH(256,'Output Utente'!$R$2:$R$492,0)),"")</f>
        <v/>
      </c>
      <c r="D259" s="23" t="str">
        <f>IFERROR(INDEX('Output Utente'!$C$2:$C$492,MATCH(256,'Output Utente'!$R$2:$R$492,0)),"")</f>
        <v/>
      </c>
      <c r="E259" s="23" t="str">
        <f>IFERROR(INDEX('Input Giocatori 2026_27'!$D$3:$D$493,MATCH($B259,'Input Giocatori 2026_27'!$A$3:$A$493,0)),"")</f>
        <v/>
      </c>
      <c r="F259" s="24" t="str">
        <f>IFERROR(INDEX('Output Utente'!$N$2:$N$492,MATCH(256,'Output Utente'!$R$2:$R$492,0)),"")</f>
        <v/>
      </c>
      <c r="G259" s="23" t="str">
        <f>IFERROR(INDEX('Output Utente'!$O$2:$O$492,MATCH(256,'Output Utente'!$R$2:$R$492,0)),"")</f>
        <v/>
      </c>
      <c r="H259" s="23" t="str">
        <f>IFERROR(INDEX('Output Utente'!$P$2:$P$492,MATCH(256,'Output Utente'!$R$2:$R$492,0)),"")</f>
        <v/>
      </c>
      <c r="I259" s="24" t="str">
        <f>IFERROR(INDEX('Output Utente'!$F$2:$F$492,MATCH(256,'Output Utente'!$R$2:$R$492,0)),"")</f>
        <v/>
      </c>
      <c r="J259" s="24" t="str">
        <f>IFERROR(INDEX('Output Utente'!$G$2:$G$492,MATCH(256,'Output Utente'!$R$2:$R$492,0)),"")</f>
        <v/>
      </c>
      <c r="K259" s="24" t="str">
        <f>IFERROR(INDEX('Output Utente'!$H$2:$H$492,MATCH(256,'Output Utente'!$R$2:$R$492,0)),"")</f>
        <v/>
      </c>
      <c r="L259" s="23" t="str">
        <f>IFERROR(INDEX('Output Utente'!$E$2:$E$492,MATCH(256,'Output Utente'!$R$2:$R$492,0)),"")</f>
        <v/>
      </c>
      <c r="V259" t="str">
        <f>IFERROR(INDEX('Output Utente'!$M$2:$M$492,MATCH(256,'Output Utente'!$R$2:$R$492,0)),"")</f>
        <v/>
      </c>
      <c r="W259" t="str">
        <f t="shared" si="3"/>
        <v/>
      </c>
      <c r="X259" t="str">
        <f>IFERROR(INDEX('Output Utente'!$AF$2:$AF$492,MATCH(256,'Output Utente'!$R$2:$R$492,0)),"")</f>
        <v/>
      </c>
    </row>
    <row r="260" spans="1:24" ht="15" customHeight="1" x14ac:dyDescent="0.25">
      <c r="A260" s="26">
        <v>257</v>
      </c>
      <c r="B260" s="23" t="str">
        <f>IFERROR(INDEX('Output Utente'!$A$2:$A$492,MATCH(257,'Output Utente'!$R$2:$R$492,0)),"")</f>
        <v/>
      </c>
      <c r="C260" s="23" t="str">
        <f>IFERROR(INDEX('Output Utente'!$B$2:$B$492,MATCH(257,'Output Utente'!$R$2:$R$492,0)),"")</f>
        <v/>
      </c>
      <c r="D260" s="23" t="str">
        <f>IFERROR(INDEX('Output Utente'!$C$2:$C$492,MATCH(257,'Output Utente'!$R$2:$R$492,0)),"")</f>
        <v/>
      </c>
      <c r="E260" s="23" t="str">
        <f>IFERROR(INDEX('Input Giocatori 2026_27'!$D$3:$D$493,MATCH($B260,'Input Giocatori 2026_27'!$A$3:$A$493,0)),"")</f>
        <v/>
      </c>
      <c r="F260" s="24" t="str">
        <f>IFERROR(INDEX('Output Utente'!$N$2:$N$492,MATCH(257,'Output Utente'!$R$2:$R$492,0)),"")</f>
        <v/>
      </c>
      <c r="G260" s="23" t="str">
        <f>IFERROR(INDEX('Output Utente'!$O$2:$O$492,MATCH(257,'Output Utente'!$R$2:$R$492,0)),"")</f>
        <v/>
      </c>
      <c r="H260" s="23" t="str">
        <f>IFERROR(INDEX('Output Utente'!$P$2:$P$492,MATCH(257,'Output Utente'!$R$2:$R$492,0)),"")</f>
        <v/>
      </c>
      <c r="I260" s="24" t="str">
        <f>IFERROR(INDEX('Output Utente'!$F$2:$F$492,MATCH(257,'Output Utente'!$R$2:$R$492,0)),"")</f>
        <v/>
      </c>
      <c r="J260" s="24" t="str">
        <f>IFERROR(INDEX('Output Utente'!$G$2:$G$492,MATCH(257,'Output Utente'!$R$2:$R$492,0)),"")</f>
        <v/>
      </c>
      <c r="K260" s="24" t="str">
        <f>IFERROR(INDEX('Output Utente'!$H$2:$H$492,MATCH(257,'Output Utente'!$R$2:$R$492,0)),"")</f>
        <v/>
      </c>
      <c r="L260" s="23" t="str">
        <f>IFERROR(INDEX('Output Utente'!$E$2:$E$492,MATCH(257,'Output Utente'!$R$2:$R$492,0)),"")</f>
        <v/>
      </c>
      <c r="V260" t="str">
        <f>IFERROR(INDEX('Output Utente'!$M$2:$M$492,MATCH(257,'Output Utente'!$R$2:$R$492,0)),"")</f>
        <v/>
      </c>
      <c r="W260" t="str">
        <f t="shared" ref="W260:W323" si="4">IF(OR($G260="",$V260=""),"",$G260-$V260)</f>
        <v/>
      </c>
      <c r="X260" t="str">
        <f>IFERROR(INDEX('Output Utente'!$AF$2:$AF$492,MATCH(257,'Output Utente'!$R$2:$R$492,0)),"")</f>
        <v/>
      </c>
    </row>
    <row r="261" spans="1:24" ht="15" customHeight="1" x14ac:dyDescent="0.25">
      <c r="A261" s="26">
        <v>258</v>
      </c>
      <c r="B261" s="23" t="str">
        <f>IFERROR(INDEX('Output Utente'!$A$2:$A$492,MATCH(258,'Output Utente'!$R$2:$R$492,0)),"")</f>
        <v/>
      </c>
      <c r="C261" s="23" t="str">
        <f>IFERROR(INDEX('Output Utente'!$B$2:$B$492,MATCH(258,'Output Utente'!$R$2:$R$492,0)),"")</f>
        <v/>
      </c>
      <c r="D261" s="23" t="str">
        <f>IFERROR(INDEX('Output Utente'!$C$2:$C$492,MATCH(258,'Output Utente'!$R$2:$R$492,0)),"")</f>
        <v/>
      </c>
      <c r="E261" s="23" t="str">
        <f>IFERROR(INDEX('Input Giocatori 2026_27'!$D$3:$D$493,MATCH($B261,'Input Giocatori 2026_27'!$A$3:$A$493,0)),"")</f>
        <v/>
      </c>
      <c r="F261" s="24" t="str">
        <f>IFERROR(INDEX('Output Utente'!$N$2:$N$492,MATCH(258,'Output Utente'!$R$2:$R$492,0)),"")</f>
        <v/>
      </c>
      <c r="G261" s="23" t="str">
        <f>IFERROR(INDEX('Output Utente'!$O$2:$O$492,MATCH(258,'Output Utente'!$R$2:$R$492,0)),"")</f>
        <v/>
      </c>
      <c r="H261" s="23" t="str">
        <f>IFERROR(INDEX('Output Utente'!$P$2:$P$492,MATCH(258,'Output Utente'!$R$2:$R$492,0)),"")</f>
        <v/>
      </c>
      <c r="I261" s="24" t="str">
        <f>IFERROR(INDEX('Output Utente'!$F$2:$F$492,MATCH(258,'Output Utente'!$R$2:$R$492,0)),"")</f>
        <v/>
      </c>
      <c r="J261" s="24" t="str">
        <f>IFERROR(INDEX('Output Utente'!$G$2:$G$492,MATCH(258,'Output Utente'!$R$2:$R$492,0)),"")</f>
        <v/>
      </c>
      <c r="K261" s="24" t="str">
        <f>IFERROR(INDEX('Output Utente'!$H$2:$H$492,MATCH(258,'Output Utente'!$R$2:$R$492,0)),"")</f>
        <v/>
      </c>
      <c r="L261" s="23" t="str">
        <f>IFERROR(INDEX('Output Utente'!$E$2:$E$492,MATCH(258,'Output Utente'!$R$2:$R$492,0)),"")</f>
        <v/>
      </c>
      <c r="V261" t="str">
        <f>IFERROR(INDEX('Output Utente'!$M$2:$M$492,MATCH(258,'Output Utente'!$R$2:$R$492,0)),"")</f>
        <v/>
      </c>
      <c r="W261" t="str">
        <f t="shared" si="4"/>
        <v/>
      </c>
      <c r="X261" t="str">
        <f>IFERROR(INDEX('Output Utente'!$AF$2:$AF$492,MATCH(258,'Output Utente'!$R$2:$R$492,0)),"")</f>
        <v/>
      </c>
    </row>
    <row r="262" spans="1:24" ht="15" customHeight="1" x14ac:dyDescent="0.25">
      <c r="A262" s="26">
        <v>259</v>
      </c>
      <c r="B262" s="23" t="str">
        <f>IFERROR(INDEX('Output Utente'!$A$2:$A$492,MATCH(259,'Output Utente'!$R$2:$R$492,0)),"")</f>
        <v/>
      </c>
      <c r="C262" s="23" t="str">
        <f>IFERROR(INDEX('Output Utente'!$B$2:$B$492,MATCH(259,'Output Utente'!$R$2:$R$492,0)),"")</f>
        <v/>
      </c>
      <c r="D262" s="23" t="str">
        <f>IFERROR(INDEX('Output Utente'!$C$2:$C$492,MATCH(259,'Output Utente'!$R$2:$R$492,0)),"")</f>
        <v/>
      </c>
      <c r="E262" s="23" t="str">
        <f>IFERROR(INDEX('Input Giocatori 2026_27'!$D$3:$D$493,MATCH($B262,'Input Giocatori 2026_27'!$A$3:$A$493,0)),"")</f>
        <v/>
      </c>
      <c r="F262" s="24" t="str">
        <f>IFERROR(INDEX('Output Utente'!$N$2:$N$492,MATCH(259,'Output Utente'!$R$2:$R$492,0)),"")</f>
        <v/>
      </c>
      <c r="G262" s="23" t="str">
        <f>IFERROR(INDEX('Output Utente'!$O$2:$O$492,MATCH(259,'Output Utente'!$R$2:$R$492,0)),"")</f>
        <v/>
      </c>
      <c r="H262" s="23" t="str">
        <f>IFERROR(INDEX('Output Utente'!$P$2:$P$492,MATCH(259,'Output Utente'!$R$2:$R$492,0)),"")</f>
        <v/>
      </c>
      <c r="I262" s="24" t="str">
        <f>IFERROR(INDEX('Output Utente'!$F$2:$F$492,MATCH(259,'Output Utente'!$R$2:$R$492,0)),"")</f>
        <v/>
      </c>
      <c r="J262" s="24" t="str">
        <f>IFERROR(INDEX('Output Utente'!$G$2:$G$492,MATCH(259,'Output Utente'!$R$2:$R$492,0)),"")</f>
        <v/>
      </c>
      <c r="K262" s="24" t="str">
        <f>IFERROR(INDEX('Output Utente'!$H$2:$H$492,MATCH(259,'Output Utente'!$R$2:$R$492,0)),"")</f>
        <v/>
      </c>
      <c r="L262" s="23" t="str">
        <f>IFERROR(INDEX('Output Utente'!$E$2:$E$492,MATCH(259,'Output Utente'!$R$2:$R$492,0)),"")</f>
        <v/>
      </c>
      <c r="V262" t="str">
        <f>IFERROR(INDEX('Output Utente'!$M$2:$M$492,MATCH(259,'Output Utente'!$R$2:$R$492,0)),"")</f>
        <v/>
      </c>
      <c r="W262" t="str">
        <f t="shared" si="4"/>
        <v/>
      </c>
      <c r="X262" t="str">
        <f>IFERROR(INDEX('Output Utente'!$AF$2:$AF$492,MATCH(259,'Output Utente'!$R$2:$R$492,0)),"")</f>
        <v/>
      </c>
    </row>
    <row r="263" spans="1:24" ht="15" customHeight="1" x14ac:dyDescent="0.25">
      <c r="A263" s="26">
        <v>260</v>
      </c>
      <c r="B263" s="23" t="str">
        <f>IFERROR(INDEX('Output Utente'!$A$2:$A$492,MATCH(260,'Output Utente'!$R$2:$R$492,0)),"")</f>
        <v/>
      </c>
      <c r="C263" s="23" t="str">
        <f>IFERROR(INDEX('Output Utente'!$B$2:$B$492,MATCH(260,'Output Utente'!$R$2:$R$492,0)),"")</f>
        <v/>
      </c>
      <c r="D263" s="23" t="str">
        <f>IFERROR(INDEX('Output Utente'!$C$2:$C$492,MATCH(260,'Output Utente'!$R$2:$R$492,0)),"")</f>
        <v/>
      </c>
      <c r="E263" s="23" t="str">
        <f>IFERROR(INDEX('Input Giocatori 2026_27'!$D$3:$D$493,MATCH($B263,'Input Giocatori 2026_27'!$A$3:$A$493,0)),"")</f>
        <v/>
      </c>
      <c r="F263" s="24" t="str">
        <f>IFERROR(INDEX('Output Utente'!$N$2:$N$492,MATCH(260,'Output Utente'!$R$2:$R$492,0)),"")</f>
        <v/>
      </c>
      <c r="G263" s="23" t="str">
        <f>IFERROR(INDEX('Output Utente'!$O$2:$O$492,MATCH(260,'Output Utente'!$R$2:$R$492,0)),"")</f>
        <v/>
      </c>
      <c r="H263" s="23" t="str">
        <f>IFERROR(INDEX('Output Utente'!$P$2:$P$492,MATCH(260,'Output Utente'!$R$2:$R$492,0)),"")</f>
        <v/>
      </c>
      <c r="I263" s="24" t="str">
        <f>IFERROR(INDEX('Output Utente'!$F$2:$F$492,MATCH(260,'Output Utente'!$R$2:$R$492,0)),"")</f>
        <v/>
      </c>
      <c r="J263" s="24" t="str">
        <f>IFERROR(INDEX('Output Utente'!$G$2:$G$492,MATCH(260,'Output Utente'!$R$2:$R$492,0)),"")</f>
        <v/>
      </c>
      <c r="K263" s="24" t="str">
        <f>IFERROR(INDEX('Output Utente'!$H$2:$H$492,MATCH(260,'Output Utente'!$R$2:$R$492,0)),"")</f>
        <v/>
      </c>
      <c r="L263" s="23" t="str">
        <f>IFERROR(INDEX('Output Utente'!$E$2:$E$492,MATCH(260,'Output Utente'!$R$2:$R$492,0)),"")</f>
        <v/>
      </c>
      <c r="V263" t="str">
        <f>IFERROR(INDEX('Output Utente'!$M$2:$M$492,MATCH(260,'Output Utente'!$R$2:$R$492,0)),"")</f>
        <v/>
      </c>
      <c r="W263" t="str">
        <f t="shared" si="4"/>
        <v/>
      </c>
      <c r="X263" t="str">
        <f>IFERROR(INDEX('Output Utente'!$AF$2:$AF$492,MATCH(260,'Output Utente'!$R$2:$R$492,0)),"")</f>
        <v/>
      </c>
    </row>
    <row r="264" spans="1:24" ht="15" customHeight="1" x14ac:dyDescent="0.25">
      <c r="A264" s="26">
        <v>261</v>
      </c>
      <c r="B264" s="23" t="str">
        <f>IFERROR(INDEX('Output Utente'!$A$2:$A$492,MATCH(261,'Output Utente'!$R$2:$R$492,0)),"")</f>
        <v/>
      </c>
      <c r="C264" s="23" t="str">
        <f>IFERROR(INDEX('Output Utente'!$B$2:$B$492,MATCH(261,'Output Utente'!$R$2:$R$492,0)),"")</f>
        <v/>
      </c>
      <c r="D264" s="23" t="str">
        <f>IFERROR(INDEX('Output Utente'!$C$2:$C$492,MATCH(261,'Output Utente'!$R$2:$R$492,0)),"")</f>
        <v/>
      </c>
      <c r="E264" s="23" t="str">
        <f>IFERROR(INDEX('Input Giocatori 2026_27'!$D$3:$D$493,MATCH($B264,'Input Giocatori 2026_27'!$A$3:$A$493,0)),"")</f>
        <v/>
      </c>
      <c r="F264" s="24" t="str">
        <f>IFERROR(INDEX('Output Utente'!$N$2:$N$492,MATCH(261,'Output Utente'!$R$2:$R$492,0)),"")</f>
        <v/>
      </c>
      <c r="G264" s="23" t="str">
        <f>IFERROR(INDEX('Output Utente'!$O$2:$O$492,MATCH(261,'Output Utente'!$R$2:$R$492,0)),"")</f>
        <v/>
      </c>
      <c r="H264" s="23" t="str">
        <f>IFERROR(INDEX('Output Utente'!$P$2:$P$492,MATCH(261,'Output Utente'!$R$2:$R$492,0)),"")</f>
        <v/>
      </c>
      <c r="I264" s="24" t="str">
        <f>IFERROR(INDEX('Output Utente'!$F$2:$F$492,MATCH(261,'Output Utente'!$R$2:$R$492,0)),"")</f>
        <v/>
      </c>
      <c r="J264" s="24" t="str">
        <f>IFERROR(INDEX('Output Utente'!$G$2:$G$492,MATCH(261,'Output Utente'!$R$2:$R$492,0)),"")</f>
        <v/>
      </c>
      <c r="K264" s="24" t="str">
        <f>IFERROR(INDEX('Output Utente'!$H$2:$H$492,MATCH(261,'Output Utente'!$R$2:$R$492,0)),"")</f>
        <v/>
      </c>
      <c r="L264" s="23" t="str">
        <f>IFERROR(INDEX('Output Utente'!$E$2:$E$492,MATCH(261,'Output Utente'!$R$2:$R$492,0)),"")</f>
        <v/>
      </c>
      <c r="V264" t="str">
        <f>IFERROR(INDEX('Output Utente'!$M$2:$M$492,MATCH(261,'Output Utente'!$R$2:$R$492,0)),"")</f>
        <v/>
      </c>
      <c r="W264" t="str">
        <f t="shared" si="4"/>
        <v/>
      </c>
      <c r="X264" t="str">
        <f>IFERROR(INDEX('Output Utente'!$AF$2:$AF$492,MATCH(261,'Output Utente'!$R$2:$R$492,0)),"")</f>
        <v/>
      </c>
    </row>
    <row r="265" spans="1:24" ht="15" customHeight="1" x14ac:dyDescent="0.25">
      <c r="A265" s="26">
        <v>262</v>
      </c>
      <c r="B265" s="23" t="str">
        <f>IFERROR(INDEX('Output Utente'!$A$2:$A$492,MATCH(262,'Output Utente'!$R$2:$R$492,0)),"")</f>
        <v/>
      </c>
      <c r="C265" s="23" t="str">
        <f>IFERROR(INDEX('Output Utente'!$B$2:$B$492,MATCH(262,'Output Utente'!$R$2:$R$492,0)),"")</f>
        <v/>
      </c>
      <c r="D265" s="23" t="str">
        <f>IFERROR(INDEX('Output Utente'!$C$2:$C$492,MATCH(262,'Output Utente'!$R$2:$R$492,0)),"")</f>
        <v/>
      </c>
      <c r="E265" s="23" t="str">
        <f>IFERROR(INDEX('Input Giocatori 2026_27'!$D$3:$D$493,MATCH($B265,'Input Giocatori 2026_27'!$A$3:$A$493,0)),"")</f>
        <v/>
      </c>
      <c r="F265" s="24" t="str">
        <f>IFERROR(INDEX('Output Utente'!$N$2:$N$492,MATCH(262,'Output Utente'!$R$2:$R$492,0)),"")</f>
        <v/>
      </c>
      <c r="G265" s="23" t="str">
        <f>IFERROR(INDEX('Output Utente'!$O$2:$O$492,MATCH(262,'Output Utente'!$R$2:$R$492,0)),"")</f>
        <v/>
      </c>
      <c r="H265" s="23" t="str">
        <f>IFERROR(INDEX('Output Utente'!$P$2:$P$492,MATCH(262,'Output Utente'!$R$2:$R$492,0)),"")</f>
        <v/>
      </c>
      <c r="I265" s="24" t="str">
        <f>IFERROR(INDEX('Output Utente'!$F$2:$F$492,MATCH(262,'Output Utente'!$R$2:$R$492,0)),"")</f>
        <v/>
      </c>
      <c r="J265" s="24" t="str">
        <f>IFERROR(INDEX('Output Utente'!$G$2:$G$492,MATCH(262,'Output Utente'!$R$2:$R$492,0)),"")</f>
        <v/>
      </c>
      <c r="K265" s="24" t="str">
        <f>IFERROR(INDEX('Output Utente'!$H$2:$H$492,MATCH(262,'Output Utente'!$R$2:$R$492,0)),"")</f>
        <v/>
      </c>
      <c r="L265" s="23" t="str">
        <f>IFERROR(INDEX('Output Utente'!$E$2:$E$492,MATCH(262,'Output Utente'!$R$2:$R$492,0)),"")</f>
        <v/>
      </c>
      <c r="V265" t="str">
        <f>IFERROR(INDEX('Output Utente'!$M$2:$M$492,MATCH(262,'Output Utente'!$R$2:$R$492,0)),"")</f>
        <v/>
      </c>
      <c r="W265" t="str">
        <f t="shared" si="4"/>
        <v/>
      </c>
      <c r="X265" t="str">
        <f>IFERROR(INDEX('Output Utente'!$AF$2:$AF$492,MATCH(262,'Output Utente'!$R$2:$R$492,0)),"")</f>
        <v/>
      </c>
    </row>
    <row r="266" spans="1:24" ht="15" customHeight="1" x14ac:dyDescent="0.25">
      <c r="A266" s="26">
        <v>263</v>
      </c>
      <c r="B266" s="23" t="str">
        <f>IFERROR(INDEX('Output Utente'!$A$2:$A$492,MATCH(263,'Output Utente'!$R$2:$R$492,0)),"")</f>
        <v/>
      </c>
      <c r="C266" s="23" t="str">
        <f>IFERROR(INDEX('Output Utente'!$B$2:$B$492,MATCH(263,'Output Utente'!$R$2:$R$492,0)),"")</f>
        <v/>
      </c>
      <c r="D266" s="23" t="str">
        <f>IFERROR(INDEX('Output Utente'!$C$2:$C$492,MATCH(263,'Output Utente'!$R$2:$R$492,0)),"")</f>
        <v/>
      </c>
      <c r="E266" s="23" t="str">
        <f>IFERROR(INDEX('Input Giocatori 2026_27'!$D$3:$D$493,MATCH($B266,'Input Giocatori 2026_27'!$A$3:$A$493,0)),"")</f>
        <v/>
      </c>
      <c r="F266" s="24" t="str">
        <f>IFERROR(INDEX('Output Utente'!$N$2:$N$492,MATCH(263,'Output Utente'!$R$2:$R$492,0)),"")</f>
        <v/>
      </c>
      <c r="G266" s="23" t="str">
        <f>IFERROR(INDEX('Output Utente'!$O$2:$O$492,MATCH(263,'Output Utente'!$R$2:$R$492,0)),"")</f>
        <v/>
      </c>
      <c r="H266" s="23" t="str">
        <f>IFERROR(INDEX('Output Utente'!$P$2:$P$492,MATCH(263,'Output Utente'!$R$2:$R$492,0)),"")</f>
        <v/>
      </c>
      <c r="I266" s="24" t="str">
        <f>IFERROR(INDEX('Output Utente'!$F$2:$F$492,MATCH(263,'Output Utente'!$R$2:$R$492,0)),"")</f>
        <v/>
      </c>
      <c r="J266" s="24" t="str">
        <f>IFERROR(INDEX('Output Utente'!$G$2:$G$492,MATCH(263,'Output Utente'!$R$2:$R$492,0)),"")</f>
        <v/>
      </c>
      <c r="K266" s="24" t="str">
        <f>IFERROR(INDEX('Output Utente'!$H$2:$H$492,MATCH(263,'Output Utente'!$R$2:$R$492,0)),"")</f>
        <v/>
      </c>
      <c r="L266" s="23" t="str">
        <f>IFERROR(INDEX('Output Utente'!$E$2:$E$492,MATCH(263,'Output Utente'!$R$2:$R$492,0)),"")</f>
        <v/>
      </c>
      <c r="V266" t="str">
        <f>IFERROR(INDEX('Output Utente'!$M$2:$M$492,MATCH(263,'Output Utente'!$R$2:$R$492,0)),"")</f>
        <v/>
      </c>
      <c r="W266" t="str">
        <f t="shared" si="4"/>
        <v/>
      </c>
      <c r="X266" t="str">
        <f>IFERROR(INDEX('Output Utente'!$AF$2:$AF$492,MATCH(263,'Output Utente'!$R$2:$R$492,0)),"")</f>
        <v/>
      </c>
    </row>
    <row r="267" spans="1:24" ht="15" customHeight="1" x14ac:dyDescent="0.25">
      <c r="A267" s="26">
        <v>264</v>
      </c>
      <c r="B267" s="23" t="str">
        <f>IFERROR(INDEX('Output Utente'!$A$2:$A$492,MATCH(264,'Output Utente'!$R$2:$R$492,0)),"")</f>
        <v/>
      </c>
      <c r="C267" s="23" t="str">
        <f>IFERROR(INDEX('Output Utente'!$B$2:$B$492,MATCH(264,'Output Utente'!$R$2:$R$492,0)),"")</f>
        <v/>
      </c>
      <c r="D267" s="23" t="str">
        <f>IFERROR(INDEX('Output Utente'!$C$2:$C$492,MATCH(264,'Output Utente'!$R$2:$R$492,0)),"")</f>
        <v/>
      </c>
      <c r="E267" s="23" t="str">
        <f>IFERROR(INDEX('Input Giocatori 2026_27'!$D$3:$D$493,MATCH($B267,'Input Giocatori 2026_27'!$A$3:$A$493,0)),"")</f>
        <v/>
      </c>
      <c r="F267" s="24" t="str">
        <f>IFERROR(INDEX('Output Utente'!$N$2:$N$492,MATCH(264,'Output Utente'!$R$2:$R$492,0)),"")</f>
        <v/>
      </c>
      <c r="G267" s="23" t="str">
        <f>IFERROR(INDEX('Output Utente'!$O$2:$O$492,MATCH(264,'Output Utente'!$R$2:$R$492,0)),"")</f>
        <v/>
      </c>
      <c r="H267" s="23" t="str">
        <f>IFERROR(INDEX('Output Utente'!$P$2:$P$492,MATCH(264,'Output Utente'!$R$2:$R$492,0)),"")</f>
        <v/>
      </c>
      <c r="I267" s="24" t="str">
        <f>IFERROR(INDEX('Output Utente'!$F$2:$F$492,MATCH(264,'Output Utente'!$R$2:$R$492,0)),"")</f>
        <v/>
      </c>
      <c r="J267" s="24" t="str">
        <f>IFERROR(INDEX('Output Utente'!$G$2:$G$492,MATCH(264,'Output Utente'!$R$2:$R$492,0)),"")</f>
        <v/>
      </c>
      <c r="K267" s="24" t="str">
        <f>IFERROR(INDEX('Output Utente'!$H$2:$H$492,MATCH(264,'Output Utente'!$R$2:$R$492,0)),"")</f>
        <v/>
      </c>
      <c r="L267" s="23" t="str">
        <f>IFERROR(INDEX('Output Utente'!$E$2:$E$492,MATCH(264,'Output Utente'!$R$2:$R$492,0)),"")</f>
        <v/>
      </c>
      <c r="V267" t="str">
        <f>IFERROR(INDEX('Output Utente'!$M$2:$M$492,MATCH(264,'Output Utente'!$R$2:$R$492,0)),"")</f>
        <v/>
      </c>
      <c r="W267" t="str">
        <f t="shared" si="4"/>
        <v/>
      </c>
      <c r="X267" t="str">
        <f>IFERROR(INDEX('Output Utente'!$AF$2:$AF$492,MATCH(264,'Output Utente'!$R$2:$R$492,0)),"")</f>
        <v/>
      </c>
    </row>
    <row r="268" spans="1:24" ht="15" customHeight="1" x14ac:dyDescent="0.25">
      <c r="A268" s="26">
        <v>265</v>
      </c>
      <c r="B268" s="23" t="str">
        <f>IFERROR(INDEX('Output Utente'!$A$2:$A$492,MATCH(265,'Output Utente'!$R$2:$R$492,0)),"")</f>
        <v/>
      </c>
      <c r="C268" s="23" t="str">
        <f>IFERROR(INDEX('Output Utente'!$B$2:$B$492,MATCH(265,'Output Utente'!$R$2:$R$492,0)),"")</f>
        <v/>
      </c>
      <c r="D268" s="23" t="str">
        <f>IFERROR(INDEX('Output Utente'!$C$2:$C$492,MATCH(265,'Output Utente'!$R$2:$R$492,0)),"")</f>
        <v/>
      </c>
      <c r="E268" s="23" t="str">
        <f>IFERROR(INDEX('Input Giocatori 2026_27'!$D$3:$D$493,MATCH($B268,'Input Giocatori 2026_27'!$A$3:$A$493,0)),"")</f>
        <v/>
      </c>
      <c r="F268" s="24" t="str">
        <f>IFERROR(INDEX('Output Utente'!$N$2:$N$492,MATCH(265,'Output Utente'!$R$2:$R$492,0)),"")</f>
        <v/>
      </c>
      <c r="G268" s="23" t="str">
        <f>IFERROR(INDEX('Output Utente'!$O$2:$O$492,MATCH(265,'Output Utente'!$R$2:$R$492,0)),"")</f>
        <v/>
      </c>
      <c r="H268" s="23" t="str">
        <f>IFERROR(INDEX('Output Utente'!$P$2:$P$492,MATCH(265,'Output Utente'!$R$2:$R$492,0)),"")</f>
        <v/>
      </c>
      <c r="I268" s="24" t="str">
        <f>IFERROR(INDEX('Output Utente'!$F$2:$F$492,MATCH(265,'Output Utente'!$R$2:$R$492,0)),"")</f>
        <v/>
      </c>
      <c r="J268" s="24" t="str">
        <f>IFERROR(INDEX('Output Utente'!$G$2:$G$492,MATCH(265,'Output Utente'!$R$2:$R$492,0)),"")</f>
        <v/>
      </c>
      <c r="K268" s="24" t="str">
        <f>IFERROR(INDEX('Output Utente'!$H$2:$H$492,MATCH(265,'Output Utente'!$R$2:$R$492,0)),"")</f>
        <v/>
      </c>
      <c r="L268" s="23" t="str">
        <f>IFERROR(INDEX('Output Utente'!$E$2:$E$492,MATCH(265,'Output Utente'!$R$2:$R$492,0)),"")</f>
        <v/>
      </c>
      <c r="V268" t="str">
        <f>IFERROR(INDEX('Output Utente'!$M$2:$M$492,MATCH(265,'Output Utente'!$R$2:$R$492,0)),"")</f>
        <v/>
      </c>
      <c r="W268" t="str">
        <f t="shared" si="4"/>
        <v/>
      </c>
      <c r="X268" t="str">
        <f>IFERROR(INDEX('Output Utente'!$AF$2:$AF$492,MATCH(265,'Output Utente'!$R$2:$R$492,0)),"")</f>
        <v/>
      </c>
    </row>
    <row r="269" spans="1:24" ht="15" customHeight="1" x14ac:dyDescent="0.25">
      <c r="A269" s="26">
        <v>266</v>
      </c>
      <c r="B269" s="23" t="str">
        <f>IFERROR(INDEX('Output Utente'!$A$2:$A$492,MATCH(266,'Output Utente'!$R$2:$R$492,0)),"")</f>
        <v/>
      </c>
      <c r="C269" s="23" t="str">
        <f>IFERROR(INDEX('Output Utente'!$B$2:$B$492,MATCH(266,'Output Utente'!$R$2:$R$492,0)),"")</f>
        <v/>
      </c>
      <c r="D269" s="23" t="str">
        <f>IFERROR(INDEX('Output Utente'!$C$2:$C$492,MATCH(266,'Output Utente'!$R$2:$R$492,0)),"")</f>
        <v/>
      </c>
      <c r="E269" s="23" t="str">
        <f>IFERROR(INDEX('Input Giocatori 2026_27'!$D$3:$D$493,MATCH($B269,'Input Giocatori 2026_27'!$A$3:$A$493,0)),"")</f>
        <v/>
      </c>
      <c r="F269" s="24" t="str">
        <f>IFERROR(INDEX('Output Utente'!$N$2:$N$492,MATCH(266,'Output Utente'!$R$2:$R$492,0)),"")</f>
        <v/>
      </c>
      <c r="G269" s="23" t="str">
        <f>IFERROR(INDEX('Output Utente'!$O$2:$O$492,MATCH(266,'Output Utente'!$R$2:$R$492,0)),"")</f>
        <v/>
      </c>
      <c r="H269" s="23" t="str">
        <f>IFERROR(INDEX('Output Utente'!$P$2:$P$492,MATCH(266,'Output Utente'!$R$2:$R$492,0)),"")</f>
        <v/>
      </c>
      <c r="I269" s="24" t="str">
        <f>IFERROR(INDEX('Output Utente'!$F$2:$F$492,MATCH(266,'Output Utente'!$R$2:$R$492,0)),"")</f>
        <v/>
      </c>
      <c r="J269" s="24" t="str">
        <f>IFERROR(INDEX('Output Utente'!$G$2:$G$492,MATCH(266,'Output Utente'!$R$2:$R$492,0)),"")</f>
        <v/>
      </c>
      <c r="K269" s="24" t="str">
        <f>IFERROR(INDEX('Output Utente'!$H$2:$H$492,MATCH(266,'Output Utente'!$R$2:$R$492,0)),"")</f>
        <v/>
      </c>
      <c r="L269" s="23" t="str">
        <f>IFERROR(INDEX('Output Utente'!$E$2:$E$492,MATCH(266,'Output Utente'!$R$2:$R$492,0)),"")</f>
        <v/>
      </c>
      <c r="V269" t="str">
        <f>IFERROR(INDEX('Output Utente'!$M$2:$M$492,MATCH(266,'Output Utente'!$R$2:$R$492,0)),"")</f>
        <v/>
      </c>
      <c r="W269" t="str">
        <f t="shared" si="4"/>
        <v/>
      </c>
      <c r="X269" t="str">
        <f>IFERROR(INDEX('Output Utente'!$AF$2:$AF$492,MATCH(266,'Output Utente'!$R$2:$R$492,0)),"")</f>
        <v/>
      </c>
    </row>
    <row r="270" spans="1:24" ht="15" customHeight="1" x14ac:dyDescent="0.25">
      <c r="A270" s="26">
        <v>267</v>
      </c>
      <c r="B270" s="23" t="str">
        <f>IFERROR(INDEX('Output Utente'!$A$2:$A$492,MATCH(267,'Output Utente'!$R$2:$R$492,0)),"")</f>
        <v/>
      </c>
      <c r="C270" s="23" t="str">
        <f>IFERROR(INDEX('Output Utente'!$B$2:$B$492,MATCH(267,'Output Utente'!$R$2:$R$492,0)),"")</f>
        <v/>
      </c>
      <c r="D270" s="23" t="str">
        <f>IFERROR(INDEX('Output Utente'!$C$2:$C$492,MATCH(267,'Output Utente'!$R$2:$R$492,0)),"")</f>
        <v/>
      </c>
      <c r="E270" s="23" t="str">
        <f>IFERROR(INDEX('Input Giocatori 2026_27'!$D$3:$D$493,MATCH($B270,'Input Giocatori 2026_27'!$A$3:$A$493,0)),"")</f>
        <v/>
      </c>
      <c r="F270" s="24" t="str">
        <f>IFERROR(INDEX('Output Utente'!$N$2:$N$492,MATCH(267,'Output Utente'!$R$2:$R$492,0)),"")</f>
        <v/>
      </c>
      <c r="G270" s="23" t="str">
        <f>IFERROR(INDEX('Output Utente'!$O$2:$O$492,MATCH(267,'Output Utente'!$R$2:$R$492,0)),"")</f>
        <v/>
      </c>
      <c r="H270" s="23" t="str">
        <f>IFERROR(INDEX('Output Utente'!$P$2:$P$492,MATCH(267,'Output Utente'!$R$2:$R$492,0)),"")</f>
        <v/>
      </c>
      <c r="I270" s="24" t="str">
        <f>IFERROR(INDEX('Output Utente'!$F$2:$F$492,MATCH(267,'Output Utente'!$R$2:$R$492,0)),"")</f>
        <v/>
      </c>
      <c r="J270" s="24" t="str">
        <f>IFERROR(INDEX('Output Utente'!$G$2:$G$492,MATCH(267,'Output Utente'!$R$2:$R$492,0)),"")</f>
        <v/>
      </c>
      <c r="K270" s="24" t="str">
        <f>IFERROR(INDEX('Output Utente'!$H$2:$H$492,MATCH(267,'Output Utente'!$R$2:$R$492,0)),"")</f>
        <v/>
      </c>
      <c r="L270" s="23" t="str">
        <f>IFERROR(INDEX('Output Utente'!$E$2:$E$492,MATCH(267,'Output Utente'!$R$2:$R$492,0)),"")</f>
        <v/>
      </c>
      <c r="V270" t="str">
        <f>IFERROR(INDEX('Output Utente'!$M$2:$M$492,MATCH(267,'Output Utente'!$R$2:$R$492,0)),"")</f>
        <v/>
      </c>
      <c r="W270" t="str">
        <f t="shared" si="4"/>
        <v/>
      </c>
      <c r="X270" t="str">
        <f>IFERROR(INDEX('Output Utente'!$AF$2:$AF$492,MATCH(267,'Output Utente'!$R$2:$R$492,0)),"")</f>
        <v/>
      </c>
    </row>
    <row r="271" spans="1:24" ht="15" customHeight="1" x14ac:dyDescent="0.25">
      <c r="A271" s="26">
        <v>268</v>
      </c>
      <c r="B271" s="23" t="str">
        <f>IFERROR(INDEX('Output Utente'!$A$2:$A$492,MATCH(268,'Output Utente'!$R$2:$R$492,0)),"")</f>
        <v/>
      </c>
      <c r="C271" s="23" t="str">
        <f>IFERROR(INDEX('Output Utente'!$B$2:$B$492,MATCH(268,'Output Utente'!$R$2:$R$492,0)),"")</f>
        <v/>
      </c>
      <c r="D271" s="23" t="str">
        <f>IFERROR(INDEX('Output Utente'!$C$2:$C$492,MATCH(268,'Output Utente'!$R$2:$R$492,0)),"")</f>
        <v/>
      </c>
      <c r="E271" s="23" t="str">
        <f>IFERROR(INDEX('Input Giocatori 2026_27'!$D$3:$D$493,MATCH($B271,'Input Giocatori 2026_27'!$A$3:$A$493,0)),"")</f>
        <v/>
      </c>
      <c r="F271" s="24" t="str">
        <f>IFERROR(INDEX('Output Utente'!$N$2:$N$492,MATCH(268,'Output Utente'!$R$2:$R$492,0)),"")</f>
        <v/>
      </c>
      <c r="G271" s="23" t="str">
        <f>IFERROR(INDEX('Output Utente'!$O$2:$O$492,MATCH(268,'Output Utente'!$R$2:$R$492,0)),"")</f>
        <v/>
      </c>
      <c r="H271" s="23" t="str">
        <f>IFERROR(INDEX('Output Utente'!$P$2:$P$492,MATCH(268,'Output Utente'!$R$2:$R$492,0)),"")</f>
        <v/>
      </c>
      <c r="I271" s="24" t="str">
        <f>IFERROR(INDEX('Output Utente'!$F$2:$F$492,MATCH(268,'Output Utente'!$R$2:$R$492,0)),"")</f>
        <v/>
      </c>
      <c r="J271" s="24" t="str">
        <f>IFERROR(INDEX('Output Utente'!$G$2:$G$492,MATCH(268,'Output Utente'!$R$2:$R$492,0)),"")</f>
        <v/>
      </c>
      <c r="K271" s="24" t="str">
        <f>IFERROR(INDEX('Output Utente'!$H$2:$H$492,MATCH(268,'Output Utente'!$R$2:$R$492,0)),"")</f>
        <v/>
      </c>
      <c r="L271" s="23" t="str">
        <f>IFERROR(INDEX('Output Utente'!$E$2:$E$492,MATCH(268,'Output Utente'!$R$2:$R$492,0)),"")</f>
        <v/>
      </c>
      <c r="V271" t="str">
        <f>IFERROR(INDEX('Output Utente'!$M$2:$M$492,MATCH(268,'Output Utente'!$R$2:$R$492,0)),"")</f>
        <v/>
      </c>
      <c r="W271" t="str">
        <f t="shared" si="4"/>
        <v/>
      </c>
      <c r="X271" t="str">
        <f>IFERROR(INDEX('Output Utente'!$AF$2:$AF$492,MATCH(268,'Output Utente'!$R$2:$R$492,0)),"")</f>
        <v/>
      </c>
    </row>
    <row r="272" spans="1:24" ht="15" customHeight="1" x14ac:dyDescent="0.25">
      <c r="A272" s="26">
        <v>269</v>
      </c>
      <c r="B272" s="23" t="str">
        <f>IFERROR(INDEX('Output Utente'!$A$2:$A$492,MATCH(269,'Output Utente'!$R$2:$R$492,0)),"")</f>
        <v/>
      </c>
      <c r="C272" s="23" t="str">
        <f>IFERROR(INDEX('Output Utente'!$B$2:$B$492,MATCH(269,'Output Utente'!$R$2:$R$492,0)),"")</f>
        <v/>
      </c>
      <c r="D272" s="23" t="str">
        <f>IFERROR(INDEX('Output Utente'!$C$2:$C$492,MATCH(269,'Output Utente'!$R$2:$R$492,0)),"")</f>
        <v/>
      </c>
      <c r="E272" s="23" t="str">
        <f>IFERROR(INDEX('Input Giocatori 2026_27'!$D$3:$D$493,MATCH($B272,'Input Giocatori 2026_27'!$A$3:$A$493,0)),"")</f>
        <v/>
      </c>
      <c r="F272" s="24" t="str">
        <f>IFERROR(INDEX('Output Utente'!$N$2:$N$492,MATCH(269,'Output Utente'!$R$2:$R$492,0)),"")</f>
        <v/>
      </c>
      <c r="G272" s="23" t="str">
        <f>IFERROR(INDEX('Output Utente'!$O$2:$O$492,MATCH(269,'Output Utente'!$R$2:$R$492,0)),"")</f>
        <v/>
      </c>
      <c r="H272" s="23" t="str">
        <f>IFERROR(INDEX('Output Utente'!$P$2:$P$492,MATCH(269,'Output Utente'!$R$2:$R$492,0)),"")</f>
        <v/>
      </c>
      <c r="I272" s="24" t="str">
        <f>IFERROR(INDEX('Output Utente'!$F$2:$F$492,MATCH(269,'Output Utente'!$R$2:$R$492,0)),"")</f>
        <v/>
      </c>
      <c r="J272" s="24" t="str">
        <f>IFERROR(INDEX('Output Utente'!$G$2:$G$492,MATCH(269,'Output Utente'!$R$2:$R$492,0)),"")</f>
        <v/>
      </c>
      <c r="K272" s="24" t="str">
        <f>IFERROR(INDEX('Output Utente'!$H$2:$H$492,MATCH(269,'Output Utente'!$R$2:$R$492,0)),"")</f>
        <v/>
      </c>
      <c r="L272" s="23" t="str">
        <f>IFERROR(INDEX('Output Utente'!$E$2:$E$492,MATCH(269,'Output Utente'!$R$2:$R$492,0)),"")</f>
        <v/>
      </c>
      <c r="V272" t="str">
        <f>IFERROR(INDEX('Output Utente'!$M$2:$M$492,MATCH(269,'Output Utente'!$R$2:$R$492,0)),"")</f>
        <v/>
      </c>
      <c r="W272" t="str">
        <f t="shared" si="4"/>
        <v/>
      </c>
      <c r="X272" t="str">
        <f>IFERROR(INDEX('Output Utente'!$AF$2:$AF$492,MATCH(269,'Output Utente'!$R$2:$R$492,0)),"")</f>
        <v/>
      </c>
    </row>
    <row r="273" spans="1:24" ht="15" customHeight="1" x14ac:dyDescent="0.25">
      <c r="A273" s="26">
        <v>270</v>
      </c>
      <c r="B273" s="23" t="str">
        <f>IFERROR(INDEX('Output Utente'!$A$2:$A$492,MATCH(270,'Output Utente'!$R$2:$R$492,0)),"")</f>
        <v/>
      </c>
      <c r="C273" s="23" t="str">
        <f>IFERROR(INDEX('Output Utente'!$B$2:$B$492,MATCH(270,'Output Utente'!$R$2:$R$492,0)),"")</f>
        <v/>
      </c>
      <c r="D273" s="23" t="str">
        <f>IFERROR(INDEX('Output Utente'!$C$2:$C$492,MATCH(270,'Output Utente'!$R$2:$R$492,0)),"")</f>
        <v/>
      </c>
      <c r="E273" s="23" t="str">
        <f>IFERROR(INDEX('Input Giocatori 2026_27'!$D$3:$D$493,MATCH($B273,'Input Giocatori 2026_27'!$A$3:$A$493,0)),"")</f>
        <v/>
      </c>
      <c r="F273" s="24" t="str">
        <f>IFERROR(INDEX('Output Utente'!$N$2:$N$492,MATCH(270,'Output Utente'!$R$2:$R$492,0)),"")</f>
        <v/>
      </c>
      <c r="G273" s="23" t="str">
        <f>IFERROR(INDEX('Output Utente'!$O$2:$O$492,MATCH(270,'Output Utente'!$R$2:$R$492,0)),"")</f>
        <v/>
      </c>
      <c r="H273" s="23" t="str">
        <f>IFERROR(INDEX('Output Utente'!$P$2:$P$492,MATCH(270,'Output Utente'!$R$2:$R$492,0)),"")</f>
        <v/>
      </c>
      <c r="I273" s="24" t="str">
        <f>IFERROR(INDEX('Output Utente'!$F$2:$F$492,MATCH(270,'Output Utente'!$R$2:$R$492,0)),"")</f>
        <v/>
      </c>
      <c r="J273" s="24" t="str">
        <f>IFERROR(INDEX('Output Utente'!$G$2:$G$492,MATCH(270,'Output Utente'!$R$2:$R$492,0)),"")</f>
        <v/>
      </c>
      <c r="K273" s="24" t="str">
        <f>IFERROR(INDEX('Output Utente'!$H$2:$H$492,MATCH(270,'Output Utente'!$R$2:$R$492,0)),"")</f>
        <v/>
      </c>
      <c r="L273" s="23" t="str">
        <f>IFERROR(INDEX('Output Utente'!$E$2:$E$492,MATCH(270,'Output Utente'!$R$2:$R$492,0)),"")</f>
        <v/>
      </c>
      <c r="V273" t="str">
        <f>IFERROR(INDEX('Output Utente'!$M$2:$M$492,MATCH(270,'Output Utente'!$R$2:$R$492,0)),"")</f>
        <v/>
      </c>
      <c r="W273" t="str">
        <f t="shared" si="4"/>
        <v/>
      </c>
      <c r="X273" t="str">
        <f>IFERROR(INDEX('Output Utente'!$AF$2:$AF$492,MATCH(270,'Output Utente'!$R$2:$R$492,0)),"")</f>
        <v/>
      </c>
    </row>
    <row r="274" spans="1:24" ht="15" customHeight="1" x14ac:dyDescent="0.25">
      <c r="A274" s="26">
        <v>271</v>
      </c>
      <c r="B274" s="23" t="str">
        <f>IFERROR(INDEX('Output Utente'!$A$2:$A$492,MATCH(271,'Output Utente'!$R$2:$R$492,0)),"")</f>
        <v/>
      </c>
      <c r="C274" s="23" t="str">
        <f>IFERROR(INDEX('Output Utente'!$B$2:$B$492,MATCH(271,'Output Utente'!$R$2:$R$492,0)),"")</f>
        <v/>
      </c>
      <c r="D274" s="23" t="str">
        <f>IFERROR(INDEX('Output Utente'!$C$2:$C$492,MATCH(271,'Output Utente'!$R$2:$R$492,0)),"")</f>
        <v/>
      </c>
      <c r="E274" s="23" t="str">
        <f>IFERROR(INDEX('Input Giocatori 2026_27'!$D$3:$D$493,MATCH($B274,'Input Giocatori 2026_27'!$A$3:$A$493,0)),"")</f>
        <v/>
      </c>
      <c r="F274" s="24" t="str">
        <f>IFERROR(INDEX('Output Utente'!$N$2:$N$492,MATCH(271,'Output Utente'!$R$2:$R$492,0)),"")</f>
        <v/>
      </c>
      <c r="G274" s="23" t="str">
        <f>IFERROR(INDEX('Output Utente'!$O$2:$O$492,MATCH(271,'Output Utente'!$R$2:$R$492,0)),"")</f>
        <v/>
      </c>
      <c r="H274" s="23" t="str">
        <f>IFERROR(INDEX('Output Utente'!$P$2:$P$492,MATCH(271,'Output Utente'!$R$2:$R$492,0)),"")</f>
        <v/>
      </c>
      <c r="I274" s="24" t="str">
        <f>IFERROR(INDEX('Output Utente'!$F$2:$F$492,MATCH(271,'Output Utente'!$R$2:$R$492,0)),"")</f>
        <v/>
      </c>
      <c r="J274" s="24" t="str">
        <f>IFERROR(INDEX('Output Utente'!$G$2:$G$492,MATCH(271,'Output Utente'!$R$2:$R$492,0)),"")</f>
        <v/>
      </c>
      <c r="K274" s="24" t="str">
        <f>IFERROR(INDEX('Output Utente'!$H$2:$H$492,MATCH(271,'Output Utente'!$R$2:$R$492,0)),"")</f>
        <v/>
      </c>
      <c r="L274" s="23" t="str">
        <f>IFERROR(INDEX('Output Utente'!$E$2:$E$492,MATCH(271,'Output Utente'!$R$2:$R$492,0)),"")</f>
        <v/>
      </c>
      <c r="V274" t="str">
        <f>IFERROR(INDEX('Output Utente'!$M$2:$M$492,MATCH(271,'Output Utente'!$R$2:$R$492,0)),"")</f>
        <v/>
      </c>
      <c r="W274" t="str">
        <f t="shared" si="4"/>
        <v/>
      </c>
      <c r="X274" t="str">
        <f>IFERROR(INDEX('Output Utente'!$AF$2:$AF$492,MATCH(271,'Output Utente'!$R$2:$R$492,0)),"")</f>
        <v/>
      </c>
    </row>
    <row r="275" spans="1:24" ht="15" customHeight="1" x14ac:dyDescent="0.25">
      <c r="A275" s="26">
        <v>272</v>
      </c>
      <c r="B275" s="23" t="str">
        <f>IFERROR(INDEX('Output Utente'!$A$2:$A$492,MATCH(272,'Output Utente'!$R$2:$R$492,0)),"")</f>
        <v/>
      </c>
      <c r="C275" s="23" t="str">
        <f>IFERROR(INDEX('Output Utente'!$B$2:$B$492,MATCH(272,'Output Utente'!$R$2:$R$492,0)),"")</f>
        <v/>
      </c>
      <c r="D275" s="23" t="str">
        <f>IFERROR(INDEX('Output Utente'!$C$2:$C$492,MATCH(272,'Output Utente'!$R$2:$R$492,0)),"")</f>
        <v/>
      </c>
      <c r="E275" s="23" t="str">
        <f>IFERROR(INDEX('Input Giocatori 2026_27'!$D$3:$D$493,MATCH($B275,'Input Giocatori 2026_27'!$A$3:$A$493,0)),"")</f>
        <v/>
      </c>
      <c r="F275" s="24" t="str">
        <f>IFERROR(INDEX('Output Utente'!$N$2:$N$492,MATCH(272,'Output Utente'!$R$2:$R$492,0)),"")</f>
        <v/>
      </c>
      <c r="G275" s="23" t="str">
        <f>IFERROR(INDEX('Output Utente'!$O$2:$O$492,MATCH(272,'Output Utente'!$R$2:$R$492,0)),"")</f>
        <v/>
      </c>
      <c r="H275" s="23" t="str">
        <f>IFERROR(INDEX('Output Utente'!$P$2:$P$492,MATCH(272,'Output Utente'!$R$2:$R$492,0)),"")</f>
        <v/>
      </c>
      <c r="I275" s="24" t="str">
        <f>IFERROR(INDEX('Output Utente'!$F$2:$F$492,MATCH(272,'Output Utente'!$R$2:$R$492,0)),"")</f>
        <v/>
      </c>
      <c r="J275" s="24" t="str">
        <f>IFERROR(INDEX('Output Utente'!$G$2:$G$492,MATCH(272,'Output Utente'!$R$2:$R$492,0)),"")</f>
        <v/>
      </c>
      <c r="K275" s="24" t="str">
        <f>IFERROR(INDEX('Output Utente'!$H$2:$H$492,MATCH(272,'Output Utente'!$R$2:$R$492,0)),"")</f>
        <v/>
      </c>
      <c r="L275" s="23" t="str">
        <f>IFERROR(INDEX('Output Utente'!$E$2:$E$492,MATCH(272,'Output Utente'!$R$2:$R$492,0)),"")</f>
        <v/>
      </c>
      <c r="V275" t="str">
        <f>IFERROR(INDEX('Output Utente'!$M$2:$M$492,MATCH(272,'Output Utente'!$R$2:$R$492,0)),"")</f>
        <v/>
      </c>
      <c r="W275" t="str">
        <f t="shared" si="4"/>
        <v/>
      </c>
      <c r="X275" t="str">
        <f>IFERROR(INDEX('Output Utente'!$AF$2:$AF$492,MATCH(272,'Output Utente'!$R$2:$R$492,0)),"")</f>
        <v/>
      </c>
    </row>
    <row r="276" spans="1:24" ht="15" customHeight="1" x14ac:dyDescent="0.25">
      <c r="A276" s="26">
        <v>273</v>
      </c>
      <c r="B276" s="23" t="str">
        <f>IFERROR(INDEX('Output Utente'!$A$2:$A$492,MATCH(273,'Output Utente'!$R$2:$R$492,0)),"")</f>
        <v/>
      </c>
      <c r="C276" s="23" t="str">
        <f>IFERROR(INDEX('Output Utente'!$B$2:$B$492,MATCH(273,'Output Utente'!$R$2:$R$492,0)),"")</f>
        <v/>
      </c>
      <c r="D276" s="23" t="str">
        <f>IFERROR(INDEX('Output Utente'!$C$2:$C$492,MATCH(273,'Output Utente'!$R$2:$R$492,0)),"")</f>
        <v/>
      </c>
      <c r="E276" s="23" t="str">
        <f>IFERROR(INDEX('Input Giocatori 2026_27'!$D$3:$D$493,MATCH($B276,'Input Giocatori 2026_27'!$A$3:$A$493,0)),"")</f>
        <v/>
      </c>
      <c r="F276" s="24" t="str">
        <f>IFERROR(INDEX('Output Utente'!$N$2:$N$492,MATCH(273,'Output Utente'!$R$2:$R$492,0)),"")</f>
        <v/>
      </c>
      <c r="G276" s="23" t="str">
        <f>IFERROR(INDEX('Output Utente'!$O$2:$O$492,MATCH(273,'Output Utente'!$R$2:$R$492,0)),"")</f>
        <v/>
      </c>
      <c r="H276" s="23" t="str">
        <f>IFERROR(INDEX('Output Utente'!$P$2:$P$492,MATCH(273,'Output Utente'!$R$2:$R$492,0)),"")</f>
        <v/>
      </c>
      <c r="I276" s="24" t="str">
        <f>IFERROR(INDEX('Output Utente'!$F$2:$F$492,MATCH(273,'Output Utente'!$R$2:$R$492,0)),"")</f>
        <v/>
      </c>
      <c r="J276" s="24" t="str">
        <f>IFERROR(INDEX('Output Utente'!$G$2:$G$492,MATCH(273,'Output Utente'!$R$2:$R$492,0)),"")</f>
        <v/>
      </c>
      <c r="K276" s="24" t="str">
        <f>IFERROR(INDEX('Output Utente'!$H$2:$H$492,MATCH(273,'Output Utente'!$R$2:$R$492,0)),"")</f>
        <v/>
      </c>
      <c r="L276" s="23" t="str">
        <f>IFERROR(INDEX('Output Utente'!$E$2:$E$492,MATCH(273,'Output Utente'!$R$2:$R$492,0)),"")</f>
        <v/>
      </c>
      <c r="V276" t="str">
        <f>IFERROR(INDEX('Output Utente'!$M$2:$M$492,MATCH(273,'Output Utente'!$R$2:$R$492,0)),"")</f>
        <v/>
      </c>
      <c r="W276" t="str">
        <f t="shared" si="4"/>
        <v/>
      </c>
      <c r="X276" t="str">
        <f>IFERROR(INDEX('Output Utente'!$AF$2:$AF$492,MATCH(273,'Output Utente'!$R$2:$R$492,0)),"")</f>
        <v/>
      </c>
    </row>
    <row r="277" spans="1:24" ht="15" customHeight="1" x14ac:dyDescent="0.25">
      <c r="A277" s="26">
        <v>274</v>
      </c>
      <c r="B277" s="23" t="str">
        <f>IFERROR(INDEX('Output Utente'!$A$2:$A$492,MATCH(274,'Output Utente'!$R$2:$R$492,0)),"")</f>
        <v/>
      </c>
      <c r="C277" s="23" t="str">
        <f>IFERROR(INDEX('Output Utente'!$B$2:$B$492,MATCH(274,'Output Utente'!$R$2:$R$492,0)),"")</f>
        <v/>
      </c>
      <c r="D277" s="23" t="str">
        <f>IFERROR(INDEX('Output Utente'!$C$2:$C$492,MATCH(274,'Output Utente'!$R$2:$R$492,0)),"")</f>
        <v/>
      </c>
      <c r="E277" s="23" t="str">
        <f>IFERROR(INDEX('Input Giocatori 2026_27'!$D$3:$D$493,MATCH($B277,'Input Giocatori 2026_27'!$A$3:$A$493,0)),"")</f>
        <v/>
      </c>
      <c r="F277" s="24" t="str">
        <f>IFERROR(INDEX('Output Utente'!$N$2:$N$492,MATCH(274,'Output Utente'!$R$2:$R$492,0)),"")</f>
        <v/>
      </c>
      <c r="G277" s="23" t="str">
        <f>IFERROR(INDEX('Output Utente'!$O$2:$O$492,MATCH(274,'Output Utente'!$R$2:$R$492,0)),"")</f>
        <v/>
      </c>
      <c r="H277" s="23" t="str">
        <f>IFERROR(INDEX('Output Utente'!$P$2:$P$492,MATCH(274,'Output Utente'!$R$2:$R$492,0)),"")</f>
        <v/>
      </c>
      <c r="I277" s="24" t="str">
        <f>IFERROR(INDEX('Output Utente'!$F$2:$F$492,MATCH(274,'Output Utente'!$R$2:$R$492,0)),"")</f>
        <v/>
      </c>
      <c r="J277" s="24" t="str">
        <f>IFERROR(INDEX('Output Utente'!$G$2:$G$492,MATCH(274,'Output Utente'!$R$2:$R$492,0)),"")</f>
        <v/>
      </c>
      <c r="K277" s="24" t="str">
        <f>IFERROR(INDEX('Output Utente'!$H$2:$H$492,MATCH(274,'Output Utente'!$R$2:$R$492,0)),"")</f>
        <v/>
      </c>
      <c r="L277" s="23" t="str">
        <f>IFERROR(INDEX('Output Utente'!$E$2:$E$492,MATCH(274,'Output Utente'!$R$2:$R$492,0)),"")</f>
        <v/>
      </c>
      <c r="V277" t="str">
        <f>IFERROR(INDEX('Output Utente'!$M$2:$M$492,MATCH(274,'Output Utente'!$R$2:$R$492,0)),"")</f>
        <v/>
      </c>
      <c r="W277" t="str">
        <f t="shared" si="4"/>
        <v/>
      </c>
      <c r="X277" t="str">
        <f>IFERROR(INDEX('Output Utente'!$AF$2:$AF$492,MATCH(274,'Output Utente'!$R$2:$R$492,0)),"")</f>
        <v/>
      </c>
    </row>
    <row r="278" spans="1:24" ht="15" customHeight="1" x14ac:dyDescent="0.25">
      <c r="A278" s="26">
        <v>275</v>
      </c>
      <c r="B278" s="23" t="str">
        <f>IFERROR(INDEX('Output Utente'!$A$2:$A$492,MATCH(275,'Output Utente'!$R$2:$R$492,0)),"")</f>
        <v/>
      </c>
      <c r="C278" s="23" t="str">
        <f>IFERROR(INDEX('Output Utente'!$B$2:$B$492,MATCH(275,'Output Utente'!$R$2:$R$492,0)),"")</f>
        <v/>
      </c>
      <c r="D278" s="23" t="str">
        <f>IFERROR(INDEX('Output Utente'!$C$2:$C$492,MATCH(275,'Output Utente'!$R$2:$R$492,0)),"")</f>
        <v/>
      </c>
      <c r="E278" s="23" t="str">
        <f>IFERROR(INDEX('Input Giocatori 2026_27'!$D$3:$D$493,MATCH($B278,'Input Giocatori 2026_27'!$A$3:$A$493,0)),"")</f>
        <v/>
      </c>
      <c r="F278" s="24" t="str">
        <f>IFERROR(INDEX('Output Utente'!$N$2:$N$492,MATCH(275,'Output Utente'!$R$2:$R$492,0)),"")</f>
        <v/>
      </c>
      <c r="G278" s="23" t="str">
        <f>IFERROR(INDEX('Output Utente'!$O$2:$O$492,MATCH(275,'Output Utente'!$R$2:$R$492,0)),"")</f>
        <v/>
      </c>
      <c r="H278" s="23" t="str">
        <f>IFERROR(INDEX('Output Utente'!$P$2:$P$492,MATCH(275,'Output Utente'!$R$2:$R$492,0)),"")</f>
        <v/>
      </c>
      <c r="I278" s="24" t="str">
        <f>IFERROR(INDEX('Output Utente'!$F$2:$F$492,MATCH(275,'Output Utente'!$R$2:$R$492,0)),"")</f>
        <v/>
      </c>
      <c r="J278" s="24" t="str">
        <f>IFERROR(INDEX('Output Utente'!$G$2:$G$492,MATCH(275,'Output Utente'!$R$2:$R$492,0)),"")</f>
        <v/>
      </c>
      <c r="K278" s="24" t="str">
        <f>IFERROR(INDEX('Output Utente'!$H$2:$H$492,MATCH(275,'Output Utente'!$R$2:$R$492,0)),"")</f>
        <v/>
      </c>
      <c r="L278" s="23" t="str">
        <f>IFERROR(INDEX('Output Utente'!$E$2:$E$492,MATCH(275,'Output Utente'!$R$2:$R$492,0)),"")</f>
        <v/>
      </c>
      <c r="V278" t="str">
        <f>IFERROR(INDEX('Output Utente'!$M$2:$M$492,MATCH(275,'Output Utente'!$R$2:$R$492,0)),"")</f>
        <v/>
      </c>
      <c r="W278" t="str">
        <f t="shared" si="4"/>
        <v/>
      </c>
      <c r="X278" t="str">
        <f>IFERROR(INDEX('Output Utente'!$AF$2:$AF$492,MATCH(275,'Output Utente'!$R$2:$R$492,0)),"")</f>
        <v/>
      </c>
    </row>
    <row r="279" spans="1:24" ht="15" customHeight="1" x14ac:dyDescent="0.25">
      <c r="A279" s="26">
        <v>276</v>
      </c>
      <c r="B279" s="23" t="str">
        <f>IFERROR(INDEX('Output Utente'!$A$2:$A$492,MATCH(276,'Output Utente'!$R$2:$R$492,0)),"")</f>
        <v/>
      </c>
      <c r="C279" s="23" t="str">
        <f>IFERROR(INDEX('Output Utente'!$B$2:$B$492,MATCH(276,'Output Utente'!$R$2:$R$492,0)),"")</f>
        <v/>
      </c>
      <c r="D279" s="23" t="str">
        <f>IFERROR(INDEX('Output Utente'!$C$2:$C$492,MATCH(276,'Output Utente'!$R$2:$R$492,0)),"")</f>
        <v/>
      </c>
      <c r="E279" s="23" t="str">
        <f>IFERROR(INDEX('Input Giocatori 2026_27'!$D$3:$D$493,MATCH($B279,'Input Giocatori 2026_27'!$A$3:$A$493,0)),"")</f>
        <v/>
      </c>
      <c r="F279" s="24" t="str">
        <f>IFERROR(INDEX('Output Utente'!$N$2:$N$492,MATCH(276,'Output Utente'!$R$2:$R$492,0)),"")</f>
        <v/>
      </c>
      <c r="G279" s="23" t="str">
        <f>IFERROR(INDEX('Output Utente'!$O$2:$O$492,MATCH(276,'Output Utente'!$R$2:$R$492,0)),"")</f>
        <v/>
      </c>
      <c r="H279" s="23" t="str">
        <f>IFERROR(INDEX('Output Utente'!$P$2:$P$492,MATCH(276,'Output Utente'!$R$2:$R$492,0)),"")</f>
        <v/>
      </c>
      <c r="I279" s="24" t="str">
        <f>IFERROR(INDEX('Output Utente'!$F$2:$F$492,MATCH(276,'Output Utente'!$R$2:$R$492,0)),"")</f>
        <v/>
      </c>
      <c r="J279" s="24" t="str">
        <f>IFERROR(INDEX('Output Utente'!$G$2:$G$492,MATCH(276,'Output Utente'!$R$2:$R$492,0)),"")</f>
        <v/>
      </c>
      <c r="K279" s="24" t="str">
        <f>IFERROR(INDEX('Output Utente'!$H$2:$H$492,MATCH(276,'Output Utente'!$R$2:$R$492,0)),"")</f>
        <v/>
      </c>
      <c r="L279" s="23" t="str">
        <f>IFERROR(INDEX('Output Utente'!$E$2:$E$492,MATCH(276,'Output Utente'!$R$2:$R$492,0)),"")</f>
        <v/>
      </c>
      <c r="V279" t="str">
        <f>IFERROR(INDEX('Output Utente'!$M$2:$M$492,MATCH(276,'Output Utente'!$R$2:$R$492,0)),"")</f>
        <v/>
      </c>
      <c r="W279" t="str">
        <f t="shared" si="4"/>
        <v/>
      </c>
      <c r="X279" t="str">
        <f>IFERROR(INDEX('Output Utente'!$AF$2:$AF$492,MATCH(276,'Output Utente'!$R$2:$R$492,0)),"")</f>
        <v/>
      </c>
    </row>
    <row r="280" spans="1:24" ht="15" customHeight="1" x14ac:dyDescent="0.25">
      <c r="A280" s="26">
        <v>277</v>
      </c>
      <c r="B280" s="23" t="str">
        <f>IFERROR(INDEX('Output Utente'!$A$2:$A$492,MATCH(277,'Output Utente'!$R$2:$R$492,0)),"")</f>
        <v/>
      </c>
      <c r="C280" s="23" t="str">
        <f>IFERROR(INDEX('Output Utente'!$B$2:$B$492,MATCH(277,'Output Utente'!$R$2:$R$492,0)),"")</f>
        <v/>
      </c>
      <c r="D280" s="23" t="str">
        <f>IFERROR(INDEX('Output Utente'!$C$2:$C$492,MATCH(277,'Output Utente'!$R$2:$R$492,0)),"")</f>
        <v/>
      </c>
      <c r="E280" s="23" t="str">
        <f>IFERROR(INDEX('Input Giocatori 2026_27'!$D$3:$D$493,MATCH($B280,'Input Giocatori 2026_27'!$A$3:$A$493,0)),"")</f>
        <v/>
      </c>
      <c r="F280" s="24" t="str">
        <f>IFERROR(INDEX('Output Utente'!$N$2:$N$492,MATCH(277,'Output Utente'!$R$2:$R$492,0)),"")</f>
        <v/>
      </c>
      <c r="G280" s="23" t="str">
        <f>IFERROR(INDEX('Output Utente'!$O$2:$O$492,MATCH(277,'Output Utente'!$R$2:$R$492,0)),"")</f>
        <v/>
      </c>
      <c r="H280" s="23" t="str">
        <f>IFERROR(INDEX('Output Utente'!$P$2:$P$492,MATCH(277,'Output Utente'!$R$2:$R$492,0)),"")</f>
        <v/>
      </c>
      <c r="I280" s="24" t="str">
        <f>IFERROR(INDEX('Output Utente'!$F$2:$F$492,MATCH(277,'Output Utente'!$R$2:$R$492,0)),"")</f>
        <v/>
      </c>
      <c r="J280" s="24" t="str">
        <f>IFERROR(INDEX('Output Utente'!$G$2:$G$492,MATCH(277,'Output Utente'!$R$2:$R$492,0)),"")</f>
        <v/>
      </c>
      <c r="K280" s="24" t="str">
        <f>IFERROR(INDEX('Output Utente'!$H$2:$H$492,MATCH(277,'Output Utente'!$R$2:$R$492,0)),"")</f>
        <v/>
      </c>
      <c r="L280" s="23" t="str">
        <f>IFERROR(INDEX('Output Utente'!$E$2:$E$492,MATCH(277,'Output Utente'!$R$2:$R$492,0)),"")</f>
        <v/>
      </c>
      <c r="V280" t="str">
        <f>IFERROR(INDEX('Output Utente'!$M$2:$M$492,MATCH(277,'Output Utente'!$R$2:$R$492,0)),"")</f>
        <v/>
      </c>
      <c r="W280" t="str">
        <f t="shared" si="4"/>
        <v/>
      </c>
      <c r="X280" t="str">
        <f>IFERROR(INDEX('Output Utente'!$AF$2:$AF$492,MATCH(277,'Output Utente'!$R$2:$R$492,0)),"")</f>
        <v/>
      </c>
    </row>
    <row r="281" spans="1:24" ht="15" customHeight="1" x14ac:dyDescent="0.25">
      <c r="A281" s="26">
        <v>278</v>
      </c>
      <c r="B281" s="23" t="str">
        <f>IFERROR(INDEX('Output Utente'!$A$2:$A$492,MATCH(278,'Output Utente'!$R$2:$R$492,0)),"")</f>
        <v/>
      </c>
      <c r="C281" s="23" t="str">
        <f>IFERROR(INDEX('Output Utente'!$B$2:$B$492,MATCH(278,'Output Utente'!$R$2:$R$492,0)),"")</f>
        <v/>
      </c>
      <c r="D281" s="23" t="str">
        <f>IFERROR(INDEX('Output Utente'!$C$2:$C$492,MATCH(278,'Output Utente'!$R$2:$R$492,0)),"")</f>
        <v/>
      </c>
      <c r="E281" s="23" t="str">
        <f>IFERROR(INDEX('Input Giocatori 2026_27'!$D$3:$D$493,MATCH($B281,'Input Giocatori 2026_27'!$A$3:$A$493,0)),"")</f>
        <v/>
      </c>
      <c r="F281" s="24" t="str">
        <f>IFERROR(INDEX('Output Utente'!$N$2:$N$492,MATCH(278,'Output Utente'!$R$2:$R$492,0)),"")</f>
        <v/>
      </c>
      <c r="G281" s="23" t="str">
        <f>IFERROR(INDEX('Output Utente'!$O$2:$O$492,MATCH(278,'Output Utente'!$R$2:$R$492,0)),"")</f>
        <v/>
      </c>
      <c r="H281" s="23" t="str">
        <f>IFERROR(INDEX('Output Utente'!$P$2:$P$492,MATCH(278,'Output Utente'!$R$2:$R$492,0)),"")</f>
        <v/>
      </c>
      <c r="I281" s="24" t="str">
        <f>IFERROR(INDEX('Output Utente'!$F$2:$F$492,MATCH(278,'Output Utente'!$R$2:$R$492,0)),"")</f>
        <v/>
      </c>
      <c r="J281" s="24" t="str">
        <f>IFERROR(INDEX('Output Utente'!$G$2:$G$492,MATCH(278,'Output Utente'!$R$2:$R$492,0)),"")</f>
        <v/>
      </c>
      <c r="K281" s="24" t="str">
        <f>IFERROR(INDEX('Output Utente'!$H$2:$H$492,MATCH(278,'Output Utente'!$R$2:$R$492,0)),"")</f>
        <v/>
      </c>
      <c r="L281" s="23" t="str">
        <f>IFERROR(INDEX('Output Utente'!$E$2:$E$492,MATCH(278,'Output Utente'!$R$2:$R$492,0)),"")</f>
        <v/>
      </c>
      <c r="V281" t="str">
        <f>IFERROR(INDEX('Output Utente'!$M$2:$M$492,MATCH(278,'Output Utente'!$R$2:$R$492,0)),"")</f>
        <v/>
      </c>
      <c r="W281" t="str">
        <f t="shared" si="4"/>
        <v/>
      </c>
      <c r="X281" t="str">
        <f>IFERROR(INDEX('Output Utente'!$AF$2:$AF$492,MATCH(278,'Output Utente'!$R$2:$R$492,0)),"")</f>
        <v/>
      </c>
    </row>
    <row r="282" spans="1:24" ht="15" customHeight="1" x14ac:dyDescent="0.25">
      <c r="A282" s="26">
        <v>279</v>
      </c>
      <c r="B282" s="23" t="str">
        <f>IFERROR(INDEX('Output Utente'!$A$2:$A$492,MATCH(279,'Output Utente'!$R$2:$R$492,0)),"")</f>
        <v/>
      </c>
      <c r="C282" s="23" t="str">
        <f>IFERROR(INDEX('Output Utente'!$B$2:$B$492,MATCH(279,'Output Utente'!$R$2:$R$492,0)),"")</f>
        <v/>
      </c>
      <c r="D282" s="23" t="str">
        <f>IFERROR(INDEX('Output Utente'!$C$2:$C$492,MATCH(279,'Output Utente'!$R$2:$R$492,0)),"")</f>
        <v/>
      </c>
      <c r="E282" s="23" t="str">
        <f>IFERROR(INDEX('Input Giocatori 2026_27'!$D$3:$D$493,MATCH($B282,'Input Giocatori 2026_27'!$A$3:$A$493,0)),"")</f>
        <v/>
      </c>
      <c r="F282" s="24" t="str">
        <f>IFERROR(INDEX('Output Utente'!$N$2:$N$492,MATCH(279,'Output Utente'!$R$2:$R$492,0)),"")</f>
        <v/>
      </c>
      <c r="G282" s="23" t="str">
        <f>IFERROR(INDEX('Output Utente'!$O$2:$O$492,MATCH(279,'Output Utente'!$R$2:$R$492,0)),"")</f>
        <v/>
      </c>
      <c r="H282" s="23" t="str">
        <f>IFERROR(INDEX('Output Utente'!$P$2:$P$492,MATCH(279,'Output Utente'!$R$2:$R$492,0)),"")</f>
        <v/>
      </c>
      <c r="I282" s="24" t="str">
        <f>IFERROR(INDEX('Output Utente'!$F$2:$F$492,MATCH(279,'Output Utente'!$R$2:$R$492,0)),"")</f>
        <v/>
      </c>
      <c r="J282" s="24" t="str">
        <f>IFERROR(INDEX('Output Utente'!$G$2:$G$492,MATCH(279,'Output Utente'!$R$2:$R$492,0)),"")</f>
        <v/>
      </c>
      <c r="K282" s="24" t="str">
        <f>IFERROR(INDEX('Output Utente'!$H$2:$H$492,MATCH(279,'Output Utente'!$R$2:$R$492,0)),"")</f>
        <v/>
      </c>
      <c r="L282" s="23" t="str">
        <f>IFERROR(INDEX('Output Utente'!$E$2:$E$492,MATCH(279,'Output Utente'!$R$2:$R$492,0)),"")</f>
        <v/>
      </c>
      <c r="V282" t="str">
        <f>IFERROR(INDEX('Output Utente'!$M$2:$M$492,MATCH(279,'Output Utente'!$R$2:$R$492,0)),"")</f>
        <v/>
      </c>
      <c r="W282" t="str">
        <f t="shared" si="4"/>
        <v/>
      </c>
      <c r="X282" t="str">
        <f>IFERROR(INDEX('Output Utente'!$AF$2:$AF$492,MATCH(279,'Output Utente'!$R$2:$R$492,0)),"")</f>
        <v/>
      </c>
    </row>
    <row r="283" spans="1:24" ht="15" customHeight="1" x14ac:dyDescent="0.25">
      <c r="A283" s="26">
        <v>280</v>
      </c>
      <c r="B283" s="23" t="str">
        <f>IFERROR(INDEX('Output Utente'!$A$2:$A$492,MATCH(280,'Output Utente'!$R$2:$R$492,0)),"")</f>
        <v/>
      </c>
      <c r="C283" s="23" t="str">
        <f>IFERROR(INDEX('Output Utente'!$B$2:$B$492,MATCH(280,'Output Utente'!$R$2:$R$492,0)),"")</f>
        <v/>
      </c>
      <c r="D283" s="23" t="str">
        <f>IFERROR(INDEX('Output Utente'!$C$2:$C$492,MATCH(280,'Output Utente'!$R$2:$R$492,0)),"")</f>
        <v/>
      </c>
      <c r="E283" s="23" t="str">
        <f>IFERROR(INDEX('Input Giocatori 2026_27'!$D$3:$D$493,MATCH($B283,'Input Giocatori 2026_27'!$A$3:$A$493,0)),"")</f>
        <v/>
      </c>
      <c r="F283" s="24" t="str">
        <f>IFERROR(INDEX('Output Utente'!$N$2:$N$492,MATCH(280,'Output Utente'!$R$2:$R$492,0)),"")</f>
        <v/>
      </c>
      <c r="G283" s="23" t="str">
        <f>IFERROR(INDEX('Output Utente'!$O$2:$O$492,MATCH(280,'Output Utente'!$R$2:$R$492,0)),"")</f>
        <v/>
      </c>
      <c r="H283" s="23" t="str">
        <f>IFERROR(INDEX('Output Utente'!$P$2:$P$492,MATCH(280,'Output Utente'!$R$2:$R$492,0)),"")</f>
        <v/>
      </c>
      <c r="I283" s="24" t="str">
        <f>IFERROR(INDEX('Output Utente'!$F$2:$F$492,MATCH(280,'Output Utente'!$R$2:$R$492,0)),"")</f>
        <v/>
      </c>
      <c r="J283" s="24" t="str">
        <f>IFERROR(INDEX('Output Utente'!$G$2:$G$492,MATCH(280,'Output Utente'!$R$2:$R$492,0)),"")</f>
        <v/>
      </c>
      <c r="K283" s="24" t="str">
        <f>IFERROR(INDEX('Output Utente'!$H$2:$H$492,MATCH(280,'Output Utente'!$R$2:$R$492,0)),"")</f>
        <v/>
      </c>
      <c r="L283" s="23" t="str">
        <f>IFERROR(INDEX('Output Utente'!$E$2:$E$492,MATCH(280,'Output Utente'!$R$2:$R$492,0)),"")</f>
        <v/>
      </c>
      <c r="V283" t="str">
        <f>IFERROR(INDEX('Output Utente'!$M$2:$M$492,MATCH(280,'Output Utente'!$R$2:$R$492,0)),"")</f>
        <v/>
      </c>
      <c r="W283" t="str">
        <f t="shared" si="4"/>
        <v/>
      </c>
      <c r="X283" t="str">
        <f>IFERROR(INDEX('Output Utente'!$AF$2:$AF$492,MATCH(280,'Output Utente'!$R$2:$R$492,0)),"")</f>
        <v/>
      </c>
    </row>
    <row r="284" spans="1:24" ht="15" customHeight="1" x14ac:dyDescent="0.25">
      <c r="A284" s="26">
        <v>281</v>
      </c>
      <c r="B284" s="23" t="str">
        <f>IFERROR(INDEX('Output Utente'!$A$2:$A$492,MATCH(281,'Output Utente'!$R$2:$R$492,0)),"")</f>
        <v/>
      </c>
      <c r="C284" s="23" t="str">
        <f>IFERROR(INDEX('Output Utente'!$B$2:$B$492,MATCH(281,'Output Utente'!$R$2:$R$492,0)),"")</f>
        <v/>
      </c>
      <c r="D284" s="23" t="str">
        <f>IFERROR(INDEX('Output Utente'!$C$2:$C$492,MATCH(281,'Output Utente'!$R$2:$R$492,0)),"")</f>
        <v/>
      </c>
      <c r="E284" s="23" t="str">
        <f>IFERROR(INDEX('Input Giocatori 2026_27'!$D$3:$D$493,MATCH($B284,'Input Giocatori 2026_27'!$A$3:$A$493,0)),"")</f>
        <v/>
      </c>
      <c r="F284" s="24" t="str">
        <f>IFERROR(INDEX('Output Utente'!$N$2:$N$492,MATCH(281,'Output Utente'!$R$2:$R$492,0)),"")</f>
        <v/>
      </c>
      <c r="G284" s="23" t="str">
        <f>IFERROR(INDEX('Output Utente'!$O$2:$O$492,MATCH(281,'Output Utente'!$R$2:$R$492,0)),"")</f>
        <v/>
      </c>
      <c r="H284" s="23" t="str">
        <f>IFERROR(INDEX('Output Utente'!$P$2:$P$492,MATCH(281,'Output Utente'!$R$2:$R$492,0)),"")</f>
        <v/>
      </c>
      <c r="I284" s="24" t="str">
        <f>IFERROR(INDEX('Output Utente'!$F$2:$F$492,MATCH(281,'Output Utente'!$R$2:$R$492,0)),"")</f>
        <v/>
      </c>
      <c r="J284" s="24" t="str">
        <f>IFERROR(INDEX('Output Utente'!$G$2:$G$492,MATCH(281,'Output Utente'!$R$2:$R$492,0)),"")</f>
        <v/>
      </c>
      <c r="K284" s="24" t="str">
        <f>IFERROR(INDEX('Output Utente'!$H$2:$H$492,MATCH(281,'Output Utente'!$R$2:$R$492,0)),"")</f>
        <v/>
      </c>
      <c r="L284" s="23" t="str">
        <f>IFERROR(INDEX('Output Utente'!$E$2:$E$492,MATCH(281,'Output Utente'!$R$2:$R$492,0)),"")</f>
        <v/>
      </c>
      <c r="V284" t="str">
        <f>IFERROR(INDEX('Output Utente'!$M$2:$M$492,MATCH(281,'Output Utente'!$R$2:$R$492,0)),"")</f>
        <v/>
      </c>
      <c r="W284" t="str">
        <f t="shared" si="4"/>
        <v/>
      </c>
      <c r="X284" t="str">
        <f>IFERROR(INDEX('Output Utente'!$AF$2:$AF$492,MATCH(281,'Output Utente'!$R$2:$R$492,0)),"")</f>
        <v/>
      </c>
    </row>
    <row r="285" spans="1:24" ht="15" customHeight="1" x14ac:dyDescent="0.25">
      <c r="A285" s="26">
        <v>282</v>
      </c>
      <c r="B285" s="23" t="str">
        <f>IFERROR(INDEX('Output Utente'!$A$2:$A$492,MATCH(282,'Output Utente'!$R$2:$R$492,0)),"")</f>
        <v/>
      </c>
      <c r="C285" s="23" t="str">
        <f>IFERROR(INDEX('Output Utente'!$B$2:$B$492,MATCH(282,'Output Utente'!$R$2:$R$492,0)),"")</f>
        <v/>
      </c>
      <c r="D285" s="23" t="str">
        <f>IFERROR(INDEX('Output Utente'!$C$2:$C$492,MATCH(282,'Output Utente'!$R$2:$R$492,0)),"")</f>
        <v/>
      </c>
      <c r="E285" s="23" t="str">
        <f>IFERROR(INDEX('Input Giocatori 2026_27'!$D$3:$D$493,MATCH($B285,'Input Giocatori 2026_27'!$A$3:$A$493,0)),"")</f>
        <v/>
      </c>
      <c r="F285" s="24" t="str">
        <f>IFERROR(INDEX('Output Utente'!$N$2:$N$492,MATCH(282,'Output Utente'!$R$2:$R$492,0)),"")</f>
        <v/>
      </c>
      <c r="G285" s="23" t="str">
        <f>IFERROR(INDEX('Output Utente'!$O$2:$O$492,MATCH(282,'Output Utente'!$R$2:$R$492,0)),"")</f>
        <v/>
      </c>
      <c r="H285" s="23" t="str">
        <f>IFERROR(INDEX('Output Utente'!$P$2:$P$492,MATCH(282,'Output Utente'!$R$2:$R$492,0)),"")</f>
        <v/>
      </c>
      <c r="I285" s="24" t="str">
        <f>IFERROR(INDEX('Output Utente'!$F$2:$F$492,MATCH(282,'Output Utente'!$R$2:$R$492,0)),"")</f>
        <v/>
      </c>
      <c r="J285" s="24" t="str">
        <f>IFERROR(INDEX('Output Utente'!$G$2:$G$492,MATCH(282,'Output Utente'!$R$2:$R$492,0)),"")</f>
        <v/>
      </c>
      <c r="K285" s="24" t="str">
        <f>IFERROR(INDEX('Output Utente'!$H$2:$H$492,MATCH(282,'Output Utente'!$R$2:$R$492,0)),"")</f>
        <v/>
      </c>
      <c r="L285" s="23" t="str">
        <f>IFERROR(INDEX('Output Utente'!$E$2:$E$492,MATCH(282,'Output Utente'!$R$2:$R$492,0)),"")</f>
        <v/>
      </c>
      <c r="V285" t="str">
        <f>IFERROR(INDEX('Output Utente'!$M$2:$M$492,MATCH(282,'Output Utente'!$R$2:$R$492,0)),"")</f>
        <v/>
      </c>
      <c r="W285" t="str">
        <f t="shared" si="4"/>
        <v/>
      </c>
      <c r="X285" t="str">
        <f>IFERROR(INDEX('Output Utente'!$AF$2:$AF$492,MATCH(282,'Output Utente'!$R$2:$R$492,0)),"")</f>
        <v/>
      </c>
    </row>
    <row r="286" spans="1:24" ht="15" customHeight="1" x14ac:dyDescent="0.25">
      <c r="A286" s="26">
        <v>283</v>
      </c>
      <c r="B286" s="23" t="str">
        <f>IFERROR(INDEX('Output Utente'!$A$2:$A$492,MATCH(283,'Output Utente'!$R$2:$R$492,0)),"")</f>
        <v/>
      </c>
      <c r="C286" s="23" t="str">
        <f>IFERROR(INDEX('Output Utente'!$B$2:$B$492,MATCH(283,'Output Utente'!$R$2:$R$492,0)),"")</f>
        <v/>
      </c>
      <c r="D286" s="23" t="str">
        <f>IFERROR(INDEX('Output Utente'!$C$2:$C$492,MATCH(283,'Output Utente'!$R$2:$R$492,0)),"")</f>
        <v/>
      </c>
      <c r="E286" s="23" t="str">
        <f>IFERROR(INDEX('Input Giocatori 2026_27'!$D$3:$D$493,MATCH($B286,'Input Giocatori 2026_27'!$A$3:$A$493,0)),"")</f>
        <v/>
      </c>
      <c r="F286" s="24" t="str">
        <f>IFERROR(INDEX('Output Utente'!$N$2:$N$492,MATCH(283,'Output Utente'!$R$2:$R$492,0)),"")</f>
        <v/>
      </c>
      <c r="G286" s="23" t="str">
        <f>IFERROR(INDEX('Output Utente'!$O$2:$O$492,MATCH(283,'Output Utente'!$R$2:$R$492,0)),"")</f>
        <v/>
      </c>
      <c r="H286" s="23" t="str">
        <f>IFERROR(INDEX('Output Utente'!$P$2:$P$492,MATCH(283,'Output Utente'!$R$2:$R$492,0)),"")</f>
        <v/>
      </c>
      <c r="I286" s="24" t="str">
        <f>IFERROR(INDEX('Output Utente'!$F$2:$F$492,MATCH(283,'Output Utente'!$R$2:$R$492,0)),"")</f>
        <v/>
      </c>
      <c r="J286" s="24" t="str">
        <f>IFERROR(INDEX('Output Utente'!$G$2:$G$492,MATCH(283,'Output Utente'!$R$2:$R$492,0)),"")</f>
        <v/>
      </c>
      <c r="K286" s="24" t="str">
        <f>IFERROR(INDEX('Output Utente'!$H$2:$H$492,MATCH(283,'Output Utente'!$R$2:$R$492,0)),"")</f>
        <v/>
      </c>
      <c r="L286" s="23" t="str">
        <f>IFERROR(INDEX('Output Utente'!$E$2:$E$492,MATCH(283,'Output Utente'!$R$2:$R$492,0)),"")</f>
        <v/>
      </c>
      <c r="V286" t="str">
        <f>IFERROR(INDEX('Output Utente'!$M$2:$M$492,MATCH(283,'Output Utente'!$R$2:$R$492,0)),"")</f>
        <v/>
      </c>
      <c r="W286" t="str">
        <f t="shared" si="4"/>
        <v/>
      </c>
      <c r="X286" t="str">
        <f>IFERROR(INDEX('Output Utente'!$AF$2:$AF$492,MATCH(283,'Output Utente'!$R$2:$R$492,0)),"")</f>
        <v/>
      </c>
    </row>
    <row r="287" spans="1:24" ht="15" customHeight="1" x14ac:dyDescent="0.25">
      <c r="A287" s="26">
        <v>284</v>
      </c>
      <c r="B287" s="23" t="str">
        <f>IFERROR(INDEX('Output Utente'!$A$2:$A$492,MATCH(284,'Output Utente'!$R$2:$R$492,0)),"")</f>
        <v/>
      </c>
      <c r="C287" s="23" t="str">
        <f>IFERROR(INDEX('Output Utente'!$B$2:$B$492,MATCH(284,'Output Utente'!$R$2:$R$492,0)),"")</f>
        <v/>
      </c>
      <c r="D287" s="23" t="str">
        <f>IFERROR(INDEX('Output Utente'!$C$2:$C$492,MATCH(284,'Output Utente'!$R$2:$R$492,0)),"")</f>
        <v/>
      </c>
      <c r="E287" s="23" t="str">
        <f>IFERROR(INDEX('Input Giocatori 2026_27'!$D$3:$D$493,MATCH($B287,'Input Giocatori 2026_27'!$A$3:$A$493,0)),"")</f>
        <v/>
      </c>
      <c r="F287" s="24" t="str">
        <f>IFERROR(INDEX('Output Utente'!$N$2:$N$492,MATCH(284,'Output Utente'!$R$2:$R$492,0)),"")</f>
        <v/>
      </c>
      <c r="G287" s="23" t="str">
        <f>IFERROR(INDEX('Output Utente'!$O$2:$O$492,MATCH(284,'Output Utente'!$R$2:$R$492,0)),"")</f>
        <v/>
      </c>
      <c r="H287" s="23" t="str">
        <f>IFERROR(INDEX('Output Utente'!$P$2:$P$492,MATCH(284,'Output Utente'!$R$2:$R$492,0)),"")</f>
        <v/>
      </c>
      <c r="I287" s="24" t="str">
        <f>IFERROR(INDEX('Output Utente'!$F$2:$F$492,MATCH(284,'Output Utente'!$R$2:$R$492,0)),"")</f>
        <v/>
      </c>
      <c r="J287" s="24" t="str">
        <f>IFERROR(INDEX('Output Utente'!$G$2:$G$492,MATCH(284,'Output Utente'!$R$2:$R$492,0)),"")</f>
        <v/>
      </c>
      <c r="K287" s="24" t="str">
        <f>IFERROR(INDEX('Output Utente'!$H$2:$H$492,MATCH(284,'Output Utente'!$R$2:$R$492,0)),"")</f>
        <v/>
      </c>
      <c r="L287" s="23" t="str">
        <f>IFERROR(INDEX('Output Utente'!$E$2:$E$492,MATCH(284,'Output Utente'!$R$2:$R$492,0)),"")</f>
        <v/>
      </c>
      <c r="V287" t="str">
        <f>IFERROR(INDEX('Output Utente'!$M$2:$M$492,MATCH(284,'Output Utente'!$R$2:$R$492,0)),"")</f>
        <v/>
      </c>
      <c r="W287" t="str">
        <f t="shared" si="4"/>
        <v/>
      </c>
      <c r="X287" t="str">
        <f>IFERROR(INDEX('Output Utente'!$AF$2:$AF$492,MATCH(284,'Output Utente'!$R$2:$R$492,0)),"")</f>
        <v/>
      </c>
    </row>
    <row r="288" spans="1:24" ht="15" customHeight="1" x14ac:dyDescent="0.25">
      <c r="A288" s="26">
        <v>285</v>
      </c>
      <c r="B288" s="23" t="str">
        <f>IFERROR(INDEX('Output Utente'!$A$2:$A$492,MATCH(285,'Output Utente'!$R$2:$R$492,0)),"")</f>
        <v/>
      </c>
      <c r="C288" s="23" t="str">
        <f>IFERROR(INDEX('Output Utente'!$B$2:$B$492,MATCH(285,'Output Utente'!$R$2:$R$492,0)),"")</f>
        <v/>
      </c>
      <c r="D288" s="23" t="str">
        <f>IFERROR(INDEX('Output Utente'!$C$2:$C$492,MATCH(285,'Output Utente'!$R$2:$R$492,0)),"")</f>
        <v/>
      </c>
      <c r="E288" s="23" t="str">
        <f>IFERROR(INDEX('Input Giocatori 2026_27'!$D$3:$D$493,MATCH($B288,'Input Giocatori 2026_27'!$A$3:$A$493,0)),"")</f>
        <v/>
      </c>
      <c r="F288" s="24" t="str">
        <f>IFERROR(INDEX('Output Utente'!$N$2:$N$492,MATCH(285,'Output Utente'!$R$2:$R$492,0)),"")</f>
        <v/>
      </c>
      <c r="G288" s="23" t="str">
        <f>IFERROR(INDEX('Output Utente'!$O$2:$O$492,MATCH(285,'Output Utente'!$R$2:$R$492,0)),"")</f>
        <v/>
      </c>
      <c r="H288" s="23" t="str">
        <f>IFERROR(INDEX('Output Utente'!$P$2:$P$492,MATCH(285,'Output Utente'!$R$2:$R$492,0)),"")</f>
        <v/>
      </c>
      <c r="I288" s="24" t="str">
        <f>IFERROR(INDEX('Output Utente'!$F$2:$F$492,MATCH(285,'Output Utente'!$R$2:$R$492,0)),"")</f>
        <v/>
      </c>
      <c r="J288" s="24" t="str">
        <f>IFERROR(INDEX('Output Utente'!$G$2:$G$492,MATCH(285,'Output Utente'!$R$2:$R$492,0)),"")</f>
        <v/>
      </c>
      <c r="K288" s="24" t="str">
        <f>IFERROR(INDEX('Output Utente'!$H$2:$H$492,MATCH(285,'Output Utente'!$R$2:$R$492,0)),"")</f>
        <v/>
      </c>
      <c r="L288" s="23" t="str">
        <f>IFERROR(INDEX('Output Utente'!$E$2:$E$492,MATCH(285,'Output Utente'!$R$2:$R$492,0)),"")</f>
        <v/>
      </c>
      <c r="V288" t="str">
        <f>IFERROR(INDEX('Output Utente'!$M$2:$M$492,MATCH(285,'Output Utente'!$R$2:$R$492,0)),"")</f>
        <v/>
      </c>
      <c r="W288" t="str">
        <f t="shared" si="4"/>
        <v/>
      </c>
      <c r="X288" t="str">
        <f>IFERROR(INDEX('Output Utente'!$AF$2:$AF$492,MATCH(285,'Output Utente'!$R$2:$R$492,0)),"")</f>
        <v/>
      </c>
    </row>
    <row r="289" spans="1:24" ht="15" customHeight="1" x14ac:dyDescent="0.25">
      <c r="A289" s="26">
        <v>286</v>
      </c>
      <c r="B289" s="23" t="str">
        <f>IFERROR(INDEX('Output Utente'!$A$2:$A$492,MATCH(286,'Output Utente'!$R$2:$R$492,0)),"")</f>
        <v/>
      </c>
      <c r="C289" s="23" t="str">
        <f>IFERROR(INDEX('Output Utente'!$B$2:$B$492,MATCH(286,'Output Utente'!$R$2:$R$492,0)),"")</f>
        <v/>
      </c>
      <c r="D289" s="23" t="str">
        <f>IFERROR(INDEX('Output Utente'!$C$2:$C$492,MATCH(286,'Output Utente'!$R$2:$R$492,0)),"")</f>
        <v/>
      </c>
      <c r="E289" s="23" t="str">
        <f>IFERROR(INDEX('Input Giocatori 2026_27'!$D$3:$D$493,MATCH($B289,'Input Giocatori 2026_27'!$A$3:$A$493,0)),"")</f>
        <v/>
      </c>
      <c r="F289" s="24" t="str">
        <f>IFERROR(INDEX('Output Utente'!$N$2:$N$492,MATCH(286,'Output Utente'!$R$2:$R$492,0)),"")</f>
        <v/>
      </c>
      <c r="G289" s="23" t="str">
        <f>IFERROR(INDEX('Output Utente'!$O$2:$O$492,MATCH(286,'Output Utente'!$R$2:$R$492,0)),"")</f>
        <v/>
      </c>
      <c r="H289" s="23" t="str">
        <f>IFERROR(INDEX('Output Utente'!$P$2:$P$492,MATCH(286,'Output Utente'!$R$2:$R$492,0)),"")</f>
        <v/>
      </c>
      <c r="I289" s="24" t="str">
        <f>IFERROR(INDEX('Output Utente'!$F$2:$F$492,MATCH(286,'Output Utente'!$R$2:$R$492,0)),"")</f>
        <v/>
      </c>
      <c r="J289" s="24" t="str">
        <f>IFERROR(INDEX('Output Utente'!$G$2:$G$492,MATCH(286,'Output Utente'!$R$2:$R$492,0)),"")</f>
        <v/>
      </c>
      <c r="K289" s="24" t="str">
        <f>IFERROR(INDEX('Output Utente'!$H$2:$H$492,MATCH(286,'Output Utente'!$R$2:$R$492,0)),"")</f>
        <v/>
      </c>
      <c r="L289" s="23" t="str">
        <f>IFERROR(INDEX('Output Utente'!$E$2:$E$492,MATCH(286,'Output Utente'!$R$2:$R$492,0)),"")</f>
        <v/>
      </c>
      <c r="V289" t="str">
        <f>IFERROR(INDEX('Output Utente'!$M$2:$M$492,MATCH(286,'Output Utente'!$R$2:$R$492,0)),"")</f>
        <v/>
      </c>
      <c r="W289" t="str">
        <f t="shared" si="4"/>
        <v/>
      </c>
      <c r="X289" t="str">
        <f>IFERROR(INDEX('Output Utente'!$AF$2:$AF$492,MATCH(286,'Output Utente'!$R$2:$R$492,0)),"")</f>
        <v/>
      </c>
    </row>
    <row r="290" spans="1:24" ht="15" customHeight="1" x14ac:dyDescent="0.25">
      <c r="A290" s="26">
        <v>287</v>
      </c>
      <c r="B290" s="23" t="str">
        <f>IFERROR(INDEX('Output Utente'!$A$2:$A$492,MATCH(287,'Output Utente'!$R$2:$R$492,0)),"")</f>
        <v/>
      </c>
      <c r="C290" s="23" t="str">
        <f>IFERROR(INDEX('Output Utente'!$B$2:$B$492,MATCH(287,'Output Utente'!$R$2:$R$492,0)),"")</f>
        <v/>
      </c>
      <c r="D290" s="23" t="str">
        <f>IFERROR(INDEX('Output Utente'!$C$2:$C$492,MATCH(287,'Output Utente'!$R$2:$R$492,0)),"")</f>
        <v/>
      </c>
      <c r="E290" s="23" t="str">
        <f>IFERROR(INDEX('Input Giocatori 2026_27'!$D$3:$D$493,MATCH($B290,'Input Giocatori 2026_27'!$A$3:$A$493,0)),"")</f>
        <v/>
      </c>
      <c r="F290" s="24" t="str">
        <f>IFERROR(INDEX('Output Utente'!$N$2:$N$492,MATCH(287,'Output Utente'!$R$2:$R$492,0)),"")</f>
        <v/>
      </c>
      <c r="G290" s="23" t="str">
        <f>IFERROR(INDEX('Output Utente'!$O$2:$O$492,MATCH(287,'Output Utente'!$R$2:$R$492,0)),"")</f>
        <v/>
      </c>
      <c r="H290" s="23" t="str">
        <f>IFERROR(INDEX('Output Utente'!$P$2:$P$492,MATCH(287,'Output Utente'!$R$2:$R$492,0)),"")</f>
        <v/>
      </c>
      <c r="I290" s="24" t="str">
        <f>IFERROR(INDEX('Output Utente'!$F$2:$F$492,MATCH(287,'Output Utente'!$R$2:$R$492,0)),"")</f>
        <v/>
      </c>
      <c r="J290" s="24" t="str">
        <f>IFERROR(INDEX('Output Utente'!$G$2:$G$492,MATCH(287,'Output Utente'!$R$2:$R$492,0)),"")</f>
        <v/>
      </c>
      <c r="K290" s="24" t="str">
        <f>IFERROR(INDEX('Output Utente'!$H$2:$H$492,MATCH(287,'Output Utente'!$R$2:$R$492,0)),"")</f>
        <v/>
      </c>
      <c r="L290" s="23" t="str">
        <f>IFERROR(INDEX('Output Utente'!$E$2:$E$492,MATCH(287,'Output Utente'!$R$2:$R$492,0)),"")</f>
        <v/>
      </c>
      <c r="V290" t="str">
        <f>IFERROR(INDEX('Output Utente'!$M$2:$M$492,MATCH(287,'Output Utente'!$R$2:$R$492,0)),"")</f>
        <v/>
      </c>
      <c r="W290" t="str">
        <f t="shared" si="4"/>
        <v/>
      </c>
      <c r="X290" t="str">
        <f>IFERROR(INDEX('Output Utente'!$AF$2:$AF$492,MATCH(287,'Output Utente'!$R$2:$R$492,0)),"")</f>
        <v/>
      </c>
    </row>
    <row r="291" spans="1:24" ht="15" customHeight="1" x14ac:dyDescent="0.25">
      <c r="A291" s="26">
        <v>288</v>
      </c>
      <c r="B291" s="23" t="str">
        <f>IFERROR(INDEX('Output Utente'!$A$2:$A$492,MATCH(288,'Output Utente'!$R$2:$R$492,0)),"")</f>
        <v/>
      </c>
      <c r="C291" s="23" t="str">
        <f>IFERROR(INDEX('Output Utente'!$B$2:$B$492,MATCH(288,'Output Utente'!$R$2:$R$492,0)),"")</f>
        <v/>
      </c>
      <c r="D291" s="23" t="str">
        <f>IFERROR(INDEX('Output Utente'!$C$2:$C$492,MATCH(288,'Output Utente'!$R$2:$R$492,0)),"")</f>
        <v/>
      </c>
      <c r="E291" s="23" t="str">
        <f>IFERROR(INDEX('Input Giocatori 2026_27'!$D$3:$D$493,MATCH($B291,'Input Giocatori 2026_27'!$A$3:$A$493,0)),"")</f>
        <v/>
      </c>
      <c r="F291" s="24" t="str">
        <f>IFERROR(INDEX('Output Utente'!$N$2:$N$492,MATCH(288,'Output Utente'!$R$2:$R$492,0)),"")</f>
        <v/>
      </c>
      <c r="G291" s="23" t="str">
        <f>IFERROR(INDEX('Output Utente'!$O$2:$O$492,MATCH(288,'Output Utente'!$R$2:$R$492,0)),"")</f>
        <v/>
      </c>
      <c r="H291" s="23" t="str">
        <f>IFERROR(INDEX('Output Utente'!$P$2:$P$492,MATCH(288,'Output Utente'!$R$2:$R$492,0)),"")</f>
        <v/>
      </c>
      <c r="I291" s="24" t="str">
        <f>IFERROR(INDEX('Output Utente'!$F$2:$F$492,MATCH(288,'Output Utente'!$R$2:$R$492,0)),"")</f>
        <v/>
      </c>
      <c r="J291" s="24" t="str">
        <f>IFERROR(INDEX('Output Utente'!$G$2:$G$492,MATCH(288,'Output Utente'!$R$2:$R$492,0)),"")</f>
        <v/>
      </c>
      <c r="K291" s="24" t="str">
        <f>IFERROR(INDEX('Output Utente'!$H$2:$H$492,MATCH(288,'Output Utente'!$R$2:$R$492,0)),"")</f>
        <v/>
      </c>
      <c r="L291" s="23" t="str">
        <f>IFERROR(INDEX('Output Utente'!$E$2:$E$492,MATCH(288,'Output Utente'!$R$2:$R$492,0)),"")</f>
        <v/>
      </c>
      <c r="V291" t="str">
        <f>IFERROR(INDEX('Output Utente'!$M$2:$M$492,MATCH(288,'Output Utente'!$R$2:$R$492,0)),"")</f>
        <v/>
      </c>
      <c r="W291" t="str">
        <f t="shared" si="4"/>
        <v/>
      </c>
      <c r="X291" t="str">
        <f>IFERROR(INDEX('Output Utente'!$AF$2:$AF$492,MATCH(288,'Output Utente'!$R$2:$R$492,0)),"")</f>
        <v/>
      </c>
    </row>
    <row r="292" spans="1:24" ht="15" customHeight="1" x14ac:dyDescent="0.25">
      <c r="A292" s="26">
        <v>289</v>
      </c>
      <c r="B292" s="23" t="str">
        <f>IFERROR(INDEX('Output Utente'!$A$2:$A$492,MATCH(289,'Output Utente'!$R$2:$R$492,0)),"")</f>
        <v/>
      </c>
      <c r="C292" s="23" t="str">
        <f>IFERROR(INDEX('Output Utente'!$B$2:$B$492,MATCH(289,'Output Utente'!$R$2:$R$492,0)),"")</f>
        <v/>
      </c>
      <c r="D292" s="23" t="str">
        <f>IFERROR(INDEX('Output Utente'!$C$2:$C$492,MATCH(289,'Output Utente'!$R$2:$R$492,0)),"")</f>
        <v/>
      </c>
      <c r="E292" s="23" t="str">
        <f>IFERROR(INDEX('Input Giocatori 2026_27'!$D$3:$D$493,MATCH($B292,'Input Giocatori 2026_27'!$A$3:$A$493,0)),"")</f>
        <v/>
      </c>
      <c r="F292" s="24" t="str">
        <f>IFERROR(INDEX('Output Utente'!$N$2:$N$492,MATCH(289,'Output Utente'!$R$2:$R$492,0)),"")</f>
        <v/>
      </c>
      <c r="G292" s="23" t="str">
        <f>IFERROR(INDEX('Output Utente'!$O$2:$O$492,MATCH(289,'Output Utente'!$R$2:$R$492,0)),"")</f>
        <v/>
      </c>
      <c r="H292" s="23" t="str">
        <f>IFERROR(INDEX('Output Utente'!$P$2:$P$492,MATCH(289,'Output Utente'!$R$2:$R$492,0)),"")</f>
        <v/>
      </c>
      <c r="I292" s="24" t="str">
        <f>IFERROR(INDEX('Output Utente'!$F$2:$F$492,MATCH(289,'Output Utente'!$R$2:$R$492,0)),"")</f>
        <v/>
      </c>
      <c r="J292" s="24" t="str">
        <f>IFERROR(INDEX('Output Utente'!$G$2:$G$492,MATCH(289,'Output Utente'!$R$2:$R$492,0)),"")</f>
        <v/>
      </c>
      <c r="K292" s="24" t="str">
        <f>IFERROR(INDEX('Output Utente'!$H$2:$H$492,MATCH(289,'Output Utente'!$R$2:$R$492,0)),"")</f>
        <v/>
      </c>
      <c r="L292" s="23" t="str">
        <f>IFERROR(INDEX('Output Utente'!$E$2:$E$492,MATCH(289,'Output Utente'!$R$2:$R$492,0)),"")</f>
        <v/>
      </c>
      <c r="V292" t="str">
        <f>IFERROR(INDEX('Output Utente'!$M$2:$M$492,MATCH(289,'Output Utente'!$R$2:$R$492,0)),"")</f>
        <v/>
      </c>
      <c r="W292" t="str">
        <f t="shared" si="4"/>
        <v/>
      </c>
      <c r="X292" t="str">
        <f>IFERROR(INDEX('Output Utente'!$AF$2:$AF$492,MATCH(289,'Output Utente'!$R$2:$R$492,0)),"")</f>
        <v/>
      </c>
    </row>
    <row r="293" spans="1:24" ht="15" customHeight="1" x14ac:dyDescent="0.25">
      <c r="A293" s="26">
        <v>290</v>
      </c>
      <c r="B293" s="23" t="str">
        <f>IFERROR(INDEX('Output Utente'!$A$2:$A$492,MATCH(290,'Output Utente'!$R$2:$R$492,0)),"")</f>
        <v/>
      </c>
      <c r="C293" s="23" t="str">
        <f>IFERROR(INDEX('Output Utente'!$B$2:$B$492,MATCH(290,'Output Utente'!$R$2:$R$492,0)),"")</f>
        <v/>
      </c>
      <c r="D293" s="23" t="str">
        <f>IFERROR(INDEX('Output Utente'!$C$2:$C$492,MATCH(290,'Output Utente'!$R$2:$R$492,0)),"")</f>
        <v/>
      </c>
      <c r="E293" s="23" t="str">
        <f>IFERROR(INDEX('Input Giocatori 2026_27'!$D$3:$D$493,MATCH($B293,'Input Giocatori 2026_27'!$A$3:$A$493,0)),"")</f>
        <v/>
      </c>
      <c r="F293" s="24" t="str">
        <f>IFERROR(INDEX('Output Utente'!$N$2:$N$492,MATCH(290,'Output Utente'!$R$2:$R$492,0)),"")</f>
        <v/>
      </c>
      <c r="G293" s="23" t="str">
        <f>IFERROR(INDEX('Output Utente'!$O$2:$O$492,MATCH(290,'Output Utente'!$R$2:$R$492,0)),"")</f>
        <v/>
      </c>
      <c r="H293" s="23" t="str">
        <f>IFERROR(INDEX('Output Utente'!$P$2:$P$492,MATCH(290,'Output Utente'!$R$2:$R$492,0)),"")</f>
        <v/>
      </c>
      <c r="I293" s="24" t="str">
        <f>IFERROR(INDEX('Output Utente'!$F$2:$F$492,MATCH(290,'Output Utente'!$R$2:$R$492,0)),"")</f>
        <v/>
      </c>
      <c r="J293" s="24" t="str">
        <f>IFERROR(INDEX('Output Utente'!$G$2:$G$492,MATCH(290,'Output Utente'!$R$2:$R$492,0)),"")</f>
        <v/>
      </c>
      <c r="K293" s="24" t="str">
        <f>IFERROR(INDEX('Output Utente'!$H$2:$H$492,MATCH(290,'Output Utente'!$R$2:$R$492,0)),"")</f>
        <v/>
      </c>
      <c r="L293" s="23" t="str">
        <f>IFERROR(INDEX('Output Utente'!$E$2:$E$492,MATCH(290,'Output Utente'!$R$2:$R$492,0)),"")</f>
        <v/>
      </c>
      <c r="V293" t="str">
        <f>IFERROR(INDEX('Output Utente'!$M$2:$M$492,MATCH(290,'Output Utente'!$R$2:$R$492,0)),"")</f>
        <v/>
      </c>
      <c r="W293" t="str">
        <f t="shared" si="4"/>
        <v/>
      </c>
      <c r="X293" t="str">
        <f>IFERROR(INDEX('Output Utente'!$AF$2:$AF$492,MATCH(290,'Output Utente'!$R$2:$R$492,0)),"")</f>
        <v/>
      </c>
    </row>
    <row r="294" spans="1:24" ht="15" customHeight="1" x14ac:dyDescent="0.25">
      <c r="A294" s="26">
        <v>291</v>
      </c>
      <c r="B294" s="23" t="str">
        <f>IFERROR(INDEX('Output Utente'!$A$2:$A$492,MATCH(291,'Output Utente'!$R$2:$R$492,0)),"")</f>
        <v/>
      </c>
      <c r="C294" s="23" t="str">
        <f>IFERROR(INDEX('Output Utente'!$B$2:$B$492,MATCH(291,'Output Utente'!$R$2:$R$492,0)),"")</f>
        <v/>
      </c>
      <c r="D294" s="23" t="str">
        <f>IFERROR(INDEX('Output Utente'!$C$2:$C$492,MATCH(291,'Output Utente'!$R$2:$R$492,0)),"")</f>
        <v/>
      </c>
      <c r="E294" s="23" t="str">
        <f>IFERROR(INDEX('Input Giocatori 2026_27'!$D$3:$D$493,MATCH($B294,'Input Giocatori 2026_27'!$A$3:$A$493,0)),"")</f>
        <v/>
      </c>
      <c r="F294" s="24" t="str">
        <f>IFERROR(INDEX('Output Utente'!$N$2:$N$492,MATCH(291,'Output Utente'!$R$2:$R$492,0)),"")</f>
        <v/>
      </c>
      <c r="G294" s="23" t="str">
        <f>IFERROR(INDEX('Output Utente'!$O$2:$O$492,MATCH(291,'Output Utente'!$R$2:$R$492,0)),"")</f>
        <v/>
      </c>
      <c r="H294" s="23" t="str">
        <f>IFERROR(INDEX('Output Utente'!$P$2:$P$492,MATCH(291,'Output Utente'!$R$2:$R$492,0)),"")</f>
        <v/>
      </c>
      <c r="I294" s="24" t="str">
        <f>IFERROR(INDEX('Output Utente'!$F$2:$F$492,MATCH(291,'Output Utente'!$R$2:$R$492,0)),"")</f>
        <v/>
      </c>
      <c r="J294" s="24" t="str">
        <f>IFERROR(INDEX('Output Utente'!$G$2:$G$492,MATCH(291,'Output Utente'!$R$2:$R$492,0)),"")</f>
        <v/>
      </c>
      <c r="K294" s="24" t="str">
        <f>IFERROR(INDEX('Output Utente'!$H$2:$H$492,MATCH(291,'Output Utente'!$R$2:$R$492,0)),"")</f>
        <v/>
      </c>
      <c r="L294" s="23" t="str">
        <f>IFERROR(INDEX('Output Utente'!$E$2:$E$492,MATCH(291,'Output Utente'!$R$2:$R$492,0)),"")</f>
        <v/>
      </c>
      <c r="V294" t="str">
        <f>IFERROR(INDEX('Output Utente'!$M$2:$M$492,MATCH(291,'Output Utente'!$R$2:$R$492,0)),"")</f>
        <v/>
      </c>
      <c r="W294" t="str">
        <f t="shared" si="4"/>
        <v/>
      </c>
      <c r="X294" t="str">
        <f>IFERROR(INDEX('Output Utente'!$AF$2:$AF$492,MATCH(291,'Output Utente'!$R$2:$R$492,0)),"")</f>
        <v/>
      </c>
    </row>
    <row r="295" spans="1:24" ht="15" customHeight="1" x14ac:dyDescent="0.25">
      <c r="A295" s="26">
        <v>292</v>
      </c>
      <c r="B295" s="23" t="str">
        <f>IFERROR(INDEX('Output Utente'!$A$2:$A$492,MATCH(292,'Output Utente'!$R$2:$R$492,0)),"")</f>
        <v/>
      </c>
      <c r="C295" s="23" t="str">
        <f>IFERROR(INDEX('Output Utente'!$B$2:$B$492,MATCH(292,'Output Utente'!$R$2:$R$492,0)),"")</f>
        <v/>
      </c>
      <c r="D295" s="23" t="str">
        <f>IFERROR(INDEX('Output Utente'!$C$2:$C$492,MATCH(292,'Output Utente'!$R$2:$R$492,0)),"")</f>
        <v/>
      </c>
      <c r="E295" s="23" t="str">
        <f>IFERROR(INDEX('Input Giocatori 2026_27'!$D$3:$D$493,MATCH($B295,'Input Giocatori 2026_27'!$A$3:$A$493,0)),"")</f>
        <v/>
      </c>
      <c r="F295" s="24" t="str">
        <f>IFERROR(INDEX('Output Utente'!$N$2:$N$492,MATCH(292,'Output Utente'!$R$2:$R$492,0)),"")</f>
        <v/>
      </c>
      <c r="G295" s="23" t="str">
        <f>IFERROR(INDEX('Output Utente'!$O$2:$O$492,MATCH(292,'Output Utente'!$R$2:$R$492,0)),"")</f>
        <v/>
      </c>
      <c r="H295" s="23" t="str">
        <f>IFERROR(INDEX('Output Utente'!$P$2:$P$492,MATCH(292,'Output Utente'!$R$2:$R$492,0)),"")</f>
        <v/>
      </c>
      <c r="I295" s="24" t="str">
        <f>IFERROR(INDEX('Output Utente'!$F$2:$F$492,MATCH(292,'Output Utente'!$R$2:$R$492,0)),"")</f>
        <v/>
      </c>
      <c r="J295" s="24" t="str">
        <f>IFERROR(INDEX('Output Utente'!$G$2:$G$492,MATCH(292,'Output Utente'!$R$2:$R$492,0)),"")</f>
        <v/>
      </c>
      <c r="K295" s="24" t="str">
        <f>IFERROR(INDEX('Output Utente'!$H$2:$H$492,MATCH(292,'Output Utente'!$R$2:$R$492,0)),"")</f>
        <v/>
      </c>
      <c r="L295" s="23" t="str">
        <f>IFERROR(INDEX('Output Utente'!$E$2:$E$492,MATCH(292,'Output Utente'!$R$2:$R$492,0)),"")</f>
        <v/>
      </c>
      <c r="V295" t="str">
        <f>IFERROR(INDEX('Output Utente'!$M$2:$M$492,MATCH(292,'Output Utente'!$R$2:$R$492,0)),"")</f>
        <v/>
      </c>
      <c r="W295" t="str">
        <f t="shared" si="4"/>
        <v/>
      </c>
      <c r="X295" t="str">
        <f>IFERROR(INDEX('Output Utente'!$AF$2:$AF$492,MATCH(292,'Output Utente'!$R$2:$R$492,0)),"")</f>
        <v/>
      </c>
    </row>
    <row r="296" spans="1:24" ht="15" customHeight="1" x14ac:dyDescent="0.25">
      <c r="A296" s="26">
        <v>293</v>
      </c>
      <c r="B296" s="23" t="str">
        <f>IFERROR(INDEX('Output Utente'!$A$2:$A$492,MATCH(293,'Output Utente'!$R$2:$R$492,0)),"")</f>
        <v/>
      </c>
      <c r="C296" s="23" t="str">
        <f>IFERROR(INDEX('Output Utente'!$B$2:$B$492,MATCH(293,'Output Utente'!$R$2:$R$492,0)),"")</f>
        <v/>
      </c>
      <c r="D296" s="23" t="str">
        <f>IFERROR(INDEX('Output Utente'!$C$2:$C$492,MATCH(293,'Output Utente'!$R$2:$R$492,0)),"")</f>
        <v/>
      </c>
      <c r="E296" s="23" t="str">
        <f>IFERROR(INDEX('Input Giocatori 2026_27'!$D$3:$D$493,MATCH($B296,'Input Giocatori 2026_27'!$A$3:$A$493,0)),"")</f>
        <v/>
      </c>
      <c r="F296" s="24" t="str">
        <f>IFERROR(INDEX('Output Utente'!$N$2:$N$492,MATCH(293,'Output Utente'!$R$2:$R$492,0)),"")</f>
        <v/>
      </c>
      <c r="G296" s="23" t="str">
        <f>IFERROR(INDEX('Output Utente'!$O$2:$O$492,MATCH(293,'Output Utente'!$R$2:$R$492,0)),"")</f>
        <v/>
      </c>
      <c r="H296" s="23" t="str">
        <f>IFERROR(INDEX('Output Utente'!$P$2:$P$492,MATCH(293,'Output Utente'!$R$2:$R$492,0)),"")</f>
        <v/>
      </c>
      <c r="I296" s="24" t="str">
        <f>IFERROR(INDEX('Output Utente'!$F$2:$F$492,MATCH(293,'Output Utente'!$R$2:$R$492,0)),"")</f>
        <v/>
      </c>
      <c r="J296" s="24" t="str">
        <f>IFERROR(INDEX('Output Utente'!$G$2:$G$492,MATCH(293,'Output Utente'!$R$2:$R$492,0)),"")</f>
        <v/>
      </c>
      <c r="K296" s="24" t="str">
        <f>IFERROR(INDEX('Output Utente'!$H$2:$H$492,MATCH(293,'Output Utente'!$R$2:$R$492,0)),"")</f>
        <v/>
      </c>
      <c r="L296" s="23" t="str">
        <f>IFERROR(INDEX('Output Utente'!$E$2:$E$492,MATCH(293,'Output Utente'!$R$2:$R$492,0)),"")</f>
        <v/>
      </c>
      <c r="V296" t="str">
        <f>IFERROR(INDEX('Output Utente'!$M$2:$M$492,MATCH(293,'Output Utente'!$R$2:$R$492,0)),"")</f>
        <v/>
      </c>
      <c r="W296" t="str">
        <f t="shared" si="4"/>
        <v/>
      </c>
      <c r="X296" t="str">
        <f>IFERROR(INDEX('Output Utente'!$AF$2:$AF$492,MATCH(293,'Output Utente'!$R$2:$R$492,0)),"")</f>
        <v/>
      </c>
    </row>
    <row r="297" spans="1:24" ht="15" customHeight="1" x14ac:dyDescent="0.25">
      <c r="A297" s="26">
        <v>294</v>
      </c>
      <c r="B297" s="23" t="str">
        <f>IFERROR(INDEX('Output Utente'!$A$2:$A$492,MATCH(294,'Output Utente'!$R$2:$R$492,0)),"")</f>
        <v/>
      </c>
      <c r="C297" s="23" t="str">
        <f>IFERROR(INDEX('Output Utente'!$B$2:$B$492,MATCH(294,'Output Utente'!$R$2:$R$492,0)),"")</f>
        <v/>
      </c>
      <c r="D297" s="23" t="str">
        <f>IFERROR(INDEX('Output Utente'!$C$2:$C$492,MATCH(294,'Output Utente'!$R$2:$R$492,0)),"")</f>
        <v/>
      </c>
      <c r="E297" s="23" t="str">
        <f>IFERROR(INDEX('Input Giocatori 2026_27'!$D$3:$D$493,MATCH($B297,'Input Giocatori 2026_27'!$A$3:$A$493,0)),"")</f>
        <v/>
      </c>
      <c r="F297" s="24" t="str">
        <f>IFERROR(INDEX('Output Utente'!$N$2:$N$492,MATCH(294,'Output Utente'!$R$2:$R$492,0)),"")</f>
        <v/>
      </c>
      <c r="G297" s="23" t="str">
        <f>IFERROR(INDEX('Output Utente'!$O$2:$O$492,MATCH(294,'Output Utente'!$R$2:$R$492,0)),"")</f>
        <v/>
      </c>
      <c r="H297" s="23" t="str">
        <f>IFERROR(INDEX('Output Utente'!$P$2:$P$492,MATCH(294,'Output Utente'!$R$2:$R$492,0)),"")</f>
        <v/>
      </c>
      <c r="I297" s="24" t="str">
        <f>IFERROR(INDEX('Output Utente'!$F$2:$F$492,MATCH(294,'Output Utente'!$R$2:$R$492,0)),"")</f>
        <v/>
      </c>
      <c r="J297" s="24" t="str">
        <f>IFERROR(INDEX('Output Utente'!$G$2:$G$492,MATCH(294,'Output Utente'!$R$2:$R$492,0)),"")</f>
        <v/>
      </c>
      <c r="K297" s="24" t="str">
        <f>IFERROR(INDEX('Output Utente'!$H$2:$H$492,MATCH(294,'Output Utente'!$R$2:$R$492,0)),"")</f>
        <v/>
      </c>
      <c r="L297" s="23" t="str">
        <f>IFERROR(INDEX('Output Utente'!$E$2:$E$492,MATCH(294,'Output Utente'!$R$2:$R$492,0)),"")</f>
        <v/>
      </c>
      <c r="V297" t="str">
        <f>IFERROR(INDEX('Output Utente'!$M$2:$M$492,MATCH(294,'Output Utente'!$R$2:$R$492,0)),"")</f>
        <v/>
      </c>
      <c r="W297" t="str">
        <f t="shared" si="4"/>
        <v/>
      </c>
      <c r="X297" t="str">
        <f>IFERROR(INDEX('Output Utente'!$AF$2:$AF$492,MATCH(294,'Output Utente'!$R$2:$R$492,0)),"")</f>
        <v/>
      </c>
    </row>
    <row r="298" spans="1:24" ht="15" customHeight="1" x14ac:dyDescent="0.25">
      <c r="A298" s="26">
        <v>295</v>
      </c>
      <c r="B298" s="23" t="str">
        <f>IFERROR(INDEX('Output Utente'!$A$2:$A$492,MATCH(295,'Output Utente'!$R$2:$R$492,0)),"")</f>
        <v/>
      </c>
      <c r="C298" s="23" t="str">
        <f>IFERROR(INDEX('Output Utente'!$B$2:$B$492,MATCH(295,'Output Utente'!$R$2:$R$492,0)),"")</f>
        <v/>
      </c>
      <c r="D298" s="23" t="str">
        <f>IFERROR(INDEX('Output Utente'!$C$2:$C$492,MATCH(295,'Output Utente'!$R$2:$R$492,0)),"")</f>
        <v/>
      </c>
      <c r="E298" s="23" t="str">
        <f>IFERROR(INDEX('Input Giocatori 2026_27'!$D$3:$D$493,MATCH($B298,'Input Giocatori 2026_27'!$A$3:$A$493,0)),"")</f>
        <v/>
      </c>
      <c r="F298" s="24" t="str">
        <f>IFERROR(INDEX('Output Utente'!$N$2:$N$492,MATCH(295,'Output Utente'!$R$2:$R$492,0)),"")</f>
        <v/>
      </c>
      <c r="G298" s="23" t="str">
        <f>IFERROR(INDEX('Output Utente'!$O$2:$O$492,MATCH(295,'Output Utente'!$R$2:$R$492,0)),"")</f>
        <v/>
      </c>
      <c r="H298" s="23" t="str">
        <f>IFERROR(INDEX('Output Utente'!$P$2:$P$492,MATCH(295,'Output Utente'!$R$2:$R$492,0)),"")</f>
        <v/>
      </c>
      <c r="I298" s="24" t="str">
        <f>IFERROR(INDEX('Output Utente'!$F$2:$F$492,MATCH(295,'Output Utente'!$R$2:$R$492,0)),"")</f>
        <v/>
      </c>
      <c r="J298" s="24" t="str">
        <f>IFERROR(INDEX('Output Utente'!$G$2:$G$492,MATCH(295,'Output Utente'!$R$2:$R$492,0)),"")</f>
        <v/>
      </c>
      <c r="K298" s="24" t="str">
        <f>IFERROR(INDEX('Output Utente'!$H$2:$H$492,MATCH(295,'Output Utente'!$R$2:$R$492,0)),"")</f>
        <v/>
      </c>
      <c r="L298" s="23" t="str">
        <f>IFERROR(INDEX('Output Utente'!$E$2:$E$492,MATCH(295,'Output Utente'!$R$2:$R$492,0)),"")</f>
        <v/>
      </c>
      <c r="V298" t="str">
        <f>IFERROR(INDEX('Output Utente'!$M$2:$M$492,MATCH(295,'Output Utente'!$R$2:$R$492,0)),"")</f>
        <v/>
      </c>
      <c r="W298" t="str">
        <f t="shared" si="4"/>
        <v/>
      </c>
      <c r="X298" t="str">
        <f>IFERROR(INDEX('Output Utente'!$AF$2:$AF$492,MATCH(295,'Output Utente'!$R$2:$R$492,0)),"")</f>
        <v/>
      </c>
    </row>
    <row r="299" spans="1:24" ht="15" customHeight="1" x14ac:dyDescent="0.25">
      <c r="A299" s="26">
        <v>296</v>
      </c>
      <c r="B299" s="23" t="str">
        <f>IFERROR(INDEX('Output Utente'!$A$2:$A$492,MATCH(296,'Output Utente'!$R$2:$R$492,0)),"")</f>
        <v/>
      </c>
      <c r="C299" s="23" t="str">
        <f>IFERROR(INDEX('Output Utente'!$B$2:$B$492,MATCH(296,'Output Utente'!$R$2:$R$492,0)),"")</f>
        <v/>
      </c>
      <c r="D299" s="23" t="str">
        <f>IFERROR(INDEX('Output Utente'!$C$2:$C$492,MATCH(296,'Output Utente'!$R$2:$R$492,0)),"")</f>
        <v/>
      </c>
      <c r="E299" s="23" t="str">
        <f>IFERROR(INDEX('Input Giocatori 2026_27'!$D$3:$D$493,MATCH($B299,'Input Giocatori 2026_27'!$A$3:$A$493,0)),"")</f>
        <v/>
      </c>
      <c r="F299" s="24" t="str">
        <f>IFERROR(INDEX('Output Utente'!$N$2:$N$492,MATCH(296,'Output Utente'!$R$2:$R$492,0)),"")</f>
        <v/>
      </c>
      <c r="G299" s="23" t="str">
        <f>IFERROR(INDEX('Output Utente'!$O$2:$O$492,MATCH(296,'Output Utente'!$R$2:$R$492,0)),"")</f>
        <v/>
      </c>
      <c r="H299" s="23" t="str">
        <f>IFERROR(INDEX('Output Utente'!$P$2:$P$492,MATCH(296,'Output Utente'!$R$2:$R$492,0)),"")</f>
        <v/>
      </c>
      <c r="I299" s="24" t="str">
        <f>IFERROR(INDEX('Output Utente'!$F$2:$F$492,MATCH(296,'Output Utente'!$R$2:$R$492,0)),"")</f>
        <v/>
      </c>
      <c r="J299" s="24" t="str">
        <f>IFERROR(INDEX('Output Utente'!$G$2:$G$492,MATCH(296,'Output Utente'!$R$2:$R$492,0)),"")</f>
        <v/>
      </c>
      <c r="K299" s="24" t="str">
        <f>IFERROR(INDEX('Output Utente'!$H$2:$H$492,MATCH(296,'Output Utente'!$R$2:$R$492,0)),"")</f>
        <v/>
      </c>
      <c r="L299" s="23" t="str">
        <f>IFERROR(INDEX('Output Utente'!$E$2:$E$492,MATCH(296,'Output Utente'!$R$2:$R$492,0)),"")</f>
        <v/>
      </c>
      <c r="V299" t="str">
        <f>IFERROR(INDEX('Output Utente'!$M$2:$M$492,MATCH(296,'Output Utente'!$R$2:$R$492,0)),"")</f>
        <v/>
      </c>
      <c r="W299" t="str">
        <f t="shared" si="4"/>
        <v/>
      </c>
      <c r="X299" t="str">
        <f>IFERROR(INDEX('Output Utente'!$AF$2:$AF$492,MATCH(296,'Output Utente'!$R$2:$R$492,0)),"")</f>
        <v/>
      </c>
    </row>
    <row r="300" spans="1:24" ht="15" customHeight="1" x14ac:dyDescent="0.25">
      <c r="A300" s="26">
        <v>297</v>
      </c>
      <c r="B300" s="23" t="str">
        <f>IFERROR(INDEX('Output Utente'!$A$2:$A$492,MATCH(297,'Output Utente'!$R$2:$R$492,0)),"")</f>
        <v/>
      </c>
      <c r="C300" s="23" t="str">
        <f>IFERROR(INDEX('Output Utente'!$B$2:$B$492,MATCH(297,'Output Utente'!$R$2:$R$492,0)),"")</f>
        <v/>
      </c>
      <c r="D300" s="23" t="str">
        <f>IFERROR(INDEX('Output Utente'!$C$2:$C$492,MATCH(297,'Output Utente'!$R$2:$R$492,0)),"")</f>
        <v/>
      </c>
      <c r="E300" s="23" t="str">
        <f>IFERROR(INDEX('Input Giocatori 2026_27'!$D$3:$D$493,MATCH($B300,'Input Giocatori 2026_27'!$A$3:$A$493,0)),"")</f>
        <v/>
      </c>
      <c r="F300" s="24" t="str">
        <f>IFERROR(INDEX('Output Utente'!$N$2:$N$492,MATCH(297,'Output Utente'!$R$2:$R$492,0)),"")</f>
        <v/>
      </c>
      <c r="G300" s="23" t="str">
        <f>IFERROR(INDEX('Output Utente'!$O$2:$O$492,MATCH(297,'Output Utente'!$R$2:$R$492,0)),"")</f>
        <v/>
      </c>
      <c r="H300" s="23" t="str">
        <f>IFERROR(INDEX('Output Utente'!$P$2:$P$492,MATCH(297,'Output Utente'!$R$2:$R$492,0)),"")</f>
        <v/>
      </c>
      <c r="I300" s="24" t="str">
        <f>IFERROR(INDEX('Output Utente'!$F$2:$F$492,MATCH(297,'Output Utente'!$R$2:$R$492,0)),"")</f>
        <v/>
      </c>
      <c r="J300" s="24" t="str">
        <f>IFERROR(INDEX('Output Utente'!$G$2:$G$492,MATCH(297,'Output Utente'!$R$2:$R$492,0)),"")</f>
        <v/>
      </c>
      <c r="K300" s="24" t="str">
        <f>IFERROR(INDEX('Output Utente'!$H$2:$H$492,MATCH(297,'Output Utente'!$R$2:$R$492,0)),"")</f>
        <v/>
      </c>
      <c r="L300" s="23" t="str">
        <f>IFERROR(INDEX('Output Utente'!$E$2:$E$492,MATCH(297,'Output Utente'!$R$2:$R$492,0)),"")</f>
        <v/>
      </c>
      <c r="V300" t="str">
        <f>IFERROR(INDEX('Output Utente'!$M$2:$M$492,MATCH(297,'Output Utente'!$R$2:$R$492,0)),"")</f>
        <v/>
      </c>
      <c r="W300" t="str">
        <f t="shared" si="4"/>
        <v/>
      </c>
      <c r="X300" t="str">
        <f>IFERROR(INDEX('Output Utente'!$AF$2:$AF$492,MATCH(297,'Output Utente'!$R$2:$R$492,0)),"")</f>
        <v/>
      </c>
    </row>
    <row r="301" spans="1:24" ht="15" customHeight="1" x14ac:dyDescent="0.25">
      <c r="A301" s="26">
        <v>298</v>
      </c>
      <c r="B301" s="23" t="str">
        <f>IFERROR(INDEX('Output Utente'!$A$2:$A$492,MATCH(298,'Output Utente'!$R$2:$R$492,0)),"")</f>
        <v/>
      </c>
      <c r="C301" s="23" t="str">
        <f>IFERROR(INDEX('Output Utente'!$B$2:$B$492,MATCH(298,'Output Utente'!$R$2:$R$492,0)),"")</f>
        <v/>
      </c>
      <c r="D301" s="23" t="str">
        <f>IFERROR(INDEX('Output Utente'!$C$2:$C$492,MATCH(298,'Output Utente'!$R$2:$R$492,0)),"")</f>
        <v/>
      </c>
      <c r="E301" s="23" t="str">
        <f>IFERROR(INDEX('Input Giocatori 2026_27'!$D$3:$D$493,MATCH($B301,'Input Giocatori 2026_27'!$A$3:$A$493,0)),"")</f>
        <v/>
      </c>
      <c r="F301" s="24" t="str">
        <f>IFERROR(INDEX('Output Utente'!$N$2:$N$492,MATCH(298,'Output Utente'!$R$2:$R$492,0)),"")</f>
        <v/>
      </c>
      <c r="G301" s="23" t="str">
        <f>IFERROR(INDEX('Output Utente'!$O$2:$O$492,MATCH(298,'Output Utente'!$R$2:$R$492,0)),"")</f>
        <v/>
      </c>
      <c r="H301" s="23" t="str">
        <f>IFERROR(INDEX('Output Utente'!$P$2:$P$492,MATCH(298,'Output Utente'!$R$2:$R$492,0)),"")</f>
        <v/>
      </c>
      <c r="I301" s="24" t="str">
        <f>IFERROR(INDEX('Output Utente'!$F$2:$F$492,MATCH(298,'Output Utente'!$R$2:$R$492,0)),"")</f>
        <v/>
      </c>
      <c r="J301" s="24" t="str">
        <f>IFERROR(INDEX('Output Utente'!$G$2:$G$492,MATCH(298,'Output Utente'!$R$2:$R$492,0)),"")</f>
        <v/>
      </c>
      <c r="K301" s="24" t="str">
        <f>IFERROR(INDEX('Output Utente'!$H$2:$H$492,MATCH(298,'Output Utente'!$R$2:$R$492,0)),"")</f>
        <v/>
      </c>
      <c r="L301" s="23" t="str">
        <f>IFERROR(INDEX('Output Utente'!$E$2:$E$492,MATCH(298,'Output Utente'!$R$2:$R$492,0)),"")</f>
        <v/>
      </c>
      <c r="V301" t="str">
        <f>IFERROR(INDEX('Output Utente'!$M$2:$M$492,MATCH(298,'Output Utente'!$R$2:$R$492,0)),"")</f>
        <v/>
      </c>
      <c r="W301" t="str">
        <f t="shared" si="4"/>
        <v/>
      </c>
      <c r="X301" t="str">
        <f>IFERROR(INDEX('Output Utente'!$AF$2:$AF$492,MATCH(298,'Output Utente'!$R$2:$R$492,0)),"")</f>
        <v/>
      </c>
    </row>
    <row r="302" spans="1:24" ht="15" customHeight="1" x14ac:dyDescent="0.25">
      <c r="A302" s="26">
        <v>299</v>
      </c>
      <c r="B302" s="23" t="str">
        <f>IFERROR(INDEX('Output Utente'!$A$2:$A$492,MATCH(299,'Output Utente'!$R$2:$R$492,0)),"")</f>
        <v/>
      </c>
      <c r="C302" s="23" t="str">
        <f>IFERROR(INDEX('Output Utente'!$B$2:$B$492,MATCH(299,'Output Utente'!$R$2:$R$492,0)),"")</f>
        <v/>
      </c>
      <c r="D302" s="23" t="str">
        <f>IFERROR(INDEX('Output Utente'!$C$2:$C$492,MATCH(299,'Output Utente'!$R$2:$R$492,0)),"")</f>
        <v/>
      </c>
      <c r="E302" s="23" t="str">
        <f>IFERROR(INDEX('Input Giocatori 2026_27'!$D$3:$D$493,MATCH($B302,'Input Giocatori 2026_27'!$A$3:$A$493,0)),"")</f>
        <v/>
      </c>
      <c r="F302" s="24" t="str">
        <f>IFERROR(INDEX('Output Utente'!$N$2:$N$492,MATCH(299,'Output Utente'!$R$2:$R$492,0)),"")</f>
        <v/>
      </c>
      <c r="G302" s="23" t="str">
        <f>IFERROR(INDEX('Output Utente'!$O$2:$O$492,MATCH(299,'Output Utente'!$R$2:$R$492,0)),"")</f>
        <v/>
      </c>
      <c r="H302" s="23" t="str">
        <f>IFERROR(INDEX('Output Utente'!$P$2:$P$492,MATCH(299,'Output Utente'!$R$2:$R$492,0)),"")</f>
        <v/>
      </c>
      <c r="I302" s="24" t="str">
        <f>IFERROR(INDEX('Output Utente'!$F$2:$F$492,MATCH(299,'Output Utente'!$R$2:$R$492,0)),"")</f>
        <v/>
      </c>
      <c r="J302" s="24" t="str">
        <f>IFERROR(INDEX('Output Utente'!$G$2:$G$492,MATCH(299,'Output Utente'!$R$2:$R$492,0)),"")</f>
        <v/>
      </c>
      <c r="K302" s="24" t="str">
        <f>IFERROR(INDEX('Output Utente'!$H$2:$H$492,MATCH(299,'Output Utente'!$R$2:$R$492,0)),"")</f>
        <v/>
      </c>
      <c r="L302" s="23" t="str">
        <f>IFERROR(INDEX('Output Utente'!$E$2:$E$492,MATCH(299,'Output Utente'!$R$2:$R$492,0)),"")</f>
        <v/>
      </c>
      <c r="V302" t="str">
        <f>IFERROR(INDEX('Output Utente'!$M$2:$M$492,MATCH(299,'Output Utente'!$R$2:$R$492,0)),"")</f>
        <v/>
      </c>
      <c r="W302" t="str">
        <f t="shared" si="4"/>
        <v/>
      </c>
      <c r="X302" t="str">
        <f>IFERROR(INDEX('Output Utente'!$AF$2:$AF$492,MATCH(299,'Output Utente'!$R$2:$R$492,0)),"")</f>
        <v/>
      </c>
    </row>
    <row r="303" spans="1:24" ht="15" customHeight="1" x14ac:dyDescent="0.25">
      <c r="A303" s="26">
        <v>300</v>
      </c>
      <c r="B303" s="23" t="str">
        <f>IFERROR(INDEX('Output Utente'!$A$2:$A$492,MATCH(300,'Output Utente'!$R$2:$R$492,0)),"")</f>
        <v/>
      </c>
      <c r="C303" s="23" t="str">
        <f>IFERROR(INDEX('Output Utente'!$B$2:$B$492,MATCH(300,'Output Utente'!$R$2:$R$492,0)),"")</f>
        <v/>
      </c>
      <c r="D303" s="23" t="str">
        <f>IFERROR(INDEX('Output Utente'!$C$2:$C$492,MATCH(300,'Output Utente'!$R$2:$R$492,0)),"")</f>
        <v/>
      </c>
      <c r="E303" s="23" t="str">
        <f>IFERROR(INDEX('Input Giocatori 2026_27'!$D$3:$D$493,MATCH($B303,'Input Giocatori 2026_27'!$A$3:$A$493,0)),"")</f>
        <v/>
      </c>
      <c r="F303" s="24" t="str">
        <f>IFERROR(INDEX('Output Utente'!$N$2:$N$492,MATCH(300,'Output Utente'!$R$2:$R$492,0)),"")</f>
        <v/>
      </c>
      <c r="G303" s="23" t="str">
        <f>IFERROR(INDEX('Output Utente'!$O$2:$O$492,MATCH(300,'Output Utente'!$R$2:$R$492,0)),"")</f>
        <v/>
      </c>
      <c r="H303" s="23" t="str">
        <f>IFERROR(INDEX('Output Utente'!$P$2:$P$492,MATCH(300,'Output Utente'!$R$2:$R$492,0)),"")</f>
        <v/>
      </c>
      <c r="I303" s="24" t="str">
        <f>IFERROR(INDEX('Output Utente'!$F$2:$F$492,MATCH(300,'Output Utente'!$R$2:$R$492,0)),"")</f>
        <v/>
      </c>
      <c r="J303" s="24" t="str">
        <f>IFERROR(INDEX('Output Utente'!$G$2:$G$492,MATCH(300,'Output Utente'!$R$2:$R$492,0)),"")</f>
        <v/>
      </c>
      <c r="K303" s="24" t="str">
        <f>IFERROR(INDEX('Output Utente'!$H$2:$H$492,MATCH(300,'Output Utente'!$R$2:$R$492,0)),"")</f>
        <v/>
      </c>
      <c r="L303" s="23" t="str">
        <f>IFERROR(INDEX('Output Utente'!$E$2:$E$492,MATCH(300,'Output Utente'!$R$2:$R$492,0)),"")</f>
        <v/>
      </c>
      <c r="V303" t="str">
        <f>IFERROR(INDEX('Output Utente'!$M$2:$M$492,MATCH(300,'Output Utente'!$R$2:$R$492,0)),"")</f>
        <v/>
      </c>
      <c r="W303" t="str">
        <f t="shared" si="4"/>
        <v/>
      </c>
      <c r="X303" t="str">
        <f>IFERROR(INDEX('Output Utente'!$AF$2:$AF$492,MATCH(300,'Output Utente'!$R$2:$R$492,0)),"")</f>
        <v/>
      </c>
    </row>
    <row r="304" spans="1:24" ht="15" customHeight="1" x14ac:dyDescent="0.25">
      <c r="A304" s="26">
        <v>301</v>
      </c>
      <c r="B304" s="23" t="str">
        <f>IFERROR(INDEX('Output Utente'!$A$2:$A$492,MATCH(301,'Output Utente'!$R$2:$R$492,0)),"")</f>
        <v/>
      </c>
      <c r="C304" s="23" t="str">
        <f>IFERROR(INDEX('Output Utente'!$B$2:$B$492,MATCH(301,'Output Utente'!$R$2:$R$492,0)),"")</f>
        <v/>
      </c>
      <c r="D304" s="23" t="str">
        <f>IFERROR(INDEX('Output Utente'!$C$2:$C$492,MATCH(301,'Output Utente'!$R$2:$R$492,0)),"")</f>
        <v/>
      </c>
      <c r="E304" s="23" t="str">
        <f>IFERROR(INDEX('Input Giocatori 2026_27'!$D$3:$D$493,MATCH($B304,'Input Giocatori 2026_27'!$A$3:$A$493,0)),"")</f>
        <v/>
      </c>
      <c r="F304" s="24" t="str">
        <f>IFERROR(INDEX('Output Utente'!$N$2:$N$492,MATCH(301,'Output Utente'!$R$2:$R$492,0)),"")</f>
        <v/>
      </c>
      <c r="G304" s="23" t="str">
        <f>IFERROR(INDEX('Output Utente'!$O$2:$O$492,MATCH(301,'Output Utente'!$R$2:$R$492,0)),"")</f>
        <v/>
      </c>
      <c r="H304" s="23" t="str">
        <f>IFERROR(INDEX('Output Utente'!$P$2:$P$492,MATCH(301,'Output Utente'!$R$2:$R$492,0)),"")</f>
        <v/>
      </c>
      <c r="I304" s="24" t="str">
        <f>IFERROR(INDEX('Output Utente'!$F$2:$F$492,MATCH(301,'Output Utente'!$R$2:$R$492,0)),"")</f>
        <v/>
      </c>
      <c r="J304" s="24" t="str">
        <f>IFERROR(INDEX('Output Utente'!$G$2:$G$492,MATCH(301,'Output Utente'!$R$2:$R$492,0)),"")</f>
        <v/>
      </c>
      <c r="K304" s="24" t="str">
        <f>IFERROR(INDEX('Output Utente'!$H$2:$H$492,MATCH(301,'Output Utente'!$R$2:$R$492,0)),"")</f>
        <v/>
      </c>
      <c r="L304" s="23" t="str">
        <f>IFERROR(INDEX('Output Utente'!$E$2:$E$492,MATCH(301,'Output Utente'!$R$2:$R$492,0)),"")</f>
        <v/>
      </c>
      <c r="V304" t="str">
        <f>IFERROR(INDEX('Output Utente'!$M$2:$M$492,MATCH(301,'Output Utente'!$R$2:$R$492,0)),"")</f>
        <v/>
      </c>
      <c r="W304" t="str">
        <f t="shared" si="4"/>
        <v/>
      </c>
      <c r="X304" t="str">
        <f>IFERROR(INDEX('Output Utente'!$AF$2:$AF$492,MATCH(301,'Output Utente'!$R$2:$R$492,0)),"")</f>
        <v/>
      </c>
    </row>
    <row r="305" spans="1:24" ht="15" customHeight="1" x14ac:dyDescent="0.25">
      <c r="A305" s="26">
        <v>302</v>
      </c>
      <c r="B305" s="23" t="str">
        <f>IFERROR(INDEX('Output Utente'!$A$2:$A$492,MATCH(302,'Output Utente'!$R$2:$R$492,0)),"")</f>
        <v/>
      </c>
      <c r="C305" s="23" t="str">
        <f>IFERROR(INDEX('Output Utente'!$B$2:$B$492,MATCH(302,'Output Utente'!$R$2:$R$492,0)),"")</f>
        <v/>
      </c>
      <c r="D305" s="23" t="str">
        <f>IFERROR(INDEX('Output Utente'!$C$2:$C$492,MATCH(302,'Output Utente'!$R$2:$R$492,0)),"")</f>
        <v/>
      </c>
      <c r="E305" s="23" t="str">
        <f>IFERROR(INDEX('Input Giocatori 2026_27'!$D$3:$D$493,MATCH($B305,'Input Giocatori 2026_27'!$A$3:$A$493,0)),"")</f>
        <v/>
      </c>
      <c r="F305" s="24" t="str">
        <f>IFERROR(INDEX('Output Utente'!$N$2:$N$492,MATCH(302,'Output Utente'!$R$2:$R$492,0)),"")</f>
        <v/>
      </c>
      <c r="G305" s="23" t="str">
        <f>IFERROR(INDEX('Output Utente'!$O$2:$O$492,MATCH(302,'Output Utente'!$R$2:$R$492,0)),"")</f>
        <v/>
      </c>
      <c r="H305" s="23" t="str">
        <f>IFERROR(INDEX('Output Utente'!$P$2:$P$492,MATCH(302,'Output Utente'!$R$2:$R$492,0)),"")</f>
        <v/>
      </c>
      <c r="I305" s="24" t="str">
        <f>IFERROR(INDEX('Output Utente'!$F$2:$F$492,MATCH(302,'Output Utente'!$R$2:$R$492,0)),"")</f>
        <v/>
      </c>
      <c r="J305" s="24" t="str">
        <f>IFERROR(INDEX('Output Utente'!$G$2:$G$492,MATCH(302,'Output Utente'!$R$2:$R$492,0)),"")</f>
        <v/>
      </c>
      <c r="K305" s="24" t="str">
        <f>IFERROR(INDEX('Output Utente'!$H$2:$H$492,MATCH(302,'Output Utente'!$R$2:$R$492,0)),"")</f>
        <v/>
      </c>
      <c r="L305" s="23" t="str">
        <f>IFERROR(INDEX('Output Utente'!$E$2:$E$492,MATCH(302,'Output Utente'!$R$2:$R$492,0)),"")</f>
        <v/>
      </c>
      <c r="V305" t="str">
        <f>IFERROR(INDEX('Output Utente'!$M$2:$M$492,MATCH(302,'Output Utente'!$R$2:$R$492,0)),"")</f>
        <v/>
      </c>
      <c r="W305" t="str">
        <f t="shared" si="4"/>
        <v/>
      </c>
      <c r="X305" t="str">
        <f>IFERROR(INDEX('Output Utente'!$AF$2:$AF$492,MATCH(302,'Output Utente'!$R$2:$R$492,0)),"")</f>
        <v/>
      </c>
    </row>
    <row r="306" spans="1:24" ht="15" customHeight="1" x14ac:dyDescent="0.25">
      <c r="A306" s="26">
        <v>303</v>
      </c>
      <c r="B306" s="23" t="str">
        <f>IFERROR(INDEX('Output Utente'!$A$2:$A$492,MATCH(303,'Output Utente'!$R$2:$R$492,0)),"")</f>
        <v/>
      </c>
      <c r="C306" s="23" t="str">
        <f>IFERROR(INDEX('Output Utente'!$B$2:$B$492,MATCH(303,'Output Utente'!$R$2:$R$492,0)),"")</f>
        <v/>
      </c>
      <c r="D306" s="23" t="str">
        <f>IFERROR(INDEX('Output Utente'!$C$2:$C$492,MATCH(303,'Output Utente'!$R$2:$R$492,0)),"")</f>
        <v/>
      </c>
      <c r="E306" s="23" t="str">
        <f>IFERROR(INDEX('Input Giocatori 2026_27'!$D$3:$D$493,MATCH($B306,'Input Giocatori 2026_27'!$A$3:$A$493,0)),"")</f>
        <v/>
      </c>
      <c r="F306" s="24" t="str">
        <f>IFERROR(INDEX('Output Utente'!$N$2:$N$492,MATCH(303,'Output Utente'!$R$2:$R$492,0)),"")</f>
        <v/>
      </c>
      <c r="G306" s="23" t="str">
        <f>IFERROR(INDEX('Output Utente'!$O$2:$O$492,MATCH(303,'Output Utente'!$R$2:$R$492,0)),"")</f>
        <v/>
      </c>
      <c r="H306" s="23" t="str">
        <f>IFERROR(INDEX('Output Utente'!$P$2:$P$492,MATCH(303,'Output Utente'!$R$2:$R$492,0)),"")</f>
        <v/>
      </c>
      <c r="I306" s="24" t="str">
        <f>IFERROR(INDEX('Output Utente'!$F$2:$F$492,MATCH(303,'Output Utente'!$R$2:$R$492,0)),"")</f>
        <v/>
      </c>
      <c r="J306" s="24" t="str">
        <f>IFERROR(INDEX('Output Utente'!$G$2:$G$492,MATCH(303,'Output Utente'!$R$2:$R$492,0)),"")</f>
        <v/>
      </c>
      <c r="K306" s="24" t="str">
        <f>IFERROR(INDEX('Output Utente'!$H$2:$H$492,MATCH(303,'Output Utente'!$R$2:$R$492,0)),"")</f>
        <v/>
      </c>
      <c r="L306" s="23" t="str">
        <f>IFERROR(INDEX('Output Utente'!$E$2:$E$492,MATCH(303,'Output Utente'!$R$2:$R$492,0)),"")</f>
        <v/>
      </c>
      <c r="V306" t="str">
        <f>IFERROR(INDEX('Output Utente'!$M$2:$M$492,MATCH(303,'Output Utente'!$R$2:$R$492,0)),"")</f>
        <v/>
      </c>
      <c r="W306" t="str">
        <f t="shared" si="4"/>
        <v/>
      </c>
      <c r="X306" t="str">
        <f>IFERROR(INDEX('Output Utente'!$AF$2:$AF$492,MATCH(303,'Output Utente'!$R$2:$R$492,0)),"")</f>
        <v/>
      </c>
    </row>
    <row r="307" spans="1:24" ht="15" customHeight="1" x14ac:dyDescent="0.25">
      <c r="A307" s="26">
        <v>304</v>
      </c>
      <c r="B307" s="23" t="str">
        <f>IFERROR(INDEX('Output Utente'!$A$2:$A$492,MATCH(304,'Output Utente'!$R$2:$R$492,0)),"")</f>
        <v/>
      </c>
      <c r="C307" s="23" t="str">
        <f>IFERROR(INDEX('Output Utente'!$B$2:$B$492,MATCH(304,'Output Utente'!$R$2:$R$492,0)),"")</f>
        <v/>
      </c>
      <c r="D307" s="23" t="str">
        <f>IFERROR(INDEX('Output Utente'!$C$2:$C$492,MATCH(304,'Output Utente'!$R$2:$R$492,0)),"")</f>
        <v/>
      </c>
      <c r="E307" s="23" t="str">
        <f>IFERROR(INDEX('Input Giocatori 2026_27'!$D$3:$D$493,MATCH($B307,'Input Giocatori 2026_27'!$A$3:$A$493,0)),"")</f>
        <v/>
      </c>
      <c r="F307" s="24" t="str">
        <f>IFERROR(INDEX('Output Utente'!$N$2:$N$492,MATCH(304,'Output Utente'!$R$2:$R$492,0)),"")</f>
        <v/>
      </c>
      <c r="G307" s="23" t="str">
        <f>IFERROR(INDEX('Output Utente'!$O$2:$O$492,MATCH(304,'Output Utente'!$R$2:$R$492,0)),"")</f>
        <v/>
      </c>
      <c r="H307" s="23" t="str">
        <f>IFERROR(INDEX('Output Utente'!$P$2:$P$492,MATCH(304,'Output Utente'!$R$2:$R$492,0)),"")</f>
        <v/>
      </c>
      <c r="I307" s="24" t="str">
        <f>IFERROR(INDEX('Output Utente'!$F$2:$F$492,MATCH(304,'Output Utente'!$R$2:$R$492,0)),"")</f>
        <v/>
      </c>
      <c r="J307" s="24" t="str">
        <f>IFERROR(INDEX('Output Utente'!$G$2:$G$492,MATCH(304,'Output Utente'!$R$2:$R$492,0)),"")</f>
        <v/>
      </c>
      <c r="K307" s="24" t="str">
        <f>IFERROR(INDEX('Output Utente'!$H$2:$H$492,MATCH(304,'Output Utente'!$R$2:$R$492,0)),"")</f>
        <v/>
      </c>
      <c r="L307" s="23" t="str">
        <f>IFERROR(INDEX('Output Utente'!$E$2:$E$492,MATCH(304,'Output Utente'!$R$2:$R$492,0)),"")</f>
        <v/>
      </c>
      <c r="V307" t="str">
        <f>IFERROR(INDEX('Output Utente'!$M$2:$M$492,MATCH(304,'Output Utente'!$R$2:$R$492,0)),"")</f>
        <v/>
      </c>
      <c r="W307" t="str">
        <f t="shared" si="4"/>
        <v/>
      </c>
      <c r="X307" t="str">
        <f>IFERROR(INDEX('Output Utente'!$AF$2:$AF$492,MATCH(304,'Output Utente'!$R$2:$R$492,0)),"")</f>
        <v/>
      </c>
    </row>
    <row r="308" spans="1:24" ht="15" customHeight="1" x14ac:dyDescent="0.25">
      <c r="A308" s="26">
        <v>305</v>
      </c>
      <c r="B308" s="23" t="str">
        <f>IFERROR(INDEX('Output Utente'!$A$2:$A$492,MATCH(305,'Output Utente'!$R$2:$R$492,0)),"")</f>
        <v/>
      </c>
      <c r="C308" s="23" t="str">
        <f>IFERROR(INDEX('Output Utente'!$B$2:$B$492,MATCH(305,'Output Utente'!$R$2:$R$492,0)),"")</f>
        <v/>
      </c>
      <c r="D308" s="23" t="str">
        <f>IFERROR(INDEX('Output Utente'!$C$2:$C$492,MATCH(305,'Output Utente'!$R$2:$R$492,0)),"")</f>
        <v/>
      </c>
      <c r="E308" s="23" t="str">
        <f>IFERROR(INDEX('Input Giocatori 2026_27'!$D$3:$D$493,MATCH($B308,'Input Giocatori 2026_27'!$A$3:$A$493,0)),"")</f>
        <v/>
      </c>
      <c r="F308" s="24" t="str">
        <f>IFERROR(INDEX('Output Utente'!$N$2:$N$492,MATCH(305,'Output Utente'!$R$2:$R$492,0)),"")</f>
        <v/>
      </c>
      <c r="G308" s="23" t="str">
        <f>IFERROR(INDEX('Output Utente'!$O$2:$O$492,MATCH(305,'Output Utente'!$R$2:$R$492,0)),"")</f>
        <v/>
      </c>
      <c r="H308" s="23" t="str">
        <f>IFERROR(INDEX('Output Utente'!$P$2:$P$492,MATCH(305,'Output Utente'!$R$2:$R$492,0)),"")</f>
        <v/>
      </c>
      <c r="I308" s="24" t="str">
        <f>IFERROR(INDEX('Output Utente'!$F$2:$F$492,MATCH(305,'Output Utente'!$R$2:$R$492,0)),"")</f>
        <v/>
      </c>
      <c r="J308" s="24" t="str">
        <f>IFERROR(INDEX('Output Utente'!$G$2:$G$492,MATCH(305,'Output Utente'!$R$2:$R$492,0)),"")</f>
        <v/>
      </c>
      <c r="K308" s="24" t="str">
        <f>IFERROR(INDEX('Output Utente'!$H$2:$H$492,MATCH(305,'Output Utente'!$R$2:$R$492,0)),"")</f>
        <v/>
      </c>
      <c r="L308" s="23" t="str">
        <f>IFERROR(INDEX('Output Utente'!$E$2:$E$492,MATCH(305,'Output Utente'!$R$2:$R$492,0)),"")</f>
        <v/>
      </c>
      <c r="V308" t="str">
        <f>IFERROR(INDEX('Output Utente'!$M$2:$M$492,MATCH(305,'Output Utente'!$R$2:$R$492,0)),"")</f>
        <v/>
      </c>
      <c r="W308" t="str">
        <f t="shared" si="4"/>
        <v/>
      </c>
      <c r="X308" t="str">
        <f>IFERROR(INDEX('Output Utente'!$AF$2:$AF$492,MATCH(305,'Output Utente'!$R$2:$R$492,0)),"")</f>
        <v/>
      </c>
    </row>
    <row r="309" spans="1:24" ht="15" customHeight="1" x14ac:dyDescent="0.25">
      <c r="A309" s="26">
        <v>306</v>
      </c>
      <c r="B309" s="23" t="str">
        <f>IFERROR(INDEX('Output Utente'!$A$2:$A$492,MATCH(306,'Output Utente'!$R$2:$R$492,0)),"")</f>
        <v/>
      </c>
      <c r="C309" s="23" t="str">
        <f>IFERROR(INDEX('Output Utente'!$B$2:$B$492,MATCH(306,'Output Utente'!$R$2:$R$492,0)),"")</f>
        <v/>
      </c>
      <c r="D309" s="23" t="str">
        <f>IFERROR(INDEX('Output Utente'!$C$2:$C$492,MATCH(306,'Output Utente'!$R$2:$R$492,0)),"")</f>
        <v/>
      </c>
      <c r="E309" s="23" t="str">
        <f>IFERROR(INDEX('Input Giocatori 2026_27'!$D$3:$D$493,MATCH($B309,'Input Giocatori 2026_27'!$A$3:$A$493,0)),"")</f>
        <v/>
      </c>
      <c r="F309" s="24" t="str">
        <f>IFERROR(INDEX('Output Utente'!$N$2:$N$492,MATCH(306,'Output Utente'!$R$2:$R$492,0)),"")</f>
        <v/>
      </c>
      <c r="G309" s="23" t="str">
        <f>IFERROR(INDEX('Output Utente'!$O$2:$O$492,MATCH(306,'Output Utente'!$R$2:$R$492,0)),"")</f>
        <v/>
      </c>
      <c r="H309" s="23" t="str">
        <f>IFERROR(INDEX('Output Utente'!$P$2:$P$492,MATCH(306,'Output Utente'!$R$2:$R$492,0)),"")</f>
        <v/>
      </c>
      <c r="I309" s="24" t="str">
        <f>IFERROR(INDEX('Output Utente'!$F$2:$F$492,MATCH(306,'Output Utente'!$R$2:$R$492,0)),"")</f>
        <v/>
      </c>
      <c r="J309" s="24" t="str">
        <f>IFERROR(INDEX('Output Utente'!$G$2:$G$492,MATCH(306,'Output Utente'!$R$2:$R$492,0)),"")</f>
        <v/>
      </c>
      <c r="K309" s="24" t="str">
        <f>IFERROR(INDEX('Output Utente'!$H$2:$H$492,MATCH(306,'Output Utente'!$R$2:$R$492,0)),"")</f>
        <v/>
      </c>
      <c r="L309" s="23" t="str">
        <f>IFERROR(INDEX('Output Utente'!$E$2:$E$492,MATCH(306,'Output Utente'!$R$2:$R$492,0)),"")</f>
        <v/>
      </c>
      <c r="V309" t="str">
        <f>IFERROR(INDEX('Output Utente'!$M$2:$M$492,MATCH(306,'Output Utente'!$R$2:$R$492,0)),"")</f>
        <v/>
      </c>
      <c r="W309" t="str">
        <f t="shared" si="4"/>
        <v/>
      </c>
      <c r="X309" t="str">
        <f>IFERROR(INDEX('Output Utente'!$AF$2:$AF$492,MATCH(306,'Output Utente'!$R$2:$R$492,0)),"")</f>
        <v/>
      </c>
    </row>
    <row r="310" spans="1:24" ht="15" customHeight="1" x14ac:dyDescent="0.25">
      <c r="A310" s="26">
        <v>307</v>
      </c>
      <c r="B310" s="23" t="str">
        <f>IFERROR(INDEX('Output Utente'!$A$2:$A$492,MATCH(307,'Output Utente'!$R$2:$R$492,0)),"")</f>
        <v/>
      </c>
      <c r="C310" s="23" t="str">
        <f>IFERROR(INDEX('Output Utente'!$B$2:$B$492,MATCH(307,'Output Utente'!$R$2:$R$492,0)),"")</f>
        <v/>
      </c>
      <c r="D310" s="23" t="str">
        <f>IFERROR(INDEX('Output Utente'!$C$2:$C$492,MATCH(307,'Output Utente'!$R$2:$R$492,0)),"")</f>
        <v/>
      </c>
      <c r="E310" s="23" t="str">
        <f>IFERROR(INDEX('Input Giocatori 2026_27'!$D$3:$D$493,MATCH($B310,'Input Giocatori 2026_27'!$A$3:$A$493,0)),"")</f>
        <v/>
      </c>
      <c r="F310" s="24" t="str">
        <f>IFERROR(INDEX('Output Utente'!$N$2:$N$492,MATCH(307,'Output Utente'!$R$2:$R$492,0)),"")</f>
        <v/>
      </c>
      <c r="G310" s="23" t="str">
        <f>IFERROR(INDEX('Output Utente'!$O$2:$O$492,MATCH(307,'Output Utente'!$R$2:$R$492,0)),"")</f>
        <v/>
      </c>
      <c r="H310" s="23" t="str">
        <f>IFERROR(INDEX('Output Utente'!$P$2:$P$492,MATCH(307,'Output Utente'!$R$2:$R$492,0)),"")</f>
        <v/>
      </c>
      <c r="I310" s="24" t="str">
        <f>IFERROR(INDEX('Output Utente'!$F$2:$F$492,MATCH(307,'Output Utente'!$R$2:$R$492,0)),"")</f>
        <v/>
      </c>
      <c r="J310" s="24" t="str">
        <f>IFERROR(INDEX('Output Utente'!$G$2:$G$492,MATCH(307,'Output Utente'!$R$2:$R$492,0)),"")</f>
        <v/>
      </c>
      <c r="K310" s="24" t="str">
        <f>IFERROR(INDEX('Output Utente'!$H$2:$H$492,MATCH(307,'Output Utente'!$R$2:$R$492,0)),"")</f>
        <v/>
      </c>
      <c r="L310" s="23" t="str">
        <f>IFERROR(INDEX('Output Utente'!$E$2:$E$492,MATCH(307,'Output Utente'!$R$2:$R$492,0)),"")</f>
        <v/>
      </c>
      <c r="V310" t="str">
        <f>IFERROR(INDEX('Output Utente'!$M$2:$M$492,MATCH(307,'Output Utente'!$R$2:$R$492,0)),"")</f>
        <v/>
      </c>
      <c r="W310" t="str">
        <f t="shared" si="4"/>
        <v/>
      </c>
      <c r="X310" t="str">
        <f>IFERROR(INDEX('Output Utente'!$AF$2:$AF$492,MATCH(307,'Output Utente'!$R$2:$R$492,0)),"")</f>
        <v/>
      </c>
    </row>
    <row r="311" spans="1:24" ht="15" customHeight="1" x14ac:dyDescent="0.25">
      <c r="A311" s="26">
        <v>308</v>
      </c>
      <c r="B311" s="23" t="str">
        <f>IFERROR(INDEX('Output Utente'!$A$2:$A$492,MATCH(308,'Output Utente'!$R$2:$R$492,0)),"")</f>
        <v/>
      </c>
      <c r="C311" s="23" t="str">
        <f>IFERROR(INDEX('Output Utente'!$B$2:$B$492,MATCH(308,'Output Utente'!$R$2:$R$492,0)),"")</f>
        <v/>
      </c>
      <c r="D311" s="23" t="str">
        <f>IFERROR(INDEX('Output Utente'!$C$2:$C$492,MATCH(308,'Output Utente'!$R$2:$R$492,0)),"")</f>
        <v/>
      </c>
      <c r="E311" s="23" t="str">
        <f>IFERROR(INDEX('Input Giocatori 2026_27'!$D$3:$D$493,MATCH($B311,'Input Giocatori 2026_27'!$A$3:$A$493,0)),"")</f>
        <v/>
      </c>
      <c r="F311" s="24" t="str">
        <f>IFERROR(INDEX('Output Utente'!$N$2:$N$492,MATCH(308,'Output Utente'!$R$2:$R$492,0)),"")</f>
        <v/>
      </c>
      <c r="G311" s="23" t="str">
        <f>IFERROR(INDEX('Output Utente'!$O$2:$O$492,MATCH(308,'Output Utente'!$R$2:$R$492,0)),"")</f>
        <v/>
      </c>
      <c r="H311" s="23" t="str">
        <f>IFERROR(INDEX('Output Utente'!$P$2:$P$492,MATCH(308,'Output Utente'!$R$2:$R$492,0)),"")</f>
        <v/>
      </c>
      <c r="I311" s="24" t="str">
        <f>IFERROR(INDEX('Output Utente'!$F$2:$F$492,MATCH(308,'Output Utente'!$R$2:$R$492,0)),"")</f>
        <v/>
      </c>
      <c r="J311" s="24" t="str">
        <f>IFERROR(INDEX('Output Utente'!$G$2:$G$492,MATCH(308,'Output Utente'!$R$2:$R$492,0)),"")</f>
        <v/>
      </c>
      <c r="K311" s="24" t="str">
        <f>IFERROR(INDEX('Output Utente'!$H$2:$H$492,MATCH(308,'Output Utente'!$R$2:$R$492,0)),"")</f>
        <v/>
      </c>
      <c r="L311" s="23" t="str">
        <f>IFERROR(INDEX('Output Utente'!$E$2:$E$492,MATCH(308,'Output Utente'!$R$2:$R$492,0)),"")</f>
        <v/>
      </c>
      <c r="V311" t="str">
        <f>IFERROR(INDEX('Output Utente'!$M$2:$M$492,MATCH(308,'Output Utente'!$R$2:$R$492,0)),"")</f>
        <v/>
      </c>
      <c r="W311" t="str">
        <f t="shared" si="4"/>
        <v/>
      </c>
      <c r="X311" t="str">
        <f>IFERROR(INDEX('Output Utente'!$AF$2:$AF$492,MATCH(308,'Output Utente'!$R$2:$R$492,0)),"")</f>
        <v/>
      </c>
    </row>
    <row r="312" spans="1:24" ht="15" customHeight="1" x14ac:dyDescent="0.25">
      <c r="A312" s="26">
        <v>309</v>
      </c>
      <c r="B312" s="23" t="str">
        <f>IFERROR(INDEX('Output Utente'!$A$2:$A$492,MATCH(309,'Output Utente'!$R$2:$R$492,0)),"")</f>
        <v/>
      </c>
      <c r="C312" s="23" t="str">
        <f>IFERROR(INDEX('Output Utente'!$B$2:$B$492,MATCH(309,'Output Utente'!$R$2:$R$492,0)),"")</f>
        <v/>
      </c>
      <c r="D312" s="23" t="str">
        <f>IFERROR(INDEX('Output Utente'!$C$2:$C$492,MATCH(309,'Output Utente'!$R$2:$R$492,0)),"")</f>
        <v/>
      </c>
      <c r="E312" s="23" t="str">
        <f>IFERROR(INDEX('Input Giocatori 2026_27'!$D$3:$D$493,MATCH($B312,'Input Giocatori 2026_27'!$A$3:$A$493,0)),"")</f>
        <v/>
      </c>
      <c r="F312" s="24" t="str">
        <f>IFERROR(INDEX('Output Utente'!$N$2:$N$492,MATCH(309,'Output Utente'!$R$2:$R$492,0)),"")</f>
        <v/>
      </c>
      <c r="G312" s="23" t="str">
        <f>IFERROR(INDEX('Output Utente'!$O$2:$O$492,MATCH(309,'Output Utente'!$R$2:$R$492,0)),"")</f>
        <v/>
      </c>
      <c r="H312" s="23" t="str">
        <f>IFERROR(INDEX('Output Utente'!$P$2:$P$492,MATCH(309,'Output Utente'!$R$2:$R$492,0)),"")</f>
        <v/>
      </c>
      <c r="I312" s="24" t="str">
        <f>IFERROR(INDEX('Output Utente'!$F$2:$F$492,MATCH(309,'Output Utente'!$R$2:$R$492,0)),"")</f>
        <v/>
      </c>
      <c r="J312" s="24" t="str">
        <f>IFERROR(INDEX('Output Utente'!$G$2:$G$492,MATCH(309,'Output Utente'!$R$2:$R$492,0)),"")</f>
        <v/>
      </c>
      <c r="K312" s="24" t="str">
        <f>IFERROR(INDEX('Output Utente'!$H$2:$H$492,MATCH(309,'Output Utente'!$R$2:$R$492,0)),"")</f>
        <v/>
      </c>
      <c r="L312" s="23" t="str">
        <f>IFERROR(INDEX('Output Utente'!$E$2:$E$492,MATCH(309,'Output Utente'!$R$2:$R$492,0)),"")</f>
        <v/>
      </c>
      <c r="V312" t="str">
        <f>IFERROR(INDEX('Output Utente'!$M$2:$M$492,MATCH(309,'Output Utente'!$R$2:$R$492,0)),"")</f>
        <v/>
      </c>
      <c r="W312" t="str">
        <f t="shared" si="4"/>
        <v/>
      </c>
      <c r="X312" t="str">
        <f>IFERROR(INDEX('Output Utente'!$AF$2:$AF$492,MATCH(309,'Output Utente'!$R$2:$R$492,0)),"")</f>
        <v/>
      </c>
    </row>
    <row r="313" spans="1:24" ht="15" customHeight="1" x14ac:dyDescent="0.25">
      <c r="A313" s="26">
        <v>310</v>
      </c>
      <c r="B313" s="23" t="str">
        <f>IFERROR(INDEX('Output Utente'!$A$2:$A$492,MATCH(310,'Output Utente'!$R$2:$R$492,0)),"")</f>
        <v/>
      </c>
      <c r="C313" s="23" t="str">
        <f>IFERROR(INDEX('Output Utente'!$B$2:$B$492,MATCH(310,'Output Utente'!$R$2:$R$492,0)),"")</f>
        <v/>
      </c>
      <c r="D313" s="23" t="str">
        <f>IFERROR(INDEX('Output Utente'!$C$2:$C$492,MATCH(310,'Output Utente'!$R$2:$R$492,0)),"")</f>
        <v/>
      </c>
      <c r="E313" s="23" t="str">
        <f>IFERROR(INDEX('Input Giocatori 2026_27'!$D$3:$D$493,MATCH($B313,'Input Giocatori 2026_27'!$A$3:$A$493,0)),"")</f>
        <v/>
      </c>
      <c r="F313" s="24" t="str">
        <f>IFERROR(INDEX('Output Utente'!$N$2:$N$492,MATCH(310,'Output Utente'!$R$2:$R$492,0)),"")</f>
        <v/>
      </c>
      <c r="G313" s="23" t="str">
        <f>IFERROR(INDEX('Output Utente'!$O$2:$O$492,MATCH(310,'Output Utente'!$R$2:$R$492,0)),"")</f>
        <v/>
      </c>
      <c r="H313" s="23" t="str">
        <f>IFERROR(INDEX('Output Utente'!$P$2:$P$492,MATCH(310,'Output Utente'!$R$2:$R$492,0)),"")</f>
        <v/>
      </c>
      <c r="I313" s="24" t="str">
        <f>IFERROR(INDEX('Output Utente'!$F$2:$F$492,MATCH(310,'Output Utente'!$R$2:$R$492,0)),"")</f>
        <v/>
      </c>
      <c r="J313" s="24" t="str">
        <f>IFERROR(INDEX('Output Utente'!$G$2:$G$492,MATCH(310,'Output Utente'!$R$2:$R$492,0)),"")</f>
        <v/>
      </c>
      <c r="K313" s="24" t="str">
        <f>IFERROR(INDEX('Output Utente'!$H$2:$H$492,MATCH(310,'Output Utente'!$R$2:$R$492,0)),"")</f>
        <v/>
      </c>
      <c r="L313" s="23" t="str">
        <f>IFERROR(INDEX('Output Utente'!$E$2:$E$492,MATCH(310,'Output Utente'!$R$2:$R$492,0)),"")</f>
        <v/>
      </c>
      <c r="V313" t="str">
        <f>IFERROR(INDEX('Output Utente'!$M$2:$M$492,MATCH(310,'Output Utente'!$R$2:$R$492,0)),"")</f>
        <v/>
      </c>
      <c r="W313" t="str">
        <f t="shared" si="4"/>
        <v/>
      </c>
      <c r="X313" t="str">
        <f>IFERROR(INDEX('Output Utente'!$AF$2:$AF$492,MATCH(310,'Output Utente'!$R$2:$R$492,0)),"")</f>
        <v/>
      </c>
    </row>
    <row r="314" spans="1:24" ht="15" customHeight="1" x14ac:dyDescent="0.25">
      <c r="A314" s="26">
        <v>311</v>
      </c>
      <c r="B314" s="23" t="str">
        <f>IFERROR(INDEX('Output Utente'!$A$2:$A$492,MATCH(311,'Output Utente'!$R$2:$R$492,0)),"")</f>
        <v/>
      </c>
      <c r="C314" s="23" t="str">
        <f>IFERROR(INDEX('Output Utente'!$B$2:$B$492,MATCH(311,'Output Utente'!$R$2:$R$492,0)),"")</f>
        <v/>
      </c>
      <c r="D314" s="23" t="str">
        <f>IFERROR(INDEX('Output Utente'!$C$2:$C$492,MATCH(311,'Output Utente'!$R$2:$R$492,0)),"")</f>
        <v/>
      </c>
      <c r="E314" s="23" t="str">
        <f>IFERROR(INDEX('Input Giocatori 2026_27'!$D$3:$D$493,MATCH($B314,'Input Giocatori 2026_27'!$A$3:$A$493,0)),"")</f>
        <v/>
      </c>
      <c r="F314" s="24" t="str">
        <f>IFERROR(INDEX('Output Utente'!$N$2:$N$492,MATCH(311,'Output Utente'!$R$2:$R$492,0)),"")</f>
        <v/>
      </c>
      <c r="G314" s="23" t="str">
        <f>IFERROR(INDEX('Output Utente'!$O$2:$O$492,MATCH(311,'Output Utente'!$R$2:$R$492,0)),"")</f>
        <v/>
      </c>
      <c r="H314" s="23" t="str">
        <f>IFERROR(INDEX('Output Utente'!$P$2:$P$492,MATCH(311,'Output Utente'!$R$2:$R$492,0)),"")</f>
        <v/>
      </c>
      <c r="I314" s="24" t="str">
        <f>IFERROR(INDEX('Output Utente'!$F$2:$F$492,MATCH(311,'Output Utente'!$R$2:$R$492,0)),"")</f>
        <v/>
      </c>
      <c r="J314" s="24" t="str">
        <f>IFERROR(INDEX('Output Utente'!$G$2:$G$492,MATCH(311,'Output Utente'!$R$2:$R$492,0)),"")</f>
        <v/>
      </c>
      <c r="K314" s="24" t="str">
        <f>IFERROR(INDEX('Output Utente'!$H$2:$H$492,MATCH(311,'Output Utente'!$R$2:$R$492,0)),"")</f>
        <v/>
      </c>
      <c r="L314" s="23" t="str">
        <f>IFERROR(INDEX('Output Utente'!$E$2:$E$492,MATCH(311,'Output Utente'!$R$2:$R$492,0)),"")</f>
        <v/>
      </c>
      <c r="V314" t="str">
        <f>IFERROR(INDEX('Output Utente'!$M$2:$M$492,MATCH(311,'Output Utente'!$R$2:$R$492,0)),"")</f>
        <v/>
      </c>
      <c r="W314" t="str">
        <f t="shared" si="4"/>
        <v/>
      </c>
      <c r="X314" t="str">
        <f>IFERROR(INDEX('Output Utente'!$AF$2:$AF$492,MATCH(311,'Output Utente'!$R$2:$R$492,0)),"")</f>
        <v/>
      </c>
    </row>
    <row r="315" spans="1:24" ht="15" customHeight="1" x14ac:dyDescent="0.25">
      <c r="A315" s="26">
        <v>312</v>
      </c>
      <c r="B315" s="23" t="str">
        <f>IFERROR(INDEX('Output Utente'!$A$2:$A$492,MATCH(312,'Output Utente'!$R$2:$R$492,0)),"")</f>
        <v/>
      </c>
      <c r="C315" s="23" t="str">
        <f>IFERROR(INDEX('Output Utente'!$B$2:$B$492,MATCH(312,'Output Utente'!$R$2:$R$492,0)),"")</f>
        <v/>
      </c>
      <c r="D315" s="23" t="str">
        <f>IFERROR(INDEX('Output Utente'!$C$2:$C$492,MATCH(312,'Output Utente'!$R$2:$R$492,0)),"")</f>
        <v/>
      </c>
      <c r="E315" s="23" t="str">
        <f>IFERROR(INDEX('Input Giocatori 2026_27'!$D$3:$D$493,MATCH($B315,'Input Giocatori 2026_27'!$A$3:$A$493,0)),"")</f>
        <v/>
      </c>
      <c r="F315" s="24" t="str">
        <f>IFERROR(INDEX('Output Utente'!$N$2:$N$492,MATCH(312,'Output Utente'!$R$2:$R$492,0)),"")</f>
        <v/>
      </c>
      <c r="G315" s="23" t="str">
        <f>IFERROR(INDEX('Output Utente'!$O$2:$O$492,MATCH(312,'Output Utente'!$R$2:$R$492,0)),"")</f>
        <v/>
      </c>
      <c r="H315" s="23" t="str">
        <f>IFERROR(INDEX('Output Utente'!$P$2:$P$492,MATCH(312,'Output Utente'!$R$2:$R$492,0)),"")</f>
        <v/>
      </c>
      <c r="I315" s="24" t="str">
        <f>IFERROR(INDEX('Output Utente'!$F$2:$F$492,MATCH(312,'Output Utente'!$R$2:$R$492,0)),"")</f>
        <v/>
      </c>
      <c r="J315" s="24" t="str">
        <f>IFERROR(INDEX('Output Utente'!$G$2:$G$492,MATCH(312,'Output Utente'!$R$2:$R$492,0)),"")</f>
        <v/>
      </c>
      <c r="K315" s="24" t="str">
        <f>IFERROR(INDEX('Output Utente'!$H$2:$H$492,MATCH(312,'Output Utente'!$R$2:$R$492,0)),"")</f>
        <v/>
      </c>
      <c r="L315" s="23" t="str">
        <f>IFERROR(INDEX('Output Utente'!$E$2:$E$492,MATCH(312,'Output Utente'!$R$2:$R$492,0)),"")</f>
        <v/>
      </c>
      <c r="V315" t="str">
        <f>IFERROR(INDEX('Output Utente'!$M$2:$M$492,MATCH(312,'Output Utente'!$R$2:$R$492,0)),"")</f>
        <v/>
      </c>
      <c r="W315" t="str">
        <f t="shared" si="4"/>
        <v/>
      </c>
      <c r="X315" t="str">
        <f>IFERROR(INDEX('Output Utente'!$AF$2:$AF$492,MATCH(312,'Output Utente'!$R$2:$R$492,0)),"")</f>
        <v/>
      </c>
    </row>
    <row r="316" spans="1:24" ht="15" customHeight="1" x14ac:dyDescent="0.25">
      <c r="A316" s="26">
        <v>313</v>
      </c>
      <c r="B316" s="23" t="str">
        <f>IFERROR(INDEX('Output Utente'!$A$2:$A$492,MATCH(313,'Output Utente'!$R$2:$R$492,0)),"")</f>
        <v/>
      </c>
      <c r="C316" s="23" t="str">
        <f>IFERROR(INDEX('Output Utente'!$B$2:$B$492,MATCH(313,'Output Utente'!$R$2:$R$492,0)),"")</f>
        <v/>
      </c>
      <c r="D316" s="23" t="str">
        <f>IFERROR(INDEX('Output Utente'!$C$2:$C$492,MATCH(313,'Output Utente'!$R$2:$R$492,0)),"")</f>
        <v/>
      </c>
      <c r="E316" s="23" t="str">
        <f>IFERROR(INDEX('Input Giocatori 2026_27'!$D$3:$D$493,MATCH($B316,'Input Giocatori 2026_27'!$A$3:$A$493,0)),"")</f>
        <v/>
      </c>
      <c r="F316" s="24" t="str">
        <f>IFERROR(INDEX('Output Utente'!$N$2:$N$492,MATCH(313,'Output Utente'!$R$2:$R$492,0)),"")</f>
        <v/>
      </c>
      <c r="G316" s="23" t="str">
        <f>IFERROR(INDEX('Output Utente'!$O$2:$O$492,MATCH(313,'Output Utente'!$R$2:$R$492,0)),"")</f>
        <v/>
      </c>
      <c r="H316" s="23" t="str">
        <f>IFERROR(INDEX('Output Utente'!$P$2:$P$492,MATCH(313,'Output Utente'!$R$2:$R$492,0)),"")</f>
        <v/>
      </c>
      <c r="I316" s="24" t="str">
        <f>IFERROR(INDEX('Output Utente'!$F$2:$F$492,MATCH(313,'Output Utente'!$R$2:$R$492,0)),"")</f>
        <v/>
      </c>
      <c r="J316" s="24" t="str">
        <f>IFERROR(INDEX('Output Utente'!$G$2:$G$492,MATCH(313,'Output Utente'!$R$2:$R$492,0)),"")</f>
        <v/>
      </c>
      <c r="K316" s="24" t="str">
        <f>IFERROR(INDEX('Output Utente'!$H$2:$H$492,MATCH(313,'Output Utente'!$R$2:$R$492,0)),"")</f>
        <v/>
      </c>
      <c r="L316" s="23" t="str">
        <f>IFERROR(INDEX('Output Utente'!$E$2:$E$492,MATCH(313,'Output Utente'!$R$2:$R$492,0)),"")</f>
        <v/>
      </c>
      <c r="V316" t="str">
        <f>IFERROR(INDEX('Output Utente'!$M$2:$M$492,MATCH(313,'Output Utente'!$R$2:$R$492,0)),"")</f>
        <v/>
      </c>
      <c r="W316" t="str">
        <f t="shared" si="4"/>
        <v/>
      </c>
      <c r="X316" t="str">
        <f>IFERROR(INDEX('Output Utente'!$AF$2:$AF$492,MATCH(313,'Output Utente'!$R$2:$R$492,0)),"")</f>
        <v/>
      </c>
    </row>
    <row r="317" spans="1:24" ht="15" customHeight="1" x14ac:dyDescent="0.25">
      <c r="A317" s="26">
        <v>314</v>
      </c>
      <c r="B317" s="23" t="str">
        <f>IFERROR(INDEX('Output Utente'!$A$2:$A$492,MATCH(314,'Output Utente'!$R$2:$R$492,0)),"")</f>
        <v/>
      </c>
      <c r="C317" s="23" t="str">
        <f>IFERROR(INDEX('Output Utente'!$B$2:$B$492,MATCH(314,'Output Utente'!$R$2:$R$492,0)),"")</f>
        <v/>
      </c>
      <c r="D317" s="23" t="str">
        <f>IFERROR(INDEX('Output Utente'!$C$2:$C$492,MATCH(314,'Output Utente'!$R$2:$R$492,0)),"")</f>
        <v/>
      </c>
      <c r="E317" s="23" t="str">
        <f>IFERROR(INDEX('Input Giocatori 2026_27'!$D$3:$D$493,MATCH($B317,'Input Giocatori 2026_27'!$A$3:$A$493,0)),"")</f>
        <v/>
      </c>
      <c r="F317" s="24" t="str">
        <f>IFERROR(INDEX('Output Utente'!$N$2:$N$492,MATCH(314,'Output Utente'!$R$2:$R$492,0)),"")</f>
        <v/>
      </c>
      <c r="G317" s="23" t="str">
        <f>IFERROR(INDEX('Output Utente'!$O$2:$O$492,MATCH(314,'Output Utente'!$R$2:$R$492,0)),"")</f>
        <v/>
      </c>
      <c r="H317" s="23" t="str">
        <f>IFERROR(INDEX('Output Utente'!$P$2:$P$492,MATCH(314,'Output Utente'!$R$2:$R$492,0)),"")</f>
        <v/>
      </c>
      <c r="I317" s="24" t="str">
        <f>IFERROR(INDEX('Output Utente'!$F$2:$F$492,MATCH(314,'Output Utente'!$R$2:$R$492,0)),"")</f>
        <v/>
      </c>
      <c r="J317" s="24" t="str">
        <f>IFERROR(INDEX('Output Utente'!$G$2:$G$492,MATCH(314,'Output Utente'!$R$2:$R$492,0)),"")</f>
        <v/>
      </c>
      <c r="K317" s="24" t="str">
        <f>IFERROR(INDEX('Output Utente'!$H$2:$H$492,MATCH(314,'Output Utente'!$R$2:$R$492,0)),"")</f>
        <v/>
      </c>
      <c r="L317" s="23" t="str">
        <f>IFERROR(INDEX('Output Utente'!$E$2:$E$492,MATCH(314,'Output Utente'!$R$2:$R$492,0)),"")</f>
        <v/>
      </c>
      <c r="V317" t="str">
        <f>IFERROR(INDEX('Output Utente'!$M$2:$M$492,MATCH(314,'Output Utente'!$R$2:$R$492,0)),"")</f>
        <v/>
      </c>
      <c r="W317" t="str">
        <f t="shared" si="4"/>
        <v/>
      </c>
      <c r="X317" t="str">
        <f>IFERROR(INDEX('Output Utente'!$AF$2:$AF$492,MATCH(314,'Output Utente'!$R$2:$R$492,0)),"")</f>
        <v/>
      </c>
    </row>
    <row r="318" spans="1:24" ht="15" customHeight="1" x14ac:dyDescent="0.25">
      <c r="A318" s="26">
        <v>315</v>
      </c>
      <c r="B318" s="23" t="str">
        <f>IFERROR(INDEX('Output Utente'!$A$2:$A$492,MATCH(315,'Output Utente'!$R$2:$R$492,0)),"")</f>
        <v/>
      </c>
      <c r="C318" s="23" t="str">
        <f>IFERROR(INDEX('Output Utente'!$B$2:$B$492,MATCH(315,'Output Utente'!$R$2:$R$492,0)),"")</f>
        <v/>
      </c>
      <c r="D318" s="23" t="str">
        <f>IFERROR(INDEX('Output Utente'!$C$2:$C$492,MATCH(315,'Output Utente'!$R$2:$R$492,0)),"")</f>
        <v/>
      </c>
      <c r="E318" s="23" t="str">
        <f>IFERROR(INDEX('Input Giocatori 2026_27'!$D$3:$D$493,MATCH($B318,'Input Giocatori 2026_27'!$A$3:$A$493,0)),"")</f>
        <v/>
      </c>
      <c r="F318" s="24" t="str">
        <f>IFERROR(INDEX('Output Utente'!$N$2:$N$492,MATCH(315,'Output Utente'!$R$2:$R$492,0)),"")</f>
        <v/>
      </c>
      <c r="G318" s="23" t="str">
        <f>IFERROR(INDEX('Output Utente'!$O$2:$O$492,MATCH(315,'Output Utente'!$R$2:$R$492,0)),"")</f>
        <v/>
      </c>
      <c r="H318" s="23" t="str">
        <f>IFERROR(INDEX('Output Utente'!$P$2:$P$492,MATCH(315,'Output Utente'!$R$2:$R$492,0)),"")</f>
        <v/>
      </c>
      <c r="I318" s="24" t="str">
        <f>IFERROR(INDEX('Output Utente'!$F$2:$F$492,MATCH(315,'Output Utente'!$R$2:$R$492,0)),"")</f>
        <v/>
      </c>
      <c r="J318" s="24" t="str">
        <f>IFERROR(INDEX('Output Utente'!$G$2:$G$492,MATCH(315,'Output Utente'!$R$2:$R$492,0)),"")</f>
        <v/>
      </c>
      <c r="K318" s="24" t="str">
        <f>IFERROR(INDEX('Output Utente'!$H$2:$H$492,MATCH(315,'Output Utente'!$R$2:$R$492,0)),"")</f>
        <v/>
      </c>
      <c r="L318" s="23" t="str">
        <f>IFERROR(INDEX('Output Utente'!$E$2:$E$492,MATCH(315,'Output Utente'!$R$2:$R$492,0)),"")</f>
        <v/>
      </c>
      <c r="V318" t="str">
        <f>IFERROR(INDEX('Output Utente'!$M$2:$M$492,MATCH(315,'Output Utente'!$R$2:$R$492,0)),"")</f>
        <v/>
      </c>
      <c r="W318" t="str">
        <f t="shared" si="4"/>
        <v/>
      </c>
      <c r="X318" t="str">
        <f>IFERROR(INDEX('Output Utente'!$AF$2:$AF$492,MATCH(315,'Output Utente'!$R$2:$R$492,0)),"")</f>
        <v/>
      </c>
    </row>
    <row r="319" spans="1:24" ht="15" customHeight="1" x14ac:dyDescent="0.25">
      <c r="A319" s="26">
        <v>316</v>
      </c>
      <c r="B319" s="23" t="str">
        <f>IFERROR(INDEX('Output Utente'!$A$2:$A$492,MATCH(316,'Output Utente'!$R$2:$R$492,0)),"")</f>
        <v/>
      </c>
      <c r="C319" s="23" t="str">
        <f>IFERROR(INDEX('Output Utente'!$B$2:$B$492,MATCH(316,'Output Utente'!$R$2:$R$492,0)),"")</f>
        <v/>
      </c>
      <c r="D319" s="23" t="str">
        <f>IFERROR(INDEX('Output Utente'!$C$2:$C$492,MATCH(316,'Output Utente'!$R$2:$R$492,0)),"")</f>
        <v/>
      </c>
      <c r="E319" s="23" t="str">
        <f>IFERROR(INDEX('Input Giocatori 2026_27'!$D$3:$D$493,MATCH($B319,'Input Giocatori 2026_27'!$A$3:$A$493,0)),"")</f>
        <v/>
      </c>
      <c r="F319" s="24" t="str">
        <f>IFERROR(INDEX('Output Utente'!$N$2:$N$492,MATCH(316,'Output Utente'!$R$2:$R$492,0)),"")</f>
        <v/>
      </c>
      <c r="G319" s="23" t="str">
        <f>IFERROR(INDEX('Output Utente'!$O$2:$O$492,MATCH(316,'Output Utente'!$R$2:$R$492,0)),"")</f>
        <v/>
      </c>
      <c r="H319" s="23" t="str">
        <f>IFERROR(INDEX('Output Utente'!$P$2:$P$492,MATCH(316,'Output Utente'!$R$2:$R$492,0)),"")</f>
        <v/>
      </c>
      <c r="I319" s="24" t="str">
        <f>IFERROR(INDEX('Output Utente'!$F$2:$F$492,MATCH(316,'Output Utente'!$R$2:$R$492,0)),"")</f>
        <v/>
      </c>
      <c r="J319" s="24" t="str">
        <f>IFERROR(INDEX('Output Utente'!$G$2:$G$492,MATCH(316,'Output Utente'!$R$2:$R$492,0)),"")</f>
        <v/>
      </c>
      <c r="K319" s="24" t="str">
        <f>IFERROR(INDEX('Output Utente'!$H$2:$H$492,MATCH(316,'Output Utente'!$R$2:$R$492,0)),"")</f>
        <v/>
      </c>
      <c r="L319" s="23" t="str">
        <f>IFERROR(INDEX('Output Utente'!$E$2:$E$492,MATCH(316,'Output Utente'!$R$2:$R$492,0)),"")</f>
        <v/>
      </c>
      <c r="V319" t="str">
        <f>IFERROR(INDEX('Output Utente'!$M$2:$M$492,MATCH(316,'Output Utente'!$R$2:$R$492,0)),"")</f>
        <v/>
      </c>
      <c r="W319" t="str">
        <f t="shared" si="4"/>
        <v/>
      </c>
      <c r="X319" t="str">
        <f>IFERROR(INDEX('Output Utente'!$AF$2:$AF$492,MATCH(316,'Output Utente'!$R$2:$R$492,0)),"")</f>
        <v/>
      </c>
    </row>
    <row r="320" spans="1:24" ht="15" customHeight="1" x14ac:dyDescent="0.25">
      <c r="A320" s="26">
        <v>317</v>
      </c>
      <c r="B320" s="23" t="str">
        <f>IFERROR(INDEX('Output Utente'!$A$2:$A$492,MATCH(317,'Output Utente'!$R$2:$R$492,0)),"")</f>
        <v/>
      </c>
      <c r="C320" s="23" t="str">
        <f>IFERROR(INDEX('Output Utente'!$B$2:$B$492,MATCH(317,'Output Utente'!$R$2:$R$492,0)),"")</f>
        <v/>
      </c>
      <c r="D320" s="23" t="str">
        <f>IFERROR(INDEX('Output Utente'!$C$2:$C$492,MATCH(317,'Output Utente'!$R$2:$R$492,0)),"")</f>
        <v/>
      </c>
      <c r="E320" s="23" t="str">
        <f>IFERROR(INDEX('Input Giocatori 2026_27'!$D$3:$D$493,MATCH($B320,'Input Giocatori 2026_27'!$A$3:$A$493,0)),"")</f>
        <v/>
      </c>
      <c r="F320" s="24" t="str">
        <f>IFERROR(INDEX('Output Utente'!$N$2:$N$492,MATCH(317,'Output Utente'!$R$2:$R$492,0)),"")</f>
        <v/>
      </c>
      <c r="G320" s="23" t="str">
        <f>IFERROR(INDEX('Output Utente'!$O$2:$O$492,MATCH(317,'Output Utente'!$R$2:$R$492,0)),"")</f>
        <v/>
      </c>
      <c r="H320" s="23" t="str">
        <f>IFERROR(INDEX('Output Utente'!$P$2:$P$492,MATCH(317,'Output Utente'!$R$2:$R$492,0)),"")</f>
        <v/>
      </c>
      <c r="I320" s="24" t="str">
        <f>IFERROR(INDEX('Output Utente'!$F$2:$F$492,MATCH(317,'Output Utente'!$R$2:$R$492,0)),"")</f>
        <v/>
      </c>
      <c r="J320" s="24" t="str">
        <f>IFERROR(INDEX('Output Utente'!$G$2:$G$492,MATCH(317,'Output Utente'!$R$2:$R$492,0)),"")</f>
        <v/>
      </c>
      <c r="K320" s="24" t="str">
        <f>IFERROR(INDEX('Output Utente'!$H$2:$H$492,MATCH(317,'Output Utente'!$R$2:$R$492,0)),"")</f>
        <v/>
      </c>
      <c r="L320" s="23" t="str">
        <f>IFERROR(INDEX('Output Utente'!$E$2:$E$492,MATCH(317,'Output Utente'!$R$2:$R$492,0)),"")</f>
        <v/>
      </c>
      <c r="V320" t="str">
        <f>IFERROR(INDEX('Output Utente'!$M$2:$M$492,MATCH(317,'Output Utente'!$R$2:$R$492,0)),"")</f>
        <v/>
      </c>
      <c r="W320" t="str">
        <f t="shared" si="4"/>
        <v/>
      </c>
      <c r="X320" t="str">
        <f>IFERROR(INDEX('Output Utente'!$AF$2:$AF$492,MATCH(317,'Output Utente'!$R$2:$R$492,0)),"")</f>
        <v/>
      </c>
    </row>
    <row r="321" spans="1:24" ht="15" customHeight="1" x14ac:dyDescent="0.25">
      <c r="A321" s="26">
        <v>318</v>
      </c>
      <c r="B321" s="23" t="str">
        <f>IFERROR(INDEX('Output Utente'!$A$2:$A$492,MATCH(318,'Output Utente'!$R$2:$R$492,0)),"")</f>
        <v/>
      </c>
      <c r="C321" s="23" t="str">
        <f>IFERROR(INDEX('Output Utente'!$B$2:$B$492,MATCH(318,'Output Utente'!$R$2:$R$492,0)),"")</f>
        <v/>
      </c>
      <c r="D321" s="23" t="str">
        <f>IFERROR(INDEX('Output Utente'!$C$2:$C$492,MATCH(318,'Output Utente'!$R$2:$R$492,0)),"")</f>
        <v/>
      </c>
      <c r="E321" s="23" t="str">
        <f>IFERROR(INDEX('Input Giocatori 2026_27'!$D$3:$D$493,MATCH($B321,'Input Giocatori 2026_27'!$A$3:$A$493,0)),"")</f>
        <v/>
      </c>
      <c r="F321" s="24" t="str">
        <f>IFERROR(INDEX('Output Utente'!$N$2:$N$492,MATCH(318,'Output Utente'!$R$2:$R$492,0)),"")</f>
        <v/>
      </c>
      <c r="G321" s="23" t="str">
        <f>IFERROR(INDEX('Output Utente'!$O$2:$O$492,MATCH(318,'Output Utente'!$R$2:$R$492,0)),"")</f>
        <v/>
      </c>
      <c r="H321" s="23" t="str">
        <f>IFERROR(INDEX('Output Utente'!$P$2:$P$492,MATCH(318,'Output Utente'!$R$2:$R$492,0)),"")</f>
        <v/>
      </c>
      <c r="I321" s="24" t="str">
        <f>IFERROR(INDEX('Output Utente'!$F$2:$F$492,MATCH(318,'Output Utente'!$R$2:$R$492,0)),"")</f>
        <v/>
      </c>
      <c r="J321" s="24" t="str">
        <f>IFERROR(INDEX('Output Utente'!$G$2:$G$492,MATCH(318,'Output Utente'!$R$2:$R$492,0)),"")</f>
        <v/>
      </c>
      <c r="K321" s="24" t="str">
        <f>IFERROR(INDEX('Output Utente'!$H$2:$H$492,MATCH(318,'Output Utente'!$R$2:$R$492,0)),"")</f>
        <v/>
      </c>
      <c r="L321" s="23" t="str">
        <f>IFERROR(INDEX('Output Utente'!$E$2:$E$492,MATCH(318,'Output Utente'!$R$2:$R$492,0)),"")</f>
        <v/>
      </c>
      <c r="V321" t="str">
        <f>IFERROR(INDEX('Output Utente'!$M$2:$M$492,MATCH(318,'Output Utente'!$R$2:$R$492,0)),"")</f>
        <v/>
      </c>
      <c r="W321" t="str">
        <f t="shared" si="4"/>
        <v/>
      </c>
      <c r="X321" t="str">
        <f>IFERROR(INDEX('Output Utente'!$AF$2:$AF$492,MATCH(318,'Output Utente'!$R$2:$R$492,0)),"")</f>
        <v/>
      </c>
    </row>
    <row r="322" spans="1:24" ht="15" customHeight="1" x14ac:dyDescent="0.25">
      <c r="A322" s="26">
        <v>319</v>
      </c>
      <c r="B322" s="23" t="str">
        <f>IFERROR(INDEX('Output Utente'!$A$2:$A$492,MATCH(319,'Output Utente'!$R$2:$R$492,0)),"")</f>
        <v/>
      </c>
      <c r="C322" s="23" t="str">
        <f>IFERROR(INDEX('Output Utente'!$B$2:$B$492,MATCH(319,'Output Utente'!$R$2:$R$492,0)),"")</f>
        <v/>
      </c>
      <c r="D322" s="23" t="str">
        <f>IFERROR(INDEX('Output Utente'!$C$2:$C$492,MATCH(319,'Output Utente'!$R$2:$R$492,0)),"")</f>
        <v/>
      </c>
      <c r="E322" s="23" t="str">
        <f>IFERROR(INDEX('Input Giocatori 2026_27'!$D$3:$D$493,MATCH($B322,'Input Giocatori 2026_27'!$A$3:$A$493,0)),"")</f>
        <v/>
      </c>
      <c r="F322" s="24" t="str">
        <f>IFERROR(INDEX('Output Utente'!$N$2:$N$492,MATCH(319,'Output Utente'!$R$2:$R$492,0)),"")</f>
        <v/>
      </c>
      <c r="G322" s="23" t="str">
        <f>IFERROR(INDEX('Output Utente'!$O$2:$O$492,MATCH(319,'Output Utente'!$R$2:$R$492,0)),"")</f>
        <v/>
      </c>
      <c r="H322" s="23" t="str">
        <f>IFERROR(INDEX('Output Utente'!$P$2:$P$492,MATCH(319,'Output Utente'!$R$2:$R$492,0)),"")</f>
        <v/>
      </c>
      <c r="I322" s="24" t="str">
        <f>IFERROR(INDEX('Output Utente'!$F$2:$F$492,MATCH(319,'Output Utente'!$R$2:$R$492,0)),"")</f>
        <v/>
      </c>
      <c r="J322" s="24" t="str">
        <f>IFERROR(INDEX('Output Utente'!$G$2:$G$492,MATCH(319,'Output Utente'!$R$2:$R$492,0)),"")</f>
        <v/>
      </c>
      <c r="K322" s="24" t="str">
        <f>IFERROR(INDEX('Output Utente'!$H$2:$H$492,MATCH(319,'Output Utente'!$R$2:$R$492,0)),"")</f>
        <v/>
      </c>
      <c r="L322" s="23" t="str">
        <f>IFERROR(INDEX('Output Utente'!$E$2:$E$492,MATCH(319,'Output Utente'!$R$2:$R$492,0)),"")</f>
        <v/>
      </c>
      <c r="V322" t="str">
        <f>IFERROR(INDEX('Output Utente'!$M$2:$M$492,MATCH(319,'Output Utente'!$R$2:$R$492,0)),"")</f>
        <v/>
      </c>
      <c r="W322" t="str">
        <f t="shared" si="4"/>
        <v/>
      </c>
      <c r="X322" t="str">
        <f>IFERROR(INDEX('Output Utente'!$AF$2:$AF$492,MATCH(319,'Output Utente'!$R$2:$R$492,0)),"")</f>
        <v/>
      </c>
    </row>
    <row r="323" spans="1:24" ht="15" customHeight="1" x14ac:dyDescent="0.25">
      <c r="A323" s="26">
        <v>320</v>
      </c>
      <c r="B323" s="23" t="str">
        <f>IFERROR(INDEX('Output Utente'!$A$2:$A$492,MATCH(320,'Output Utente'!$R$2:$R$492,0)),"")</f>
        <v/>
      </c>
      <c r="C323" s="23" t="str">
        <f>IFERROR(INDEX('Output Utente'!$B$2:$B$492,MATCH(320,'Output Utente'!$R$2:$R$492,0)),"")</f>
        <v/>
      </c>
      <c r="D323" s="23" t="str">
        <f>IFERROR(INDEX('Output Utente'!$C$2:$C$492,MATCH(320,'Output Utente'!$R$2:$R$492,0)),"")</f>
        <v/>
      </c>
      <c r="E323" s="23" t="str">
        <f>IFERROR(INDEX('Input Giocatori 2026_27'!$D$3:$D$493,MATCH($B323,'Input Giocatori 2026_27'!$A$3:$A$493,0)),"")</f>
        <v/>
      </c>
      <c r="F323" s="24" t="str">
        <f>IFERROR(INDEX('Output Utente'!$N$2:$N$492,MATCH(320,'Output Utente'!$R$2:$R$492,0)),"")</f>
        <v/>
      </c>
      <c r="G323" s="23" t="str">
        <f>IFERROR(INDEX('Output Utente'!$O$2:$O$492,MATCH(320,'Output Utente'!$R$2:$R$492,0)),"")</f>
        <v/>
      </c>
      <c r="H323" s="23" t="str">
        <f>IFERROR(INDEX('Output Utente'!$P$2:$P$492,MATCH(320,'Output Utente'!$R$2:$R$492,0)),"")</f>
        <v/>
      </c>
      <c r="I323" s="24" t="str">
        <f>IFERROR(INDEX('Output Utente'!$F$2:$F$492,MATCH(320,'Output Utente'!$R$2:$R$492,0)),"")</f>
        <v/>
      </c>
      <c r="J323" s="24" t="str">
        <f>IFERROR(INDEX('Output Utente'!$G$2:$G$492,MATCH(320,'Output Utente'!$R$2:$R$492,0)),"")</f>
        <v/>
      </c>
      <c r="K323" s="24" t="str">
        <f>IFERROR(INDEX('Output Utente'!$H$2:$H$492,MATCH(320,'Output Utente'!$R$2:$R$492,0)),"")</f>
        <v/>
      </c>
      <c r="L323" s="23" t="str">
        <f>IFERROR(INDEX('Output Utente'!$E$2:$E$492,MATCH(320,'Output Utente'!$R$2:$R$492,0)),"")</f>
        <v/>
      </c>
      <c r="V323" t="str">
        <f>IFERROR(INDEX('Output Utente'!$M$2:$M$492,MATCH(320,'Output Utente'!$R$2:$R$492,0)),"")</f>
        <v/>
      </c>
      <c r="W323" t="str">
        <f t="shared" si="4"/>
        <v/>
      </c>
      <c r="X323" t="str">
        <f>IFERROR(INDEX('Output Utente'!$AF$2:$AF$492,MATCH(320,'Output Utente'!$R$2:$R$492,0)),"")</f>
        <v/>
      </c>
    </row>
    <row r="324" spans="1:24" ht="15" customHeight="1" x14ac:dyDescent="0.25">
      <c r="A324" s="26">
        <v>321</v>
      </c>
      <c r="B324" s="23" t="str">
        <f>IFERROR(INDEX('Output Utente'!$A$2:$A$492,MATCH(321,'Output Utente'!$R$2:$R$492,0)),"")</f>
        <v/>
      </c>
      <c r="C324" s="23" t="str">
        <f>IFERROR(INDEX('Output Utente'!$B$2:$B$492,MATCH(321,'Output Utente'!$R$2:$R$492,0)),"")</f>
        <v/>
      </c>
      <c r="D324" s="23" t="str">
        <f>IFERROR(INDEX('Output Utente'!$C$2:$C$492,MATCH(321,'Output Utente'!$R$2:$R$492,0)),"")</f>
        <v/>
      </c>
      <c r="E324" s="23" t="str">
        <f>IFERROR(INDEX('Input Giocatori 2026_27'!$D$3:$D$493,MATCH($B324,'Input Giocatori 2026_27'!$A$3:$A$493,0)),"")</f>
        <v/>
      </c>
      <c r="F324" s="24" t="str">
        <f>IFERROR(INDEX('Output Utente'!$N$2:$N$492,MATCH(321,'Output Utente'!$R$2:$R$492,0)),"")</f>
        <v/>
      </c>
      <c r="G324" s="23" t="str">
        <f>IFERROR(INDEX('Output Utente'!$O$2:$O$492,MATCH(321,'Output Utente'!$R$2:$R$492,0)),"")</f>
        <v/>
      </c>
      <c r="H324" s="23" t="str">
        <f>IFERROR(INDEX('Output Utente'!$P$2:$P$492,MATCH(321,'Output Utente'!$R$2:$R$492,0)),"")</f>
        <v/>
      </c>
      <c r="I324" s="24" t="str">
        <f>IFERROR(INDEX('Output Utente'!$F$2:$F$492,MATCH(321,'Output Utente'!$R$2:$R$492,0)),"")</f>
        <v/>
      </c>
      <c r="J324" s="24" t="str">
        <f>IFERROR(INDEX('Output Utente'!$G$2:$G$492,MATCH(321,'Output Utente'!$R$2:$R$492,0)),"")</f>
        <v/>
      </c>
      <c r="K324" s="24" t="str">
        <f>IFERROR(INDEX('Output Utente'!$H$2:$H$492,MATCH(321,'Output Utente'!$R$2:$R$492,0)),"")</f>
        <v/>
      </c>
      <c r="L324" s="23" t="str">
        <f>IFERROR(INDEX('Output Utente'!$E$2:$E$492,MATCH(321,'Output Utente'!$R$2:$R$492,0)),"")</f>
        <v/>
      </c>
      <c r="V324" t="str">
        <f>IFERROR(INDEX('Output Utente'!$M$2:$M$492,MATCH(321,'Output Utente'!$R$2:$R$492,0)),"")</f>
        <v/>
      </c>
      <c r="W324" t="str">
        <f t="shared" ref="W324:W387" si="5">IF(OR($G324="",$V324=""),"",$G324-$V324)</f>
        <v/>
      </c>
      <c r="X324" t="str">
        <f>IFERROR(INDEX('Output Utente'!$AF$2:$AF$492,MATCH(321,'Output Utente'!$R$2:$R$492,0)),"")</f>
        <v/>
      </c>
    </row>
    <row r="325" spans="1:24" ht="15" customHeight="1" x14ac:dyDescent="0.25">
      <c r="A325" s="26">
        <v>322</v>
      </c>
      <c r="B325" s="23" t="str">
        <f>IFERROR(INDEX('Output Utente'!$A$2:$A$492,MATCH(322,'Output Utente'!$R$2:$R$492,0)),"")</f>
        <v/>
      </c>
      <c r="C325" s="23" t="str">
        <f>IFERROR(INDEX('Output Utente'!$B$2:$B$492,MATCH(322,'Output Utente'!$R$2:$R$492,0)),"")</f>
        <v/>
      </c>
      <c r="D325" s="23" t="str">
        <f>IFERROR(INDEX('Output Utente'!$C$2:$C$492,MATCH(322,'Output Utente'!$R$2:$R$492,0)),"")</f>
        <v/>
      </c>
      <c r="E325" s="23" t="str">
        <f>IFERROR(INDEX('Input Giocatori 2026_27'!$D$3:$D$493,MATCH($B325,'Input Giocatori 2026_27'!$A$3:$A$493,0)),"")</f>
        <v/>
      </c>
      <c r="F325" s="24" t="str">
        <f>IFERROR(INDEX('Output Utente'!$N$2:$N$492,MATCH(322,'Output Utente'!$R$2:$R$492,0)),"")</f>
        <v/>
      </c>
      <c r="G325" s="23" t="str">
        <f>IFERROR(INDEX('Output Utente'!$O$2:$O$492,MATCH(322,'Output Utente'!$R$2:$R$492,0)),"")</f>
        <v/>
      </c>
      <c r="H325" s="23" t="str">
        <f>IFERROR(INDEX('Output Utente'!$P$2:$P$492,MATCH(322,'Output Utente'!$R$2:$R$492,0)),"")</f>
        <v/>
      </c>
      <c r="I325" s="24" t="str">
        <f>IFERROR(INDEX('Output Utente'!$F$2:$F$492,MATCH(322,'Output Utente'!$R$2:$R$492,0)),"")</f>
        <v/>
      </c>
      <c r="J325" s="24" t="str">
        <f>IFERROR(INDEX('Output Utente'!$G$2:$G$492,MATCH(322,'Output Utente'!$R$2:$R$492,0)),"")</f>
        <v/>
      </c>
      <c r="K325" s="24" t="str">
        <f>IFERROR(INDEX('Output Utente'!$H$2:$H$492,MATCH(322,'Output Utente'!$R$2:$R$492,0)),"")</f>
        <v/>
      </c>
      <c r="L325" s="23" t="str">
        <f>IFERROR(INDEX('Output Utente'!$E$2:$E$492,MATCH(322,'Output Utente'!$R$2:$R$492,0)),"")</f>
        <v/>
      </c>
      <c r="V325" t="str">
        <f>IFERROR(INDEX('Output Utente'!$M$2:$M$492,MATCH(322,'Output Utente'!$R$2:$R$492,0)),"")</f>
        <v/>
      </c>
      <c r="W325" t="str">
        <f t="shared" si="5"/>
        <v/>
      </c>
      <c r="X325" t="str">
        <f>IFERROR(INDEX('Output Utente'!$AF$2:$AF$492,MATCH(322,'Output Utente'!$R$2:$R$492,0)),"")</f>
        <v/>
      </c>
    </row>
    <row r="326" spans="1:24" ht="15" customHeight="1" x14ac:dyDescent="0.25">
      <c r="A326" s="26">
        <v>323</v>
      </c>
      <c r="B326" s="23" t="str">
        <f>IFERROR(INDEX('Output Utente'!$A$2:$A$492,MATCH(323,'Output Utente'!$R$2:$R$492,0)),"")</f>
        <v/>
      </c>
      <c r="C326" s="23" t="str">
        <f>IFERROR(INDEX('Output Utente'!$B$2:$B$492,MATCH(323,'Output Utente'!$R$2:$R$492,0)),"")</f>
        <v/>
      </c>
      <c r="D326" s="23" t="str">
        <f>IFERROR(INDEX('Output Utente'!$C$2:$C$492,MATCH(323,'Output Utente'!$R$2:$R$492,0)),"")</f>
        <v/>
      </c>
      <c r="E326" s="23" t="str">
        <f>IFERROR(INDEX('Input Giocatori 2026_27'!$D$3:$D$493,MATCH($B326,'Input Giocatori 2026_27'!$A$3:$A$493,0)),"")</f>
        <v/>
      </c>
      <c r="F326" s="24" t="str">
        <f>IFERROR(INDEX('Output Utente'!$N$2:$N$492,MATCH(323,'Output Utente'!$R$2:$R$492,0)),"")</f>
        <v/>
      </c>
      <c r="G326" s="23" t="str">
        <f>IFERROR(INDEX('Output Utente'!$O$2:$O$492,MATCH(323,'Output Utente'!$R$2:$R$492,0)),"")</f>
        <v/>
      </c>
      <c r="H326" s="23" t="str">
        <f>IFERROR(INDEX('Output Utente'!$P$2:$P$492,MATCH(323,'Output Utente'!$R$2:$R$492,0)),"")</f>
        <v/>
      </c>
      <c r="I326" s="24" t="str">
        <f>IFERROR(INDEX('Output Utente'!$F$2:$F$492,MATCH(323,'Output Utente'!$R$2:$R$492,0)),"")</f>
        <v/>
      </c>
      <c r="J326" s="24" t="str">
        <f>IFERROR(INDEX('Output Utente'!$G$2:$G$492,MATCH(323,'Output Utente'!$R$2:$R$492,0)),"")</f>
        <v/>
      </c>
      <c r="K326" s="24" t="str">
        <f>IFERROR(INDEX('Output Utente'!$H$2:$H$492,MATCH(323,'Output Utente'!$R$2:$R$492,0)),"")</f>
        <v/>
      </c>
      <c r="L326" s="23" t="str">
        <f>IFERROR(INDEX('Output Utente'!$E$2:$E$492,MATCH(323,'Output Utente'!$R$2:$R$492,0)),"")</f>
        <v/>
      </c>
      <c r="V326" t="str">
        <f>IFERROR(INDEX('Output Utente'!$M$2:$M$492,MATCH(323,'Output Utente'!$R$2:$R$492,0)),"")</f>
        <v/>
      </c>
      <c r="W326" t="str">
        <f t="shared" si="5"/>
        <v/>
      </c>
      <c r="X326" t="str">
        <f>IFERROR(INDEX('Output Utente'!$AF$2:$AF$492,MATCH(323,'Output Utente'!$R$2:$R$492,0)),"")</f>
        <v/>
      </c>
    </row>
    <row r="327" spans="1:24" ht="15" customHeight="1" x14ac:dyDescent="0.25">
      <c r="A327" s="26">
        <v>324</v>
      </c>
      <c r="B327" s="23" t="str">
        <f>IFERROR(INDEX('Output Utente'!$A$2:$A$492,MATCH(324,'Output Utente'!$R$2:$R$492,0)),"")</f>
        <v/>
      </c>
      <c r="C327" s="23" t="str">
        <f>IFERROR(INDEX('Output Utente'!$B$2:$B$492,MATCH(324,'Output Utente'!$R$2:$R$492,0)),"")</f>
        <v/>
      </c>
      <c r="D327" s="23" t="str">
        <f>IFERROR(INDEX('Output Utente'!$C$2:$C$492,MATCH(324,'Output Utente'!$R$2:$R$492,0)),"")</f>
        <v/>
      </c>
      <c r="E327" s="23" t="str">
        <f>IFERROR(INDEX('Input Giocatori 2026_27'!$D$3:$D$493,MATCH($B327,'Input Giocatori 2026_27'!$A$3:$A$493,0)),"")</f>
        <v/>
      </c>
      <c r="F327" s="24" t="str">
        <f>IFERROR(INDEX('Output Utente'!$N$2:$N$492,MATCH(324,'Output Utente'!$R$2:$R$492,0)),"")</f>
        <v/>
      </c>
      <c r="G327" s="23" t="str">
        <f>IFERROR(INDEX('Output Utente'!$O$2:$O$492,MATCH(324,'Output Utente'!$R$2:$R$492,0)),"")</f>
        <v/>
      </c>
      <c r="H327" s="23" t="str">
        <f>IFERROR(INDEX('Output Utente'!$P$2:$P$492,MATCH(324,'Output Utente'!$R$2:$R$492,0)),"")</f>
        <v/>
      </c>
      <c r="I327" s="24" t="str">
        <f>IFERROR(INDEX('Output Utente'!$F$2:$F$492,MATCH(324,'Output Utente'!$R$2:$R$492,0)),"")</f>
        <v/>
      </c>
      <c r="J327" s="24" t="str">
        <f>IFERROR(INDEX('Output Utente'!$G$2:$G$492,MATCH(324,'Output Utente'!$R$2:$R$492,0)),"")</f>
        <v/>
      </c>
      <c r="K327" s="24" t="str">
        <f>IFERROR(INDEX('Output Utente'!$H$2:$H$492,MATCH(324,'Output Utente'!$R$2:$R$492,0)),"")</f>
        <v/>
      </c>
      <c r="L327" s="23" t="str">
        <f>IFERROR(INDEX('Output Utente'!$E$2:$E$492,MATCH(324,'Output Utente'!$R$2:$R$492,0)),"")</f>
        <v/>
      </c>
      <c r="V327" t="str">
        <f>IFERROR(INDEX('Output Utente'!$M$2:$M$492,MATCH(324,'Output Utente'!$R$2:$R$492,0)),"")</f>
        <v/>
      </c>
      <c r="W327" t="str">
        <f t="shared" si="5"/>
        <v/>
      </c>
      <c r="X327" t="str">
        <f>IFERROR(INDEX('Output Utente'!$AF$2:$AF$492,MATCH(324,'Output Utente'!$R$2:$R$492,0)),"")</f>
        <v/>
      </c>
    </row>
    <row r="328" spans="1:24" ht="15" customHeight="1" x14ac:dyDescent="0.25">
      <c r="A328" s="26">
        <v>325</v>
      </c>
      <c r="B328" s="23" t="str">
        <f>IFERROR(INDEX('Output Utente'!$A$2:$A$492,MATCH(325,'Output Utente'!$R$2:$R$492,0)),"")</f>
        <v/>
      </c>
      <c r="C328" s="23" t="str">
        <f>IFERROR(INDEX('Output Utente'!$B$2:$B$492,MATCH(325,'Output Utente'!$R$2:$R$492,0)),"")</f>
        <v/>
      </c>
      <c r="D328" s="23" t="str">
        <f>IFERROR(INDEX('Output Utente'!$C$2:$C$492,MATCH(325,'Output Utente'!$R$2:$R$492,0)),"")</f>
        <v/>
      </c>
      <c r="E328" s="23" t="str">
        <f>IFERROR(INDEX('Input Giocatori 2026_27'!$D$3:$D$493,MATCH($B328,'Input Giocatori 2026_27'!$A$3:$A$493,0)),"")</f>
        <v/>
      </c>
      <c r="F328" s="24" t="str">
        <f>IFERROR(INDEX('Output Utente'!$N$2:$N$492,MATCH(325,'Output Utente'!$R$2:$R$492,0)),"")</f>
        <v/>
      </c>
      <c r="G328" s="23" t="str">
        <f>IFERROR(INDEX('Output Utente'!$O$2:$O$492,MATCH(325,'Output Utente'!$R$2:$R$492,0)),"")</f>
        <v/>
      </c>
      <c r="H328" s="23" t="str">
        <f>IFERROR(INDEX('Output Utente'!$P$2:$P$492,MATCH(325,'Output Utente'!$R$2:$R$492,0)),"")</f>
        <v/>
      </c>
      <c r="I328" s="24" t="str">
        <f>IFERROR(INDEX('Output Utente'!$F$2:$F$492,MATCH(325,'Output Utente'!$R$2:$R$492,0)),"")</f>
        <v/>
      </c>
      <c r="J328" s="24" t="str">
        <f>IFERROR(INDEX('Output Utente'!$G$2:$G$492,MATCH(325,'Output Utente'!$R$2:$R$492,0)),"")</f>
        <v/>
      </c>
      <c r="K328" s="24" t="str">
        <f>IFERROR(INDEX('Output Utente'!$H$2:$H$492,MATCH(325,'Output Utente'!$R$2:$R$492,0)),"")</f>
        <v/>
      </c>
      <c r="L328" s="23" t="str">
        <f>IFERROR(INDEX('Output Utente'!$E$2:$E$492,MATCH(325,'Output Utente'!$R$2:$R$492,0)),"")</f>
        <v/>
      </c>
      <c r="V328" t="str">
        <f>IFERROR(INDEX('Output Utente'!$M$2:$M$492,MATCH(325,'Output Utente'!$R$2:$R$492,0)),"")</f>
        <v/>
      </c>
      <c r="W328" t="str">
        <f t="shared" si="5"/>
        <v/>
      </c>
      <c r="X328" t="str">
        <f>IFERROR(INDEX('Output Utente'!$AF$2:$AF$492,MATCH(325,'Output Utente'!$R$2:$R$492,0)),"")</f>
        <v/>
      </c>
    </row>
    <row r="329" spans="1:24" ht="15" customHeight="1" x14ac:dyDescent="0.25">
      <c r="A329" s="26">
        <v>326</v>
      </c>
      <c r="B329" s="23" t="str">
        <f>IFERROR(INDEX('Output Utente'!$A$2:$A$492,MATCH(326,'Output Utente'!$R$2:$R$492,0)),"")</f>
        <v/>
      </c>
      <c r="C329" s="23" t="str">
        <f>IFERROR(INDEX('Output Utente'!$B$2:$B$492,MATCH(326,'Output Utente'!$R$2:$R$492,0)),"")</f>
        <v/>
      </c>
      <c r="D329" s="23" t="str">
        <f>IFERROR(INDEX('Output Utente'!$C$2:$C$492,MATCH(326,'Output Utente'!$R$2:$R$492,0)),"")</f>
        <v/>
      </c>
      <c r="E329" s="23" t="str">
        <f>IFERROR(INDEX('Input Giocatori 2026_27'!$D$3:$D$493,MATCH($B329,'Input Giocatori 2026_27'!$A$3:$A$493,0)),"")</f>
        <v/>
      </c>
      <c r="F329" s="24" t="str">
        <f>IFERROR(INDEX('Output Utente'!$N$2:$N$492,MATCH(326,'Output Utente'!$R$2:$R$492,0)),"")</f>
        <v/>
      </c>
      <c r="G329" s="23" t="str">
        <f>IFERROR(INDEX('Output Utente'!$O$2:$O$492,MATCH(326,'Output Utente'!$R$2:$R$492,0)),"")</f>
        <v/>
      </c>
      <c r="H329" s="23" t="str">
        <f>IFERROR(INDEX('Output Utente'!$P$2:$P$492,MATCH(326,'Output Utente'!$R$2:$R$492,0)),"")</f>
        <v/>
      </c>
      <c r="I329" s="24" t="str">
        <f>IFERROR(INDEX('Output Utente'!$F$2:$F$492,MATCH(326,'Output Utente'!$R$2:$R$492,0)),"")</f>
        <v/>
      </c>
      <c r="J329" s="24" t="str">
        <f>IFERROR(INDEX('Output Utente'!$G$2:$G$492,MATCH(326,'Output Utente'!$R$2:$R$492,0)),"")</f>
        <v/>
      </c>
      <c r="K329" s="24" t="str">
        <f>IFERROR(INDEX('Output Utente'!$H$2:$H$492,MATCH(326,'Output Utente'!$R$2:$R$492,0)),"")</f>
        <v/>
      </c>
      <c r="L329" s="23" t="str">
        <f>IFERROR(INDEX('Output Utente'!$E$2:$E$492,MATCH(326,'Output Utente'!$R$2:$R$492,0)),"")</f>
        <v/>
      </c>
      <c r="V329" t="str">
        <f>IFERROR(INDEX('Output Utente'!$M$2:$M$492,MATCH(326,'Output Utente'!$R$2:$R$492,0)),"")</f>
        <v/>
      </c>
      <c r="W329" t="str">
        <f t="shared" si="5"/>
        <v/>
      </c>
      <c r="X329" t="str">
        <f>IFERROR(INDEX('Output Utente'!$AF$2:$AF$492,MATCH(326,'Output Utente'!$R$2:$R$492,0)),"")</f>
        <v/>
      </c>
    </row>
    <row r="330" spans="1:24" ht="15" customHeight="1" x14ac:dyDescent="0.25">
      <c r="A330" s="26">
        <v>327</v>
      </c>
      <c r="B330" s="23" t="str">
        <f>IFERROR(INDEX('Output Utente'!$A$2:$A$492,MATCH(327,'Output Utente'!$R$2:$R$492,0)),"")</f>
        <v/>
      </c>
      <c r="C330" s="23" t="str">
        <f>IFERROR(INDEX('Output Utente'!$B$2:$B$492,MATCH(327,'Output Utente'!$R$2:$R$492,0)),"")</f>
        <v/>
      </c>
      <c r="D330" s="23" t="str">
        <f>IFERROR(INDEX('Output Utente'!$C$2:$C$492,MATCH(327,'Output Utente'!$R$2:$R$492,0)),"")</f>
        <v/>
      </c>
      <c r="E330" s="23" t="str">
        <f>IFERROR(INDEX('Input Giocatori 2026_27'!$D$3:$D$493,MATCH($B330,'Input Giocatori 2026_27'!$A$3:$A$493,0)),"")</f>
        <v/>
      </c>
      <c r="F330" s="24" t="str">
        <f>IFERROR(INDEX('Output Utente'!$N$2:$N$492,MATCH(327,'Output Utente'!$R$2:$R$492,0)),"")</f>
        <v/>
      </c>
      <c r="G330" s="23" t="str">
        <f>IFERROR(INDEX('Output Utente'!$O$2:$O$492,MATCH(327,'Output Utente'!$R$2:$R$492,0)),"")</f>
        <v/>
      </c>
      <c r="H330" s="23" t="str">
        <f>IFERROR(INDEX('Output Utente'!$P$2:$P$492,MATCH(327,'Output Utente'!$R$2:$R$492,0)),"")</f>
        <v/>
      </c>
      <c r="I330" s="24" t="str">
        <f>IFERROR(INDEX('Output Utente'!$F$2:$F$492,MATCH(327,'Output Utente'!$R$2:$R$492,0)),"")</f>
        <v/>
      </c>
      <c r="J330" s="24" t="str">
        <f>IFERROR(INDEX('Output Utente'!$G$2:$G$492,MATCH(327,'Output Utente'!$R$2:$R$492,0)),"")</f>
        <v/>
      </c>
      <c r="K330" s="24" t="str">
        <f>IFERROR(INDEX('Output Utente'!$H$2:$H$492,MATCH(327,'Output Utente'!$R$2:$R$492,0)),"")</f>
        <v/>
      </c>
      <c r="L330" s="23" t="str">
        <f>IFERROR(INDEX('Output Utente'!$E$2:$E$492,MATCH(327,'Output Utente'!$R$2:$R$492,0)),"")</f>
        <v/>
      </c>
      <c r="V330" t="str">
        <f>IFERROR(INDEX('Output Utente'!$M$2:$M$492,MATCH(327,'Output Utente'!$R$2:$R$492,0)),"")</f>
        <v/>
      </c>
      <c r="W330" t="str">
        <f t="shared" si="5"/>
        <v/>
      </c>
      <c r="X330" t="str">
        <f>IFERROR(INDEX('Output Utente'!$AF$2:$AF$492,MATCH(327,'Output Utente'!$R$2:$R$492,0)),"")</f>
        <v/>
      </c>
    </row>
    <row r="331" spans="1:24" ht="15" customHeight="1" x14ac:dyDescent="0.25">
      <c r="A331" s="26">
        <v>328</v>
      </c>
      <c r="B331" s="23" t="str">
        <f>IFERROR(INDEX('Output Utente'!$A$2:$A$492,MATCH(328,'Output Utente'!$R$2:$R$492,0)),"")</f>
        <v/>
      </c>
      <c r="C331" s="23" t="str">
        <f>IFERROR(INDEX('Output Utente'!$B$2:$B$492,MATCH(328,'Output Utente'!$R$2:$R$492,0)),"")</f>
        <v/>
      </c>
      <c r="D331" s="23" t="str">
        <f>IFERROR(INDEX('Output Utente'!$C$2:$C$492,MATCH(328,'Output Utente'!$R$2:$R$492,0)),"")</f>
        <v/>
      </c>
      <c r="E331" s="23" t="str">
        <f>IFERROR(INDEX('Input Giocatori 2026_27'!$D$3:$D$493,MATCH($B331,'Input Giocatori 2026_27'!$A$3:$A$493,0)),"")</f>
        <v/>
      </c>
      <c r="F331" s="24" t="str">
        <f>IFERROR(INDEX('Output Utente'!$N$2:$N$492,MATCH(328,'Output Utente'!$R$2:$R$492,0)),"")</f>
        <v/>
      </c>
      <c r="G331" s="23" t="str">
        <f>IFERROR(INDEX('Output Utente'!$O$2:$O$492,MATCH(328,'Output Utente'!$R$2:$R$492,0)),"")</f>
        <v/>
      </c>
      <c r="H331" s="23" t="str">
        <f>IFERROR(INDEX('Output Utente'!$P$2:$P$492,MATCH(328,'Output Utente'!$R$2:$R$492,0)),"")</f>
        <v/>
      </c>
      <c r="I331" s="24" t="str">
        <f>IFERROR(INDEX('Output Utente'!$F$2:$F$492,MATCH(328,'Output Utente'!$R$2:$R$492,0)),"")</f>
        <v/>
      </c>
      <c r="J331" s="24" t="str">
        <f>IFERROR(INDEX('Output Utente'!$G$2:$G$492,MATCH(328,'Output Utente'!$R$2:$R$492,0)),"")</f>
        <v/>
      </c>
      <c r="K331" s="24" t="str">
        <f>IFERROR(INDEX('Output Utente'!$H$2:$H$492,MATCH(328,'Output Utente'!$R$2:$R$492,0)),"")</f>
        <v/>
      </c>
      <c r="L331" s="23" t="str">
        <f>IFERROR(INDEX('Output Utente'!$E$2:$E$492,MATCH(328,'Output Utente'!$R$2:$R$492,0)),"")</f>
        <v/>
      </c>
      <c r="V331" t="str">
        <f>IFERROR(INDEX('Output Utente'!$M$2:$M$492,MATCH(328,'Output Utente'!$R$2:$R$492,0)),"")</f>
        <v/>
      </c>
      <c r="W331" t="str">
        <f t="shared" si="5"/>
        <v/>
      </c>
      <c r="X331" t="str">
        <f>IFERROR(INDEX('Output Utente'!$AF$2:$AF$492,MATCH(328,'Output Utente'!$R$2:$R$492,0)),"")</f>
        <v/>
      </c>
    </row>
    <row r="332" spans="1:24" ht="15" customHeight="1" x14ac:dyDescent="0.25">
      <c r="A332" s="26">
        <v>329</v>
      </c>
      <c r="B332" s="23" t="str">
        <f>IFERROR(INDEX('Output Utente'!$A$2:$A$492,MATCH(329,'Output Utente'!$R$2:$R$492,0)),"")</f>
        <v/>
      </c>
      <c r="C332" s="23" t="str">
        <f>IFERROR(INDEX('Output Utente'!$B$2:$B$492,MATCH(329,'Output Utente'!$R$2:$R$492,0)),"")</f>
        <v/>
      </c>
      <c r="D332" s="23" t="str">
        <f>IFERROR(INDEX('Output Utente'!$C$2:$C$492,MATCH(329,'Output Utente'!$R$2:$R$492,0)),"")</f>
        <v/>
      </c>
      <c r="E332" s="23" t="str">
        <f>IFERROR(INDEX('Input Giocatori 2026_27'!$D$3:$D$493,MATCH($B332,'Input Giocatori 2026_27'!$A$3:$A$493,0)),"")</f>
        <v/>
      </c>
      <c r="F332" s="24" t="str">
        <f>IFERROR(INDEX('Output Utente'!$N$2:$N$492,MATCH(329,'Output Utente'!$R$2:$R$492,0)),"")</f>
        <v/>
      </c>
      <c r="G332" s="23" t="str">
        <f>IFERROR(INDEX('Output Utente'!$O$2:$O$492,MATCH(329,'Output Utente'!$R$2:$R$492,0)),"")</f>
        <v/>
      </c>
      <c r="H332" s="23" t="str">
        <f>IFERROR(INDEX('Output Utente'!$P$2:$P$492,MATCH(329,'Output Utente'!$R$2:$R$492,0)),"")</f>
        <v/>
      </c>
      <c r="I332" s="24" t="str">
        <f>IFERROR(INDEX('Output Utente'!$F$2:$F$492,MATCH(329,'Output Utente'!$R$2:$R$492,0)),"")</f>
        <v/>
      </c>
      <c r="J332" s="24" t="str">
        <f>IFERROR(INDEX('Output Utente'!$G$2:$G$492,MATCH(329,'Output Utente'!$R$2:$R$492,0)),"")</f>
        <v/>
      </c>
      <c r="K332" s="24" t="str">
        <f>IFERROR(INDEX('Output Utente'!$H$2:$H$492,MATCH(329,'Output Utente'!$R$2:$R$492,0)),"")</f>
        <v/>
      </c>
      <c r="L332" s="23" t="str">
        <f>IFERROR(INDEX('Output Utente'!$E$2:$E$492,MATCH(329,'Output Utente'!$R$2:$R$492,0)),"")</f>
        <v/>
      </c>
      <c r="V332" t="str">
        <f>IFERROR(INDEX('Output Utente'!$M$2:$M$492,MATCH(329,'Output Utente'!$R$2:$R$492,0)),"")</f>
        <v/>
      </c>
      <c r="W332" t="str">
        <f t="shared" si="5"/>
        <v/>
      </c>
      <c r="X332" t="str">
        <f>IFERROR(INDEX('Output Utente'!$AF$2:$AF$492,MATCH(329,'Output Utente'!$R$2:$R$492,0)),"")</f>
        <v/>
      </c>
    </row>
    <row r="333" spans="1:24" ht="15" customHeight="1" x14ac:dyDescent="0.25">
      <c r="A333" s="26">
        <v>330</v>
      </c>
      <c r="B333" s="23" t="str">
        <f>IFERROR(INDEX('Output Utente'!$A$2:$A$492,MATCH(330,'Output Utente'!$R$2:$R$492,0)),"")</f>
        <v/>
      </c>
      <c r="C333" s="23" t="str">
        <f>IFERROR(INDEX('Output Utente'!$B$2:$B$492,MATCH(330,'Output Utente'!$R$2:$R$492,0)),"")</f>
        <v/>
      </c>
      <c r="D333" s="23" t="str">
        <f>IFERROR(INDEX('Output Utente'!$C$2:$C$492,MATCH(330,'Output Utente'!$R$2:$R$492,0)),"")</f>
        <v/>
      </c>
      <c r="E333" s="23" t="str">
        <f>IFERROR(INDEX('Input Giocatori 2026_27'!$D$3:$D$493,MATCH($B333,'Input Giocatori 2026_27'!$A$3:$A$493,0)),"")</f>
        <v/>
      </c>
      <c r="F333" s="24" t="str">
        <f>IFERROR(INDEX('Output Utente'!$N$2:$N$492,MATCH(330,'Output Utente'!$R$2:$R$492,0)),"")</f>
        <v/>
      </c>
      <c r="G333" s="23" t="str">
        <f>IFERROR(INDEX('Output Utente'!$O$2:$O$492,MATCH(330,'Output Utente'!$R$2:$R$492,0)),"")</f>
        <v/>
      </c>
      <c r="H333" s="23" t="str">
        <f>IFERROR(INDEX('Output Utente'!$P$2:$P$492,MATCH(330,'Output Utente'!$R$2:$R$492,0)),"")</f>
        <v/>
      </c>
      <c r="I333" s="24" t="str">
        <f>IFERROR(INDEX('Output Utente'!$F$2:$F$492,MATCH(330,'Output Utente'!$R$2:$R$492,0)),"")</f>
        <v/>
      </c>
      <c r="J333" s="24" t="str">
        <f>IFERROR(INDEX('Output Utente'!$G$2:$G$492,MATCH(330,'Output Utente'!$R$2:$R$492,0)),"")</f>
        <v/>
      </c>
      <c r="K333" s="24" t="str">
        <f>IFERROR(INDEX('Output Utente'!$H$2:$H$492,MATCH(330,'Output Utente'!$R$2:$R$492,0)),"")</f>
        <v/>
      </c>
      <c r="L333" s="23" t="str">
        <f>IFERROR(INDEX('Output Utente'!$E$2:$E$492,MATCH(330,'Output Utente'!$R$2:$R$492,0)),"")</f>
        <v/>
      </c>
      <c r="V333" t="str">
        <f>IFERROR(INDEX('Output Utente'!$M$2:$M$492,MATCH(330,'Output Utente'!$R$2:$R$492,0)),"")</f>
        <v/>
      </c>
      <c r="W333" t="str">
        <f t="shared" si="5"/>
        <v/>
      </c>
      <c r="X333" t="str">
        <f>IFERROR(INDEX('Output Utente'!$AF$2:$AF$492,MATCH(330,'Output Utente'!$R$2:$R$492,0)),"")</f>
        <v/>
      </c>
    </row>
    <row r="334" spans="1:24" ht="15" customHeight="1" x14ac:dyDescent="0.25">
      <c r="A334" s="26">
        <v>331</v>
      </c>
      <c r="B334" s="23" t="str">
        <f>IFERROR(INDEX('Output Utente'!$A$2:$A$492,MATCH(331,'Output Utente'!$R$2:$R$492,0)),"")</f>
        <v/>
      </c>
      <c r="C334" s="23" t="str">
        <f>IFERROR(INDEX('Output Utente'!$B$2:$B$492,MATCH(331,'Output Utente'!$R$2:$R$492,0)),"")</f>
        <v/>
      </c>
      <c r="D334" s="23" t="str">
        <f>IFERROR(INDEX('Output Utente'!$C$2:$C$492,MATCH(331,'Output Utente'!$R$2:$R$492,0)),"")</f>
        <v/>
      </c>
      <c r="E334" s="23" t="str">
        <f>IFERROR(INDEX('Input Giocatori 2026_27'!$D$3:$D$493,MATCH($B334,'Input Giocatori 2026_27'!$A$3:$A$493,0)),"")</f>
        <v/>
      </c>
      <c r="F334" s="24" t="str">
        <f>IFERROR(INDEX('Output Utente'!$N$2:$N$492,MATCH(331,'Output Utente'!$R$2:$R$492,0)),"")</f>
        <v/>
      </c>
      <c r="G334" s="23" t="str">
        <f>IFERROR(INDEX('Output Utente'!$O$2:$O$492,MATCH(331,'Output Utente'!$R$2:$R$492,0)),"")</f>
        <v/>
      </c>
      <c r="H334" s="23" t="str">
        <f>IFERROR(INDEX('Output Utente'!$P$2:$P$492,MATCH(331,'Output Utente'!$R$2:$R$492,0)),"")</f>
        <v/>
      </c>
      <c r="I334" s="24" t="str">
        <f>IFERROR(INDEX('Output Utente'!$F$2:$F$492,MATCH(331,'Output Utente'!$R$2:$R$492,0)),"")</f>
        <v/>
      </c>
      <c r="J334" s="24" t="str">
        <f>IFERROR(INDEX('Output Utente'!$G$2:$G$492,MATCH(331,'Output Utente'!$R$2:$R$492,0)),"")</f>
        <v/>
      </c>
      <c r="K334" s="24" t="str">
        <f>IFERROR(INDEX('Output Utente'!$H$2:$H$492,MATCH(331,'Output Utente'!$R$2:$R$492,0)),"")</f>
        <v/>
      </c>
      <c r="L334" s="23" t="str">
        <f>IFERROR(INDEX('Output Utente'!$E$2:$E$492,MATCH(331,'Output Utente'!$R$2:$R$492,0)),"")</f>
        <v/>
      </c>
      <c r="V334" t="str">
        <f>IFERROR(INDEX('Output Utente'!$M$2:$M$492,MATCH(331,'Output Utente'!$R$2:$R$492,0)),"")</f>
        <v/>
      </c>
      <c r="W334" t="str">
        <f t="shared" si="5"/>
        <v/>
      </c>
      <c r="X334" t="str">
        <f>IFERROR(INDEX('Output Utente'!$AF$2:$AF$492,MATCH(331,'Output Utente'!$R$2:$R$492,0)),"")</f>
        <v/>
      </c>
    </row>
    <row r="335" spans="1:24" ht="15" customHeight="1" x14ac:dyDescent="0.25">
      <c r="A335" s="26">
        <v>332</v>
      </c>
      <c r="B335" s="23" t="str">
        <f>IFERROR(INDEX('Output Utente'!$A$2:$A$492,MATCH(332,'Output Utente'!$R$2:$R$492,0)),"")</f>
        <v/>
      </c>
      <c r="C335" s="23" t="str">
        <f>IFERROR(INDEX('Output Utente'!$B$2:$B$492,MATCH(332,'Output Utente'!$R$2:$R$492,0)),"")</f>
        <v/>
      </c>
      <c r="D335" s="23" t="str">
        <f>IFERROR(INDEX('Output Utente'!$C$2:$C$492,MATCH(332,'Output Utente'!$R$2:$R$492,0)),"")</f>
        <v/>
      </c>
      <c r="E335" s="23" t="str">
        <f>IFERROR(INDEX('Input Giocatori 2026_27'!$D$3:$D$493,MATCH($B335,'Input Giocatori 2026_27'!$A$3:$A$493,0)),"")</f>
        <v/>
      </c>
      <c r="F335" s="24" t="str">
        <f>IFERROR(INDEX('Output Utente'!$N$2:$N$492,MATCH(332,'Output Utente'!$R$2:$R$492,0)),"")</f>
        <v/>
      </c>
      <c r="G335" s="23" t="str">
        <f>IFERROR(INDEX('Output Utente'!$O$2:$O$492,MATCH(332,'Output Utente'!$R$2:$R$492,0)),"")</f>
        <v/>
      </c>
      <c r="H335" s="23" t="str">
        <f>IFERROR(INDEX('Output Utente'!$P$2:$P$492,MATCH(332,'Output Utente'!$R$2:$R$492,0)),"")</f>
        <v/>
      </c>
      <c r="I335" s="24" t="str">
        <f>IFERROR(INDEX('Output Utente'!$F$2:$F$492,MATCH(332,'Output Utente'!$R$2:$R$492,0)),"")</f>
        <v/>
      </c>
      <c r="J335" s="24" t="str">
        <f>IFERROR(INDEX('Output Utente'!$G$2:$G$492,MATCH(332,'Output Utente'!$R$2:$R$492,0)),"")</f>
        <v/>
      </c>
      <c r="K335" s="24" t="str">
        <f>IFERROR(INDEX('Output Utente'!$H$2:$H$492,MATCH(332,'Output Utente'!$R$2:$R$492,0)),"")</f>
        <v/>
      </c>
      <c r="L335" s="23" t="str">
        <f>IFERROR(INDEX('Output Utente'!$E$2:$E$492,MATCH(332,'Output Utente'!$R$2:$R$492,0)),"")</f>
        <v/>
      </c>
      <c r="V335" t="str">
        <f>IFERROR(INDEX('Output Utente'!$M$2:$M$492,MATCH(332,'Output Utente'!$R$2:$R$492,0)),"")</f>
        <v/>
      </c>
      <c r="W335" t="str">
        <f t="shared" si="5"/>
        <v/>
      </c>
      <c r="X335" t="str">
        <f>IFERROR(INDEX('Output Utente'!$AF$2:$AF$492,MATCH(332,'Output Utente'!$R$2:$R$492,0)),"")</f>
        <v/>
      </c>
    </row>
    <row r="336" spans="1:24" ht="15" customHeight="1" x14ac:dyDescent="0.25">
      <c r="A336" s="26">
        <v>333</v>
      </c>
      <c r="B336" s="23" t="str">
        <f>IFERROR(INDEX('Output Utente'!$A$2:$A$492,MATCH(333,'Output Utente'!$R$2:$R$492,0)),"")</f>
        <v/>
      </c>
      <c r="C336" s="23" t="str">
        <f>IFERROR(INDEX('Output Utente'!$B$2:$B$492,MATCH(333,'Output Utente'!$R$2:$R$492,0)),"")</f>
        <v/>
      </c>
      <c r="D336" s="23" t="str">
        <f>IFERROR(INDEX('Output Utente'!$C$2:$C$492,MATCH(333,'Output Utente'!$R$2:$R$492,0)),"")</f>
        <v/>
      </c>
      <c r="E336" s="23" t="str">
        <f>IFERROR(INDEX('Input Giocatori 2026_27'!$D$3:$D$493,MATCH($B336,'Input Giocatori 2026_27'!$A$3:$A$493,0)),"")</f>
        <v/>
      </c>
      <c r="F336" s="24" t="str">
        <f>IFERROR(INDEX('Output Utente'!$N$2:$N$492,MATCH(333,'Output Utente'!$R$2:$R$492,0)),"")</f>
        <v/>
      </c>
      <c r="G336" s="23" t="str">
        <f>IFERROR(INDEX('Output Utente'!$O$2:$O$492,MATCH(333,'Output Utente'!$R$2:$R$492,0)),"")</f>
        <v/>
      </c>
      <c r="H336" s="23" t="str">
        <f>IFERROR(INDEX('Output Utente'!$P$2:$P$492,MATCH(333,'Output Utente'!$R$2:$R$492,0)),"")</f>
        <v/>
      </c>
      <c r="I336" s="24" t="str">
        <f>IFERROR(INDEX('Output Utente'!$F$2:$F$492,MATCH(333,'Output Utente'!$R$2:$R$492,0)),"")</f>
        <v/>
      </c>
      <c r="J336" s="24" t="str">
        <f>IFERROR(INDEX('Output Utente'!$G$2:$G$492,MATCH(333,'Output Utente'!$R$2:$R$492,0)),"")</f>
        <v/>
      </c>
      <c r="K336" s="24" t="str">
        <f>IFERROR(INDEX('Output Utente'!$H$2:$H$492,MATCH(333,'Output Utente'!$R$2:$R$492,0)),"")</f>
        <v/>
      </c>
      <c r="L336" s="23" t="str">
        <f>IFERROR(INDEX('Output Utente'!$E$2:$E$492,MATCH(333,'Output Utente'!$R$2:$R$492,0)),"")</f>
        <v/>
      </c>
      <c r="V336" t="str">
        <f>IFERROR(INDEX('Output Utente'!$M$2:$M$492,MATCH(333,'Output Utente'!$R$2:$R$492,0)),"")</f>
        <v/>
      </c>
      <c r="W336" t="str">
        <f t="shared" si="5"/>
        <v/>
      </c>
      <c r="X336" t="str">
        <f>IFERROR(INDEX('Output Utente'!$AF$2:$AF$492,MATCH(333,'Output Utente'!$R$2:$R$492,0)),"")</f>
        <v/>
      </c>
    </row>
    <row r="337" spans="1:24" ht="15" customHeight="1" x14ac:dyDescent="0.25">
      <c r="A337" s="26">
        <v>334</v>
      </c>
      <c r="B337" s="23" t="str">
        <f>IFERROR(INDEX('Output Utente'!$A$2:$A$492,MATCH(334,'Output Utente'!$R$2:$R$492,0)),"")</f>
        <v/>
      </c>
      <c r="C337" s="23" t="str">
        <f>IFERROR(INDEX('Output Utente'!$B$2:$B$492,MATCH(334,'Output Utente'!$R$2:$R$492,0)),"")</f>
        <v/>
      </c>
      <c r="D337" s="23" t="str">
        <f>IFERROR(INDEX('Output Utente'!$C$2:$C$492,MATCH(334,'Output Utente'!$R$2:$R$492,0)),"")</f>
        <v/>
      </c>
      <c r="E337" s="23" t="str">
        <f>IFERROR(INDEX('Input Giocatori 2026_27'!$D$3:$D$493,MATCH($B337,'Input Giocatori 2026_27'!$A$3:$A$493,0)),"")</f>
        <v/>
      </c>
      <c r="F337" s="24" t="str">
        <f>IFERROR(INDEX('Output Utente'!$N$2:$N$492,MATCH(334,'Output Utente'!$R$2:$R$492,0)),"")</f>
        <v/>
      </c>
      <c r="G337" s="23" t="str">
        <f>IFERROR(INDEX('Output Utente'!$O$2:$O$492,MATCH(334,'Output Utente'!$R$2:$R$492,0)),"")</f>
        <v/>
      </c>
      <c r="H337" s="23" t="str">
        <f>IFERROR(INDEX('Output Utente'!$P$2:$P$492,MATCH(334,'Output Utente'!$R$2:$R$492,0)),"")</f>
        <v/>
      </c>
      <c r="I337" s="24" t="str">
        <f>IFERROR(INDEX('Output Utente'!$F$2:$F$492,MATCH(334,'Output Utente'!$R$2:$R$492,0)),"")</f>
        <v/>
      </c>
      <c r="J337" s="24" t="str">
        <f>IFERROR(INDEX('Output Utente'!$G$2:$G$492,MATCH(334,'Output Utente'!$R$2:$R$492,0)),"")</f>
        <v/>
      </c>
      <c r="K337" s="24" t="str">
        <f>IFERROR(INDEX('Output Utente'!$H$2:$H$492,MATCH(334,'Output Utente'!$R$2:$R$492,0)),"")</f>
        <v/>
      </c>
      <c r="L337" s="23" t="str">
        <f>IFERROR(INDEX('Output Utente'!$E$2:$E$492,MATCH(334,'Output Utente'!$R$2:$R$492,0)),"")</f>
        <v/>
      </c>
      <c r="V337" t="str">
        <f>IFERROR(INDEX('Output Utente'!$M$2:$M$492,MATCH(334,'Output Utente'!$R$2:$R$492,0)),"")</f>
        <v/>
      </c>
      <c r="W337" t="str">
        <f t="shared" si="5"/>
        <v/>
      </c>
      <c r="X337" t="str">
        <f>IFERROR(INDEX('Output Utente'!$AF$2:$AF$492,MATCH(334,'Output Utente'!$R$2:$R$492,0)),"")</f>
        <v/>
      </c>
    </row>
    <row r="338" spans="1:24" ht="15" customHeight="1" x14ac:dyDescent="0.25">
      <c r="A338" s="26">
        <v>335</v>
      </c>
      <c r="B338" s="23" t="str">
        <f>IFERROR(INDEX('Output Utente'!$A$2:$A$492,MATCH(335,'Output Utente'!$R$2:$R$492,0)),"")</f>
        <v/>
      </c>
      <c r="C338" s="23" t="str">
        <f>IFERROR(INDEX('Output Utente'!$B$2:$B$492,MATCH(335,'Output Utente'!$R$2:$R$492,0)),"")</f>
        <v/>
      </c>
      <c r="D338" s="23" t="str">
        <f>IFERROR(INDEX('Output Utente'!$C$2:$C$492,MATCH(335,'Output Utente'!$R$2:$R$492,0)),"")</f>
        <v/>
      </c>
      <c r="E338" s="23" t="str">
        <f>IFERROR(INDEX('Input Giocatori 2026_27'!$D$3:$D$493,MATCH($B338,'Input Giocatori 2026_27'!$A$3:$A$493,0)),"")</f>
        <v/>
      </c>
      <c r="F338" s="24" t="str">
        <f>IFERROR(INDEX('Output Utente'!$N$2:$N$492,MATCH(335,'Output Utente'!$R$2:$R$492,0)),"")</f>
        <v/>
      </c>
      <c r="G338" s="23" t="str">
        <f>IFERROR(INDEX('Output Utente'!$O$2:$O$492,MATCH(335,'Output Utente'!$R$2:$R$492,0)),"")</f>
        <v/>
      </c>
      <c r="H338" s="23" t="str">
        <f>IFERROR(INDEX('Output Utente'!$P$2:$P$492,MATCH(335,'Output Utente'!$R$2:$R$492,0)),"")</f>
        <v/>
      </c>
      <c r="I338" s="24" t="str">
        <f>IFERROR(INDEX('Output Utente'!$F$2:$F$492,MATCH(335,'Output Utente'!$R$2:$R$492,0)),"")</f>
        <v/>
      </c>
      <c r="J338" s="24" t="str">
        <f>IFERROR(INDEX('Output Utente'!$G$2:$G$492,MATCH(335,'Output Utente'!$R$2:$R$492,0)),"")</f>
        <v/>
      </c>
      <c r="K338" s="24" t="str">
        <f>IFERROR(INDEX('Output Utente'!$H$2:$H$492,MATCH(335,'Output Utente'!$R$2:$R$492,0)),"")</f>
        <v/>
      </c>
      <c r="L338" s="23" t="str">
        <f>IFERROR(INDEX('Output Utente'!$E$2:$E$492,MATCH(335,'Output Utente'!$R$2:$R$492,0)),"")</f>
        <v/>
      </c>
      <c r="V338" t="str">
        <f>IFERROR(INDEX('Output Utente'!$M$2:$M$492,MATCH(335,'Output Utente'!$R$2:$R$492,0)),"")</f>
        <v/>
      </c>
      <c r="W338" t="str">
        <f t="shared" si="5"/>
        <v/>
      </c>
      <c r="X338" t="str">
        <f>IFERROR(INDEX('Output Utente'!$AF$2:$AF$492,MATCH(335,'Output Utente'!$R$2:$R$492,0)),"")</f>
        <v/>
      </c>
    </row>
    <row r="339" spans="1:24" ht="15" customHeight="1" x14ac:dyDescent="0.25">
      <c r="A339" s="26">
        <v>336</v>
      </c>
      <c r="B339" s="23" t="str">
        <f>IFERROR(INDEX('Output Utente'!$A$2:$A$492,MATCH(336,'Output Utente'!$R$2:$R$492,0)),"")</f>
        <v/>
      </c>
      <c r="C339" s="23" t="str">
        <f>IFERROR(INDEX('Output Utente'!$B$2:$B$492,MATCH(336,'Output Utente'!$R$2:$R$492,0)),"")</f>
        <v/>
      </c>
      <c r="D339" s="23" t="str">
        <f>IFERROR(INDEX('Output Utente'!$C$2:$C$492,MATCH(336,'Output Utente'!$R$2:$R$492,0)),"")</f>
        <v/>
      </c>
      <c r="E339" s="23" t="str">
        <f>IFERROR(INDEX('Input Giocatori 2026_27'!$D$3:$D$493,MATCH($B339,'Input Giocatori 2026_27'!$A$3:$A$493,0)),"")</f>
        <v/>
      </c>
      <c r="F339" s="24" t="str">
        <f>IFERROR(INDEX('Output Utente'!$N$2:$N$492,MATCH(336,'Output Utente'!$R$2:$R$492,0)),"")</f>
        <v/>
      </c>
      <c r="G339" s="23" t="str">
        <f>IFERROR(INDEX('Output Utente'!$O$2:$O$492,MATCH(336,'Output Utente'!$R$2:$R$492,0)),"")</f>
        <v/>
      </c>
      <c r="H339" s="23" t="str">
        <f>IFERROR(INDEX('Output Utente'!$P$2:$P$492,MATCH(336,'Output Utente'!$R$2:$R$492,0)),"")</f>
        <v/>
      </c>
      <c r="I339" s="24" t="str">
        <f>IFERROR(INDEX('Output Utente'!$F$2:$F$492,MATCH(336,'Output Utente'!$R$2:$R$492,0)),"")</f>
        <v/>
      </c>
      <c r="J339" s="24" t="str">
        <f>IFERROR(INDEX('Output Utente'!$G$2:$G$492,MATCH(336,'Output Utente'!$R$2:$R$492,0)),"")</f>
        <v/>
      </c>
      <c r="K339" s="24" t="str">
        <f>IFERROR(INDEX('Output Utente'!$H$2:$H$492,MATCH(336,'Output Utente'!$R$2:$R$492,0)),"")</f>
        <v/>
      </c>
      <c r="L339" s="23" t="str">
        <f>IFERROR(INDEX('Output Utente'!$E$2:$E$492,MATCH(336,'Output Utente'!$R$2:$R$492,0)),"")</f>
        <v/>
      </c>
      <c r="V339" t="str">
        <f>IFERROR(INDEX('Output Utente'!$M$2:$M$492,MATCH(336,'Output Utente'!$R$2:$R$492,0)),"")</f>
        <v/>
      </c>
      <c r="W339" t="str">
        <f t="shared" si="5"/>
        <v/>
      </c>
      <c r="X339" t="str">
        <f>IFERROR(INDEX('Output Utente'!$AF$2:$AF$492,MATCH(336,'Output Utente'!$R$2:$R$492,0)),"")</f>
        <v/>
      </c>
    </row>
    <row r="340" spans="1:24" ht="15" customHeight="1" x14ac:dyDescent="0.25">
      <c r="A340" s="26">
        <v>337</v>
      </c>
      <c r="B340" s="23" t="str">
        <f>IFERROR(INDEX('Output Utente'!$A$2:$A$492,MATCH(337,'Output Utente'!$R$2:$R$492,0)),"")</f>
        <v/>
      </c>
      <c r="C340" s="23" t="str">
        <f>IFERROR(INDEX('Output Utente'!$B$2:$B$492,MATCH(337,'Output Utente'!$R$2:$R$492,0)),"")</f>
        <v/>
      </c>
      <c r="D340" s="23" t="str">
        <f>IFERROR(INDEX('Output Utente'!$C$2:$C$492,MATCH(337,'Output Utente'!$R$2:$R$492,0)),"")</f>
        <v/>
      </c>
      <c r="E340" s="23" t="str">
        <f>IFERROR(INDEX('Input Giocatori 2026_27'!$D$3:$D$493,MATCH($B340,'Input Giocatori 2026_27'!$A$3:$A$493,0)),"")</f>
        <v/>
      </c>
      <c r="F340" s="24" t="str">
        <f>IFERROR(INDEX('Output Utente'!$N$2:$N$492,MATCH(337,'Output Utente'!$R$2:$R$492,0)),"")</f>
        <v/>
      </c>
      <c r="G340" s="23" t="str">
        <f>IFERROR(INDEX('Output Utente'!$O$2:$O$492,MATCH(337,'Output Utente'!$R$2:$R$492,0)),"")</f>
        <v/>
      </c>
      <c r="H340" s="23" t="str">
        <f>IFERROR(INDEX('Output Utente'!$P$2:$P$492,MATCH(337,'Output Utente'!$R$2:$R$492,0)),"")</f>
        <v/>
      </c>
      <c r="I340" s="24" t="str">
        <f>IFERROR(INDEX('Output Utente'!$F$2:$F$492,MATCH(337,'Output Utente'!$R$2:$R$492,0)),"")</f>
        <v/>
      </c>
      <c r="J340" s="24" t="str">
        <f>IFERROR(INDEX('Output Utente'!$G$2:$G$492,MATCH(337,'Output Utente'!$R$2:$R$492,0)),"")</f>
        <v/>
      </c>
      <c r="K340" s="24" t="str">
        <f>IFERROR(INDEX('Output Utente'!$H$2:$H$492,MATCH(337,'Output Utente'!$R$2:$R$492,0)),"")</f>
        <v/>
      </c>
      <c r="L340" s="23" t="str">
        <f>IFERROR(INDEX('Output Utente'!$E$2:$E$492,MATCH(337,'Output Utente'!$R$2:$R$492,0)),"")</f>
        <v/>
      </c>
      <c r="V340" t="str">
        <f>IFERROR(INDEX('Output Utente'!$M$2:$M$492,MATCH(337,'Output Utente'!$R$2:$R$492,0)),"")</f>
        <v/>
      </c>
      <c r="W340" t="str">
        <f t="shared" si="5"/>
        <v/>
      </c>
      <c r="X340" t="str">
        <f>IFERROR(INDEX('Output Utente'!$AF$2:$AF$492,MATCH(337,'Output Utente'!$R$2:$R$492,0)),"")</f>
        <v/>
      </c>
    </row>
    <row r="341" spans="1:24" ht="15" customHeight="1" x14ac:dyDescent="0.25">
      <c r="A341" s="26">
        <v>338</v>
      </c>
      <c r="B341" s="23" t="str">
        <f>IFERROR(INDEX('Output Utente'!$A$2:$A$492,MATCH(338,'Output Utente'!$R$2:$R$492,0)),"")</f>
        <v/>
      </c>
      <c r="C341" s="23" t="str">
        <f>IFERROR(INDEX('Output Utente'!$B$2:$B$492,MATCH(338,'Output Utente'!$R$2:$R$492,0)),"")</f>
        <v/>
      </c>
      <c r="D341" s="23" t="str">
        <f>IFERROR(INDEX('Output Utente'!$C$2:$C$492,MATCH(338,'Output Utente'!$R$2:$R$492,0)),"")</f>
        <v/>
      </c>
      <c r="E341" s="23" t="str">
        <f>IFERROR(INDEX('Input Giocatori 2026_27'!$D$3:$D$493,MATCH($B341,'Input Giocatori 2026_27'!$A$3:$A$493,0)),"")</f>
        <v/>
      </c>
      <c r="F341" s="24" t="str">
        <f>IFERROR(INDEX('Output Utente'!$N$2:$N$492,MATCH(338,'Output Utente'!$R$2:$R$492,0)),"")</f>
        <v/>
      </c>
      <c r="G341" s="23" t="str">
        <f>IFERROR(INDEX('Output Utente'!$O$2:$O$492,MATCH(338,'Output Utente'!$R$2:$R$492,0)),"")</f>
        <v/>
      </c>
      <c r="H341" s="23" t="str">
        <f>IFERROR(INDEX('Output Utente'!$P$2:$P$492,MATCH(338,'Output Utente'!$R$2:$R$492,0)),"")</f>
        <v/>
      </c>
      <c r="I341" s="24" t="str">
        <f>IFERROR(INDEX('Output Utente'!$F$2:$F$492,MATCH(338,'Output Utente'!$R$2:$R$492,0)),"")</f>
        <v/>
      </c>
      <c r="J341" s="24" t="str">
        <f>IFERROR(INDEX('Output Utente'!$G$2:$G$492,MATCH(338,'Output Utente'!$R$2:$R$492,0)),"")</f>
        <v/>
      </c>
      <c r="K341" s="24" t="str">
        <f>IFERROR(INDEX('Output Utente'!$H$2:$H$492,MATCH(338,'Output Utente'!$R$2:$R$492,0)),"")</f>
        <v/>
      </c>
      <c r="L341" s="23" t="str">
        <f>IFERROR(INDEX('Output Utente'!$E$2:$E$492,MATCH(338,'Output Utente'!$R$2:$R$492,0)),"")</f>
        <v/>
      </c>
      <c r="V341" t="str">
        <f>IFERROR(INDEX('Output Utente'!$M$2:$M$492,MATCH(338,'Output Utente'!$R$2:$R$492,0)),"")</f>
        <v/>
      </c>
      <c r="W341" t="str">
        <f t="shared" si="5"/>
        <v/>
      </c>
      <c r="X341" t="str">
        <f>IFERROR(INDEX('Output Utente'!$AF$2:$AF$492,MATCH(338,'Output Utente'!$R$2:$R$492,0)),"")</f>
        <v/>
      </c>
    </row>
    <row r="342" spans="1:24" ht="15" customHeight="1" x14ac:dyDescent="0.25">
      <c r="A342" s="26">
        <v>339</v>
      </c>
      <c r="B342" s="23" t="str">
        <f>IFERROR(INDEX('Output Utente'!$A$2:$A$492,MATCH(339,'Output Utente'!$R$2:$R$492,0)),"")</f>
        <v/>
      </c>
      <c r="C342" s="23" t="str">
        <f>IFERROR(INDEX('Output Utente'!$B$2:$B$492,MATCH(339,'Output Utente'!$R$2:$R$492,0)),"")</f>
        <v/>
      </c>
      <c r="D342" s="23" t="str">
        <f>IFERROR(INDEX('Output Utente'!$C$2:$C$492,MATCH(339,'Output Utente'!$R$2:$R$492,0)),"")</f>
        <v/>
      </c>
      <c r="E342" s="23" t="str">
        <f>IFERROR(INDEX('Input Giocatori 2026_27'!$D$3:$D$493,MATCH($B342,'Input Giocatori 2026_27'!$A$3:$A$493,0)),"")</f>
        <v/>
      </c>
      <c r="F342" s="24" t="str">
        <f>IFERROR(INDEX('Output Utente'!$N$2:$N$492,MATCH(339,'Output Utente'!$R$2:$R$492,0)),"")</f>
        <v/>
      </c>
      <c r="G342" s="23" t="str">
        <f>IFERROR(INDEX('Output Utente'!$O$2:$O$492,MATCH(339,'Output Utente'!$R$2:$R$492,0)),"")</f>
        <v/>
      </c>
      <c r="H342" s="23" t="str">
        <f>IFERROR(INDEX('Output Utente'!$P$2:$P$492,MATCH(339,'Output Utente'!$R$2:$R$492,0)),"")</f>
        <v/>
      </c>
      <c r="I342" s="24" t="str">
        <f>IFERROR(INDEX('Output Utente'!$F$2:$F$492,MATCH(339,'Output Utente'!$R$2:$R$492,0)),"")</f>
        <v/>
      </c>
      <c r="J342" s="24" t="str">
        <f>IFERROR(INDEX('Output Utente'!$G$2:$G$492,MATCH(339,'Output Utente'!$R$2:$R$492,0)),"")</f>
        <v/>
      </c>
      <c r="K342" s="24" t="str">
        <f>IFERROR(INDEX('Output Utente'!$H$2:$H$492,MATCH(339,'Output Utente'!$R$2:$R$492,0)),"")</f>
        <v/>
      </c>
      <c r="L342" s="23" t="str">
        <f>IFERROR(INDEX('Output Utente'!$E$2:$E$492,MATCH(339,'Output Utente'!$R$2:$R$492,0)),"")</f>
        <v/>
      </c>
      <c r="V342" t="str">
        <f>IFERROR(INDEX('Output Utente'!$M$2:$M$492,MATCH(339,'Output Utente'!$R$2:$R$492,0)),"")</f>
        <v/>
      </c>
      <c r="W342" t="str">
        <f t="shared" si="5"/>
        <v/>
      </c>
      <c r="X342" t="str">
        <f>IFERROR(INDEX('Output Utente'!$AF$2:$AF$492,MATCH(339,'Output Utente'!$R$2:$R$492,0)),"")</f>
        <v/>
      </c>
    </row>
    <row r="343" spans="1:24" ht="15" customHeight="1" x14ac:dyDescent="0.25">
      <c r="A343" s="26">
        <v>340</v>
      </c>
      <c r="B343" s="23" t="str">
        <f>IFERROR(INDEX('Output Utente'!$A$2:$A$492,MATCH(340,'Output Utente'!$R$2:$R$492,0)),"")</f>
        <v/>
      </c>
      <c r="C343" s="23" t="str">
        <f>IFERROR(INDEX('Output Utente'!$B$2:$B$492,MATCH(340,'Output Utente'!$R$2:$R$492,0)),"")</f>
        <v/>
      </c>
      <c r="D343" s="23" t="str">
        <f>IFERROR(INDEX('Output Utente'!$C$2:$C$492,MATCH(340,'Output Utente'!$R$2:$R$492,0)),"")</f>
        <v/>
      </c>
      <c r="E343" s="23" t="str">
        <f>IFERROR(INDEX('Input Giocatori 2026_27'!$D$3:$D$493,MATCH($B343,'Input Giocatori 2026_27'!$A$3:$A$493,0)),"")</f>
        <v/>
      </c>
      <c r="F343" s="24" t="str">
        <f>IFERROR(INDEX('Output Utente'!$N$2:$N$492,MATCH(340,'Output Utente'!$R$2:$R$492,0)),"")</f>
        <v/>
      </c>
      <c r="G343" s="23" t="str">
        <f>IFERROR(INDEX('Output Utente'!$O$2:$O$492,MATCH(340,'Output Utente'!$R$2:$R$492,0)),"")</f>
        <v/>
      </c>
      <c r="H343" s="23" t="str">
        <f>IFERROR(INDEX('Output Utente'!$P$2:$P$492,MATCH(340,'Output Utente'!$R$2:$R$492,0)),"")</f>
        <v/>
      </c>
      <c r="I343" s="24" t="str">
        <f>IFERROR(INDEX('Output Utente'!$F$2:$F$492,MATCH(340,'Output Utente'!$R$2:$R$492,0)),"")</f>
        <v/>
      </c>
      <c r="J343" s="24" t="str">
        <f>IFERROR(INDEX('Output Utente'!$G$2:$G$492,MATCH(340,'Output Utente'!$R$2:$R$492,0)),"")</f>
        <v/>
      </c>
      <c r="K343" s="24" t="str">
        <f>IFERROR(INDEX('Output Utente'!$H$2:$H$492,MATCH(340,'Output Utente'!$R$2:$R$492,0)),"")</f>
        <v/>
      </c>
      <c r="L343" s="23" t="str">
        <f>IFERROR(INDEX('Output Utente'!$E$2:$E$492,MATCH(340,'Output Utente'!$R$2:$R$492,0)),"")</f>
        <v/>
      </c>
      <c r="V343" t="str">
        <f>IFERROR(INDEX('Output Utente'!$M$2:$M$492,MATCH(340,'Output Utente'!$R$2:$R$492,0)),"")</f>
        <v/>
      </c>
      <c r="W343" t="str">
        <f t="shared" si="5"/>
        <v/>
      </c>
      <c r="X343" t="str">
        <f>IFERROR(INDEX('Output Utente'!$AF$2:$AF$492,MATCH(340,'Output Utente'!$R$2:$R$492,0)),"")</f>
        <v/>
      </c>
    </row>
    <row r="344" spans="1:24" ht="15" customHeight="1" x14ac:dyDescent="0.25">
      <c r="A344" s="26">
        <v>341</v>
      </c>
      <c r="B344" s="23" t="str">
        <f>IFERROR(INDEX('Output Utente'!$A$2:$A$492,MATCH(341,'Output Utente'!$R$2:$R$492,0)),"")</f>
        <v/>
      </c>
      <c r="C344" s="23" t="str">
        <f>IFERROR(INDEX('Output Utente'!$B$2:$B$492,MATCH(341,'Output Utente'!$R$2:$R$492,0)),"")</f>
        <v/>
      </c>
      <c r="D344" s="23" t="str">
        <f>IFERROR(INDEX('Output Utente'!$C$2:$C$492,MATCH(341,'Output Utente'!$R$2:$R$492,0)),"")</f>
        <v/>
      </c>
      <c r="E344" s="23" t="str">
        <f>IFERROR(INDEX('Input Giocatori 2026_27'!$D$3:$D$493,MATCH($B344,'Input Giocatori 2026_27'!$A$3:$A$493,0)),"")</f>
        <v/>
      </c>
      <c r="F344" s="24" t="str">
        <f>IFERROR(INDEX('Output Utente'!$N$2:$N$492,MATCH(341,'Output Utente'!$R$2:$R$492,0)),"")</f>
        <v/>
      </c>
      <c r="G344" s="23" t="str">
        <f>IFERROR(INDEX('Output Utente'!$O$2:$O$492,MATCH(341,'Output Utente'!$R$2:$R$492,0)),"")</f>
        <v/>
      </c>
      <c r="H344" s="23" t="str">
        <f>IFERROR(INDEX('Output Utente'!$P$2:$P$492,MATCH(341,'Output Utente'!$R$2:$R$492,0)),"")</f>
        <v/>
      </c>
      <c r="I344" s="24" t="str">
        <f>IFERROR(INDEX('Output Utente'!$F$2:$F$492,MATCH(341,'Output Utente'!$R$2:$R$492,0)),"")</f>
        <v/>
      </c>
      <c r="J344" s="24" t="str">
        <f>IFERROR(INDEX('Output Utente'!$G$2:$G$492,MATCH(341,'Output Utente'!$R$2:$R$492,0)),"")</f>
        <v/>
      </c>
      <c r="K344" s="24" t="str">
        <f>IFERROR(INDEX('Output Utente'!$H$2:$H$492,MATCH(341,'Output Utente'!$R$2:$R$492,0)),"")</f>
        <v/>
      </c>
      <c r="L344" s="23" t="str">
        <f>IFERROR(INDEX('Output Utente'!$E$2:$E$492,MATCH(341,'Output Utente'!$R$2:$R$492,0)),"")</f>
        <v/>
      </c>
      <c r="V344" t="str">
        <f>IFERROR(INDEX('Output Utente'!$M$2:$M$492,MATCH(341,'Output Utente'!$R$2:$R$492,0)),"")</f>
        <v/>
      </c>
      <c r="W344" t="str">
        <f t="shared" si="5"/>
        <v/>
      </c>
      <c r="X344" t="str">
        <f>IFERROR(INDEX('Output Utente'!$AF$2:$AF$492,MATCH(341,'Output Utente'!$R$2:$R$492,0)),"")</f>
        <v/>
      </c>
    </row>
    <row r="345" spans="1:24" ht="15" customHeight="1" x14ac:dyDescent="0.25">
      <c r="A345" s="26">
        <v>342</v>
      </c>
      <c r="B345" s="23" t="str">
        <f>IFERROR(INDEX('Output Utente'!$A$2:$A$492,MATCH(342,'Output Utente'!$R$2:$R$492,0)),"")</f>
        <v/>
      </c>
      <c r="C345" s="23" t="str">
        <f>IFERROR(INDEX('Output Utente'!$B$2:$B$492,MATCH(342,'Output Utente'!$R$2:$R$492,0)),"")</f>
        <v/>
      </c>
      <c r="D345" s="23" t="str">
        <f>IFERROR(INDEX('Output Utente'!$C$2:$C$492,MATCH(342,'Output Utente'!$R$2:$R$492,0)),"")</f>
        <v/>
      </c>
      <c r="E345" s="23" t="str">
        <f>IFERROR(INDEX('Input Giocatori 2026_27'!$D$3:$D$493,MATCH($B345,'Input Giocatori 2026_27'!$A$3:$A$493,0)),"")</f>
        <v/>
      </c>
      <c r="F345" s="24" t="str">
        <f>IFERROR(INDEX('Output Utente'!$N$2:$N$492,MATCH(342,'Output Utente'!$R$2:$R$492,0)),"")</f>
        <v/>
      </c>
      <c r="G345" s="23" t="str">
        <f>IFERROR(INDEX('Output Utente'!$O$2:$O$492,MATCH(342,'Output Utente'!$R$2:$R$492,0)),"")</f>
        <v/>
      </c>
      <c r="H345" s="23" t="str">
        <f>IFERROR(INDEX('Output Utente'!$P$2:$P$492,MATCH(342,'Output Utente'!$R$2:$R$492,0)),"")</f>
        <v/>
      </c>
      <c r="I345" s="24" t="str">
        <f>IFERROR(INDEX('Output Utente'!$F$2:$F$492,MATCH(342,'Output Utente'!$R$2:$R$492,0)),"")</f>
        <v/>
      </c>
      <c r="J345" s="24" t="str">
        <f>IFERROR(INDEX('Output Utente'!$G$2:$G$492,MATCH(342,'Output Utente'!$R$2:$R$492,0)),"")</f>
        <v/>
      </c>
      <c r="K345" s="24" t="str">
        <f>IFERROR(INDEX('Output Utente'!$H$2:$H$492,MATCH(342,'Output Utente'!$R$2:$R$492,0)),"")</f>
        <v/>
      </c>
      <c r="L345" s="23" t="str">
        <f>IFERROR(INDEX('Output Utente'!$E$2:$E$492,MATCH(342,'Output Utente'!$R$2:$R$492,0)),"")</f>
        <v/>
      </c>
      <c r="V345" t="str">
        <f>IFERROR(INDEX('Output Utente'!$M$2:$M$492,MATCH(342,'Output Utente'!$R$2:$R$492,0)),"")</f>
        <v/>
      </c>
      <c r="W345" t="str">
        <f t="shared" si="5"/>
        <v/>
      </c>
      <c r="X345" t="str">
        <f>IFERROR(INDEX('Output Utente'!$AF$2:$AF$492,MATCH(342,'Output Utente'!$R$2:$R$492,0)),"")</f>
        <v/>
      </c>
    </row>
    <row r="346" spans="1:24" ht="15" customHeight="1" x14ac:dyDescent="0.25">
      <c r="A346" s="26">
        <v>343</v>
      </c>
      <c r="B346" s="23" t="str">
        <f>IFERROR(INDEX('Output Utente'!$A$2:$A$492,MATCH(343,'Output Utente'!$R$2:$R$492,0)),"")</f>
        <v/>
      </c>
      <c r="C346" s="23" t="str">
        <f>IFERROR(INDEX('Output Utente'!$B$2:$B$492,MATCH(343,'Output Utente'!$R$2:$R$492,0)),"")</f>
        <v/>
      </c>
      <c r="D346" s="23" t="str">
        <f>IFERROR(INDEX('Output Utente'!$C$2:$C$492,MATCH(343,'Output Utente'!$R$2:$R$492,0)),"")</f>
        <v/>
      </c>
      <c r="E346" s="23" t="str">
        <f>IFERROR(INDEX('Input Giocatori 2026_27'!$D$3:$D$493,MATCH($B346,'Input Giocatori 2026_27'!$A$3:$A$493,0)),"")</f>
        <v/>
      </c>
      <c r="F346" s="24" t="str">
        <f>IFERROR(INDEX('Output Utente'!$N$2:$N$492,MATCH(343,'Output Utente'!$R$2:$R$492,0)),"")</f>
        <v/>
      </c>
      <c r="G346" s="23" t="str">
        <f>IFERROR(INDEX('Output Utente'!$O$2:$O$492,MATCH(343,'Output Utente'!$R$2:$R$492,0)),"")</f>
        <v/>
      </c>
      <c r="H346" s="23" t="str">
        <f>IFERROR(INDEX('Output Utente'!$P$2:$P$492,MATCH(343,'Output Utente'!$R$2:$R$492,0)),"")</f>
        <v/>
      </c>
      <c r="I346" s="24" t="str">
        <f>IFERROR(INDEX('Output Utente'!$F$2:$F$492,MATCH(343,'Output Utente'!$R$2:$R$492,0)),"")</f>
        <v/>
      </c>
      <c r="J346" s="24" t="str">
        <f>IFERROR(INDEX('Output Utente'!$G$2:$G$492,MATCH(343,'Output Utente'!$R$2:$R$492,0)),"")</f>
        <v/>
      </c>
      <c r="K346" s="24" t="str">
        <f>IFERROR(INDEX('Output Utente'!$H$2:$H$492,MATCH(343,'Output Utente'!$R$2:$R$492,0)),"")</f>
        <v/>
      </c>
      <c r="L346" s="23" t="str">
        <f>IFERROR(INDEX('Output Utente'!$E$2:$E$492,MATCH(343,'Output Utente'!$R$2:$R$492,0)),"")</f>
        <v/>
      </c>
      <c r="V346" t="str">
        <f>IFERROR(INDEX('Output Utente'!$M$2:$M$492,MATCH(343,'Output Utente'!$R$2:$R$492,0)),"")</f>
        <v/>
      </c>
      <c r="W346" t="str">
        <f t="shared" si="5"/>
        <v/>
      </c>
      <c r="X346" t="str">
        <f>IFERROR(INDEX('Output Utente'!$AF$2:$AF$492,MATCH(343,'Output Utente'!$R$2:$R$492,0)),"")</f>
        <v/>
      </c>
    </row>
    <row r="347" spans="1:24" ht="15" customHeight="1" x14ac:dyDescent="0.25">
      <c r="A347" s="26">
        <v>344</v>
      </c>
      <c r="B347" s="23" t="str">
        <f>IFERROR(INDEX('Output Utente'!$A$2:$A$492,MATCH(344,'Output Utente'!$R$2:$R$492,0)),"")</f>
        <v/>
      </c>
      <c r="C347" s="23" t="str">
        <f>IFERROR(INDEX('Output Utente'!$B$2:$B$492,MATCH(344,'Output Utente'!$R$2:$R$492,0)),"")</f>
        <v/>
      </c>
      <c r="D347" s="23" t="str">
        <f>IFERROR(INDEX('Output Utente'!$C$2:$C$492,MATCH(344,'Output Utente'!$R$2:$R$492,0)),"")</f>
        <v/>
      </c>
      <c r="E347" s="23" t="str">
        <f>IFERROR(INDEX('Input Giocatori 2026_27'!$D$3:$D$493,MATCH($B347,'Input Giocatori 2026_27'!$A$3:$A$493,0)),"")</f>
        <v/>
      </c>
      <c r="F347" s="24" t="str">
        <f>IFERROR(INDEX('Output Utente'!$N$2:$N$492,MATCH(344,'Output Utente'!$R$2:$R$492,0)),"")</f>
        <v/>
      </c>
      <c r="G347" s="23" t="str">
        <f>IFERROR(INDEX('Output Utente'!$O$2:$O$492,MATCH(344,'Output Utente'!$R$2:$R$492,0)),"")</f>
        <v/>
      </c>
      <c r="H347" s="23" t="str">
        <f>IFERROR(INDEX('Output Utente'!$P$2:$P$492,MATCH(344,'Output Utente'!$R$2:$R$492,0)),"")</f>
        <v/>
      </c>
      <c r="I347" s="24" t="str">
        <f>IFERROR(INDEX('Output Utente'!$F$2:$F$492,MATCH(344,'Output Utente'!$R$2:$R$492,0)),"")</f>
        <v/>
      </c>
      <c r="J347" s="24" t="str">
        <f>IFERROR(INDEX('Output Utente'!$G$2:$G$492,MATCH(344,'Output Utente'!$R$2:$R$492,0)),"")</f>
        <v/>
      </c>
      <c r="K347" s="24" t="str">
        <f>IFERROR(INDEX('Output Utente'!$H$2:$H$492,MATCH(344,'Output Utente'!$R$2:$R$492,0)),"")</f>
        <v/>
      </c>
      <c r="L347" s="23" t="str">
        <f>IFERROR(INDEX('Output Utente'!$E$2:$E$492,MATCH(344,'Output Utente'!$R$2:$R$492,0)),"")</f>
        <v/>
      </c>
      <c r="V347" t="str">
        <f>IFERROR(INDEX('Output Utente'!$M$2:$M$492,MATCH(344,'Output Utente'!$R$2:$R$492,0)),"")</f>
        <v/>
      </c>
      <c r="W347" t="str">
        <f t="shared" si="5"/>
        <v/>
      </c>
      <c r="X347" t="str">
        <f>IFERROR(INDEX('Output Utente'!$AF$2:$AF$492,MATCH(344,'Output Utente'!$R$2:$R$492,0)),"")</f>
        <v/>
      </c>
    </row>
    <row r="348" spans="1:24" ht="15" customHeight="1" x14ac:dyDescent="0.25">
      <c r="A348" s="26">
        <v>345</v>
      </c>
      <c r="B348" s="23" t="str">
        <f>IFERROR(INDEX('Output Utente'!$A$2:$A$492,MATCH(345,'Output Utente'!$R$2:$R$492,0)),"")</f>
        <v/>
      </c>
      <c r="C348" s="23" t="str">
        <f>IFERROR(INDEX('Output Utente'!$B$2:$B$492,MATCH(345,'Output Utente'!$R$2:$R$492,0)),"")</f>
        <v/>
      </c>
      <c r="D348" s="23" t="str">
        <f>IFERROR(INDEX('Output Utente'!$C$2:$C$492,MATCH(345,'Output Utente'!$R$2:$R$492,0)),"")</f>
        <v/>
      </c>
      <c r="E348" s="23" t="str">
        <f>IFERROR(INDEX('Input Giocatori 2026_27'!$D$3:$D$493,MATCH($B348,'Input Giocatori 2026_27'!$A$3:$A$493,0)),"")</f>
        <v/>
      </c>
      <c r="F348" s="24" t="str">
        <f>IFERROR(INDEX('Output Utente'!$N$2:$N$492,MATCH(345,'Output Utente'!$R$2:$R$492,0)),"")</f>
        <v/>
      </c>
      <c r="G348" s="23" t="str">
        <f>IFERROR(INDEX('Output Utente'!$O$2:$O$492,MATCH(345,'Output Utente'!$R$2:$R$492,0)),"")</f>
        <v/>
      </c>
      <c r="H348" s="23" t="str">
        <f>IFERROR(INDEX('Output Utente'!$P$2:$P$492,MATCH(345,'Output Utente'!$R$2:$R$492,0)),"")</f>
        <v/>
      </c>
      <c r="I348" s="24" t="str">
        <f>IFERROR(INDEX('Output Utente'!$F$2:$F$492,MATCH(345,'Output Utente'!$R$2:$R$492,0)),"")</f>
        <v/>
      </c>
      <c r="J348" s="24" t="str">
        <f>IFERROR(INDEX('Output Utente'!$G$2:$G$492,MATCH(345,'Output Utente'!$R$2:$R$492,0)),"")</f>
        <v/>
      </c>
      <c r="K348" s="24" t="str">
        <f>IFERROR(INDEX('Output Utente'!$H$2:$H$492,MATCH(345,'Output Utente'!$R$2:$R$492,0)),"")</f>
        <v/>
      </c>
      <c r="L348" s="23" t="str">
        <f>IFERROR(INDEX('Output Utente'!$E$2:$E$492,MATCH(345,'Output Utente'!$R$2:$R$492,0)),"")</f>
        <v/>
      </c>
      <c r="V348" t="str">
        <f>IFERROR(INDEX('Output Utente'!$M$2:$M$492,MATCH(345,'Output Utente'!$R$2:$R$492,0)),"")</f>
        <v/>
      </c>
      <c r="W348" t="str">
        <f t="shared" si="5"/>
        <v/>
      </c>
      <c r="X348" t="str">
        <f>IFERROR(INDEX('Output Utente'!$AF$2:$AF$492,MATCH(345,'Output Utente'!$R$2:$R$492,0)),"")</f>
        <v/>
      </c>
    </row>
    <row r="349" spans="1:24" ht="15" customHeight="1" x14ac:dyDescent="0.25">
      <c r="A349" s="26">
        <v>346</v>
      </c>
      <c r="B349" s="23" t="str">
        <f>IFERROR(INDEX('Output Utente'!$A$2:$A$492,MATCH(346,'Output Utente'!$R$2:$R$492,0)),"")</f>
        <v/>
      </c>
      <c r="C349" s="23" t="str">
        <f>IFERROR(INDEX('Output Utente'!$B$2:$B$492,MATCH(346,'Output Utente'!$R$2:$R$492,0)),"")</f>
        <v/>
      </c>
      <c r="D349" s="23" t="str">
        <f>IFERROR(INDEX('Output Utente'!$C$2:$C$492,MATCH(346,'Output Utente'!$R$2:$R$492,0)),"")</f>
        <v/>
      </c>
      <c r="E349" s="23" t="str">
        <f>IFERROR(INDEX('Input Giocatori 2026_27'!$D$3:$D$493,MATCH($B349,'Input Giocatori 2026_27'!$A$3:$A$493,0)),"")</f>
        <v/>
      </c>
      <c r="F349" s="24" t="str">
        <f>IFERROR(INDEX('Output Utente'!$N$2:$N$492,MATCH(346,'Output Utente'!$R$2:$R$492,0)),"")</f>
        <v/>
      </c>
      <c r="G349" s="23" t="str">
        <f>IFERROR(INDEX('Output Utente'!$O$2:$O$492,MATCH(346,'Output Utente'!$R$2:$R$492,0)),"")</f>
        <v/>
      </c>
      <c r="H349" s="23" t="str">
        <f>IFERROR(INDEX('Output Utente'!$P$2:$P$492,MATCH(346,'Output Utente'!$R$2:$R$492,0)),"")</f>
        <v/>
      </c>
      <c r="I349" s="24" t="str">
        <f>IFERROR(INDEX('Output Utente'!$F$2:$F$492,MATCH(346,'Output Utente'!$R$2:$R$492,0)),"")</f>
        <v/>
      </c>
      <c r="J349" s="24" t="str">
        <f>IFERROR(INDEX('Output Utente'!$G$2:$G$492,MATCH(346,'Output Utente'!$R$2:$R$492,0)),"")</f>
        <v/>
      </c>
      <c r="K349" s="24" t="str">
        <f>IFERROR(INDEX('Output Utente'!$H$2:$H$492,MATCH(346,'Output Utente'!$R$2:$R$492,0)),"")</f>
        <v/>
      </c>
      <c r="L349" s="23" t="str">
        <f>IFERROR(INDEX('Output Utente'!$E$2:$E$492,MATCH(346,'Output Utente'!$R$2:$R$492,0)),"")</f>
        <v/>
      </c>
      <c r="V349" t="str">
        <f>IFERROR(INDEX('Output Utente'!$M$2:$M$492,MATCH(346,'Output Utente'!$R$2:$R$492,0)),"")</f>
        <v/>
      </c>
      <c r="W349" t="str">
        <f t="shared" si="5"/>
        <v/>
      </c>
      <c r="X349" t="str">
        <f>IFERROR(INDEX('Output Utente'!$AF$2:$AF$492,MATCH(346,'Output Utente'!$R$2:$R$492,0)),"")</f>
        <v/>
      </c>
    </row>
    <row r="350" spans="1:24" ht="15" customHeight="1" x14ac:dyDescent="0.25">
      <c r="A350" s="26">
        <v>347</v>
      </c>
      <c r="B350" s="23" t="str">
        <f>IFERROR(INDEX('Output Utente'!$A$2:$A$492,MATCH(347,'Output Utente'!$R$2:$R$492,0)),"")</f>
        <v/>
      </c>
      <c r="C350" s="23" t="str">
        <f>IFERROR(INDEX('Output Utente'!$B$2:$B$492,MATCH(347,'Output Utente'!$R$2:$R$492,0)),"")</f>
        <v/>
      </c>
      <c r="D350" s="23" t="str">
        <f>IFERROR(INDEX('Output Utente'!$C$2:$C$492,MATCH(347,'Output Utente'!$R$2:$R$492,0)),"")</f>
        <v/>
      </c>
      <c r="E350" s="23" t="str">
        <f>IFERROR(INDEX('Input Giocatori 2026_27'!$D$3:$D$493,MATCH($B350,'Input Giocatori 2026_27'!$A$3:$A$493,0)),"")</f>
        <v/>
      </c>
      <c r="F350" s="24" t="str">
        <f>IFERROR(INDEX('Output Utente'!$N$2:$N$492,MATCH(347,'Output Utente'!$R$2:$R$492,0)),"")</f>
        <v/>
      </c>
      <c r="G350" s="23" t="str">
        <f>IFERROR(INDEX('Output Utente'!$O$2:$O$492,MATCH(347,'Output Utente'!$R$2:$R$492,0)),"")</f>
        <v/>
      </c>
      <c r="H350" s="23" t="str">
        <f>IFERROR(INDEX('Output Utente'!$P$2:$P$492,MATCH(347,'Output Utente'!$R$2:$R$492,0)),"")</f>
        <v/>
      </c>
      <c r="I350" s="24" t="str">
        <f>IFERROR(INDEX('Output Utente'!$F$2:$F$492,MATCH(347,'Output Utente'!$R$2:$R$492,0)),"")</f>
        <v/>
      </c>
      <c r="J350" s="24" t="str">
        <f>IFERROR(INDEX('Output Utente'!$G$2:$G$492,MATCH(347,'Output Utente'!$R$2:$R$492,0)),"")</f>
        <v/>
      </c>
      <c r="K350" s="24" t="str">
        <f>IFERROR(INDEX('Output Utente'!$H$2:$H$492,MATCH(347,'Output Utente'!$R$2:$R$492,0)),"")</f>
        <v/>
      </c>
      <c r="L350" s="23" t="str">
        <f>IFERROR(INDEX('Output Utente'!$E$2:$E$492,MATCH(347,'Output Utente'!$R$2:$R$492,0)),"")</f>
        <v/>
      </c>
      <c r="V350" t="str">
        <f>IFERROR(INDEX('Output Utente'!$M$2:$M$492,MATCH(347,'Output Utente'!$R$2:$R$492,0)),"")</f>
        <v/>
      </c>
      <c r="W350" t="str">
        <f t="shared" si="5"/>
        <v/>
      </c>
      <c r="X350" t="str">
        <f>IFERROR(INDEX('Output Utente'!$AF$2:$AF$492,MATCH(347,'Output Utente'!$R$2:$R$492,0)),"")</f>
        <v/>
      </c>
    </row>
    <row r="351" spans="1:24" ht="15" customHeight="1" x14ac:dyDescent="0.25">
      <c r="A351" s="26">
        <v>348</v>
      </c>
      <c r="B351" s="23" t="str">
        <f>IFERROR(INDEX('Output Utente'!$A$2:$A$492,MATCH(348,'Output Utente'!$R$2:$R$492,0)),"")</f>
        <v/>
      </c>
      <c r="C351" s="23" t="str">
        <f>IFERROR(INDEX('Output Utente'!$B$2:$B$492,MATCH(348,'Output Utente'!$R$2:$R$492,0)),"")</f>
        <v/>
      </c>
      <c r="D351" s="23" t="str">
        <f>IFERROR(INDEX('Output Utente'!$C$2:$C$492,MATCH(348,'Output Utente'!$R$2:$R$492,0)),"")</f>
        <v/>
      </c>
      <c r="E351" s="23" t="str">
        <f>IFERROR(INDEX('Input Giocatori 2026_27'!$D$3:$D$493,MATCH($B351,'Input Giocatori 2026_27'!$A$3:$A$493,0)),"")</f>
        <v/>
      </c>
      <c r="F351" s="24" t="str">
        <f>IFERROR(INDEX('Output Utente'!$N$2:$N$492,MATCH(348,'Output Utente'!$R$2:$R$492,0)),"")</f>
        <v/>
      </c>
      <c r="G351" s="23" t="str">
        <f>IFERROR(INDEX('Output Utente'!$O$2:$O$492,MATCH(348,'Output Utente'!$R$2:$R$492,0)),"")</f>
        <v/>
      </c>
      <c r="H351" s="23" t="str">
        <f>IFERROR(INDEX('Output Utente'!$P$2:$P$492,MATCH(348,'Output Utente'!$R$2:$R$492,0)),"")</f>
        <v/>
      </c>
      <c r="I351" s="24" t="str">
        <f>IFERROR(INDEX('Output Utente'!$F$2:$F$492,MATCH(348,'Output Utente'!$R$2:$R$492,0)),"")</f>
        <v/>
      </c>
      <c r="J351" s="24" t="str">
        <f>IFERROR(INDEX('Output Utente'!$G$2:$G$492,MATCH(348,'Output Utente'!$R$2:$R$492,0)),"")</f>
        <v/>
      </c>
      <c r="K351" s="24" t="str">
        <f>IFERROR(INDEX('Output Utente'!$H$2:$H$492,MATCH(348,'Output Utente'!$R$2:$R$492,0)),"")</f>
        <v/>
      </c>
      <c r="L351" s="23" t="str">
        <f>IFERROR(INDEX('Output Utente'!$E$2:$E$492,MATCH(348,'Output Utente'!$R$2:$R$492,0)),"")</f>
        <v/>
      </c>
      <c r="V351" t="str">
        <f>IFERROR(INDEX('Output Utente'!$M$2:$M$492,MATCH(348,'Output Utente'!$R$2:$R$492,0)),"")</f>
        <v/>
      </c>
      <c r="W351" t="str">
        <f t="shared" si="5"/>
        <v/>
      </c>
      <c r="X351" t="str">
        <f>IFERROR(INDEX('Output Utente'!$AF$2:$AF$492,MATCH(348,'Output Utente'!$R$2:$R$492,0)),"")</f>
        <v/>
      </c>
    </row>
    <row r="352" spans="1:24" ht="15" customHeight="1" x14ac:dyDescent="0.25">
      <c r="A352" s="26">
        <v>349</v>
      </c>
      <c r="B352" s="23" t="str">
        <f>IFERROR(INDEX('Output Utente'!$A$2:$A$492,MATCH(349,'Output Utente'!$R$2:$R$492,0)),"")</f>
        <v/>
      </c>
      <c r="C352" s="23" t="str">
        <f>IFERROR(INDEX('Output Utente'!$B$2:$B$492,MATCH(349,'Output Utente'!$R$2:$R$492,0)),"")</f>
        <v/>
      </c>
      <c r="D352" s="23" t="str">
        <f>IFERROR(INDEX('Output Utente'!$C$2:$C$492,MATCH(349,'Output Utente'!$R$2:$R$492,0)),"")</f>
        <v/>
      </c>
      <c r="E352" s="23" t="str">
        <f>IFERROR(INDEX('Input Giocatori 2026_27'!$D$3:$D$493,MATCH($B352,'Input Giocatori 2026_27'!$A$3:$A$493,0)),"")</f>
        <v/>
      </c>
      <c r="F352" s="24" t="str">
        <f>IFERROR(INDEX('Output Utente'!$N$2:$N$492,MATCH(349,'Output Utente'!$R$2:$R$492,0)),"")</f>
        <v/>
      </c>
      <c r="G352" s="23" t="str">
        <f>IFERROR(INDEX('Output Utente'!$O$2:$O$492,MATCH(349,'Output Utente'!$R$2:$R$492,0)),"")</f>
        <v/>
      </c>
      <c r="H352" s="23" t="str">
        <f>IFERROR(INDEX('Output Utente'!$P$2:$P$492,MATCH(349,'Output Utente'!$R$2:$R$492,0)),"")</f>
        <v/>
      </c>
      <c r="I352" s="24" t="str">
        <f>IFERROR(INDEX('Output Utente'!$F$2:$F$492,MATCH(349,'Output Utente'!$R$2:$R$492,0)),"")</f>
        <v/>
      </c>
      <c r="J352" s="24" t="str">
        <f>IFERROR(INDEX('Output Utente'!$G$2:$G$492,MATCH(349,'Output Utente'!$R$2:$R$492,0)),"")</f>
        <v/>
      </c>
      <c r="K352" s="24" t="str">
        <f>IFERROR(INDEX('Output Utente'!$H$2:$H$492,MATCH(349,'Output Utente'!$R$2:$R$492,0)),"")</f>
        <v/>
      </c>
      <c r="L352" s="23" t="str">
        <f>IFERROR(INDEX('Output Utente'!$E$2:$E$492,MATCH(349,'Output Utente'!$R$2:$R$492,0)),"")</f>
        <v/>
      </c>
      <c r="V352" t="str">
        <f>IFERROR(INDEX('Output Utente'!$M$2:$M$492,MATCH(349,'Output Utente'!$R$2:$R$492,0)),"")</f>
        <v/>
      </c>
      <c r="W352" t="str">
        <f t="shared" si="5"/>
        <v/>
      </c>
      <c r="X352" t="str">
        <f>IFERROR(INDEX('Output Utente'!$AF$2:$AF$492,MATCH(349,'Output Utente'!$R$2:$R$492,0)),"")</f>
        <v/>
      </c>
    </row>
    <row r="353" spans="1:24" ht="15" customHeight="1" x14ac:dyDescent="0.25">
      <c r="A353" s="26">
        <v>350</v>
      </c>
      <c r="B353" s="23" t="str">
        <f>IFERROR(INDEX('Output Utente'!$A$2:$A$492,MATCH(350,'Output Utente'!$R$2:$R$492,0)),"")</f>
        <v/>
      </c>
      <c r="C353" s="23" t="str">
        <f>IFERROR(INDEX('Output Utente'!$B$2:$B$492,MATCH(350,'Output Utente'!$R$2:$R$492,0)),"")</f>
        <v/>
      </c>
      <c r="D353" s="23" t="str">
        <f>IFERROR(INDEX('Output Utente'!$C$2:$C$492,MATCH(350,'Output Utente'!$R$2:$R$492,0)),"")</f>
        <v/>
      </c>
      <c r="E353" s="23" t="str">
        <f>IFERROR(INDEX('Input Giocatori 2026_27'!$D$3:$D$493,MATCH($B353,'Input Giocatori 2026_27'!$A$3:$A$493,0)),"")</f>
        <v/>
      </c>
      <c r="F353" s="24" t="str">
        <f>IFERROR(INDEX('Output Utente'!$N$2:$N$492,MATCH(350,'Output Utente'!$R$2:$R$492,0)),"")</f>
        <v/>
      </c>
      <c r="G353" s="23" t="str">
        <f>IFERROR(INDEX('Output Utente'!$O$2:$O$492,MATCH(350,'Output Utente'!$R$2:$R$492,0)),"")</f>
        <v/>
      </c>
      <c r="H353" s="23" t="str">
        <f>IFERROR(INDEX('Output Utente'!$P$2:$P$492,MATCH(350,'Output Utente'!$R$2:$R$492,0)),"")</f>
        <v/>
      </c>
      <c r="I353" s="24" t="str">
        <f>IFERROR(INDEX('Output Utente'!$F$2:$F$492,MATCH(350,'Output Utente'!$R$2:$R$492,0)),"")</f>
        <v/>
      </c>
      <c r="J353" s="24" t="str">
        <f>IFERROR(INDEX('Output Utente'!$G$2:$G$492,MATCH(350,'Output Utente'!$R$2:$R$492,0)),"")</f>
        <v/>
      </c>
      <c r="K353" s="24" t="str">
        <f>IFERROR(INDEX('Output Utente'!$H$2:$H$492,MATCH(350,'Output Utente'!$R$2:$R$492,0)),"")</f>
        <v/>
      </c>
      <c r="L353" s="23" t="str">
        <f>IFERROR(INDEX('Output Utente'!$E$2:$E$492,MATCH(350,'Output Utente'!$R$2:$R$492,0)),"")</f>
        <v/>
      </c>
      <c r="V353" t="str">
        <f>IFERROR(INDEX('Output Utente'!$M$2:$M$492,MATCH(350,'Output Utente'!$R$2:$R$492,0)),"")</f>
        <v/>
      </c>
      <c r="W353" t="str">
        <f t="shared" si="5"/>
        <v/>
      </c>
      <c r="X353" t="str">
        <f>IFERROR(INDEX('Output Utente'!$AF$2:$AF$492,MATCH(350,'Output Utente'!$R$2:$R$492,0)),"")</f>
        <v/>
      </c>
    </row>
    <row r="354" spans="1:24" ht="15" customHeight="1" x14ac:dyDescent="0.25">
      <c r="A354" s="26">
        <v>351</v>
      </c>
      <c r="B354" s="23" t="str">
        <f>IFERROR(INDEX('Output Utente'!$A$2:$A$492,MATCH(351,'Output Utente'!$R$2:$R$492,0)),"")</f>
        <v/>
      </c>
      <c r="C354" s="23" t="str">
        <f>IFERROR(INDEX('Output Utente'!$B$2:$B$492,MATCH(351,'Output Utente'!$R$2:$R$492,0)),"")</f>
        <v/>
      </c>
      <c r="D354" s="23" t="str">
        <f>IFERROR(INDEX('Output Utente'!$C$2:$C$492,MATCH(351,'Output Utente'!$R$2:$R$492,0)),"")</f>
        <v/>
      </c>
      <c r="E354" s="23" t="str">
        <f>IFERROR(INDEX('Input Giocatori 2026_27'!$D$3:$D$493,MATCH($B354,'Input Giocatori 2026_27'!$A$3:$A$493,0)),"")</f>
        <v/>
      </c>
      <c r="F354" s="24" t="str">
        <f>IFERROR(INDEX('Output Utente'!$N$2:$N$492,MATCH(351,'Output Utente'!$R$2:$R$492,0)),"")</f>
        <v/>
      </c>
      <c r="G354" s="23" t="str">
        <f>IFERROR(INDEX('Output Utente'!$O$2:$O$492,MATCH(351,'Output Utente'!$R$2:$R$492,0)),"")</f>
        <v/>
      </c>
      <c r="H354" s="23" t="str">
        <f>IFERROR(INDEX('Output Utente'!$P$2:$P$492,MATCH(351,'Output Utente'!$R$2:$R$492,0)),"")</f>
        <v/>
      </c>
      <c r="I354" s="24" t="str">
        <f>IFERROR(INDEX('Output Utente'!$F$2:$F$492,MATCH(351,'Output Utente'!$R$2:$R$492,0)),"")</f>
        <v/>
      </c>
      <c r="J354" s="24" t="str">
        <f>IFERROR(INDEX('Output Utente'!$G$2:$G$492,MATCH(351,'Output Utente'!$R$2:$R$492,0)),"")</f>
        <v/>
      </c>
      <c r="K354" s="24" t="str">
        <f>IFERROR(INDEX('Output Utente'!$H$2:$H$492,MATCH(351,'Output Utente'!$R$2:$R$492,0)),"")</f>
        <v/>
      </c>
      <c r="L354" s="23" t="str">
        <f>IFERROR(INDEX('Output Utente'!$E$2:$E$492,MATCH(351,'Output Utente'!$R$2:$R$492,0)),"")</f>
        <v/>
      </c>
      <c r="V354" t="str">
        <f>IFERROR(INDEX('Output Utente'!$M$2:$M$492,MATCH(351,'Output Utente'!$R$2:$R$492,0)),"")</f>
        <v/>
      </c>
      <c r="W354" t="str">
        <f t="shared" si="5"/>
        <v/>
      </c>
      <c r="X354" t="str">
        <f>IFERROR(INDEX('Output Utente'!$AF$2:$AF$492,MATCH(351,'Output Utente'!$R$2:$R$492,0)),"")</f>
        <v/>
      </c>
    </row>
    <row r="355" spans="1:24" ht="15" customHeight="1" x14ac:dyDescent="0.25">
      <c r="A355" s="26">
        <v>352</v>
      </c>
      <c r="B355" s="23" t="str">
        <f>IFERROR(INDEX('Output Utente'!$A$2:$A$492,MATCH(352,'Output Utente'!$R$2:$R$492,0)),"")</f>
        <v/>
      </c>
      <c r="C355" s="23" t="str">
        <f>IFERROR(INDEX('Output Utente'!$B$2:$B$492,MATCH(352,'Output Utente'!$R$2:$R$492,0)),"")</f>
        <v/>
      </c>
      <c r="D355" s="23" t="str">
        <f>IFERROR(INDEX('Output Utente'!$C$2:$C$492,MATCH(352,'Output Utente'!$R$2:$R$492,0)),"")</f>
        <v/>
      </c>
      <c r="E355" s="23" t="str">
        <f>IFERROR(INDEX('Input Giocatori 2026_27'!$D$3:$D$493,MATCH($B355,'Input Giocatori 2026_27'!$A$3:$A$493,0)),"")</f>
        <v/>
      </c>
      <c r="F355" s="24" t="str">
        <f>IFERROR(INDEX('Output Utente'!$N$2:$N$492,MATCH(352,'Output Utente'!$R$2:$R$492,0)),"")</f>
        <v/>
      </c>
      <c r="G355" s="23" t="str">
        <f>IFERROR(INDEX('Output Utente'!$O$2:$O$492,MATCH(352,'Output Utente'!$R$2:$R$492,0)),"")</f>
        <v/>
      </c>
      <c r="H355" s="23" t="str">
        <f>IFERROR(INDEX('Output Utente'!$P$2:$P$492,MATCH(352,'Output Utente'!$R$2:$R$492,0)),"")</f>
        <v/>
      </c>
      <c r="I355" s="24" t="str">
        <f>IFERROR(INDEX('Output Utente'!$F$2:$F$492,MATCH(352,'Output Utente'!$R$2:$R$492,0)),"")</f>
        <v/>
      </c>
      <c r="J355" s="24" t="str">
        <f>IFERROR(INDEX('Output Utente'!$G$2:$G$492,MATCH(352,'Output Utente'!$R$2:$R$492,0)),"")</f>
        <v/>
      </c>
      <c r="K355" s="24" t="str">
        <f>IFERROR(INDEX('Output Utente'!$H$2:$H$492,MATCH(352,'Output Utente'!$R$2:$R$492,0)),"")</f>
        <v/>
      </c>
      <c r="L355" s="23" t="str">
        <f>IFERROR(INDEX('Output Utente'!$E$2:$E$492,MATCH(352,'Output Utente'!$R$2:$R$492,0)),"")</f>
        <v/>
      </c>
      <c r="V355" t="str">
        <f>IFERROR(INDEX('Output Utente'!$M$2:$M$492,MATCH(352,'Output Utente'!$R$2:$R$492,0)),"")</f>
        <v/>
      </c>
      <c r="W355" t="str">
        <f t="shared" si="5"/>
        <v/>
      </c>
      <c r="X355" t="str">
        <f>IFERROR(INDEX('Output Utente'!$AF$2:$AF$492,MATCH(352,'Output Utente'!$R$2:$R$492,0)),"")</f>
        <v/>
      </c>
    </row>
    <row r="356" spans="1:24" ht="15" customHeight="1" x14ac:dyDescent="0.25">
      <c r="A356" s="26">
        <v>353</v>
      </c>
      <c r="B356" s="23" t="str">
        <f>IFERROR(INDEX('Output Utente'!$A$2:$A$492,MATCH(353,'Output Utente'!$R$2:$R$492,0)),"")</f>
        <v/>
      </c>
      <c r="C356" s="23" t="str">
        <f>IFERROR(INDEX('Output Utente'!$B$2:$B$492,MATCH(353,'Output Utente'!$R$2:$R$492,0)),"")</f>
        <v/>
      </c>
      <c r="D356" s="23" t="str">
        <f>IFERROR(INDEX('Output Utente'!$C$2:$C$492,MATCH(353,'Output Utente'!$R$2:$R$492,0)),"")</f>
        <v/>
      </c>
      <c r="E356" s="23" t="str">
        <f>IFERROR(INDEX('Input Giocatori 2026_27'!$D$3:$D$493,MATCH($B356,'Input Giocatori 2026_27'!$A$3:$A$493,0)),"")</f>
        <v/>
      </c>
      <c r="F356" s="24" t="str">
        <f>IFERROR(INDEX('Output Utente'!$N$2:$N$492,MATCH(353,'Output Utente'!$R$2:$R$492,0)),"")</f>
        <v/>
      </c>
      <c r="G356" s="23" t="str">
        <f>IFERROR(INDEX('Output Utente'!$O$2:$O$492,MATCH(353,'Output Utente'!$R$2:$R$492,0)),"")</f>
        <v/>
      </c>
      <c r="H356" s="23" t="str">
        <f>IFERROR(INDEX('Output Utente'!$P$2:$P$492,MATCH(353,'Output Utente'!$R$2:$R$492,0)),"")</f>
        <v/>
      </c>
      <c r="I356" s="24" t="str">
        <f>IFERROR(INDEX('Output Utente'!$F$2:$F$492,MATCH(353,'Output Utente'!$R$2:$R$492,0)),"")</f>
        <v/>
      </c>
      <c r="J356" s="24" t="str">
        <f>IFERROR(INDEX('Output Utente'!$G$2:$G$492,MATCH(353,'Output Utente'!$R$2:$R$492,0)),"")</f>
        <v/>
      </c>
      <c r="K356" s="24" t="str">
        <f>IFERROR(INDEX('Output Utente'!$H$2:$H$492,MATCH(353,'Output Utente'!$R$2:$R$492,0)),"")</f>
        <v/>
      </c>
      <c r="L356" s="23" t="str">
        <f>IFERROR(INDEX('Output Utente'!$E$2:$E$492,MATCH(353,'Output Utente'!$R$2:$R$492,0)),"")</f>
        <v/>
      </c>
      <c r="V356" t="str">
        <f>IFERROR(INDEX('Output Utente'!$M$2:$M$492,MATCH(353,'Output Utente'!$R$2:$R$492,0)),"")</f>
        <v/>
      </c>
      <c r="W356" t="str">
        <f t="shared" si="5"/>
        <v/>
      </c>
      <c r="X356" t="str">
        <f>IFERROR(INDEX('Output Utente'!$AF$2:$AF$492,MATCH(353,'Output Utente'!$R$2:$R$492,0)),"")</f>
        <v/>
      </c>
    </row>
    <row r="357" spans="1:24" ht="15" customHeight="1" x14ac:dyDescent="0.25">
      <c r="A357" s="26">
        <v>354</v>
      </c>
      <c r="B357" s="23" t="str">
        <f>IFERROR(INDEX('Output Utente'!$A$2:$A$492,MATCH(354,'Output Utente'!$R$2:$R$492,0)),"")</f>
        <v/>
      </c>
      <c r="C357" s="23" t="str">
        <f>IFERROR(INDEX('Output Utente'!$B$2:$B$492,MATCH(354,'Output Utente'!$R$2:$R$492,0)),"")</f>
        <v/>
      </c>
      <c r="D357" s="23" t="str">
        <f>IFERROR(INDEX('Output Utente'!$C$2:$C$492,MATCH(354,'Output Utente'!$R$2:$R$492,0)),"")</f>
        <v/>
      </c>
      <c r="E357" s="23" t="str">
        <f>IFERROR(INDEX('Input Giocatori 2026_27'!$D$3:$D$493,MATCH($B357,'Input Giocatori 2026_27'!$A$3:$A$493,0)),"")</f>
        <v/>
      </c>
      <c r="F357" s="24" t="str">
        <f>IFERROR(INDEX('Output Utente'!$N$2:$N$492,MATCH(354,'Output Utente'!$R$2:$R$492,0)),"")</f>
        <v/>
      </c>
      <c r="G357" s="23" t="str">
        <f>IFERROR(INDEX('Output Utente'!$O$2:$O$492,MATCH(354,'Output Utente'!$R$2:$R$492,0)),"")</f>
        <v/>
      </c>
      <c r="H357" s="23" t="str">
        <f>IFERROR(INDEX('Output Utente'!$P$2:$P$492,MATCH(354,'Output Utente'!$R$2:$R$492,0)),"")</f>
        <v/>
      </c>
      <c r="I357" s="24" t="str">
        <f>IFERROR(INDEX('Output Utente'!$F$2:$F$492,MATCH(354,'Output Utente'!$R$2:$R$492,0)),"")</f>
        <v/>
      </c>
      <c r="J357" s="24" t="str">
        <f>IFERROR(INDEX('Output Utente'!$G$2:$G$492,MATCH(354,'Output Utente'!$R$2:$R$492,0)),"")</f>
        <v/>
      </c>
      <c r="K357" s="24" t="str">
        <f>IFERROR(INDEX('Output Utente'!$H$2:$H$492,MATCH(354,'Output Utente'!$R$2:$R$492,0)),"")</f>
        <v/>
      </c>
      <c r="L357" s="23" t="str">
        <f>IFERROR(INDEX('Output Utente'!$E$2:$E$492,MATCH(354,'Output Utente'!$R$2:$R$492,0)),"")</f>
        <v/>
      </c>
      <c r="V357" t="str">
        <f>IFERROR(INDEX('Output Utente'!$M$2:$M$492,MATCH(354,'Output Utente'!$R$2:$R$492,0)),"")</f>
        <v/>
      </c>
      <c r="W357" t="str">
        <f t="shared" si="5"/>
        <v/>
      </c>
      <c r="X357" t="str">
        <f>IFERROR(INDEX('Output Utente'!$AF$2:$AF$492,MATCH(354,'Output Utente'!$R$2:$R$492,0)),"")</f>
        <v/>
      </c>
    </row>
    <row r="358" spans="1:24" ht="15" customHeight="1" x14ac:dyDescent="0.25">
      <c r="A358" s="26">
        <v>355</v>
      </c>
      <c r="B358" s="23" t="str">
        <f>IFERROR(INDEX('Output Utente'!$A$2:$A$492,MATCH(355,'Output Utente'!$R$2:$R$492,0)),"")</f>
        <v/>
      </c>
      <c r="C358" s="23" t="str">
        <f>IFERROR(INDEX('Output Utente'!$B$2:$B$492,MATCH(355,'Output Utente'!$R$2:$R$492,0)),"")</f>
        <v/>
      </c>
      <c r="D358" s="23" t="str">
        <f>IFERROR(INDEX('Output Utente'!$C$2:$C$492,MATCH(355,'Output Utente'!$R$2:$R$492,0)),"")</f>
        <v/>
      </c>
      <c r="E358" s="23" t="str">
        <f>IFERROR(INDEX('Input Giocatori 2026_27'!$D$3:$D$493,MATCH($B358,'Input Giocatori 2026_27'!$A$3:$A$493,0)),"")</f>
        <v/>
      </c>
      <c r="F358" s="24" t="str">
        <f>IFERROR(INDEX('Output Utente'!$N$2:$N$492,MATCH(355,'Output Utente'!$R$2:$R$492,0)),"")</f>
        <v/>
      </c>
      <c r="G358" s="23" t="str">
        <f>IFERROR(INDEX('Output Utente'!$O$2:$O$492,MATCH(355,'Output Utente'!$R$2:$R$492,0)),"")</f>
        <v/>
      </c>
      <c r="H358" s="23" t="str">
        <f>IFERROR(INDEX('Output Utente'!$P$2:$P$492,MATCH(355,'Output Utente'!$R$2:$R$492,0)),"")</f>
        <v/>
      </c>
      <c r="I358" s="24" t="str">
        <f>IFERROR(INDEX('Output Utente'!$F$2:$F$492,MATCH(355,'Output Utente'!$R$2:$R$492,0)),"")</f>
        <v/>
      </c>
      <c r="J358" s="24" t="str">
        <f>IFERROR(INDEX('Output Utente'!$G$2:$G$492,MATCH(355,'Output Utente'!$R$2:$R$492,0)),"")</f>
        <v/>
      </c>
      <c r="K358" s="24" t="str">
        <f>IFERROR(INDEX('Output Utente'!$H$2:$H$492,MATCH(355,'Output Utente'!$R$2:$R$492,0)),"")</f>
        <v/>
      </c>
      <c r="L358" s="23" t="str">
        <f>IFERROR(INDEX('Output Utente'!$E$2:$E$492,MATCH(355,'Output Utente'!$R$2:$R$492,0)),"")</f>
        <v/>
      </c>
      <c r="V358" t="str">
        <f>IFERROR(INDEX('Output Utente'!$M$2:$M$492,MATCH(355,'Output Utente'!$R$2:$R$492,0)),"")</f>
        <v/>
      </c>
      <c r="W358" t="str">
        <f t="shared" si="5"/>
        <v/>
      </c>
      <c r="X358" t="str">
        <f>IFERROR(INDEX('Output Utente'!$AF$2:$AF$492,MATCH(355,'Output Utente'!$R$2:$R$492,0)),"")</f>
        <v/>
      </c>
    </row>
    <row r="359" spans="1:24" ht="15" customHeight="1" x14ac:dyDescent="0.25">
      <c r="A359" s="26">
        <v>356</v>
      </c>
      <c r="B359" s="23" t="str">
        <f>IFERROR(INDEX('Output Utente'!$A$2:$A$492,MATCH(356,'Output Utente'!$R$2:$R$492,0)),"")</f>
        <v/>
      </c>
      <c r="C359" s="23" t="str">
        <f>IFERROR(INDEX('Output Utente'!$B$2:$B$492,MATCH(356,'Output Utente'!$R$2:$R$492,0)),"")</f>
        <v/>
      </c>
      <c r="D359" s="23" t="str">
        <f>IFERROR(INDEX('Output Utente'!$C$2:$C$492,MATCH(356,'Output Utente'!$R$2:$R$492,0)),"")</f>
        <v/>
      </c>
      <c r="E359" s="23" t="str">
        <f>IFERROR(INDEX('Input Giocatori 2026_27'!$D$3:$D$493,MATCH($B359,'Input Giocatori 2026_27'!$A$3:$A$493,0)),"")</f>
        <v/>
      </c>
      <c r="F359" s="24" t="str">
        <f>IFERROR(INDEX('Output Utente'!$N$2:$N$492,MATCH(356,'Output Utente'!$R$2:$R$492,0)),"")</f>
        <v/>
      </c>
      <c r="G359" s="23" t="str">
        <f>IFERROR(INDEX('Output Utente'!$O$2:$O$492,MATCH(356,'Output Utente'!$R$2:$R$492,0)),"")</f>
        <v/>
      </c>
      <c r="H359" s="23" t="str">
        <f>IFERROR(INDEX('Output Utente'!$P$2:$P$492,MATCH(356,'Output Utente'!$R$2:$R$492,0)),"")</f>
        <v/>
      </c>
      <c r="I359" s="24" t="str">
        <f>IFERROR(INDEX('Output Utente'!$F$2:$F$492,MATCH(356,'Output Utente'!$R$2:$R$492,0)),"")</f>
        <v/>
      </c>
      <c r="J359" s="24" t="str">
        <f>IFERROR(INDEX('Output Utente'!$G$2:$G$492,MATCH(356,'Output Utente'!$R$2:$R$492,0)),"")</f>
        <v/>
      </c>
      <c r="K359" s="24" t="str">
        <f>IFERROR(INDEX('Output Utente'!$H$2:$H$492,MATCH(356,'Output Utente'!$R$2:$R$492,0)),"")</f>
        <v/>
      </c>
      <c r="L359" s="23" t="str">
        <f>IFERROR(INDEX('Output Utente'!$E$2:$E$492,MATCH(356,'Output Utente'!$R$2:$R$492,0)),"")</f>
        <v/>
      </c>
      <c r="V359" t="str">
        <f>IFERROR(INDEX('Output Utente'!$M$2:$M$492,MATCH(356,'Output Utente'!$R$2:$R$492,0)),"")</f>
        <v/>
      </c>
      <c r="W359" t="str">
        <f t="shared" si="5"/>
        <v/>
      </c>
      <c r="X359" t="str">
        <f>IFERROR(INDEX('Output Utente'!$AF$2:$AF$492,MATCH(356,'Output Utente'!$R$2:$R$492,0)),"")</f>
        <v/>
      </c>
    </row>
    <row r="360" spans="1:24" ht="15" customHeight="1" x14ac:dyDescent="0.25">
      <c r="A360" s="26">
        <v>357</v>
      </c>
      <c r="B360" s="23" t="str">
        <f>IFERROR(INDEX('Output Utente'!$A$2:$A$492,MATCH(357,'Output Utente'!$R$2:$R$492,0)),"")</f>
        <v/>
      </c>
      <c r="C360" s="23" t="str">
        <f>IFERROR(INDEX('Output Utente'!$B$2:$B$492,MATCH(357,'Output Utente'!$R$2:$R$492,0)),"")</f>
        <v/>
      </c>
      <c r="D360" s="23" t="str">
        <f>IFERROR(INDEX('Output Utente'!$C$2:$C$492,MATCH(357,'Output Utente'!$R$2:$R$492,0)),"")</f>
        <v/>
      </c>
      <c r="E360" s="23" t="str">
        <f>IFERROR(INDEX('Input Giocatori 2026_27'!$D$3:$D$493,MATCH($B360,'Input Giocatori 2026_27'!$A$3:$A$493,0)),"")</f>
        <v/>
      </c>
      <c r="F360" s="24" t="str">
        <f>IFERROR(INDEX('Output Utente'!$N$2:$N$492,MATCH(357,'Output Utente'!$R$2:$R$492,0)),"")</f>
        <v/>
      </c>
      <c r="G360" s="23" t="str">
        <f>IFERROR(INDEX('Output Utente'!$O$2:$O$492,MATCH(357,'Output Utente'!$R$2:$R$492,0)),"")</f>
        <v/>
      </c>
      <c r="H360" s="23" t="str">
        <f>IFERROR(INDEX('Output Utente'!$P$2:$P$492,MATCH(357,'Output Utente'!$R$2:$R$492,0)),"")</f>
        <v/>
      </c>
      <c r="I360" s="24" t="str">
        <f>IFERROR(INDEX('Output Utente'!$F$2:$F$492,MATCH(357,'Output Utente'!$R$2:$R$492,0)),"")</f>
        <v/>
      </c>
      <c r="J360" s="24" t="str">
        <f>IFERROR(INDEX('Output Utente'!$G$2:$G$492,MATCH(357,'Output Utente'!$R$2:$R$492,0)),"")</f>
        <v/>
      </c>
      <c r="K360" s="24" t="str">
        <f>IFERROR(INDEX('Output Utente'!$H$2:$H$492,MATCH(357,'Output Utente'!$R$2:$R$492,0)),"")</f>
        <v/>
      </c>
      <c r="L360" s="23" t="str">
        <f>IFERROR(INDEX('Output Utente'!$E$2:$E$492,MATCH(357,'Output Utente'!$R$2:$R$492,0)),"")</f>
        <v/>
      </c>
      <c r="V360" t="str">
        <f>IFERROR(INDEX('Output Utente'!$M$2:$M$492,MATCH(357,'Output Utente'!$R$2:$R$492,0)),"")</f>
        <v/>
      </c>
      <c r="W360" t="str">
        <f t="shared" si="5"/>
        <v/>
      </c>
      <c r="X360" t="str">
        <f>IFERROR(INDEX('Output Utente'!$AF$2:$AF$492,MATCH(357,'Output Utente'!$R$2:$R$492,0)),"")</f>
        <v/>
      </c>
    </row>
    <row r="361" spans="1:24" ht="15" customHeight="1" x14ac:dyDescent="0.25">
      <c r="A361" s="26">
        <v>358</v>
      </c>
      <c r="B361" s="23" t="str">
        <f>IFERROR(INDEX('Output Utente'!$A$2:$A$492,MATCH(358,'Output Utente'!$R$2:$R$492,0)),"")</f>
        <v/>
      </c>
      <c r="C361" s="23" t="str">
        <f>IFERROR(INDEX('Output Utente'!$B$2:$B$492,MATCH(358,'Output Utente'!$R$2:$R$492,0)),"")</f>
        <v/>
      </c>
      <c r="D361" s="23" t="str">
        <f>IFERROR(INDEX('Output Utente'!$C$2:$C$492,MATCH(358,'Output Utente'!$R$2:$R$492,0)),"")</f>
        <v/>
      </c>
      <c r="E361" s="23" t="str">
        <f>IFERROR(INDEX('Input Giocatori 2026_27'!$D$3:$D$493,MATCH($B361,'Input Giocatori 2026_27'!$A$3:$A$493,0)),"")</f>
        <v/>
      </c>
      <c r="F361" s="24" t="str">
        <f>IFERROR(INDEX('Output Utente'!$N$2:$N$492,MATCH(358,'Output Utente'!$R$2:$R$492,0)),"")</f>
        <v/>
      </c>
      <c r="G361" s="23" t="str">
        <f>IFERROR(INDEX('Output Utente'!$O$2:$O$492,MATCH(358,'Output Utente'!$R$2:$R$492,0)),"")</f>
        <v/>
      </c>
      <c r="H361" s="23" t="str">
        <f>IFERROR(INDEX('Output Utente'!$P$2:$P$492,MATCH(358,'Output Utente'!$R$2:$R$492,0)),"")</f>
        <v/>
      </c>
      <c r="I361" s="24" t="str">
        <f>IFERROR(INDEX('Output Utente'!$F$2:$F$492,MATCH(358,'Output Utente'!$R$2:$R$492,0)),"")</f>
        <v/>
      </c>
      <c r="J361" s="24" t="str">
        <f>IFERROR(INDEX('Output Utente'!$G$2:$G$492,MATCH(358,'Output Utente'!$R$2:$R$492,0)),"")</f>
        <v/>
      </c>
      <c r="K361" s="24" t="str">
        <f>IFERROR(INDEX('Output Utente'!$H$2:$H$492,MATCH(358,'Output Utente'!$R$2:$R$492,0)),"")</f>
        <v/>
      </c>
      <c r="L361" s="23" t="str">
        <f>IFERROR(INDEX('Output Utente'!$E$2:$E$492,MATCH(358,'Output Utente'!$R$2:$R$492,0)),"")</f>
        <v/>
      </c>
      <c r="V361" t="str">
        <f>IFERROR(INDEX('Output Utente'!$M$2:$M$492,MATCH(358,'Output Utente'!$R$2:$R$492,0)),"")</f>
        <v/>
      </c>
      <c r="W361" t="str">
        <f t="shared" si="5"/>
        <v/>
      </c>
      <c r="X361" t="str">
        <f>IFERROR(INDEX('Output Utente'!$AF$2:$AF$492,MATCH(358,'Output Utente'!$R$2:$R$492,0)),"")</f>
        <v/>
      </c>
    </row>
    <row r="362" spans="1:24" ht="15" customHeight="1" x14ac:dyDescent="0.25">
      <c r="A362" s="26">
        <v>359</v>
      </c>
      <c r="B362" s="23" t="str">
        <f>IFERROR(INDEX('Output Utente'!$A$2:$A$492,MATCH(359,'Output Utente'!$R$2:$R$492,0)),"")</f>
        <v/>
      </c>
      <c r="C362" s="23" t="str">
        <f>IFERROR(INDEX('Output Utente'!$B$2:$B$492,MATCH(359,'Output Utente'!$R$2:$R$492,0)),"")</f>
        <v/>
      </c>
      <c r="D362" s="23" t="str">
        <f>IFERROR(INDEX('Output Utente'!$C$2:$C$492,MATCH(359,'Output Utente'!$R$2:$R$492,0)),"")</f>
        <v/>
      </c>
      <c r="E362" s="23" t="str">
        <f>IFERROR(INDEX('Input Giocatori 2026_27'!$D$3:$D$493,MATCH($B362,'Input Giocatori 2026_27'!$A$3:$A$493,0)),"")</f>
        <v/>
      </c>
      <c r="F362" s="24" t="str">
        <f>IFERROR(INDEX('Output Utente'!$N$2:$N$492,MATCH(359,'Output Utente'!$R$2:$R$492,0)),"")</f>
        <v/>
      </c>
      <c r="G362" s="23" t="str">
        <f>IFERROR(INDEX('Output Utente'!$O$2:$O$492,MATCH(359,'Output Utente'!$R$2:$R$492,0)),"")</f>
        <v/>
      </c>
      <c r="H362" s="23" t="str">
        <f>IFERROR(INDEX('Output Utente'!$P$2:$P$492,MATCH(359,'Output Utente'!$R$2:$R$492,0)),"")</f>
        <v/>
      </c>
      <c r="I362" s="24" t="str">
        <f>IFERROR(INDEX('Output Utente'!$F$2:$F$492,MATCH(359,'Output Utente'!$R$2:$R$492,0)),"")</f>
        <v/>
      </c>
      <c r="J362" s="24" t="str">
        <f>IFERROR(INDEX('Output Utente'!$G$2:$G$492,MATCH(359,'Output Utente'!$R$2:$R$492,0)),"")</f>
        <v/>
      </c>
      <c r="K362" s="24" t="str">
        <f>IFERROR(INDEX('Output Utente'!$H$2:$H$492,MATCH(359,'Output Utente'!$R$2:$R$492,0)),"")</f>
        <v/>
      </c>
      <c r="L362" s="23" t="str">
        <f>IFERROR(INDEX('Output Utente'!$E$2:$E$492,MATCH(359,'Output Utente'!$R$2:$R$492,0)),"")</f>
        <v/>
      </c>
      <c r="V362" t="str">
        <f>IFERROR(INDEX('Output Utente'!$M$2:$M$492,MATCH(359,'Output Utente'!$R$2:$R$492,0)),"")</f>
        <v/>
      </c>
      <c r="W362" t="str">
        <f t="shared" si="5"/>
        <v/>
      </c>
      <c r="X362" t="str">
        <f>IFERROR(INDEX('Output Utente'!$AF$2:$AF$492,MATCH(359,'Output Utente'!$R$2:$R$492,0)),"")</f>
        <v/>
      </c>
    </row>
    <row r="363" spans="1:24" ht="15" customHeight="1" x14ac:dyDescent="0.25">
      <c r="A363" s="26">
        <v>360</v>
      </c>
      <c r="B363" s="23" t="str">
        <f>IFERROR(INDEX('Output Utente'!$A$2:$A$492,MATCH(360,'Output Utente'!$R$2:$R$492,0)),"")</f>
        <v/>
      </c>
      <c r="C363" s="23" t="str">
        <f>IFERROR(INDEX('Output Utente'!$B$2:$B$492,MATCH(360,'Output Utente'!$R$2:$R$492,0)),"")</f>
        <v/>
      </c>
      <c r="D363" s="23" t="str">
        <f>IFERROR(INDEX('Output Utente'!$C$2:$C$492,MATCH(360,'Output Utente'!$R$2:$R$492,0)),"")</f>
        <v/>
      </c>
      <c r="E363" s="23" t="str">
        <f>IFERROR(INDEX('Input Giocatori 2026_27'!$D$3:$D$493,MATCH($B363,'Input Giocatori 2026_27'!$A$3:$A$493,0)),"")</f>
        <v/>
      </c>
      <c r="F363" s="24" t="str">
        <f>IFERROR(INDEX('Output Utente'!$N$2:$N$492,MATCH(360,'Output Utente'!$R$2:$R$492,0)),"")</f>
        <v/>
      </c>
      <c r="G363" s="23" t="str">
        <f>IFERROR(INDEX('Output Utente'!$O$2:$O$492,MATCH(360,'Output Utente'!$R$2:$R$492,0)),"")</f>
        <v/>
      </c>
      <c r="H363" s="23" t="str">
        <f>IFERROR(INDEX('Output Utente'!$P$2:$P$492,MATCH(360,'Output Utente'!$R$2:$R$492,0)),"")</f>
        <v/>
      </c>
      <c r="I363" s="24" t="str">
        <f>IFERROR(INDEX('Output Utente'!$F$2:$F$492,MATCH(360,'Output Utente'!$R$2:$R$492,0)),"")</f>
        <v/>
      </c>
      <c r="J363" s="24" t="str">
        <f>IFERROR(INDEX('Output Utente'!$G$2:$G$492,MATCH(360,'Output Utente'!$R$2:$R$492,0)),"")</f>
        <v/>
      </c>
      <c r="K363" s="24" t="str">
        <f>IFERROR(INDEX('Output Utente'!$H$2:$H$492,MATCH(360,'Output Utente'!$R$2:$R$492,0)),"")</f>
        <v/>
      </c>
      <c r="L363" s="23" t="str">
        <f>IFERROR(INDEX('Output Utente'!$E$2:$E$492,MATCH(360,'Output Utente'!$R$2:$R$492,0)),"")</f>
        <v/>
      </c>
      <c r="V363" t="str">
        <f>IFERROR(INDEX('Output Utente'!$M$2:$M$492,MATCH(360,'Output Utente'!$R$2:$R$492,0)),"")</f>
        <v/>
      </c>
      <c r="W363" t="str">
        <f t="shared" si="5"/>
        <v/>
      </c>
      <c r="X363" t="str">
        <f>IFERROR(INDEX('Output Utente'!$AF$2:$AF$492,MATCH(360,'Output Utente'!$R$2:$R$492,0)),"")</f>
        <v/>
      </c>
    </row>
    <row r="364" spans="1:24" ht="15" customHeight="1" x14ac:dyDescent="0.25">
      <c r="A364" s="26">
        <v>361</v>
      </c>
      <c r="B364" s="23" t="str">
        <f>IFERROR(INDEX('Output Utente'!$A$2:$A$492,MATCH(361,'Output Utente'!$R$2:$R$492,0)),"")</f>
        <v/>
      </c>
      <c r="C364" s="23" t="str">
        <f>IFERROR(INDEX('Output Utente'!$B$2:$B$492,MATCH(361,'Output Utente'!$R$2:$R$492,0)),"")</f>
        <v/>
      </c>
      <c r="D364" s="23" t="str">
        <f>IFERROR(INDEX('Output Utente'!$C$2:$C$492,MATCH(361,'Output Utente'!$R$2:$R$492,0)),"")</f>
        <v/>
      </c>
      <c r="E364" s="23" t="str">
        <f>IFERROR(INDEX('Input Giocatori 2026_27'!$D$3:$D$493,MATCH($B364,'Input Giocatori 2026_27'!$A$3:$A$493,0)),"")</f>
        <v/>
      </c>
      <c r="F364" s="24" t="str">
        <f>IFERROR(INDEX('Output Utente'!$N$2:$N$492,MATCH(361,'Output Utente'!$R$2:$R$492,0)),"")</f>
        <v/>
      </c>
      <c r="G364" s="23" t="str">
        <f>IFERROR(INDEX('Output Utente'!$O$2:$O$492,MATCH(361,'Output Utente'!$R$2:$R$492,0)),"")</f>
        <v/>
      </c>
      <c r="H364" s="23" t="str">
        <f>IFERROR(INDEX('Output Utente'!$P$2:$P$492,MATCH(361,'Output Utente'!$R$2:$R$492,0)),"")</f>
        <v/>
      </c>
      <c r="I364" s="24" t="str">
        <f>IFERROR(INDEX('Output Utente'!$F$2:$F$492,MATCH(361,'Output Utente'!$R$2:$R$492,0)),"")</f>
        <v/>
      </c>
      <c r="J364" s="24" t="str">
        <f>IFERROR(INDEX('Output Utente'!$G$2:$G$492,MATCH(361,'Output Utente'!$R$2:$R$492,0)),"")</f>
        <v/>
      </c>
      <c r="K364" s="24" t="str">
        <f>IFERROR(INDEX('Output Utente'!$H$2:$H$492,MATCH(361,'Output Utente'!$R$2:$R$492,0)),"")</f>
        <v/>
      </c>
      <c r="L364" s="23" t="str">
        <f>IFERROR(INDEX('Output Utente'!$E$2:$E$492,MATCH(361,'Output Utente'!$R$2:$R$492,0)),"")</f>
        <v/>
      </c>
      <c r="V364" t="str">
        <f>IFERROR(INDEX('Output Utente'!$M$2:$M$492,MATCH(361,'Output Utente'!$R$2:$R$492,0)),"")</f>
        <v/>
      </c>
      <c r="W364" t="str">
        <f t="shared" si="5"/>
        <v/>
      </c>
      <c r="X364" t="str">
        <f>IFERROR(INDEX('Output Utente'!$AF$2:$AF$492,MATCH(361,'Output Utente'!$R$2:$R$492,0)),"")</f>
        <v/>
      </c>
    </row>
    <row r="365" spans="1:24" ht="15" customHeight="1" x14ac:dyDescent="0.25">
      <c r="A365" s="26">
        <v>362</v>
      </c>
      <c r="B365" s="23" t="str">
        <f>IFERROR(INDEX('Output Utente'!$A$2:$A$492,MATCH(362,'Output Utente'!$R$2:$R$492,0)),"")</f>
        <v/>
      </c>
      <c r="C365" s="23" t="str">
        <f>IFERROR(INDEX('Output Utente'!$B$2:$B$492,MATCH(362,'Output Utente'!$R$2:$R$492,0)),"")</f>
        <v/>
      </c>
      <c r="D365" s="23" t="str">
        <f>IFERROR(INDEX('Output Utente'!$C$2:$C$492,MATCH(362,'Output Utente'!$R$2:$R$492,0)),"")</f>
        <v/>
      </c>
      <c r="E365" s="23" t="str">
        <f>IFERROR(INDEX('Input Giocatori 2026_27'!$D$3:$D$493,MATCH($B365,'Input Giocatori 2026_27'!$A$3:$A$493,0)),"")</f>
        <v/>
      </c>
      <c r="F365" s="24" t="str">
        <f>IFERROR(INDEX('Output Utente'!$N$2:$N$492,MATCH(362,'Output Utente'!$R$2:$R$492,0)),"")</f>
        <v/>
      </c>
      <c r="G365" s="23" t="str">
        <f>IFERROR(INDEX('Output Utente'!$O$2:$O$492,MATCH(362,'Output Utente'!$R$2:$R$492,0)),"")</f>
        <v/>
      </c>
      <c r="H365" s="23" t="str">
        <f>IFERROR(INDEX('Output Utente'!$P$2:$P$492,MATCH(362,'Output Utente'!$R$2:$R$492,0)),"")</f>
        <v/>
      </c>
      <c r="I365" s="24" t="str">
        <f>IFERROR(INDEX('Output Utente'!$F$2:$F$492,MATCH(362,'Output Utente'!$R$2:$R$492,0)),"")</f>
        <v/>
      </c>
      <c r="J365" s="24" t="str">
        <f>IFERROR(INDEX('Output Utente'!$G$2:$G$492,MATCH(362,'Output Utente'!$R$2:$R$492,0)),"")</f>
        <v/>
      </c>
      <c r="K365" s="24" t="str">
        <f>IFERROR(INDEX('Output Utente'!$H$2:$H$492,MATCH(362,'Output Utente'!$R$2:$R$492,0)),"")</f>
        <v/>
      </c>
      <c r="L365" s="23" t="str">
        <f>IFERROR(INDEX('Output Utente'!$E$2:$E$492,MATCH(362,'Output Utente'!$R$2:$R$492,0)),"")</f>
        <v/>
      </c>
      <c r="V365" t="str">
        <f>IFERROR(INDEX('Output Utente'!$M$2:$M$492,MATCH(362,'Output Utente'!$R$2:$R$492,0)),"")</f>
        <v/>
      </c>
      <c r="W365" t="str">
        <f t="shared" si="5"/>
        <v/>
      </c>
      <c r="X365" t="str">
        <f>IFERROR(INDEX('Output Utente'!$AF$2:$AF$492,MATCH(362,'Output Utente'!$R$2:$R$492,0)),"")</f>
        <v/>
      </c>
    </row>
    <row r="366" spans="1:24" ht="15" customHeight="1" x14ac:dyDescent="0.25">
      <c r="A366" s="26">
        <v>363</v>
      </c>
      <c r="B366" s="23" t="str">
        <f>IFERROR(INDEX('Output Utente'!$A$2:$A$492,MATCH(363,'Output Utente'!$R$2:$R$492,0)),"")</f>
        <v/>
      </c>
      <c r="C366" s="23" t="str">
        <f>IFERROR(INDEX('Output Utente'!$B$2:$B$492,MATCH(363,'Output Utente'!$R$2:$R$492,0)),"")</f>
        <v/>
      </c>
      <c r="D366" s="23" t="str">
        <f>IFERROR(INDEX('Output Utente'!$C$2:$C$492,MATCH(363,'Output Utente'!$R$2:$R$492,0)),"")</f>
        <v/>
      </c>
      <c r="E366" s="23" t="str">
        <f>IFERROR(INDEX('Input Giocatori 2026_27'!$D$3:$D$493,MATCH($B366,'Input Giocatori 2026_27'!$A$3:$A$493,0)),"")</f>
        <v/>
      </c>
      <c r="F366" s="24" t="str">
        <f>IFERROR(INDEX('Output Utente'!$N$2:$N$492,MATCH(363,'Output Utente'!$R$2:$R$492,0)),"")</f>
        <v/>
      </c>
      <c r="G366" s="23" t="str">
        <f>IFERROR(INDEX('Output Utente'!$O$2:$O$492,MATCH(363,'Output Utente'!$R$2:$R$492,0)),"")</f>
        <v/>
      </c>
      <c r="H366" s="23" t="str">
        <f>IFERROR(INDEX('Output Utente'!$P$2:$P$492,MATCH(363,'Output Utente'!$R$2:$R$492,0)),"")</f>
        <v/>
      </c>
      <c r="I366" s="24" t="str">
        <f>IFERROR(INDEX('Output Utente'!$F$2:$F$492,MATCH(363,'Output Utente'!$R$2:$R$492,0)),"")</f>
        <v/>
      </c>
      <c r="J366" s="24" t="str">
        <f>IFERROR(INDEX('Output Utente'!$G$2:$G$492,MATCH(363,'Output Utente'!$R$2:$R$492,0)),"")</f>
        <v/>
      </c>
      <c r="K366" s="24" t="str">
        <f>IFERROR(INDEX('Output Utente'!$H$2:$H$492,MATCH(363,'Output Utente'!$R$2:$R$492,0)),"")</f>
        <v/>
      </c>
      <c r="L366" s="23" t="str">
        <f>IFERROR(INDEX('Output Utente'!$E$2:$E$492,MATCH(363,'Output Utente'!$R$2:$R$492,0)),"")</f>
        <v/>
      </c>
      <c r="V366" t="str">
        <f>IFERROR(INDEX('Output Utente'!$M$2:$M$492,MATCH(363,'Output Utente'!$R$2:$R$492,0)),"")</f>
        <v/>
      </c>
      <c r="W366" t="str">
        <f t="shared" si="5"/>
        <v/>
      </c>
      <c r="X366" t="str">
        <f>IFERROR(INDEX('Output Utente'!$AF$2:$AF$492,MATCH(363,'Output Utente'!$R$2:$R$492,0)),"")</f>
        <v/>
      </c>
    </row>
    <row r="367" spans="1:24" ht="15" customHeight="1" x14ac:dyDescent="0.25">
      <c r="A367" s="26">
        <v>364</v>
      </c>
      <c r="B367" s="23" t="str">
        <f>IFERROR(INDEX('Output Utente'!$A$2:$A$492,MATCH(364,'Output Utente'!$R$2:$R$492,0)),"")</f>
        <v/>
      </c>
      <c r="C367" s="23" t="str">
        <f>IFERROR(INDEX('Output Utente'!$B$2:$B$492,MATCH(364,'Output Utente'!$R$2:$R$492,0)),"")</f>
        <v/>
      </c>
      <c r="D367" s="23" t="str">
        <f>IFERROR(INDEX('Output Utente'!$C$2:$C$492,MATCH(364,'Output Utente'!$R$2:$R$492,0)),"")</f>
        <v/>
      </c>
      <c r="E367" s="23" t="str">
        <f>IFERROR(INDEX('Input Giocatori 2026_27'!$D$3:$D$493,MATCH($B367,'Input Giocatori 2026_27'!$A$3:$A$493,0)),"")</f>
        <v/>
      </c>
      <c r="F367" s="24" t="str">
        <f>IFERROR(INDEX('Output Utente'!$N$2:$N$492,MATCH(364,'Output Utente'!$R$2:$R$492,0)),"")</f>
        <v/>
      </c>
      <c r="G367" s="23" t="str">
        <f>IFERROR(INDEX('Output Utente'!$O$2:$O$492,MATCH(364,'Output Utente'!$R$2:$R$492,0)),"")</f>
        <v/>
      </c>
      <c r="H367" s="23" t="str">
        <f>IFERROR(INDEX('Output Utente'!$P$2:$P$492,MATCH(364,'Output Utente'!$R$2:$R$492,0)),"")</f>
        <v/>
      </c>
      <c r="I367" s="24" t="str">
        <f>IFERROR(INDEX('Output Utente'!$F$2:$F$492,MATCH(364,'Output Utente'!$R$2:$R$492,0)),"")</f>
        <v/>
      </c>
      <c r="J367" s="24" t="str">
        <f>IFERROR(INDEX('Output Utente'!$G$2:$G$492,MATCH(364,'Output Utente'!$R$2:$R$492,0)),"")</f>
        <v/>
      </c>
      <c r="K367" s="24" t="str">
        <f>IFERROR(INDEX('Output Utente'!$H$2:$H$492,MATCH(364,'Output Utente'!$R$2:$R$492,0)),"")</f>
        <v/>
      </c>
      <c r="L367" s="23" t="str">
        <f>IFERROR(INDEX('Output Utente'!$E$2:$E$492,MATCH(364,'Output Utente'!$R$2:$R$492,0)),"")</f>
        <v/>
      </c>
      <c r="V367" t="str">
        <f>IFERROR(INDEX('Output Utente'!$M$2:$M$492,MATCH(364,'Output Utente'!$R$2:$R$492,0)),"")</f>
        <v/>
      </c>
      <c r="W367" t="str">
        <f t="shared" si="5"/>
        <v/>
      </c>
      <c r="X367" t="str">
        <f>IFERROR(INDEX('Output Utente'!$AF$2:$AF$492,MATCH(364,'Output Utente'!$R$2:$R$492,0)),"")</f>
        <v/>
      </c>
    </row>
    <row r="368" spans="1:24" ht="15" customHeight="1" x14ac:dyDescent="0.25">
      <c r="A368" s="26">
        <v>365</v>
      </c>
      <c r="B368" s="23" t="str">
        <f>IFERROR(INDEX('Output Utente'!$A$2:$A$492,MATCH(365,'Output Utente'!$R$2:$R$492,0)),"")</f>
        <v/>
      </c>
      <c r="C368" s="23" t="str">
        <f>IFERROR(INDEX('Output Utente'!$B$2:$B$492,MATCH(365,'Output Utente'!$R$2:$R$492,0)),"")</f>
        <v/>
      </c>
      <c r="D368" s="23" t="str">
        <f>IFERROR(INDEX('Output Utente'!$C$2:$C$492,MATCH(365,'Output Utente'!$R$2:$R$492,0)),"")</f>
        <v/>
      </c>
      <c r="E368" s="23" t="str">
        <f>IFERROR(INDEX('Input Giocatori 2026_27'!$D$3:$D$493,MATCH($B368,'Input Giocatori 2026_27'!$A$3:$A$493,0)),"")</f>
        <v/>
      </c>
      <c r="F368" s="24" t="str">
        <f>IFERROR(INDEX('Output Utente'!$N$2:$N$492,MATCH(365,'Output Utente'!$R$2:$R$492,0)),"")</f>
        <v/>
      </c>
      <c r="G368" s="23" t="str">
        <f>IFERROR(INDEX('Output Utente'!$O$2:$O$492,MATCH(365,'Output Utente'!$R$2:$R$492,0)),"")</f>
        <v/>
      </c>
      <c r="H368" s="23" t="str">
        <f>IFERROR(INDEX('Output Utente'!$P$2:$P$492,MATCH(365,'Output Utente'!$R$2:$R$492,0)),"")</f>
        <v/>
      </c>
      <c r="I368" s="24" t="str">
        <f>IFERROR(INDEX('Output Utente'!$F$2:$F$492,MATCH(365,'Output Utente'!$R$2:$R$492,0)),"")</f>
        <v/>
      </c>
      <c r="J368" s="24" t="str">
        <f>IFERROR(INDEX('Output Utente'!$G$2:$G$492,MATCH(365,'Output Utente'!$R$2:$R$492,0)),"")</f>
        <v/>
      </c>
      <c r="K368" s="24" t="str">
        <f>IFERROR(INDEX('Output Utente'!$H$2:$H$492,MATCH(365,'Output Utente'!$R$2:$R$492,0)),"")</f>
        <v/>
      </c>
      <c r="L368" s="23" t="str">
        <f>IFERROR(INDEX('Output Utente'!$E$2:$E$492,MATCH(365,'Output Utente'!$R$2:$R$492,0)),"")</f>
        <v/>
      </c>
      <c r="V368" t="str">
        <f>IFERROR(INDEX('Output Utente'!$M$2:$M$492,MATCH(365,'Output Utente'!$R$2:$R$492,0)),"")</f>
        <v/>
      </c>
      <c r="W368" t="str">
        <f t="shared" si="5"/>
        <v/>
      </c>
      <c r="X368" t="str">
        <f>IFERROR(INDEX('Output Utente'!$AF$2:$AF$492,MATCH(365,'Output Utente'!$R$2:$R$492,0)),"")</f>
        <v/>
      </c>
    </row>
    <row r="369" spans="1:24" ht="15" customHeight="1" x14ac:dyDescent="0.25">
      <c r="A369" s="26">
        <v>366</v>
      </c>
      <c r="B369" s="23" t="str">
        <f>IFERROR(INDEX('Output Utente'!$A$2:$A$492,MATCH(366,'Output Utente'!$R$2:$R$492,0)),"")</f>
        <v/>
      </c>
      <c r="C369" s="23" t="str">
        <f>IFERROR(INDEX('Output Utente'!$B$2:$B$492,MATCH(366,'Output Utente'!$R$2:$R$492,0)),"")</f>
        <v/>
      </c>
      <c r="D369" s="23" t="str">
        <f>IFERROR(INDEX('Output Utente'!$C$2:$C$492,MATCH(366,'Output Utente'!$R$2:$R$492,0)),"")</f>
        <v/>
      </c>
      <c r="E369" s="23" t="str">
        <f>IFERROR(INDEX('Input Giocatori 2026_27'!$D$3:$D$493,MATCH($B369,'Input Giocatori 2026_27'!$A$3:$A$493,0)),"")</f>
        <v/>
      </c>
      <c r="F369" s="24" t="str">
        <f>IFERROR(INDEX('Output Utente'!$N$2:$N$492,MATCH(366,'Output Utente'!$R$2:$R$492,0)),"")</f>
        <v/>
      </c>
      <c r="G369" s="23" t="str">
        <f>IFERROR(INDEX('Output Utente'!$O$2:$O$492,MATCH(366,'Output Utente'!$R$2:$R$492,0)),"")</f>
        <v/>
      </c>
      <c r="H369" s="23" t="str">
        <f>IFERROR(INDEX('Output Utente'!$P$2:$P$492,MATCH(366,'Output Utente'!$R$2:$R$492,0)),"")</f>
        <v/>
      </c>
      <c r="I369" s="24" t="str">
        <f>IFERROR(INDEX('Output Utente'!$F$2:$F$492,MATCH(366,'Output Utente'!$R$2:$R$492,0)),"")</f>
        <v/>
      </c>
      <c r="J369" s="24" t="str">
        <f>IFERROR(INDEX('Output Utente'!$G$2:$G$492,MATCH(366,'Output Utente'!$R$2:$R$492,0)),"")</f>
        <v/>
      </c>
      <c r="K369" s="24" t="str">
        <f>IFERROR(INDEX('Output Utente'!$H$2:$H$492,MATCH(366,'Output Utente'!$R$2:$R$492,0)),"")</f>
        <v/>
      </c>
      <c r="L369" s="23" t="str">
        <f>IFERROR(INDEX('Output Utente'!$E$2:$E$492,MATCH(366,'Output Utente'!$R$2:$R$492,0)),"")</f>
        <v/>
      </c>
      <c r="V369" t="str">
        <f>IFERROR(INDEX('Output Utente'!$M$2:$M$492,MATCH(366,'Output Utente'!$R$2:$R$492,0)),"")</f>
        <v/>
      </c>
      <c r="W369" t="str">
        <f t="shared" si="5"/>
        <v/>
      </c>
      <c r="X369" t="str">
        <f>IFERROR(INDEX('Output Utente'!$AF$2:$AF$492,MATCH(366,'Output Utente'!$R$2:$R$492,0)),"")</f>
        <v/>
      </c>
    </row>
    <row r="370" spans="1:24" ht="15" customHeight="1" x14ac:dyDescent="0.25">
      <c r="A370" s="26">
        <v>367</v>
      </c>
      <c r="B370" s="23" t="str">
        <f>IFERROR(INDEX('Output Utente'!$A$2:$A$492,MATCH(367,'Output Utente'!$R$2:$R$492,0)),"")</f>
        <v/>
      </c>
      <c r="C370" s="23" t="str">
        <f>IFERROR(INDEX('Output Utente'!$B$2:$B$492,MATCH(367,'Output Utente'!$R$2:$R$492,0)),"")</f>
        <v/>
      </c>
      <c r="D370" s="23" t="str">
        <f>IFERROR(INDEX('Output Utente'!$C$2:$C$492,MATCH(367,'Output Utente'!$R$2:$R$492,0)),"")</f>
        <v/>
      </c>
      <c r="E370" s="23" t="str">
        <f>IFERROR(INDEX('Input Giocatori 2026_27'!$D$3:$D$493,MATCH($B370,'Input Giocatori 2026_27'!$A$3:$A$493,0)),"")</f>
        <v/>
      </c>
      <c r="F370" s="24" t="str">
        <f>IFERROR(INDEX('Output Utente'!$N$2:$N$492,MATCH(367,'Output Utente'!$R$2:$R$492,0)),"")</f>
        <v/>
      </c>
      <c r="G370" s="23" t="str">
        <f>IFERROR(INDEX('Output Utente'!$O$2:$O$492,MATCH(367,'Output Utente'!$R$2:$R$492,0)),"")</f>
        <v/>
      </c>
      <c r="H370" s="23" t="str">
        <f>IFERROR(INDEX('Output Utente'!$P$2:$P$492,MATCH(367,'Output Utente'!$R$2:$R$492,0)),"")</f>
        <v/>
      </c>
      <c r="I370" s="24" t="str">
        <f>IFERROR(INDEX('Output Utente'!$F$2:$F$492,MATCH(367,'Output Utente'!$R$2:$R$492,0)),"")</f>
        <v/>
      </c>
      <c r="J370" s="24" t="str">
        <f>IFERROR(INDEX('Output Utente'!$G$2:$G$492,MATCH(367,'Output Utente'!$R$2:$R$492,0)),"")</f>
        <v/>
      </c>
      <c r="K370" s="24" t="str">
        <f>IFERROR(INDEX('Output Utente'!$H$2:$H$492,MATCH(367,'Output Utente'!$R$2:$R$492,0)),"")</f>
        <v/>
      </c>
      <c r="L370" s="23" t="str">
        <f>IFERROR(INDEX('Output Utente'!$E$2:$E$492,MATCH(367,'Output Utente'!$R$2:$R$492,0)),"")</f>
        <v/>
      </c>
      <c r="V370" t="str">
        <f>IFERROR(INDEX('Output Utente'!$M$2:$M$492,MATCH(367,'Output Utente'!$R$2:$R$492,0)),"")</f>
        <v/>
      </c>
      <c r="W370" t="str">
        <f t="shared" si="5"/>
        <v/>
      </c>
      <c r="X370" t="str">
        <f>IFERROR(INDEX('Output Utente'!$AF$2:$AF$492,MATCH(367,'Output Utente'!$R$2:$R$492,0)),"")</f>
        <v/>
      </c>
    </row>
    <row r="371" spans="1:24" ht="15" customHeight="1" x14ac:dyDescent="0.25">
      <c r="A371" s="26">
        <v>368</v>
      </c>
      <c r="B371" s="23" t="str">
        <f>IFERROR(INDEX('Output Utente'!$A$2:$A$492,MATCH(368,'Output Utente'!$R$2:$R$492,0)),"")</f>
        <v/>
      </c>
      <c r="C371" s="23" t="str">
        <f>IFERROR(INDEX('Output Utente'!$B$2:$B$492,MATCH(368,'Output Utente'!$R$2:$R$492,0)),"")</f>
        <v/>
      </c>
      <c r="D371" s="23" t="str">
        <f>IFERROR(INDEX('Output Utente'!$C$2:$C$492,MATCH(368,'Output Utente'!$R$2:$R$492,0)),"")</f>
        <v/>
      </c>
      <c r="E371" s="23" t="str">
        <f>IFERROR(INDEX('Input Giocatori 2026_27'!$D$3:$D$493,MATCH($B371,'Input Giocatori 2026_27'!$A$3:$A$493,0)),"")</f>
        <v/>
      </c>
      <c r="F371" s="24" t="str">
        <f>IFERROR(INDEX('Output Utente'!$N$2:$N$492,MATCH(368,'Output Utente'!$R$2:$R$492,0)),"")</f>
        <v/>
      </c>
      <c r="G371" s="23" t="str">
        <f>IFERROR(INDEX('Output Utente'!$O$2:$O$492,MATCH(368,'Output Utente'!$R$2:$R$492,0)),"")</f>
        <v/>
      </c>
      <c r="H371" s="23" t="str">
        <f>IFERROR(INDEX('Output Utente'!$P$2:$P$492,MATCH(368,'Output Utente'!$R$2:$R$492,0)),"")</f>
        <v/>
      </c>
      <c r="I371" s="24" t="str">
        <f>IFERROR(INDEX('Output Utente'!$F$2:$F$492,MATCH(368,'Output Utente'!$R$2:$R$492,0)),"")</f>
        <v/>
      </c>
      <c r="J371" s="24" t="str">
        <f>IFERROR(INDEX('Output Utente'!$G$2:$G$492,MATCH(368,'Output Utente'!$R$2:$R$492,0)),"")</f>
        <v/>
      </c>
      <c r="K371" s="24" t="str">
        <f>IFERROR(INDEX('Output Utente'!$H$2:$H$492,MATCH(368,'Output Utente'!$R$2:$R$492,0)),"")</f>
        <v/>
      </c>
      <c r="L371" s="23" t="str">
        <f>IFERROR(INDEX('Output Utente'!$E$2:$E$492,MATCH(368,'Output Utente'!$R$2:$R$492,0)),"")</f>
        <v/>
      </c>
      <c r="V371" t="str">
        <f>IFERROR(INDEX('Output Utente'!$M$2:$M$492,MATCH(368,'Output Utente'!$R$2:$R$492,0)),"")</f>
        <v/>
      </c>
      <c r="W371" t="str">
        <f t="shared" si="5"/>
        <v/>
      </c>
      <c r="X371" t="str">
        <f>IFERROR(INDEX('Output Utente'!$AF$2:$AF$492,MATCH(368,'Output Utente'!$R$2:$R$492,0)),"")</f>
        <v/>
      </c>
    </row>
    <row r="372" spans="1:24" ht="15" customHeight="1" x14ac:dyDescent="0.25">
      <c r="A372" s="26">
        <v>369</v>
      </c>
      <c r="B372" s="23" t="str">
        <f>IFERROR(INDEX('Output Utente'!$A$2:$A$492,MATCH(369,'Output Utente'!$R$2:$R$492,0)),"")</f>
        <v/>
      </c>
      <c r="C372" s="23" t="str">
        <f>IFERROR(INDEX('Output Utente'!$B$2:$B$492,MATCH(369,'Output Utente'!$R$2:$R$492,0)),"")</f>
        <v/>
      </c>
      <c r="D372" s="23" t="str">
        <f>IFERROR(INDEX('Output Utente'!$C$2:$C$492,MATCH(369,'Output Utente'!$R$2:$R$492,0)),"")</f>
        <v/>
      </c>
      <c r="E372" s="23" t="str">
        <f>IFERROR(INDEX('Input Giocatori 2026_27'!$D$3:$D$493,MATCH($B372,'Input Giocatori 2026_27'!$A$3:$A$493,0)),"")</f>
        <v/>
      </c>
      <c r="F372" s="24" t="str">
        <f>IFERROR(INDEX('Output Utente'!$N$2:$N$492,MATCH(369,'Output Utente'!$R$2:$R$492,0)),"")</f>
        <v/>
      </c>
      <c r="G372" s="23" t="str">
        <f>IFERROR(INDEX('Output Utente'!$O$2:$O$492,MATCH(369,'Output Utente'!$R$2:$R$492,0)),"")</f>
        <v/>
      </c>
      <c r="H372" s="23" t="str">
        <f>IFERROR(INDEX('Output Utente'!$P$2:$P$492,MATCH(369,'Output Utente'!$R$2:$R$492,0)),"")</f>
        <v/>
      </c>
      <c r="I372" s="24" t="str">
        <f>IFERROR(INDEX('Output Utente'!$F$2:$F$492,MATCH(369,'Output Utente'!$R$2:$R$492,0)),"")</f>
        <v/>
      </c>
      <c r="J372" s="24" t="str">
        <f>IFERROR(INDEX('Output Utente'!$G$2:$G$492,MATCH(369,'Output Utente'!$R$2:$R$492,0)),"")</f>
        <v/>
      </c>
      <c r="K372" s="24" t="str">
        <f>IFERROR(INDEX('Output Utente'!$H$2:$H$492,MATCH(369,'Output Utente'!$R$2:$R$492,0)),"")</f>
        <v/>
      </c>
      <c r="L372" s="23" t="str">
        <f>IFERROR(INDEX('Output Utente'!$E$2:$E$492,MATCH(369,'Output Utente'!$R$2:$R$492,0)),"")</f>
        <v/>
      </c>
      <c r="V372" t="str">
        <f>IFERROR(INDEX('Output Utente'!$M$2:$M$492,MATCH(369,'Output Utente'!$R$2:$R$492,0)),"")</f>
        <v/>
      </c>
      <c r="W372" t="str">
        <f t="shared" si="5"/>
        <v/>
      </c>
      <c r="X372" t="str">
        <f>IFERROR(INDEX('Output Utente'!$AF$2:$AF$492,MATCH(369,'Output Utente'!$R$2:$R$492,0)),"")</f>
        <v/>
      </c>
    </row>
    <row r="373" spans="1:24" ht="15" customHeight="1" x14ac:dyDescent="0.25">
      <c r="A373" s="26">
        <v>370</v>
      </c>
      <c r="B373" s="23" t="str">
        <f>IFERROR(INDEX('Output Utente'!$A$2:$A$492,MATCH(370,'Output Utente'!$R$2:$R$492,0)),"")</f>
        <v/>
      </c>
      <c r="C373" s="23" t="str">
        <f>IFERROR(INDEX('Output Utente'!$B$2:$B$492,MATCH(370,'Output Utente'!$R$2:$R$492,0)),"")</f>
        <v/>
      </c>
      <c r="D373" s="23" t="str">
        <f>IFERROR(INDEX('Output Utente'!$C$2:$C$492,MATCH(370,'Output Utente'!$R$2:$R$492,0)),"")</f>
        <v/>
      </c>
      <c r="E373" s="23" t="str">
        <f>IFERROR(INDEX('Input Giocatori 2026_27'!$D$3:$D$493,MATCH($B373,'Input Giocatori 2026_27'!$A$3:$A$493,0)),"")</f>
        <v/>
      </c>
      <c r="F373" s="24" t="str">
        <f>IFERROR(INDEX('Output Utente'!$N$2:$N$492,MATCH(370,'Output Utente'!$R$2:$R$492,0)),"")</f>
        <v/>
      </c>
      <c r="G373" s="23" t="str">
        <f>IFERROR(INDEX('Output Utente'!$O$2:$O$492,MATCH(370,'Output Utente'!$R$2:$R$492,0)),"")</f>
        <v/>
      </c>
      <c r="H373" s="23" t="str">
        <f>IFERROR(INDEX('Output Utente'!$P$2:$P$492,MATCH(370,'Output Utente'!$R$2:$R$492,0)),"")</f>
        <v/>
      </c>
      <c r="I373" s="24" t="str">
        <f>IFERROR(INDEX('Output Utente'!$F$2:$F$492,MATCH(370,'Output Utente'!$R$2:$R$492,0)),"")</f>
        <v/>
      </c>
      <c r="J373" s="24" t="str">
        <f>IFERROR(INDEX('Output Utente'!$G$2:$G$492,MATCH(370,'Output Utente'!$R$2:$R$492,0)),"")</f>
        <v/>
      </c>
      <c r="K373" s="24" t="str">
        <f>IFERROR(INDEX('Output Utente'!$H$2:$H$492,MATCH(370,'Output Utente'!$R$2:$R$492,0)),"")</f>
        <v/>
      </c>
      <c r="L373" s="23" t="str">
        <f>IFERROR(INDEX('Output Utente'!$E$2:$E$492,MATCH(370,'Output Utente'!$R$2:$R$492,0)),"")</f>
        <v/>
      </c>
      <c r="V373" t="str">
        <f>IFERROR(INDEX('Output Utente'!$M$2:$M$492,MATCH(370,'Output Utente'!$R$2:$R$492,0)),"")</f>
        <v/>
      </c>
      <c r="W373" t="str">
        <f t="shared" si="5"/>
        <v/>
      </c>
      <c r="X373" t="str">
        <f>IFERROR(INDEX('Output Utente'!$AF$2:$AF$492,MATCH(370,'Output Utente'!$R$2:$R$492,0)),"")</f>
        <v/>
      </c>
    </row>
    <row r="374" spans="1:24" ht="15" customHeight="1" x14ac:dyDescent="0.25">
      <c r="A374" s="26">
        <v>371</v>
      </c>
      <c r="B374" s="23" t="str">
        <f>IFERROR(INDEX('Output Utente'!$A$2:$A$492,MATCH(371,'Output Utente'!$R$2:$R$492,0)),"")</f>
        <v/>
      </c>
      <c r="C374" s="23" t="str">
        <f>IFERROR(INDEX('Output Utente'!$B$2:$B$492,MATCH(371,'Output Utente'!$R$2:$R$492,0)),"")</f>
        <v/>
      </c>
      <c r="D374" s="23" t="str">
        <f>IFERROR(INDEX('Output Utente'!$C$2:$C$492,MATCH(371,'Output Utente'!$R$2:$R$492,0)),"")</f>
        <v/>
      </c>
      <c r="E374" s="23" t="str">
        <f>IFERROR(INDEX('Input Giocatori 2026_27'!$D$3:$D$493,MATCH($B374,'Input Giocatori 2026_27'!$A$3:$A$493,0)),"")</f>
        <v/>
      </c>
      <c r="F374" s="24" t="str">
        <f>IFERROR(INDEX('Output Utente'!$N$2:$N$492,MATCH(371,'Output Utente'!$R$2:$R$492,0)),"")</f>
        <v/>
      </c>
      <c r="G374" s="23" t="str">
        <f>IFERROR(INDEX('Output Utente'!$O$2:$O$492,MATCH(371,'Output Utente'!$R$2:$R$492,0)),"")</f>
        <v/>
      </c>
      <c r="H374" s="23" t="str">
        <f>IFERROR(INDEX('Output Utente'!$P$2:$P$492,MATCH(371,'Output Utente'!$R$2:$R$492,0)),"")</f>
        <v/>
      </c>
      <c r="I374" s="24" t="str">
        <f>IFERROR(INDEX('Output Utente'!$F$2:$F$492,MATCH(371,'Output Utente'!$R$2:$R$492,0)),"")</f>
        <v/>
      </c>
      <c r="J374" s="24" t="str">
        <f>IFERROR(INDEX('Output Utente'!$G$2:$G$492,MATCH(371,'Output Utente'!$R$2:$R$492,0)),"")</f>
        <v/>
      </c>
      <c r="K374" s="24" t="str">
        <f>IFERROR(INDEX('Output Utente'!$H$2:$H$492,MATCH(371,'Output Utente'!$R$2:$R$492,0)),"")</f>
        <v/>
      </c>
      <c r="L374" s="23" t="str">
        <f>IFERROR(INDEX('Output Utente'!$E$2:$E$492,MATCH(371,'Output Utente'!$R$2:$R$492,0)),"")</f>
        <v/>
      </c>
      <c r="V374" t="str">
        <f>IFERROR(INDEX('Output Utente'!$M$2:$M$492,MATCH(371,'Output Utente'!$R$2:$R$492,0)),"")</f>
        <v/>
      </c>
      <c r="W374" t="str">
        <f t="shared" si="5"/>
        <v/>
      </c>
      <c r="X374" t="str">
        <f>IFERROR(INDEX('Output Utente'!$AF$2:$AF$492,MATCH(371,'Output Utente'!$R$2:$R$492,0)),"")</f>
        <v/>
      </c>
    </row>
    <row r="375" spans="1:24" ht="15" customHeight="1" x14ac:dyDescent="0.25">
      <c r="A375" s="26">
        <v>372</v>
      </c>
      <c r="B375" s="23" t="str">
        <f>IFERROR(INDEX('Output Utente'!$A$2:$A$492,MATCH(372,'Output Utente'!$R$2:$R$492,0)),"")</f>
        <v/>
      </c>
      <c r="C375" s="23" t="str">
        <f>IFERROR(INDEX('Output Utente'!$B$2:$B$492,MATCH(372,'Output Utente'!$R$2:$R$492,0)),"")</f>
        <v/>
      </c>
      <c r="D375" s="23" t="str">
        <f>IFERROR(INDEX('Output Utente'!$C$2:$C$492,MATCH(372,'Output Utente'!$R$2:$R$492,0)),"")</f>
        <v/>
      </c>
      <c r="E375" s="23" t="str">
        <f>IFERROR(INDEX('Input Giocatori 2026_27'!$D$3:$D$493,MATCH($B375,'Input Giocatori 2026_27'!$A$3:$A$493,0)),"")</f>
        <v/>
      </c>
      <c r="F375" s="24" t="str">
        <f>IFERROR(INDEX('Output Utente'!$N$2:$N$492,MATCH(372,'Output Utente'!$R$2:$R$492,0)),"")</f>
        <v/>
      </c>
      <c r="G375" s="23" t="str">
        <f>IFERROR(INDEX('Output Utente'!$O$2:$O$492,MATCH(372,'Output Utente'!$R$2:$R$492,0)),"")</f>
        <v/>
      </c>
      <c r="H375" s="23" t="str">
        <f>IFERROR(INDEX('Output Utente'!$P$2:$P$492,MATCH(372,'Output Utente'!$R$2:$R$492,0)),"")</f>
        <v/>
      </c>
      <c r="I375" s="24" t="str">
        <f>IFERROR(INDEX('Output Utente'!$F$2:$F$492,MATCH(372,'Output Utente'!$R$2:$R$492,0)),"")</f>
        <v/>
      </c>
      <c r="J375" s="24" t="str">
        <f>IFERROR(INDEX('Output Utente'!$G$2:$G$492,MATCH(372,'Output Utente'!$R$2:$R$492,0)),"")</f>
        <v/>
      </c>
      <c r="K375" s="24" t="str">
        <f>IFERROR(INDEX('Output Utente'!$H$2:$H$492,MATCH(372,'Output Utente'!$R$2:$R$492,0)),"")</f>
        <v/>
      </c>
      <c r="L375" s="23" t="str">
        <f>IFERROR(INDEX('Output Utente'!$E$2:$E$492,MATCH(372,'Output Utente'!$R$2:$R$492,0)),"")</f>
        <v/>
      </c>
      <c r="V375" t="str">
        <f>IFERROR(INDEX('Output Utente'!$M$2:$M$492,MATCH(372,'Output Utente'!$R$2:$R$492,0)),"")</f>
        <v/>
      </c>
      <c r="W375" t="str">
        <f t="shared" si="5"/>
        <v/>
      </c>
      <c r="X375" t="str">
        <f>IFERROR(INDEX('Output Utente'!$AF$2:$AF$492,MATCH(372,'Output Utente'!$R$2:$R$492,0)),"")</f>
        <v/>
      </c>
    </row>
    <row r="376" spans="1:24" ht="15" customHeight="1" x14ac:dyDescent="0.25">
      <c r="A376" s="26">
        <v>373</v>
      </c>
      <c r="B376" s="23" t="str">
        <f>IFERROR(INDEX('Output Utente'!$A$2:$A$492,MATCH(373,'Output Utente'!$R$2:$R$492,0)),"")</f>
        <v/>
      </c>
      <c r="C376" s="23" t="str">
        <f>IFERROR(INDEX('Output Utente'!$B$2:$B$492,MATCH(373,'Output Utente'!$R$2:$R$492,0)),"")</f>
        <v/>
      </c>
      <c r="D376" s="23" t="str">
        <f>IFERROR(INDEX('Output Utente'!$C$2:$C$492,MATCH(373,'Output Utente'!$R$2:$R$492,0)),"")</f>
        <v/>
      </c>
      <c r="E376" s="23" t="str">
        <f>IFERROR(INDEX('Input Giocatori 2026_27'!$D$3:$D$493,MATCH($B376,'Input Giocatori 2026_27'!$A$3:$A$493,0)),"")</f>
        <v/>
      </c>
      <c r="F376" s="24" t="str">
        <f>IFERROR(INDEX('Output Utente'!$N$2:$N$492,MATCH(373,'Output Utente'!$R$2:$R$492,0)),"")</f>
        <v/>
      </c>
      <c r="G376" s="23" t="str">
        <f>IFERROR(INDEX('Output Utente'!$O$2:$O$492,MATCH(373,'Output Utente'!$R$2:$R$492,0)),"")</f>
        <v/>
      </c>
      <c r="H376" s="23" t="str">
        <f>IFERROR(INDEX('Output Utente'!$P$2:$P$492,MATCH(373,'Output Utente'!$R$2:$R$492,0)),"")</f>
        <v/>
      </c>
      <c r="I376" s="24" t="str">
        <f>IFERROR(INDEX('Output Utente'!$F$2:$F$492,MATCH(373,'Output Utente'!$R$2:$R$492,0)),"")</f>
        <v/>
      </c>
      <c r="J376" s="24" t="str">
        <f>IFERROR(INDEX('Output Utente'!$G$2:$G$492,MATCH(373,'Output Utente'!$R$2:$R$492,0)),"")</f>
        <v/>
      </c>
      <c r="K376" s="24" t="str">
        <f>IFERROR(INDEX('Output Utente'!$H$2:$H$492,MATCH(373,'Output Utente'!$R$2:$R$492,0)),"")</f>
        <v/>
      </c>
      <c r="L376" s="23" t="str">
        <f>IFERROR(INDEX('Output Utente'!$E$2:$E$492,MATCH(373,'Output Utente'!$R$2:$R$492,0)),"")</f>
        <v/>
      </c>
      <c r="V376" t="str">
        <f>IFERROR(INDEX('Output Utente'!$M$2:$M$492,MATCH(373,'Output Utente'!$R$2:$R$492,0)),"")</f>
        <v/>
      </c>
      <c r="W376" t="str">
        <f t="shared" si="5"/>
        <v/>
      </c>
      <c r="X376" t="str">
        <f>IFERROR(INDEX('Output Utente'!$AF$2:$AF$492,MATCH(373,'Output Utente'!$R$2:$R$492,0)),"")</f>
        <v/>
      </c>
    </row>
    <row r="377" spans="1:24" ht="15" customHeight="1" x14ac:dyDescent="0.25">
      <c r="A377" s="26">
        <v>374</v>
      </c>
      <c r="B377" s="23" t="str">
        <f>IFERROR(INDEX('Output Utente'!$A$2:$A$492,MATCH(374,'Output Utente'!$R$2:$R$492,0)),"")</f>
        <v/>
      </c>
      <c r="C377" s="23" t="str">
        <f>IFERROR(INDEX('Output Utente'!$B$2:$B$492,MATCH(374,'Output Utente'!$R$2:$R$492,0)),"")</f>
        <v/>
      </c>
      <c r="D377" s="23" t="str">
        <f>IFERROR(INDEX('Output Utente'!$C$2:$C$492,MATCH(374,'Output Utente'!$R$2:$R$492,0)),"")</f>
        <v/>
      </c>
      <c r="E377" s="23" t="str">
        <f>IFERROR(INDEX('Input Giocatori 2026_27'!$D$3:$D$493,MATCH($B377,'Input Giocatori 2026_27'!$A$3:$A$493,0)),"")</f>
        <v/>
      </c>
      <c r="F377" s="24" t="str">
        <f>IFERROR(INDEX('Output Utente'!$N$2:$N$492,MATCH(374,'Output Utente'!$R$2:$R$492,0)),"")</f>
        <v/>
      </c>
      <c r="G377" s="23" t="str">
        <f>IFERROR(INDEX('Output Utente'!$O$2:$O$492,MATCH(374,'Output Utente'!$R$2:$R$492,0)),"")</f>
        <v/>
      </c>
      <c r="H377" s="23" t="str">
        <f>IFERROR(INDEX('Output Utente'!$P$2:$P$492,MATCH(374,'Output Utente'!$R$2:$R$492,0)),"")</f>
        <v/>
      </c>
      <c r="I377" s="24" t="str">
        <f>IFERROR(INDEX('Output Utente'!$F$2:$F$492,MATCH(374,'Output Utente'!$R$2:$R$492,0)),"")</f>
        <v/>
      </c>
      <c r="J377" s="24" t="str">
        <f>IFERROR(INDEX('Output Utente'!$G$2:$G$492,MATCH(374,'Output Utente'!$R$2:$R$492,0)),"")</f>
        <v/>
      </c>
      <c r="K377" s="24" t="str">
        <f>IFERROR(INDEX('Output Utente'!$H$2:$H$492,MATCH(374,'Output Utente'!$R$2:$R$492,0)),"")</f>
        <v/>
      </c>
      <c r="L377" s="23" t="str">
        <f>IFERROR(INDEX('Output Utente'!$E$2:$E$492,MATCH(374,'Output Utente'!$R$2:$R$492,0)),"")</f>
        <v/>
      </c>
      <c r="V377" t="str">
        <f>IFERROR(INDEX('Output Utente'!$M$2:$M$492,MATCH(374,'Output Utente'!$R$2:$R$492,0)),"")</f>
        <v/>
      </c>
      <c r="W377" t="str">
        <f t="shared" si="5"/>
        <v/>
      </c>
      <c r="X377" t="str">
        <f>IFERROR(INDEX('Output Utente'!$AF$2:$AF$492,MATCH(374,'Output Utente'!$R$2:$R$492,0)),"")</f>
        <v/>
      </c>
    </row>
    <row r="378" spans="1:24" ht="15" customHeight="1" x14ac:dyDescent="0.25">
      <c r="A378" s="26">
        <v>375</v>
      </c>
      <c r="B378" s="23" t="str">
        <f>IFERROR(INDEX('Output Utente'!$A$2:$A$492,MATCH(375,'Output Utente'!$R$2:$R$492,0)),"")</f>
        <v/>
      </c>
      <c r="C378" s="23" t="str">
        <f>IFERROR(INDEX('Output Utente'!$B$2:$B$492,MATCH(375,'Output Utente'!$R$2:$R$492,0)),"")</f>
        <v/>
      </c>
      <c r="D378" s="23" t="str">
        <f>IFERROR(INDEX('Output Utente'!$C$2:$C$492,MATCH(375,'Output Utente'!$R$2:$R$492,0)),"")</f>
        <v/>
      </c>
      <c r="E378" s="23" t="str">
        <f>IFERROR(INDEX('Input Giocatori 2026_27'!$D$3:$D$493,MATCH($B378,'Input Giocatori 2026_27'!$A$3:$A$493,0)),"")</f>
        <v/>
      </c>
      <c r="F378" s="24" t="str">
        <f>IFERROR(INDEX('Output Utente'!$N$2:$N$492,MATCH(375,'Output Utente'!$R$2:$R$492,0)),"")</f>
        <v/>
      </c>
      <c r="G378" s="23" t="str">
        <f>IFERROR(INDEX('Output Utente'!$O$2:$O$492,MATCH(375,'Output Utente'!$R$2:$R$492,0)),"")</f>
        <v/>
      </c>
      <c r="H378" s="23" t="str">
        <f>IFERROR(INDEX('Output Utente'!$P$2:$P$492,MATCH(375,'Output Utente'!$R$2:$R$492,0)),"")</f>
        <v/>
      </c>
      <c r="I378" s="24" t="str">
        <f>IFERROR(INDEX('Output Utente'!$F$2:$F$492,MATCH(375,'Output Utente'!$R$2:$R$492,0)),"")</f>
        <v/>
      </c>
      <c r="J378" s="24" t="str">
        <f>IFERROR(INDEX('Output Utente'!$G$2:$G$492,MATCH(375,'Output Utente'!$R$2:$R$492,0)),"")</f>
        <v/>
      </c>
      <c r="K378" s="24" t="str">
        <f>IFERROR(INDEX('Output Utente'!$H$2:$H$492,MATCH(375,'Output Utente'!$R$2:$R$492,0)),"")</f>
        <v/>
      </c>
      <c r="L378" s="23" t="str">
        <f>IFERROR(INDEX('Output Utente'!$E$2:$E$492,MATCH(375,'Output Utente'!$R$2:$R$492,0)),"")</f>
        <v/>
      </c>
      <c r="V378" t="str">
        <f>IFERROR(INDEX('Output Utente'!$M$2:$M$492,MATCH(375,'Output Utente'!$R$2:$R$492,0)),"")</f>
        <v/>
      </c>
      <c r="W378" t="str">
        <f t="shared" si="5"/>
        <v/>
      </c>
      <c r="X378" t="str">
        <f>IFERROR(INDEX('Output Utente'!$AF$2:$AF$492,MATCH(375,'Output Utente'!$R$2:$R$492,0)),"")</f>
        <v/>
      </c>
    </row>
    <row r="379" spans="1:24" ht="15" customHeight="1" x14ac:dyDescent="0.25">
      <c r="A379" s="26">
        <v>376</v>
      </c>
      <c r="B379" s="23" t="str">
        <f>IFERROR(INDEX('Output Utente'!$A$2:$A$492,MATCH(376,'Output Utente'!$R$2:$R$492,0)),"")</f>
        <v/>
      </c>
      <c r="C379" s="23" t="str">
        <f>IFERROR(INDEX('Output Utente'!$B$2:$B$492,MATCH(376,'Output Utente'!$R$2:$R$492,0)),"")</f>
        <v/>
      </c>
      <c r="D379" s="23" t="str">
        <f>IFERROR(INDEX('Output Utente'!$C$2:$C$492,MATCH(376,'Output Utente'!$R$2:$R$492,0)),"")</f>
        <v/>
      </c>
      <c r="E379" s="23" t="str">
        <f>IFERROR(INDEX('Input Giocatori 2026_27'!$D$3:$D$493,MATCH($B379,'Input Giocatori 2026_27'!$A$3:$A$493,0)),"")</f>
        <v/>
      </c>
      <c r="F379" s="24" t="str">
        <f>IFERROR(INDEX('Output Utente'!$N$2:$N$492,MATCH(376,'Output Utente'!$R$2:$R$492,0)),"")</f>
        <v/>
      </c>
      <c r="G379" s="23" t="str">
        <f>IFERROR(INDEX('Output Utente'!$O$2:$O$492,MATCH(376,'Output Utente'!$R$2:$R$492,0)),"")</f>
        <v/>
      </c>
      <c r="H379" s="23" t="str">
        <f>IFERROR(INDEX('Output Utente'!$P$2:$P$492,MATCH(376,'Output Utente'!$R$2:$R$492,0)),"")</f>
        <v/>
      </c>
      <c r="I379" s="24" t="str">
        <f>IFERROR(INDEX('Output Utente'!$F$2:$F$492,MATCH(376,'Output Utente'!$R$2:$R$492,0)),"")</f>
        <v/>
      </c>
      <c r="J379" s="24" t="str">
        <f>IFERROR(INDEX('Output Utente'!$G$2:$G$492,MATCH(376,'Output Utente'!$R$2:$R$492,0)),"")</f>
        <v/>
      </c>
      <c r="K379" s="24" t="str">
        <f>IFERROR(INDEX('Output Utente'!$H$2:$H$492,MATCH(376,'Output Utente'!$R$2:$R$492,0)),"")</f>
        <v/>
      </c>
      <c r="L379" s="23" t="str">
        <f>IFERROR(INDEX('Output Utente'!$E$2:$E$492,MATCH(376,'Output Utente'!$R$2:$R$492,0)),"")</f>
        <v/>
      </c>
      <c r="V379" t="str">
        <f>IFERROR(INDEX('Output Utente'!$M$2:$M$492,MATCH(376,'Output Utente'!$R$2:$R$492,0)),"")</f>
        <v/>
      </c>
      <c r="W379" t="str">
        <f t="shared" si="5"/>
        <v/>
      </c>
      <c r="X379" t="str">
        <f>IFERROR(INDEX('Output Utente'!$AF$2:$AF$492,MATCH(376,'Output Utente'!$R$2:$R$492,0)),"")</f>
        <v/>
      </c>
    </row>
    <row r="380" spans="1:24" ht="15" customHeight="1" x14ac:dyDescent="0.25">
      <c r="A380" s="26">
        <v>377</v>
      </c>
      <c r="B380" s="23" t="str">
        <f>IFERROR(INDEX('Output Utente'!$A$2:$A$492,MATCH(377,'Output Utente'!$R$2:$R$492,0)),"")</f>
        <v/>
      </c>
      <c r="C380" s="23" t="str">
        <f>IFERROR(INDEX('Output Utente'!$B$2:$B$492,MATCH(377,'Output Utente'!$R$2:$R$492,0)),"")</f>
        <v/>
      </c>
      <c r="D380" s="23" t="str">
        <f>IFERROR(INDEX('Output Utente'!$C$2:$C$492,MATCH(377,'Output Utente'!$R$2:$R$492,0)),"")</f>
        <v/>
      </c>
      <c r="E380" s="23" t="str">
        <f>IFERROR(INDEX('Input Giocatori 2026_27'!$D$3:$D$493,MATCH($B380,'Input Giocatori 2026_27'!$A$3:$A$493,0)),"")</f>
        <v/>
      </c>
      <c r="F380" s="24" t="str">
        <f>IFERROR(INDEX('Output Utente'!$N$2:$N$492,MATCH(377,'Output Utente'!$R$2:$R$492,0)),"")</f>
        <v/>
      </c>
      <c r="G380" s="23" t="str">
        <f>IFERROR(INDEX('Output Utente'!$O$2:$O$492,MATCH(377,'Output Utente'!$R$2:$R$492,0)),"")</f>
        <v/>
      </c>
      <c r="H380" s="23" t="str">
        <f>IFERROR(INDEX('Output Utente'!$P$2:$P$492,MATCH(377,'Output Utente'!$R$2:$R$492,0)),"")</f>
        <v/>
      </c>
      <c r="I380" s="24" t="str">
        <f>IFERROR(INDEX('Output Utente'!$F$2:$F$492,MATCH(377,'Output Utente'!$R$2:$R$492,0)),"")</f>
        <v/>
      </c>
      <c r="J380" s="24" t="str">
        <f>IFERROR(INDEX('Output Utente'!$G$2:$G$492,MATCH(377,'Output Utente'!$R$2:$R$492,0)),"")</f>
        <v/>
      </c>
      <c r="K380" s="24" t="str">
        <f>IFERROR(INDEX('Output Utente'!$H$2:$H$492,MATCH(377,'Output Utente'!$R$2:$R$492,0)),"")</f>
        <v/>
      </c>
      <c r="L380" s="23" t="str">
        <f>IFERROR(INDEX('Output Utente'!$E$2:$E$492,MATCH(377,'Output Utente'!$R$2:$R$492,0)),"")</f>
        <v/>
      </c>
      <c r="V380" t="str">
        <f>IFERROR(INDEX('Output Utente'!$M$2:$M$492,MATCH(377,'Output Utente'!$R$2:$R$492,0)),"")</f>
        <v/>
      </c>
      <c r="W380" t="str">
        <f t="shared" si="5"/>
        <v/>
      </c>
      <c r="X380" t="str">
        <f>IFERROR(INDEX('Output Utente'!$AF$2:$AF$492,MATCH(377,'Output Utente'!$R$2:$R$492,0)),"")</f>
        <v/>
      </c>
    </row>
    <row r="381" spans="1:24" ht="15" customHeight="1" x14ac:dyDescent="0.25">
      <c r="A381" s="26">
        <v>378</v>
      </c>
      <c r="B381" s="23" t="str">
        <f>IFERROR(INDEX('Output Utente'!$A$2:$A$492,MATCH(378,'Output Utente'!$R$2:$R$492,0)),"")</f>
        <v/>
      </c>
      <c r="C381" s="23" t="str">
        <f>IFERROR(INDEX('Output Utente'!$B$2:$B$492,MATCH(378,'Output Utente'!$R$2:$R$492,0)),"")</f>
        <v/>
      </c>
      <c r="D381" s="23" t="str">
        <f>IFERROR(INDEX('Output Utente'!$C$2:$C$492,MATCH(378,'Output Utente'!$R$2:$R$492,0)),"")</f>
        <v/>
      </c>
      <c r="E381" s="23" t="str">
        <f>IFERROR(INDEX('Input Giocatori 2026_27'!$D$3:$D$493,MATCH($B381,'Input Giocatori 2026_27'!$A$3:$A$493,0)),"")</f>
        <v/>
      </c>
      <c r="F381" s="24" t="str">
        <f>IFERROR(INDEX('Output Utente'!$N$2:$N$492,MATCH(378,'Output Utente'!$R$2:$R$492,0)),"")</f>
        <v/>
      </c>
      <c r="G381" s="23" t="str">
        <f>IFERROR(INDEX('Output Utente'!$O$2:$O$492,MATCH(378,'Output Utente'!$R$2:$R$492,0)),"")</f>
        <v/>
      </c>
      <c r="H381" s="23" t="str">
        <f>IFERROR(INDEX('Output Utente'!$P$2:$P$492,MATCH(378,'Output Utente'!$R$2:$R$492,0)),"")</f>
        <v/>
      </c>
      <c r="I381" s="24" t="str">
        <f>IFERROR(INDEX('Output Utente'!$F$2:$F$492,MATCH(378,'Output Utente'!$R$2:$R$492,0)),"")</f>
        <v/>
      </c>
      <c r="J381" s="24" t="str">
        <f>IFERROR(INDEX('Output Utente'!$G$2:$G$492,MATCH(378,'Output Utente'!$R$2:$R$492,0)),"")</f>
        <v/>
      </c>
      <c r="K381" s="24" t="str">
        <f>IFERROR(INDEX('Output Utente'!$H$2:$H$492,MATCH(378,'Output Utente'!$R$2:$R$492,0)),"")</f>
        <v/>
      </c>
      <c r="L381" s="23" t="str">
        <f>IFERROR(INDEX('Output Utente'!$E$2:$E$492,MATCH(378,'Output Utente'!$R$2:$R$492,0)),"")</f>
        <v/>
      </c>
      <c r="V381" t="str">
        <f>IFERROR(INDEX('Output Utente'!$M$2:$M$492,MATCH(378,'Output Utente'!$R$2:$R$492,0)),"")</f>
        <v/>
      </c>
      <c r="W381" t="str">
        <f t="shared" si="5"/>
        <v/>
      </c>
      <c r="X381" t="str">
        <f>IFERROR(INDEX('Output Utente'!$AF$2:$AF$492,MATCH(378,'Output Utente'!$R$2:$R$492,0)),"")</f>
        <v/>
      </c>
    </row>
    <row r="382" spans="1:24" ht="15" customHeight="1" x14ac:dyDescent="0.25">
      <c r="A382" s="26">
        <v>379</v>
      </c>
      <c r="B382" s="23" t="str">
        <f>IFERROR(INDEX('Output Utente'!$A$2:$A$492,MATCH(379,'Output Utente'!$R$2:$R$492,0)),"")</f>
        <v/>
      </c>
      <c r="C382" s="23" t="str">
        <f>IFERROR(INDEX('Output Utente'!$B$2:$B$492,MATCH(379,'Output Utente'!$R$2:$R$492,0)),"")</f>
        <v/>
      </c>
      <c r="D382" s="23" t="str">
        <f>IFERROR(INDEX('Output Utente'!$C$2:$C$492,MATCH(379,'Output Utente'!$R$2:$R$492,0)),"")</f>
        <v/>
      </c>
      <c r="E382" s="23" t="str">
        <f>IFERROR(INDEX('Input Giocatori 2026_27'!$D$3:$D$493,MATCH($B382,'Input Giocatori 2026_27'!$A$3:$A$493,0)),"")</f>
        <v/>
      </c>
      <c r="F382" s="24" t="str">
        <f>IFERROR(INDEX('Output Utente'!$N$2:$N$492,MATCH(379,'Output Utente'!$R$2:$R$492,0)),"")</f>
        <v/>
      </c>
      <c r="G382" s="23" t="str">
        <f>IFERROR(INDEX('Output Utente'!$O$2:$O$492,MATCH(379,'Output Utente'!$R$2:$R$492,0)),"")</f>
        <v/>
      </c>
      <c r="H382" s="23" t="str">
        <f>IFERROR(INDEX('Output Utente'!$P$2:$P$492,MATCH(379,'Output Utente'!$R$2:$R$492,0)),"")</f>
        <v/>
      </c>
      <c r="I382" s="24" t="str">
        <f>IFERROR(INDEX('Output Utente'!$F$2:$F$492,MATCH(379,'Output Utente'!$R$2:$R$492,0)),"")</f>
        <v/>
      </c>
      <c r="J382" s="24" t="str">
        <f>IFERROR(INDEX('Output Utente'!$G$2:$G$492,MATCH(379,'Output Utente'!$R$2:$R$492,0)),"")</f>
        <v/>
      </c>
      <c r="K382" s="24" t="str">
        <f>IFERROR(INDEX('Output Utente'!$H$2:$H$492,MATCH(379,'Output Utente'!$R$2:$R$492,0)),"")</f>
        <v/>
      </c>
      <c r="L382" s="23" t="str">
        <f>IFERROR(INDEX('Output Utente'!$E$2:$E$492,MATCH(379,'Output Utente'!$R$2:$R$492,0)),"")</f>
        <v/>
      </c>
      <c r="V382" t="str">
        <f>IFERROR(INDEX('Output Utente'!$M$2:$M$492,MATCH(379,'Output Utente'!$R$2:$R$492,0)),"")</f>
        <v/>
      </c>
      <c r="W382" t="str">
        <f t="shared" si="5"/>
        <v/>
      </c>
      <c r="X382" t="str">
        <f>IFERROR(INDEX('Output Utente'!$AF$2:$AF$492,MATCH(379,'Output Utente'!$R$2:$R$492,0)),"")</f>
        <v/>
      </c>
    </row>
    <row r="383" spans="1:24" ht="15" customHeight="1" x14ac:dyDescent="0.25">
      <c r="A383" s="26">
        <v>380</v>
      </c>
      <c r="B383" s="23" t="str">
        <f>IFERROR(INDEX('Output Utente'!$A$2:$A$492,MATCH(380,'Output Utente'!$R$2:$R$492,0)),"")</f>
        <v/>
      </c>
      <c r="C383" s="23" t="str">
        <f>IFERROR(INDEX('Output Utente'!$B$2:$B$492,MATCH(380,'Output Utente'!$R$2:$R$492,0)),"")</f>
        <v/>
      </c>
      <c r="D383" s="23" t="str">
        <f>IFERROR(INDEX('Output Utente'!$C$2:$C$492,MATCH(380,'Output Utente'!$R$2:$R$492,0)),"")</f>
        <v/>
      </c>
      <c r="E383" s="23" t="str">
        <f>IFERROR(INDEX('Input Giocatori 2026_27'!$D$3:$D$493,MATCH($B383,'Input Giocatori 2026_27'!$A$3:$A$493,0)),"")</f>
        <v/>
      </c>
      <c r="F383" s="24" t="str">
        <f>IFERROR(INDEX('Output Utente'!$N$2:$N$492,MATCH(380,'Output Utente'!$R$2:$R$492,0)),"")</f>
        <v/>
      </c>
      <c r="G383" s="23" t="str">
        <f>IFERROR(INDEX('Output Utente'!$O$2:$O$492,MATCH(380,'Output Utente'!$R$2:$R$492,0)),"")</f>
        <v/>
      </c>
      <c r="H383" s="23" t="str">
        <f>IFERROR(INDEX('Output Utente'!$P$2:$P$492,MATCH(380,'Output Utente'!$R$2:$R$492,0)),"")</f>
        <v/>
      </c>
      <c r="I383" s="24" t="str">
        <f>IFERROR(INDEX('Output Utente'!$F$2:$F$492,MATCH(380,'Output Utente'!$R$2:$R$492,0)),"")</f>
        <v/>
      </c>
      <c r="J383" s="24" t="str">
        <f>IFERROR(INDEX('Output Utente'!$G$2:$G$492,MATCH(380,'Output Utente'!$R$2:$R$492,0)),"")</f>
        <v/>
      </c>
      <c r="K383" s="24" t="str">
        <f>IFERROR(INDEX('Output Utente'!$H$2:$H$492,MATCH(380,'Output Utente'!$R$2:$R$492,0)),"")</f>
        <v/>
      </c>
      <c r="L383" s="23" t="str">
        <f>IFERROR(INDEX('Output Utente'!$E$2:$E$492,MATCH(380,'Output Utente'!$R$2:$R$492,0)),"")</f>
        <v/>
      </c>
      <c r="V383" t="str">
        <f>IFERROR(INDEX('Output Utente'!$M$2:$M$492,MATCH(380,'Output Utente'!$R$2:$R$492,0)),"")</f>
        <v/>
      </c>
      <c r="W383" t="str">
        <f t="shared" si="5"/>
        <v/>
      </c>
      <c r="X383" t="str">
        <f>IFERROR(INDEX('Output Utente'!$AF$2:$AF$492,MATCH(380,'Output Utente'!$R$2:$R$492,0)),"")</f>
        <v/>
      </c>
    </row>
    <row r="384" spans="1:24" ht="15" customHeight="1" x14ac:dyDescent="0.25">
      <c r="A384" s="26">
        <v>381</v>
      </c>
      <c r="B384" s="23" t="str">
        <f>IFERROR(INDEX('Output Utente'!$A$2:$A$492,MATCH(381,'Output Utente'!$R$2:$R$492,0)),"")</f>
        <v/>
      </c>
      <c r="C384" s="23" t="str">
        <f>IFERROR(INDEX('Output Utente'!$B$2:$B$492,MATCH(381,'Output Utente'!$R$2:$R$492,0)),"")</f>
        <v/>
      </c>
      <c r="D384" s="23" t="str">
        <f>IFERROR(INDEX('Output Utente'!$C$2:$C$492,MATCH(381,'Output Utente'!$R$2:$R$492,0)),"")</f>
        <v/>
      </c>
      <c r="E384" s="23" t="str">
        <f>IFERROR(INDEX('Input Giocatori 2026_27'!$D$3:$D$493,MATCH($B384,'Input Giocatori 2026_27'!$A$3:$A$493,0)),"")</f>
        <v/>
      </c>
      <c r="F384" s="24" t="str">
        <f>IFERROR(INDEX('Output Utente'!$N$2:$N$492,MATCH(381,'Output Utente'!$R$2:$R$492,0)),"")</f>
        <v/>
      </c>
      <c r="G384" s="23" t="str">
        <f>IFERROR(INDEX('Output Utente'!$O$2:$O$492,MATCH(381,'Output Utente'!$R$2:$R$492,0)),"")</f>
        <v/>
      </c>
      <c r="H384" s="23" t="str">
        <f>IFERROR(INDEX('Output Utente'!$P$2:$P$492,MATCH(381,'Output Utente'!$R$2:$R$492,0)),"")</f>
        <v/>
      </c>
      <c r="I384" s="24" t="str">
        <f>IFERROR(INDEX('Output Utente'!$F$2:$F$492,MATCH(381,'Output Utente'!$R$2:$R$492,0)),"")</f>
        <v/>
      </c>
      <c r="J384" s="24" t="str">
        <f>IFERROR(INDEX('Output Utente'!$G$2:$G$492,MATCH(381,'Output Utente'!$R$2:$R$492,0)),"")</f>
        <v/>
      </c>
      <c r="K384" s="24" t="str">
        <f>IFERROR(INDEX('Output Utente'!$H$2:$H$492,MATCH(381,'Output Utente'!$R$2:$R$492,0)),"")</f>
        <v/>
      </c>
      <c r="L384" s="23" t="str">
        <f>IFERROR(INDEX('Output Utente'!$E$2:$E$492,MATCH(381,'Output Utente'!$R$2:$R$492,0)),"")</f>
        <v/>
      </c>
      <c r="V384" t="str">
        <f>IFERROR(INDEX('Output Utente'!$M$2:$M$492,MATCH(381,'Output Utente'!$R$2:$R$492,0)),"")</f>
        <v/>
      </c>
      <c r="W384" t="str">
        <f t="shared" si="5"/>
        <v/>
      </c>
      <c r="X384" t="str">
        <f>IFERROR(INDEX('Output Utente'!$AF$2:$AF$492,MATCH(381,'Output Utente'!$R$2:$R$492,0)),"")</f>
        <v/>
      </c>
    </row>
    <row r="385" spans="1:24" ht="15" customHeight="1" x14ac:dyDescent="0.25">
      <c r="A385" s="26">
        <v>382</v>
      </c>
      <c r="B385" s="23" t="str">
        <f>IFERROR(INDEX('Output Utente'!$A$2:$A$492,MATCH(382,'Output Utente'!$R$2:$R$492,0)),"")</f>
        <v/>
      </c>
      <c r="C385" s="23" t="str">
        <f>IFERROR(INDEX('Output Utente'!$B$2:$B$492,MATCH(382,'Output Utente'!$R$2:$R$492,0)),"")</f>
        <v/>
      </c>
      <c r="D385" s="23" t="str">
        <f>IFERROR(INDEX('Output Utente'!$C$2:$C$492,MATCH(382,'Output Utente'!$R$2:$R$492,0)),"")</f>
        <v/>
      </c>
      <c r="E385" s="23" t="str">
        <f>IFERROR(INDEX('Input Giocatori 2026_27'!$D$3:$D$493,MATCH($B385,'Input Giocatori 2026_27'!$A$3:$A$493,0)),"")</f>
        <v/>
      </c>
      <c r="F385" s="24" t="str">
        <f>IFERROR(INDEX('Output Utente'!$N$2:$N$492,MATCH(382,'Output Utente'!$R$2:$R$492,0)),"")</f>
        <v/>
      </c>
      <c r="G385" s="23" t="str">
        <f>IFERROR(INDEX('Output Utente'!$O$2:$O$492,MATCH(382,'Output Utente'!$R$2:$R$492,0)),"")</f>
        <v/>
      </c>
      <c r="H385" s="23" t="str">
        <f>IFERROR(INDEX('Output Utente'!$P$2:$P$492,MATCH(382,'Output Utente'!$R$2:$R$492,0)),"")</f>
        <v/>
      </c>
      <c r="I385" s="24" t="str">
        <f>IFERROR(INDEX('Output Utente'!$F$2:$F$492,MATCH(382,'Output Utente'!$R$2:$R$492,0)),"")</f>
        <v/>
      </c>
      <c r="J385" s="24" t="str">
        <f>IFERROR(INDEX('Output Utente'!$G$2:$G$492,MATCH(382,'Output Utente'!$R$2:$R$492,0)),"")</f>
        <v/>
      </c>
      <c r="K385" s="24" t="str">
        <f>IFERROR(INDEX('Output Utente'!$H$2:$H$492,MATCH(382,'Output Utente'!$R$2:$R$492,0)),"")</f>
        <v/>
      </c>
      <c r="L385" s="23" t="str">
        <f>IFERROR(INDEX('Output Utente'!$E$2:$E$492,MATCH(382,'Output Utente'!$R$2:$R$492,0)),"")</f>
        <v/>
      </c>
      <c r="V385" t="str">
        <f>IFERROR(INDEX('Output Utente'!$M$2:$M$492,MATCH(382,'Output Utente'!$R$2:$R$492,0)),"")</f>
        <v/>
      </c>
      <c r="W385" t="str">
        <f t="shared" si="5"/>
        <v/>
      </c>
      <c r="X385" t="str">
        <f>IFERROR(INDEX('Output Utente'!$AF$2:$AF$492,MATCH(382,'Output Utente'!$R$2:$R$492,0)),"")</f>
        <v/>
      </c>
    </row>
    <row r="386" spans="1:24" ht="15" customHeight="1" x14ac:dyDescent="0.25">
      <c r="A386" s="26">
        <v>383</v>
      </c>
      <c r="B386" s="23" t="str">
        <f>IFERROR(INDEX('Output Utente'!$A$2:$A$492,MATCH(383,'Output Utente'!$R$2:$R$492,0)),"")</f>
        <v/>
      </c>
      <c r="C386" s="23" t="str">
        <f>IFERROR(INDEX('Output Utente'!$B$2:$B$492,MATCH(383,'Output Utente'!$R$2:$R$492,0)),"")</f>
        <v/>
      </c>
      <c r="D386" s="23" t="str">
        <f>IFERROR(INDEX('Output Utente'!$C$2:$C$492,MATCH(383,'Output Utente'!$R$2:$R$492,0)),"")</f>
        <v/>
      </c>
      <c r="E386" s="23" t="str">
        <f>IFERROR(INDEX('Input Giocatori 2026_27'!$D$3:$D$493,MATCH($B386,'Input Giocatori 2026_27'!$A$3:$A$493,0)),"")</f>
        <v/>
      </c>
      <c r="F386" s="24" t="str">
        <f>IFERROR(INDEX('Output Utente'!$N$2:$N$492,MATCH(383,'Output Utente'!$R$2:$R$492,0)),"")</f>
        <v/>
      </c>
      <c r="G386" s="23" t="str">
        <f>IFERROR(INDEX('Output Utente'!$O$2:$O$492,MATCH(383,'Output Utente'!$R$2:$R$492,0)),"")</f>
        <v/>
      </c>
      <c r="H386" s="23" t="str">
        <f>IFERROR(INDEX('Output Utente'!$P$2:$P$492,MATCH(383,'Output Utente'!$R$2:$R$492,0)),"")</f>
        <v/>
      </c>
      <c r="I386" s="24" t="str">
        <f>IFERROR(INDEX('Output Utente'!$F$2:$F$492,MATCH(383,'Output Utente'!$R$2:$R$492,0)),"")</f>
        <v/>
      </c>
      <c r="J386" s="24" t="str">
        <f>IFERROR(INDEX('Output Utente'!$G$2:$G$492,MATCH(383,'Output Utente'!$R$2:$R$492,0)),"")</f>
        <v/>
      </c>
      <c r="K386" s="24" t="str">
        <f>IFERROR(INDEX('Output Utente'!$H$2:$H$492,MATCH(383,'Output Utente'!$R$2:$R$492,0)),"")</f>
        <v/>
      </c>
      <c r="L386" s="23" t="str">
        <f>IFERROR(INDEX('Output Utente'!$E$2:$E$492,MATCH(383,'Output Utente'!$R$2:$R$492,0)),"")</f>
        <v/>
      </c>
      <c r="V386" t="str">
        <f>IFERROR(INDEX('Output Utente'!$M$2:$M$492,MATCH(383,'Output Utente'!$R$2:$R$492,0)),"")</f>
        <v/>
      </c>
      <c r="W386" t="str">
        <f t="shared" si="5"/>
        <v/>
      </c>
      <c r="X386" t="str">
        <f>IFERROR(INDEX('Output Utente'!$AF$2:$AF$492,MATCH(383,'Output Utente'!$R$2:$R$492,0)),"")</f>
        <v/>
      </c>
    </row>
    <row r="387" spans="1:24" ht="15" customHeight="1" x14ac:dyDescent="0.25">
      <c r="A387" s="26">
        <v>384</v>
      </c>
      <c r="B387" s="23" t="str">
        <f>IFERROR(INDEX('Output Utente'!$A$2:$A$492,MATCH(384,'Output Utente'!$R$2:$R$492,0)),"")</f>
        <v/>
      </c>
      <c r="C387" s="23" t="str">
        <f>IFERROR(INDEX('Output Utente'!$B$2:$B$492,MATCH(384,'Output Utente'!$R$2:$R$492,0)),"")</f>
        <v/>
      </c>
      <c r="D387" s="23" t="str">
        <f>IFERROR(INDEX('Output Utente'!$C$2:$C$492,MATCH(384,'Output Utente'!$R$2:$R$492,0)),"")</f>
        <v/>
      </c>
      <c r="E387" s="23" t="str">
        <f>IFERROR(INDEX('Input Giocatori 2026_27'!$D$3:$D$493,MATCH($B387,'Input Giocatori 2026_27'!$A$3:$A$493,0)),"")</f>
        <v/>
      </c>
      <c r="F387" s="24" t="str">
        <f>IFERROR(INDEX('Output Utente'!$N$2:$N$492,MATCH(384,'Output Utente'!$R$2:$R$492,0)),"")</f>
        <v/>
      </c>
      <c r="G387" s="23" t="str">
        <f>IFERROR(INDEX('Output Utente'!$O$2:$O$492,MATCH(384,'Output Utente'!$R$2:$R$492,0)),"")</f>
        <v/>
      </c>
      <c r="H387" s="23" t="str">
        <f>IFERROR(INDEX('Output Utente'!$P$2:$P$492,MATCH(384,'Output Utente'!$R$2:$R$492,0)),"")</f>
        <v/>
      </c>
      <c r="I387" s="24" t="str">
        <f>IFERROR(INDEX('Output Utente'!$F$2:$F$492,MATCH(384,'Output Utente'!$R$2:$R$492,0)),"")</f>
        <v/>
      </c>
      <c r="J387" s="24" t="str">
        <f>IFERROR(INDEX('Output Utente'!$G$2:$G$492,MATCH(384,'Output Utente'!$R$2:$R$492,0)),"")</f>
        <v/>
      </c>
      <c r="K387" s="24" t="str">
        <f>IFERROR(INDEX('Output Utente'!$H$2:$H$492,MATCH(384,'Output Utente'!$R$2:$R$492,0)),"")</f>
        <v/>
      </c>
      <c r="L387" s="23" t="str">
        <f>IFERROR(INDEX('Output Utente'!$E$2:$E$492,MATCH(384,'Output Utente'!$R$2:$R$492,0)),"")</f>
        <v/>
      </c>
      <c r="V387" t="str">
        <f>IFERROR(INDEX('Output Utente'!$M$2:$M$492,MATCH(384,'Output Utente'!$R$2:$R$492,0)),"")</f>
        <v/>
      </c>
      <c r="W387" t="str">
        <f t="shared" si="5"/>
        <v/>
      </c>
      <c r="X387" t="str">
        <f>IFERROR(INDEX('Output Utente'!$AF$2:$AF$492,MATCH(384,'Output Utente'!$R$2:$R$492,0)),"")</f>
        <v/>
      </c>
    </row>
    <row r="388" spans="1:24" ht="15" customHeight="1" x14ac:dyDescent="0.25">
      <c r="A388" s="26">
        <v>385</v>
      </c>
      <c r="B388" s="23" t="str">
        <f>IFERROR(INDEX('Output Utente'!$A$2:$A$492,MATCH(385,'Output Utente'!$R$2:$R$492,0)),"")</f>
        <v/>
      </c>
      <c r="C388" s="23" t="str">
        <f>IFERROR(INDEX('Output Utente'!$B$2:$B$492,MATCH(385,'Output Utente'!$R$2:$R$492,0)),"")</f>
        <v/>
      </c>
      <c r="D388" s="23" t="str">
        <f>IFERROR(INDEX('Output Utente'!$C$2:$C$492,MATCH(385,'Output Utente'!$R$2:$R$492,0)),"")</f>
        <v/>
      </c>
      <c r="E388" s="23" t="str">
        <f>IFERROR(INDEX('Input Giocatori 2026_27'!$D$3:$D$493,MATCH($B388,'Input Giocatori 2026_27'!$A$3:$A$493,0)),"")</f>
        <v/>
      </c>
      <c r="F388" s="24" t="str">
        <f>IFERROR(INDEX('Output Utente'!$N$2:$N$492,MATCH(385,'Output Utente'!$R$2:$R$492,0)),"")</f>
        <v/>
      </c>
      <c r="G388" s="23" t="str">
        <f>IFERROR(INDEX('Output Utente'!$O$2:$O$492,MATCH(385,'Output Utente'!$R$2:$R$492,0)),"")</f>
        <v/>
      </c>
      <c r="H388" s="23" t="str">
        <f>IFERROR(INDEX('Output Utente'!$P$2:$P$492,MATCH(385,'Output Utente'!$R$2:$R$492,0)),"")</f>
        <v/>
      </c>
      <c r="I388" s="24" t="str">
        <f>IFERROR(INDEX('Output Utente'!$F$2:$F$492,MATCH(385,'Output Utente'!$R$2:$R$492,0)),"")</f>
        <v/>
      </c>
      <c r="J388" s="24" t="str">
        <f>IFERROR(INDEX('Output Utente'!$G$2:$G$492,MATCH(385,'Output Utente'!$R$2:$R$492,0)),"")</f>
        <v/>
      </c>
      <c r="K388" s="24" t="str">
        <f>IFERROR(INDEX('Output Utente'!$H$2:$H$492,MATCH(385,'Output Utente'!$R$2:$R$492,0)),"")</f>
        <v/>
      </c>
      <c r="L388" s="23" t="str">
        <f>IFERROR(INDEX('Output Utente'!$E$2:$E$492,MATCH(385,'Output Utente'!$R$2:$R$492,0)),"")</f>
        <v/>
      </c>
      <c r="V388" t="str">
        <f>IFERROR(INDEX('Output Utente'!$M$2:$M$492,MATCH(385,'Output Utente'!$R$2:$R$492,0)),"")</f>
        <v/>
      </c>
      <c r="W388" t="str">
        <f t="shared" ref="W388:W451" si="6">IF(OR($G388="",$V388=""),"",$G388-$V388)</f>
        <v/>
      </c>
      <c r="X388" t="str">
        <f>IFERROR(INDEX('Output Utente'!$AF$2:$AF$492,MATCH(385,'Output Utente'!$R$2:$R$492,0)),"")</f>
        <v/>
      </c>
    </row>
    <row r="389" spans="1:24" ht="15" customHeight="1" x14ac:dyDescent="0.25">
      <c r="A389" s="26">
        <v>386</v>
      </c>
      <c r="B389" s="23" t="str">
        <f>IFERROR(INDEX('Output Utente'!$A$2:$A$492,MATCH(386,'Output Utente'!$R$2:$R$492,0)),"")</f>
        <v/>
      </c>
      <c r="C389" s="23" t="str">
        <f>IFERROR(INDEX('Output Utente'!$B$2:$B$492,MATCH(386,'Output Utente'!$R$2:$R$492,0)),"")</f>
        <v/>
      </c>
      <c r="D389" s="23" t="str">
        <f>IFERROR(INDEX('Output Utente'!$C$2:$C$492,MATCH(386,'Output Utente'!$R$2:$R$492,0)),"")</f>
        <v/>
      </c>
      <c r="E389" s="23" t="str">
        <f>IFERROR(INDEX('Input Giocatori 2026_27'!$D$3:$D$493,MATCH($B389,'Input Giocatori 2026_27'!$A$3:$A$493,0)),"")</f>
        <v/>
      </c>
      <c r="F389" s="24" t="str">
        <f>IFERROR(INDEX('Output Utente'!$N$2:$N$492,MATCH(386,'Output Utente'!$R$2:$R$492,0)),"")</f>
        <v/>
      </c>
      <c r="G389" s="23" t="str">
        <f>IFERROR(INDEX('Output Utente'!$O$2:$O$492,MATCH(386,'Output Utente'!$R$2:$R$492,0)),"")</f>
        <v/>
      </c>
      <c r="H389" s="23" t="str">
        <f>IFERROR(INDEX('Output Utente'!$P$2:$P$492,MATCH(386,'Output Utente'!$R$2:$R$492,0)),"")</f>
        <v/>
      </c>
      <c r="I389" s="24" t="str">
        <f>IFERROR(INDEX('Output Utente'!$F$2:$F$492,MATCH(386,'Output Utente'!$R$2:$R$492,0)),"")</f>
        <v/>
      </c>
      <c r="J389" s="24" t="str">
        <f>IFERROR(INDEX('Output Utente'!$G$2:$G$492,MATCH(386,'Output Utente'!$R$2:$R$492,0)),"")</f>
        <v/>
      </c>
      <c r="K389" s="24" t="str">
        <f>IFERROR(INDEX('Output Utente'!$H$2:$H$492,MATCH(386,'Output Utente'!$R$2:$R$492,0)),"")</f>
        <v/>
      </c>
      <c r="L389" s="23" t="str">
        <f>IFERROR(INDEX('Output Utente'!$E$2:$E$492,MATCH(386,'Output Utente'!$R$2:$R$492,0)),"")</f>
        <v/>
      </c>
      <c r="V389" t="str">
        <f>IFERROR(INDEX('Output Utente'!$M$2:$M$492,MATCH(386,'Output Utente'!$R$2:$R$492,0)),"")</f>
        <v/>
      </c>
      <c r="W389" t="str">
        <f t="shared" si="6"/>
        <v/>
      </c>
      <c r="X389" t="str">
        <f>IFERROR(INDEX('Output Utente'!$AF$2:$AF$492,MATCH(386,'Output Utente'!$R$2:$R$492,0)),"")</f>
        <v/>
      </c>
    </row>
    <row r="390" spans="1:24" ht="15" customHeight="1" x14ac:dyDescent="0.25">
      <c r="A390" s="26">
        <v>387</v>
      </c>
      <c r="B390" s="23" t="str">
        <f>IFERROR(INDEX('Output Utente'!$A$2:$A$492,MATCH(387,'Output Utente'!$R$2:$R$492,0)),"")</f>
        <v/>
      </c>
      <c r="C390" s="23" t="str">
        <f>IFERROR(INDEX('Output Utente'!$B$2:$B$492,MATCH(387,'Output Utente'!$R$2:$R$492,0)),"")</f>
        <v/>
      </c>
      <c r="D390" s="23" t="str">
        <f>IFERROR(INDEX('Output Utente'!$C$2:$C$492,MATCH(387,'Output Utente'!$R$2:$R$492,0)),"")</f>
        <v/>
      </c>
      <c r="E390" s="23" t="str">
        <f>IFERROR(INDEX('Input Giocatori 2026_27'!$D$3:$D$493,MATCH($B390,'Input Giocatori 2026_27'!$A$3:$A$493,0)),"")</f>
        <v/>
      </c>
      <c r="F390" s="24" t="str">
        <f>IFERROR(INDEX('Output Utente'!$N$2:$N$492,MATCH(387,'Output Utente'!$R$2:$R$492,0)),"")</f>
        <v/>
      </c>
      <c r="G390" s="23" t="str">
        <f>IFERROR(INDEX('Output Utente'!$O$2:$O$492,MATCH(387,'Output Utente'!$R$2:$R$492,0)),"")</f>
        <v/>
      </c>
      <c r="H390" s="23" t="str">
        <f>IFERROR(INDEX('Output Utente'!$P$2:$P$492,MATCH(387,'Output Utente'!$R$2:$R$492,0)),"")</f>
        <v/>
      </c>
      <c r="I390" s="24" t="str">
        <f>IFERROR(INDEX('Output Utente'!$F$2:$F$492,MATCH(387,'Output Utente'!$R$2:$R$492,0)),"")</f>
        <v/>
      </c>
      <c r="J390" s="24" t="str">
        <f>IFERROR(INDEX('Output Utente'!$G$2:$G$492,MATCH(387,'Output Utente'!$R$2:$R$492,0)),"")</f>
        <v/>
      </c>
      <c r="K390" s="24" t="str">
        <f>IFERROR(INDEX('Output Utente'!$H$2:$H$492,MATCH(387,'Output Utente'!$R$2:$R$492,0)),"")</f>
        <v/>
      </c>
      <c r="L390" s="23" t="str">
        <f>IFERROR(INDEX('Output Utente'!$E$2:$E$492,MATCH(387,'Output Utente'!$R$2:$R$492,0)),"")</f>
        <v/>
      </c>
      <c r="V390" t="str">
        <f>IFERROR(INDEX('Output Utente'!$M$2:$M$492,MATCH(387,'Output Utente'!$R$2:$R$492,0)),"")</f>
        <v/>
      </c>
      <c r="W390" t="str">
        <f t="shared" si="6"/>
        <v/>
      </c>
      <c r="X390" t="str">
        <f>IFERROR(INDEX('Output Utente'!$AF$2:$AF$492,MATCH(387,'Output Utente'!$R$2:$R$492,0)),"")</f>
        <v/>
      </c>
    </row>
    <row r="391" spans="1:24" ht="15" customHeight="1" x14ac:dyDescent="0.25">
      <c r="A391" s="26">
        <v>388</v>
      </c>
      <c r="B391" s="23" t="str">
        <f>IFERROR(INDEX('Output Utente'!$A$2:$A$492,MATCH(388,'Output Utente'!$R$2:$R$492,0)),"")</f>
        <v/>
      </c>
      <c r="C391" s="23" t="str">
        <f>IFERROR(INDEX('Output Utente'!$B$2:$B$492,MATCH(388,'Output Utente'!$R$2:$R$492,0)),"")</f>
        <v/>
      </c>
      <c r="D391" s="23" t="str">
        <f>IFERROR(INDEX('Output Utente'!$C$2:$C$492,MATCH(388,'Output Utente'!$R$2:$R$492,0)),"")</f>
        <v/>
      </c>
      <c r="E391" s="23" t="str">
        <f>IFERROR(INDEX('Input Giocatori 2026_27'!$D$3:$D$493,MATCH($B391,'Input Giocatori 2026_27'!$A$3:$A$493,0)),"")</f>
        <v/>
      </c>
      <c r="F391" s="24" t="str">
        <f>IFERROR(INDEX('Output Utente'!$N$2:$N$492,MATCH(388,'Output Utente'!$R$2:$R$492,0)),"")</f>
        <v/>
      </c>
      <c r="G391" s="23" t="str">
        <f>IFERROR(INDEX('Output Utente'!$O$2:$O$492,MATCH(388,'Output Utente'!$R$2:$R$492,0)),"")</f>
        <v/>
      </c>
      <c r="H391" s="23" t="str">
        <f>IFERROR(INDEX('Output Utente'!$P$2:$P$492,MATCH(388,'Output Utente'!$R$2:$R$492,0)),"")</f>
        <v/>
      </c>
      <c r="I391" s="24" t="str">
        <f>IFERROR(INDEX('Output Utente'!$F$2:$F$492,MATCH(388,'Output Utente'!$R$2:$R$492,0)),"")</f>
        <v/>
      </c>
      <c r="J391" s="24" t="str">
        <f>IFERROR(INDEX('Output Utente'!$G$2:$G$492,MATCH(388,'Output Utente'!$R$2:$R$492,0)),"")</f>
        <v/>
      </c>
      <c r="K391" s="24" t="str">
        <f>IFERROR(INDEX('Output Utente'!$H$2:$H$492,MATCH(388,'Output Utente'!$R$2:$R$492,0)),"")</f>
        <v/>
      </c>
      <c r="L391" s="23" t="str">
        <f>IFERROR(INDEX('Output Utente'!$E$2:$E$492,MATCH(388,'Output Utente'!$R$2:$R$492,0)),"")</f>
        <v/>
      </c>
      <c r="V391" t="str">
        <f>IFERROR(INDEX('Output Utente'!$M$2:$M$492,MATCH(388,'Output Utente'!$R$2:$R$492,0)),"")</f>
        <v/>
      </c>
      <c r="W391" t="str">
        <f t="shared" si="6"/>
        <v/>
      </c>
      <c r="X391" t="str">
        <f>IFERROR(INDEX('Output Utente'!$AF$2:$AF$492,MATCH(388,'Output Utente'!$R$2:$R$492,0)),"")</f>
        <v/>
      </c>
    </row>
    <row r="392" spans="1:24" ht="15" customHeight="1" x14ac:dyDescent="0.25">
      <c r="A392" s="26">
        <v>389</v>
      </c>
      <c r="B392" s="23" t="str">
        <f>IFERROR(INDEX('Output Utente'!$A$2:$A$492,MATCH(389,'Output Utente'!$R$2:$R$492,0)),"")</f>
        <v/>
      </c>
      <c r="C392" s="23" t="str">
        <f>IFERROR(INDEX('Output Utente'!$B$2:$B$492,MATCH(389,'Output Utente'!$R$2:$R$492,0)),"")</f>
        <v/>
      </c>
      <c r="D392" s="23" t="str">
        <f>IFERROR(INDEX('Output Utente'!$C$2:$C$492,MATCH(389,'Output Utente'!$R$2:$R$492,0)),"")</f>
        <v/>
      </c>
      <c r="E392" s="23" t="str">
        <f>IFERROR(INDEX('Input Giocatori 2026_27'!$D$3:$D$493,MATCH($B392,'Input Giocatori 2026_27'!$A$3:$A$493,0)),"")</f>
        <v/>
      </c>
      <c r="F392" s="24" t="str">
        <f>IFERROR(INDEX('Output Utente'!$N$2:$N$492,MATCH(389,'Output Utente'!$R$2:$R$492,0)),"")</f>
        <v/>
      </c>
      <c r="G392" s="23" t="str">
        <f>IFERROR(INDEX('Output Utente'!$O$2:$O$492,MATCH(389,'Output Utente'!$R$2:$R$492,0)),"")</f>
        <v/>
      </c>
      <c r="H392" s="23" t="str">
        <f>IFERROR(INDEX('Output Utente'!$P$2:$P$492,MATCH(389,'Output Utente'!$R$2:$R$492,0)),"")</f>
        <v/>
      </c>
      <c r="I392" s="24" t="str">
        <f>IFERROR(INDEX('Output Utente'!$F$2:$F$492,MATCH(389,'Output Utente'!$R$2:$R$492,0)),"")</f>
        <v/>
      </c>
      <c r="J392" s="24" t="str">
        <f>IFERROR(INDEX('Output Utente'!$G$2:$G$492,MATCH(389,'Output Utente'!$R$2:$R$492,0)),"")</f>
        <v/>
      </c>
      <c r="K392" s="24" t="str">
        <f>IFERROR(INDEX('Output Utente'!$H$2:$H$492,MATCH(389,'Output Utente'!$R$2:$R$492,0)),"")</f>
        <v/>
      </c>
      <c r="L392" s="23" t="str">
        <f>IFERROR(INDEX('Output Utente'!$E$2:$E$492,MATCH(389,'Output Utente'!$R$2:$R$492,0)),"")</f>
        <v/>
      </c>
      <c r="V392" t="str">
        <f>IFERROR(INDEX('Output Utente'!$M$2:$M$492,MATCH(389,'Output Utente'!$R$2:$R$492,0)),"")</f>
        <v/>
      </c>
      <c r="W392" t="str">
        <f t="shared" si="6"/>
        <v/>
      </c>
      <c r="X392" t="str">
        <f>IFERROR(INDEX('Output Utente'!$AF$2:$AF$492,MATCH(389,'Output Utente'!$R$2:$R$492,0)),"")</f>
        <v/>
      </c>
    </row>
    <row r="393" spans="1:24" ht="15" customHeight="1" x14ac:dyDescent="0.25">
      <c r="A393" s="26">
        <v>390</v>
      </c>
      <c r="B393" s="23" t="str">
        <f>IFERROR(INDEX('Output Utente'!$A$2:$A$492,MATCH(390,'Output Utente'!$R$2:$R$492,0)),"")</f>
        <v/>
      </c>
      <c r="C393" s="23" t="str">
        <f>IFERROR(INDEX('Output Utente'!$B$2:$B$492,MATCH(390,'Output Utente'!$R$2:$R$492,0)),"")</f>
        <v/>
      </c>
      <c r="D393" s="23" t="str">
        <f>IFERROR(INDEX('Output Utente'!$C$2:$C$492,MATCH(390,'Output Utente'!$R$2:$R$492,0)),"")</f>
        <v/>
      </c>
      <c r="E393" s="23" t="str">
        <f>IFERROR(INDEX('Input Giocatori 2026_27'!$D$3:$D$493,MATCH($B393,'Input Giocatori 2026_27'!$A$3:$A$493,0)),"")</f>
        <v/>
      </c>
      <c r="F393" s="24" t="str">
        <f>IFERROR(INDEX('Output Utente'!$N$2:$N$492,MATCH(390,'Output Utente'!$R$2:$R$492,0)),"")</f>
        <v/>
      </c>
      <c r="G393" s="23" t="str">
        <f>IFERROR(INDEX('Output Utente'!$O$2:$O$492,MATCH(390,'Output Utente'!$R$2:$R$492,0)),"")</f>
        <v/>
      </c>
      <c r="H393" s="23" t="str">
        <f>IFERROR(INDEX('Output Utente'!$P$2:$P$492,MATCH(390,'Output Utente'!$R$2:$R$492,0)),"")</f>
        <v/>
      </c>
      <c r="I393" s="24" t="str">
        <f>IFERROR(INDEX('Output Utente'!$F$2:$F$492,MATCH(390,'Output Utente'!$R$2:$R$492,0)),"")</f>
        <v/>
      </c>
      <c r="J393" s="24" t="str">
        <f>IFERROR(INDEX('Output Utente'!$G$2:$G$492,MATCH(390,'Output Utente'!$R$2:$R$492,0)),"")</f>
        <v/>
      </c>
      <c r="K393" s="24" t="str">
        <f>IFERROR(INDEX('Output Utente'!$H$2:$H$492,MATCH(390,'Output Utente'!$R$2:$R$492,0)),"")</f>
        <v/>
      </c>
      <c r="L393" s="23" t="str">
        <f>IFERROR(INDEX('Output Utente'!$E$2:$E$492,MATCH(390,'Output Utente'!$R$2:$R$492,0)),"")</f>
        <v/>
      </c>
      <c r="V393" t="str">
        <f>IFERROR(INDEX('Output Utente'!$M$2:$M$492,MATCH(390,'Output Utente'!$R$2:$R$492,0)),"")</f>
        <v/>
      </c>
      <c r="W393" t="str">
        <f t="shared" si="6"/>
        <v/>
      </c>
      <c r="X393" t="str">
        <f>IFERROR(INDEX('Output Utente'!$AF$2:$AF$492,MATCH(390,'Output Utente'!$R$2:$R$492,0)),"")</f>
        <v/>
      </c>
    </row>
    <row r="394" spans="1:24" ht="15" customHeight="1" x14ac:dyDescent="0.25">
      <c r="A394" s="26">
        <v>391</v>
      </c>
      <c r="B394" s="23" t="str">
        <f>IFERROR(INDEX('Output Utente'!$A$2:$A$492,MATCH(391,'Output Utente'!$R$2:$R$492,0)),"")</f>
        <v/>
      </c>
      <c r="C394" s="23" t="str">
        <f>IFERROR(INDEX('Output Utente'!$B$2:$B$492,MATCH(391,'Output Utente'!$R$2:$R$492,0)),"")</f>
        <v/>
      </c>
      <c r="D394" s="23" t="str">
        <f>IFERROR(INDEX('Output Utente'!$C$2:$C$492,MATCH(391,'Output Utente'!$R$2:$R$492,0)),"")</f>
        <v/>
      </c>
      <c r="E394" s="23" t="str">
        <f>IFERROR(INDEX('Input Giocatori 2026_27'!$D$3:$D$493,MATCH($B394,'Input Giocatori 2026_27'!$A$3:$A$493,0)),"")</f>
        <v/>
      </c>
      <c r="F394" s="24" t="str">
        <f>IFERROR(INDEX('Output Utente'!$N$2:$N$492,MATCH(391,'Output Utente'!$R$2:$R$492,0)),"")</f>
        <v/>
      </c>
      <c r="G394" s="23" t="str">
        <f>IFERROR(INDEX('Output Utente'!$O$2:$O$492,MATCH(391,'Output Utente'!$R$2:$R$492,0)),"")</f>
        <v/>
      </c>
      <c r="H394" s="23" t="str">
        <f>IFERROR(INDEX('Output Utente'!$P$2:$P$492,MATCH(391,'Output Utente'!$R$2:$R$492,0)),"")</f>
        <v/>
      </c>
      <c r="I394" s="24" t="str">
        <f>IFERROR(INDEX('Output Utente'!$F$2:$F$492,MATCH(391,'Output Utente'!$R$2:$R$492,0)),"")</f>
        <v/>
      </c>
      <c r="J394" s="24" t="str">
        <f>IFERROR(INDEX('Output Utente'!$G$2:$G$492,MATCH(391,'Output Utente'!$R$2:$R$492,0)),"")</f>
        <v/>
      </c>
      <c r="K394" s="24" t="str">
        <f>IFERROR(INDEX('Output Utente'!$H$2:$H$492,MATCH(391,'Output Utente'!$R$2:$R$492,0)),"")</f>
        <v/>
      </c>
      <c r="L394" s="23" t="str">
        <f>IFERROR(INDEX('Output Utente'!$E$2:$E$492,MATCH(391,'Output Utente'!$R$2:$R$492,0)),"")</f>
        <v/>
      </c>
      <c r="V394" t="str">
        <f>IFERROR(INDEX('Output Utente'!$M$2:$M$492,MATCH(391,'Output Utente'!$R$2:$R$492,0)),"")</f>
        <v/>
      </c>
      <c r="W394" t="str">
        <f t="shared" si="6"/>
        <v/>
      </c>
      <c r="X394" t="str">
        <f>IFERROR(INDEX('Output Utente'!$AF$2:$AF$492,MATCH(391,'Output Utente'!$R$2:$R$492,0)),"")</f>
        <v/>
      </c>
    </row>
    <row r="395" spans="1:24" ht="15" customHeight="1" x14ac:dyDescent="0.25">
      <c r="A395" s="26">
        <v>392</v>
      </c>
      <c r="B395" s="23" t="str">
        <f>IFERROR(INDEX('Output Utente'!$A$2:$A$492,MATCH(392,'Output Utente'!$R$2:$R$492,0)),"")</f>
        <v/>
      </c>
      <c r="C395" s="23" t="str">
        <f>IFERROR(INDEX('Output Utente'!$B$2:$B$492,MATCH(392,'Output Utente'!$R$2:$R$492,0)),"")</f>
        <v/>
      </c>
      <c r="D395" s="23" t="str">
        <f>IFERROR(INDEX('Output Utente'!$C$2:$C$492,MATCH(392,'Output Utente'!$R$2:$R$492,0)),"")</f>
        <v/>
      </c>
      <c r="E395" s="23" t="str">
        <f>IFERROR(INDEX('Input Giocatori 2026_27'!$D$3:$D$493,MATCH($B395,'Input Giocatori 2026_27'!$A$3:$A$493,0)),"")</f>
        <v/>
      </c>
      <c r="F395" s="24" t="str">
        <f>IFERROR(INDEX('Output Utente'!$N$2:$N$492,MATCH(392,'Output Utente'!$R$2:$R$492,0)),"")</f>
        <v/>
      </c>
      <c r="G395" s="23" t="str">
        <f>IFERROR(INDEX('Output Utente'!$O$2:$O$492,MATCH(392,'Output Utente'!$R$2:$R$492,0)),"")</f>
        <v/>
      </c>
      <c r="H395" s="23" t="str">
        <f>IFERROR(INDEX('Output Utente'!$P$2:$P$492,MATCH(392,'Output Utente'!$R$2:$R$492,0)),"")</f>
        <v/>
      </c>
      <c r="I395" s="24" t="str">
        <f>IFERROR(INDEX('Output Utente'!$F$2:$F$492,MATCH(392,'Output Utente'!$R$2:$R$492,0)),"")</f>
        <v/>
      </c>
      <c r="J395" s="24" t="str">
        <f>IFERROR(INDEX('Output Utente'!$G$2:$G$492,MATCH(392,'Output Utente'!$R$2:$R$492,0)),"")</f>
        <v/>
      </c>
      <c r="K395" s="24" t="str">
        <f>IFERROR(INDEX('Output Utente'!$H$2:$H$492,MATCH(392,'Output Utente'!$R$2:$R$492,0)),"")</f>
        <v/>
      </c>
      <c r="L395" s="23" t="str">
        <f>IFERROR(INDEX('Output Utente'!$E$2:$E$492,MATCH(392,'Output Utente'!$R$2:$R$492,0)),"")</f>
        <v/>
      </c>
      <c r="V395" t="str">
        <f>IFERROR(INDEX('Output Utente'!$M$2:$M$492,MATCH(392,'Output Utente'!$R$2:$R$492,0)),"")</f>
        <v/>
      </c>
      <c r="W395" t="str">
        <f t="shared" si="6"/>
        <v/>
      </c>
      <c r="X395" t="str">
        <f>IFERROR(INDEX('Output Utente'!$AF$2:$AF$492,MATCH(392,'Output Utente'!$R$2:$R$492,0)),"")</f>
        <v/>
      </c>
    </row>
    <row r="396" spans="1:24" ht="15" customHeight="1" x14ac:dyDescent="0.25">
      <c r="A396" s="26">
        <v>393</v>
      </c>
      <c r="B396" s="23" t="str">
        <f>IFERROR(INDEX('Output Utente'!$A$2:$A$492,MATCH(393,'Output Utente'!$R$2:$R$492,0)),"")</f>
        <v/>
      </c>
      <c r="C396" s="23" t="str">
        <f>IFERROR(INDEX('Output Utente'!$B$2:$B$492,MATCH(393,'Output Utente'!$R$2:$R$492,0)),"")</f>
        <v/>
      </c>
      <c r="D396" s="23" t="str">
        <f>IFERROR(INDEX('Output Utente'!$C$2:$C$492,MATCH(393,'Output Utente'!$R$2:$R$492,0)),"")</f>
        <v/>
      </c>
      <c r="E396" s="23" t="str">
        <f>IFERROR(INDEX('Input Giocatori 2026_27'!$D$3:$D$493,MATCH($B396,'Input Giocatori 2026_27'!$A$3:$A$493,0)),"")</f>
        <v/>
      </c>
      <c r="F396" s="24" t="str">
        <f>IFERROR(INDEX('Output Utente'!$N$2:$N$492,MATCH(393,'Output Utente'!$R$2:$R$492,0)),"")</f>
        <v/>
      </c>
      <c r="G396" s="23" t="str">
        <f>IFERROR(INDEX('Output Utente'!$O$2:$O$492,MATCH(393,'Output Utente'!$R$2:$R$492,0)),"")</f>
        <v/>
      </c>
      <c r="H396" s="23" t="str">
        <f>IFERROR(INDEX('Output Utente'!$P$2:$P$492,MATCH(393,'Output Utente'!$R$2:$R$492,0)),"")</f>
        <v/>
      </c>
      <c r="I396" s="24" t="str">
        <f>IFERROR(INDEX('Output Utente'!$F$2:$F$492,MATCH(393,'Output Utente'!$R$2:$R$492,0)),"")</f>
        <v/>
      </c>
      <c r="J396" s="24" t="str">
        <f>IFERROR(INDEX('Output Utente'!$G$2:$G$492,MATCH(393,'Output Utente'!$R$2:$R$492,0)),"")</f>
        <v/>
      </c>
      <c r="K396" s="24" t="str">
        <f>IFERROR(INDEX('Output Utente'!$H$2:$H$492,MATCH(393,'Output Utente'!$R$2:$R$492,0)),"")</f>
        <v/>
      </c>
      <c r="L396" s="23" t="str">
        <f>IFERROR(INDEX('Output Utente'!$E$2:$E$492,MATCH(393,'Output Utente'!$R$2:$R$492,0)),"")</f>
        <v/>
      </c>
      <c r="V396" t="str">
        <f>IFERROR(INDEX('Output Utente'!$M$2:$M$492,MATCH(393,'Output Utente'!$R$2:$R$492,0)),"")</f>
        <v/>
      </c>
      <c r="W396" t="str">
        <f t="shared" si="6"/>
        <v/>
      </c>
      <c r="X396" t="str">
        <f>IFERROR(INDEX('Output Utente'!$AF$2:$AF$492,MATCH(393,'Output Utente'!$R$2:$R$492,0)),"")</f>
        <v/>
      </c>
    </row>
    <row r="397" spans="1:24" ht="15" customHeight="1" x14ac:dyDescent="0.25">
      <c r="A397" s="26">
        <v>394</v>
      </c>
      <c r="B397" s="23" t="str">
        <f>IFERROR(INDEX('Output Utente'!$A$2:$A$492,MATCH(394,'Output Utente'!$R$2:$R$492,0)),"")</f>
        <v/>
      </c>
      <c r="C397" s="23" t="str">
        <f>IFERROR(INDEX('Output Utente'!$B$2:$B$492,MATCH(394,'Output Utente'!$R$2:$R$492,0)),"")</f>
        <v/>
      </c>
      <c r="D397" s="23" t="str">
        <f>IFERROR(INDEX('Output Utente'!$C$2:$C$492,MATCH(394,'Output Utente'!$R$2:$R$492,0)),"")</f>
        <v/>
      </c>
      <c r="E397" s="23" t="str">
        <f>IFERROR(INDEX('Input Giocatori 2026_27'!$D$3:$D$493,MATCH($B397,'Input Giocatori 2026_27'!$A$3:$A$493,0)),"")</f>
        <v/>
      </c>
      <c r="F397" s="24" t="str">
        <f>IFERROR(INDEX('Output Utente'!$N$2:$N$492,MATCH(394,'Output Utente'!$R$2:$R$492,0)),"")</f>
        <v/>
      </c>
      <c r="G397" s="23" t="str">
        <f>IFERROR(INDEX('Output Utente'!$O$2:$O$492,MATCH(394,'Output Utente'!$R$2:$R$492,0)),"")</f>
        <v/>
      </c>
      <c r="H397" s="23" t="str">
        <f>IFERROR(INDEX('Output Utente'!$P$2:$P$492,MATCH(394,'Output Utente'!$R$2:$R$492,0)),"")</f>
        <v/>
      </c>
      <c r="I397" s="24" t="str">
        <f>IFERROR(INDEX('Output Utente'!$F$2:$F$492,MATCH(394,'Output Utente'!$R$2:$R$492,0)),"")</f>
        <v/>
      </c>
      <c r="J397" s="24" t="str">
        <f>IFERROR(INDEX('Output Utente'!$G$2:$G$492,MATCH(394,'Output Utente'!$R$2:$R$492,0)),"")</f>
        <v/>
      </c>
      <c r="K397" s="24" t="str">
        <f>IFERROR(INDEX('Output Utente'!$H$2:$H$492,MATCH(394,'Output Utente'!$R$2:$R$492,0)),"")</f>
        <v/>
      </c>
      <c r="L397" s="23" t="str">
        <f>IFERROR(INDEX('Output Utente'!$E$2:$E$492,MATCH(394,'Output Utente'!$R$2:$R$492,0)),"")</f>
        <v/>
      </c>
      <c r="V397" t="str">
        <f>IFERROR(INDEX('Output Utente'!$M$2:$M$492,MATCH(394,'Output Utente'!$R$2:$R$492,0)),"")</f>
        <v/>
      </c>
      <c r="W397" t="str">
        <f t="shared" si="6"/>
        <v/>
      </c>
      <c r="X397" t="str">
        <f>IFERROR(INDEX('Output Utente'!$AF$2:$AF$492,MATCH(394,'Output Utente'!$R$2:$R$492,0)),"")</f>
        <v/>
      </c>
    </row>
    <row r="398" spans="1:24" ht="15" customHeight="1" x14ac:dyDescent="0.25">
      <c r="A398" s="26">
        <v>395</v>
      </c>
      <c r="B398" s="23" t="str">
        <f>IFERROR(INDEX('Output Utente'!$A$2:$A$492,MATCH(395,'Output Utente'!$R$2:$R$492,0)),"")</f>
        <v/>
      </c>
      <c r="C398" s="23" t="str">
        <f>IFERROR(INDEX('Output Utente'!$B$2:$B$492,MATCH(395,'Output Utente'!$R$2:$R$492,0)),"")</f>
        <v/>
      </c>
      <c r="D398" s="23" t="str">
        <f>IFERROR(INDEX('Output Utente'!$C$2:$C$492,MATCH(395,'Output Utente'!$R$2:$R$492,0)),"")</f>
        <v/>
      </c>
      <c r="E398" s="23" t="str">
        <f>IFERROR(INDEX('Input Giocatori 2026_27'!$D$3:$D$493,MATCH($B398,'Input Giocatori 2026_27'!$A$3:$A$493,0)),"")</f>
        <v/>
      </c>
      <c r="F398" s="24" t="str">
        <f>IFERROR(INDEX('Output Utente'!$N$2:$N$492,MATCH(395,'Output Utente'!$R$2:$R$492,0)),"")</f>
        <v/>
      </c>
      <c r="G398" s="23" t="str">
        <f>IFERROR(INDEX('Output Utente'!$O$2:$O$492,MATCH(395,'Output Utente'!$R$2:$R$492,0)),"")</f>
        <v/>
      </c>
      <c r="H398" s="23" t="str">
        <f>IFERROR(INDEX('Output Utente'!$P$2:$P$492,MATCH(395,'Output Utente'!$R$2:$R$492,0)),"")</f>
        <v/>
      </c>
      <c r="I398" s="24" t="str">
        <f>IFERROR(INDEX('Output Utente'!$F$2:$F$492,MATCH(395,'Output Utente'!$R$2:$R$492,0)),"")</f>
        <v/>
      </c>
      <c r="J398" s="24" t="str">
        <f>IFERROR(INDEX('Output Utente'!$G$2:$G$492,MATCH(395,'Output Utente'!$R$2:$R$492,0)),"")</f>
        <v/>
      </c>
      <c r="K398" s="24" t="str">
        <f>IFERROR(INDEX('Output Utente'!$H$2:$H$492,MATCH(395,'Output Utente'!$R$2:$R$492,0)),"")</f>
        <v/>
      </c>
      <c r="L398" s="23" t="str">
        <f>IFERROR(INDEX('Output Utente'!$E$2:$E$492,MATCH(395,'Output Utente'!$R$2:$R$492,0)),"")</f>
        <v/>
      </c>
      <c r="V398" t="str">
        <f>IFERROR(INDEX('Output Utente'!$M$2:$M$492,MATCH(395,'Output Utente'!$R$2:$R$492,0)),"")</f>
        <v/>
      </c>
      <c r="W398" t="str">
        <f t="shared" si="6"/>
        <v/>
      </c>
      <c r="X398" t="str">
        <f>IFERROR(INDEX('Output Utente'!$AF$2:$AF$492,MATCH(395,'Output Utente'!$R$2:$R$492,0)),"")</f>
        <v/>
      </c>
    </row>
    <row r="399" spans="1:24" ht="15" customHeight="1" x14ac:dyDescent="0.25">
      <c r="A399" s="26">
        <v>396</v>
      </c>
      <c r="B399" s="23" t="str">
        <f>IFERROR(INDEX('Output Utente'!$A$2:$A$492,MATCH(396,'Output Utente'!$R$2:$R$492,0)),"")</f>
        <v/>
      </c>
      <c r="C399" s="23" t="str">
        <f>IFERROR(INDEX('Output Utente'!$B$2:$B$492,MATCH(396,'Output Utente'!$R$2:$R$492,0)),"")</f>
        <v/>
      </c>
      <c r="D399" s="23" t="str">
        <f>IFERROR(INDEX('Output Utente'!$C$2:$C$492,MATCH(396,'Output Utente'!$R$2:$R$492,0)),"")</f>
        <v/>
      </c>
      <c r="E399" s="23" t="str">
        <f>IFERROR(INDEX('Input Giocatori 2026_27'!$D$3:$D$493,MATCH($B399,'Input Giocatori 2026_27'!$A$3:$A$493,0)),"")</f>
        <v/>
      </c>
      <c r="F399" s="24" t="str">
        <f>IFERROR(INDEX('Output Utente'!$N$2:$N$492,MATCH(396,'Output Utente'!$R$2:$R$492,0)),"")</f>
        <v/>
      </c>
      <c r="G399" s="23" t="str">
        <f>IFERROR(INDEX('Output Utente'!$O$2:$O$492,MATCH(396,'Output Utente'!$R$2:$R$492,0)),"")</f>
        <v/>
      </c>
      <c r="H399" s="23" t="str">
        <f>IFERROR(INDEX('Output Utente'!$P$2:$P$492,MATCH(396,'Output Utente'!$R$2:$R$492,0)),"")</f>
        <v/>
      </c>
      <c r="I399" s="24" t="str">
        <f>IFERROR(INDEX('Output Utente'!$F$2:$F$492,MATCH(396,'Output Utente'!$R$2:$R$492,0)),"")</f>
        <v/>
      </c>
      <c r="J399" s="24" t="str">
        <f>IFERROR(INDEX('Output Utente'!$G$2:$G$492,MATCH(396,'Output Utente'!$R$2:$R$492,0)),"")</f>
        <v/>
      </c>
      <c r="K399" s="24" t="str">
        <f>IFERROR(INDEX('Output Utente'!$H$2:$H$492,MATCH(396,'Output Utente'!$R$2:$R$492,0)),"")</f>
        <v/>
      </c>
      <c r="L399" s="23" t="str">
        <f>IFERROR(INDEX('Output Utente'!$E$2:$E$492,MATCH(396,'Output Utente'!$R$2:$R$492,0)),"")</f>
        <v/>
      </c>
      <c r="V399" t="str">
        <f>IFERROR(INDEX('Output Utente'!$M$2:$M$492,MATCH(396,'Output Utente'!$R$2:$R$492,0)),"")</f>
        <v/>
      </c>
      <c r="W399" t="str">
        <f t="shared" si="6"/>
        <v/>
      </c>
      <c r="X399" t="str">
        <f>IFERROR(INDEX('Output Utente'!$AF$2:$AF$492,MATCH(396,'Output Utente'!$R$2:$R$492,0)),"")</f>
        <v/>
      </c>
    </row>
    <row r="400" spans="1:24" ht="15" customHeight="1" x14ac:dyDescent="0.25">
      <c r="A400" s="26">
        <v>397</v>
      </c>
      <c r="B400" s="23" t="str">
        <f>IFERROR(INDEX('Output Utente'!$A$2:$A$492,MATCH(397,'Output Utente'!$R$2:$R$492,0)),"")</f>
        <v/>
      </c>
      <c r="C400" s="23" t="str">
        <f>IFERROR(INDEX('Output Utente'!$B$2:$B$492,MATCH(397,'Output Utente'!$R$2:$R$492,0)),"")</f>
        <v/>
      </c>
      <c r="D400" s="23" t="str">
        <f>IFERROR(INDEX('Output Utente'!$C$2:$C$492,MATCH(397,'Output Utente'!$R$2:$R$492,0)),"")</f>
        <v/>
      </c>
      <c r="E400" s="23" t="str">
        <f>IFERROR(INDEX('Input Giocatori 2026_27'!$D$3:$D$493,MATCH($B400,'Input Giocatori 2026_27'!$A$3:$A$493,0)),"")</f>
        <v/>
      </c>
      <c r="F400" s="24" t="str">
        <f>IFERROR(INDEX('Output Utente'!$N$2:$N$492,MATCH(397,'Output Utente'!$R$2:$R$492,0)),"")</f>
        <v/>
      </c>
      <c r="G400" s="23" t="str">
        <f>IFERROR(INDEX('Output Utente'!$O$2:$O$492,MATCH(397,'Output Utente'!$R$2:$R$492,0)),"")</f>
        <v/>
      </c>
      <c r="H400" s="23" t="str">
        <f>IFERROR(INDEX('Output Utente'!$P$2:$P$492,MATCH(397,'Output Utente'!$R$2:$R$492,0)),"")</f>
        <v/>
      </c>
      <c r="I400" s="24" t="str">
        <f>IFERROR(INDEX('Output Utente'!$F$2:$F$492,MATCH(397,'Output Utente'!$R$2:$R$492,0)),"")</f>
        <v/>
      </c>
      <c r="J400" s="24" t="str">
        <f>IFERROR(INDEX('Output Utente'!$G$2:$G$492,MATCH(397,'Output Utente'!$R$2:$R$492,0)),"")</f>
        <v/>
      </c>
      <c r="K400" s="24" t="str">
        <f>IFERROR(INDEX('Output Utente'!$H$2:$H$492,MATCH(397,'Output Utente'!$R$2:$R$492,0)),"")</f>
        <v/>
      </c>
      <c r="L400" s="23" t="str">
        <f>IFERROR(INDEX('Output Utente'!$E$2:$E$492,MATCH(397,'Output Utente'!$R$2:$R$492,0)),"")</f>
        <v/>
      </c>
      <c r="V400" t="str">
        <f>IFERROR(INDEX('Output Utente'!$M$2:$M$492,MATCH(397,'Output Utente'!$R$2:$R$492,0)),"")</f>
        <v/>
      </c>
      <c r="W400" t="str">
        <f t="shared" si="6"/>
        <v/>
      </c>
      <c r="X400" t="str">
        <f>IFERROR(INDEX('Output Utente'!$AF$2:$AF$492,MATCH(397,'Output Utente'!$R$2:$R$492,0)),"")</f>
        <v/>
      </c>
    </row>
    <row r="401" spans="1:24" ht="15" customHeight="1" x14ac:dyDescent="0.25">
      <c r="A401" s="26">
        <v>398</v>
      </c>
      <c r="B401" s="23" t="str">
        <f>IFERROR(INDEX('Output Utente'!$A$2:$A$492,MATCH(398,'Output Utente'!$R$2:$R$492,0)),"")</f>
        <v/>
      </c>
      <c r="C401" s="23" t="str">
        <f>IFERROR(INDEX('Output Utente'!$B$2:$B$492,MATCH(398,'Output Utente'!$R$2:$R$492,0)),"")</f>
        <v/>
      </c>
      <c r="D401" s="23" t="str">
        <f>IFERROR(INDEX('Output Utente'!$C$2:$C$492,MATCH(398,'Output Utente'!$R$2:$R$492,0)),"")</f>
        <v/>
      </c>
      <c r="E401" s="23" t="str">
        <f>IFERROR(INDEX('Input Giocatori 2026_27'!$D$3:$D$493,MATCH($B401,'Input Giocatori 2026_27'!$A$3:$A$493,0)),"")</f>
        <v/>
      </c>
      <c r="F401" s="24" t="str">
        <f>IFERROR(INDEX('Output Utente'!$N$2:$N$492,MATCH(398,'Output Utente'!$R$2:$R$492,0)),"")</f>
        <v/>
      </c>
      <c r="G401" s="23" t="str">
        <f>IFERROR(INDEX('Output Utente'!$O$2:$O$492,MATCH(398,'Output Utente'!$R$2:$R$492,0)),"")</f>
        <v/>
      </c>
      <c r="H401" s="23" t="str">
        <f>IFERROR(INDEX('Output Utente'!$P$2:$P$492,MATCH(398,'Output Utente'!$R$2:$R$492,0)),"")</f>
        <v/>
      </c>
      <c r="I401" s="24" t="str">
        <f>IFERROR(INDEX('Output Utente'!$F$2:$F$492,MATCH(398,'Output Utente'!$R$2:$R$492,0)),"")</f>
        <v/>
      </c>
      <c r="J401" s="24" t="str">
        <f>IFERROR(INDEX('Output Utente'!$G$2:$G$492,MATCH(398,'Output Utente'!$R$2:$R$492,0)),"")</f>
        <v/>
      </c>
      <c r="K401" s="24" t="str">
        <f>IFERROR(INDEX('Output Utente'!$H$2:$H$492,MATCH(398,'Output Utente'!$R$2:$R$492,0)),"")</f>
        <v/>
      </c>
      <c r="L401" s="23" t="str">
        <f>IFERROR(INDEX('Output Utente'!$E$2:$E$492,MATCH(398,'Output Utente'!$R$2:$R$492,0)),"")</f>
        <v/>
      </c>
      <c r="V401" t="str">
        <f>IFERROR(INDEX('Output Utente'!$M$2:$M$492,MATCH(398,'Output Utente'!$R$2:$R$492,0)),"")</f>
        <v/>
      </c>
      <c r="W401" t="str">
        <f t="shared" si="6"/>
        <v/>
      </c>
      <c r="X401" t="str">
        <f>IFERROR(INDEX('Output Utente'!$AF$2:$AF$492,MATCH(398,'Output Utente'!$R$2:$R$492,0)),"")</f>
        <v/>
      </c>
    </row>
    <row r="402" spans="1:24" ht="15" customHeight="1" x14ac:dyDescent="0.25">
      <c r="A402" s="26">
        <v>399</v>
      </c>
      <c r="B402" s="23" t="str">
        <f>IFERROR(INDEX('Output Utente'!$A$2:$A$492,MATCH(399,'Output Utente'!$R$2:$R$492,0)),"")</f>
        <v/>
      </c>
      <c r="C402" s="23" t="str">
        <f>IFERROR(INDEX('Output Utente'!$B$2:$B$492,MATCH(399,'Output Utente'!$R$2:$R$492,0)),"")</f>
        <v/>
      </c>
      <c r="D402" s="23" t="str">
        <f>IFERROR(INDEX('Output Utente'!$C$2:$C$492,MATCH(399,'Output Utente'!$R$2:$R$492,0)),"")</f>
        <v/>
      </c>
      <c r="E402" s="23" t="str">
        <f>IFERROR(INDEX('Input Giocatori 2026_27'!$D$3:$D$493,MATCH($B402,'Input Giocatori 2026_27'!$A$3:$A$493,0)),"")</f>
        <v/>
      </c>
      <c r="F402" s="24" t="str">
        <f>IFERROR(INDEX('Output Utente'!$N$2:$N$492,MATCH(399,'Output Utente'!$R$2:$R$492,0)),"")</f>
        <v/>
      </c>
      <c r="G402" s="23" t="str">
        <f>IFERROR(INDEX('Output Utente'!$O$2:$O$492,MATCH(399,'Output Utente'!$R$2:$R$492,0)),"")</f>
        <v/>
      </c>
      <c r="H402" s="23" t="str">
        <f>IFERROR(INDEX('Output Utente'!$P$2:$P$492,MATCH(399,'Output Utente'!$R$2:$R$492,0)),"")</f>
        <v/>
      </c>
      <c r="I402" s="24" t="str">
        <f>IFERROR(INDEX('Output Utente'!$F$2:$F$492,MATCH(399,'Output Utente'!$R$2:$R$492,0)),"")</f>
        <v/>
      </c>
      <c r="J402" s="24" t="str">
        <f>IFERROR(INDEX('Output Utente'!$G$2:$G$492,MATCH(399,'Output Utente'!$R$2:$R$492,0)),"")</f>
        <v/>
      </c>
      <c r="K402" s="24" t="str">
        <f>IFERROR(INDEX('Output Utente'!$H$2:$H$492,MATCH(399,'Output Utente'!$R$2:$R$492,0)),"")</f>
        <v/>
      </c>
      <c r="L402" s="23" t="str">
        <f>IFERROR(INDEX('Output Utente'!$E$2:$E$492,MATCH(399,'Output Utente'!$R$2:$R$492,0)),"")</f>
        <v/>
      </c>
      <c r="V402" t="str">
        <f>IFERROR(INDEX('Output Utente'!$M$2:$M$492,MATCH(399,'Output Utente'!$R$2:$R$492,0)),"")</f>
        <v/>
      </c>
      <c r="W402" t="str">
        <f t="shared" si="6"/>
        <v/>
      </c>
      <c r="X402" t="str">
        <f>IFERROR(INDEX('Output Utente'!$AF$2:$AF$492,MATCH(399,'Output Utente'!$R$2:$R$492,0)),"")</f>
        <v/>
      </c>
    </row>
    <row r="403" spans="1:24" ht="15" customHeight="1" x14ac:dyDescent="0.25">
      <c r="A403" s="26">
        <v>400</v>
      </c>
      <c r="B403" s="23" t="str">
        <f>IFERROR(INDEX('Output Utente'!$A$2:$A$492,MATCH(400,'Output Utente'!$R$2:$R$492,0)),"")</f>
        <v/>
      </c>
      <c r="C403" s="23" t="str">
        <f>IFERROR(INDEX('Output Utente'!$B$2:$B$492,MATCH(400,'Output Utente'!$R$2:$R$492,0)),"")</f>
        <v/>
      </c>
      <c r="D403" s="23" t="str">
        <f>IFERROR(INDEX('Output Utente'!$C$2:$C$492,MATCH(400,'Output Utente'!$R$2:$R$492,0)),"")</f>
        <v/>
      </c>
      <c r="E403" s="23" t="str">
        <f>IFERROR(INDEX('Input Giocatori 2026_27'!$D$3:$D$493,MATCH($B403,'Input Giocatori 2026_27'!$A$3:$A$493,0)),"")</f>
        <v/>
      </c>
      <c r="F403" s="24" t="str">
        <f>IFERROR(INDEX('Output Utente'!$N$2:$N$492,MATCH(400,'Output Utente'!$R$2:$R$492,0)),"")</f>
        <v/>
      </c>
      <c r="G403" s="23" t="str">
        <f>IFERROR(INDEX('Output Utente'!$O$2:$O$492,MATCH(400,'Output Utente'!$R$2:$R$492,0)),"")</f>
        <v/>
      </c>
      <c r="H403" s="23" t="str">
        <f>IFERROR(INDEX('Output Utente'!$P$2:$P$492,MATCH(400,'Output Utente'!$R$2:$R$492,0)),"")</f>
        <v/>
      </c>
      <c r="I403" s="24" t="str">
        <f>IFERROR(INDEX('Output Utente'!$F$2:$F$492,MATCH(400,'Output Utente'!$R$2:$R$492,0)),"")</f>
        <v/>
      </c>
      <c r="J403" s="24" t="str">
        <f>IFERROR(INDEX('Output Utente'!$G$2:$G$492,MATCH(400,'Output Utente'!$R$2:$R$492,0)),"")</f>
        <v/>
      </c>
      <c r="K403" s="24" t="str">
        <f>IFERROR(INDEX('Output Utente'!$H$2:$H$492,MATCH(400,'Output Utente'!$R$2:$R$492,0)),"")</f>
        <v/>
      </c>
      <c r="L403" s="23" t="str">
        <f>IFERROR(INDEX('Output Utente'!$E$2:$E$492,MATCH(400,'Output Utente'!$R$2:$R$492,0)),"")</f>
        <v/>
      </c>
      <c r="V403" t="str">
        <f>IFERROR(INDEX('Output Utente'!$M$2:$M$492,MATCH(400,'Output Utente'!$R$2:$R$492,0)),"")</f>
        <v/>
      </c>
      <c r="W403" t="str">
        <f t="shared" si="6"/>
        <v/>
      </c>
      <c r="X403" t="str">
        <f>IFERROR(INDEX('Output Utente'!$AF$2:$AF$492,MATCH(400,'Output Utente'!$R$2:$R$492,0)),"")</f>
        <v/>
      </c>
    </row>
    <row r="404" spans="1:24" ht="15" customHeight="1" x14ac:dyDescent="0.25">
      <c r="A404" s="26">
        <v>401</v>
      </c>
      <c r="B404" s="23" t="str">
        <f>IFERROR(INDEX('Output Utente'!$A$2:$A$492,MATCH(401,'Output Utente'!$R$2:$R$492,0)),"")</f>
        <v/>
      </c>
      <c r="C404" s="23" t="str">
        <f>IFERROR(INDEX('Output Utente'!$B$2:$B$492,MATCH(401,'Output Utente'!$R$2:$R$492,0)),"")</f>
        <v/>
      </c>
      <c r="D404" s="23" t="str">
        <f>IFERROR(INDEX('Output Utente'!$C$2:$C$492,MATCH(401,'Output Utente'!$R$2:$R$492,0)),"")</f>
        <v/>
      </c>
      <c r="E404" s="23" t="str">
        <f>IFERROR(INDEX('Input Giocatori 2026_27'!$D$3:$D$493,MATCH($B404,'Input Giocatori 2026_27'!$A$3:$A$493,0)),"")</f>
        <v/>
      </c>
      <c r="F404" s="24" t="str">
        <f>IFERROR(INDEX('Output Utente'!$N$2:$N$492,MATCH(401,'Output Utente'!$R$2:$R$492,0)),"")</f>
        <v/>
      </c>
      <c r="G404" s="23" t="str">
        <f>IFERROR(INDEX('Output Utente'!$O$2:$O$492,MATCH(401,'Output Utente'!$R$2:$R$492,0)),"")</f>
        <v/>
      </c>
      <c r="H404" s="23" t="str">
        <f>IFERROR(INDEX('Output Utente'!$P$2:$P$492,MATCH(401,'Output Utente'!$R$2:$R$492,0)),"")</f>
        <v/>
      </c>
      <c r="I404" s="24" t="str">
        <f>IFERROR(INDEX('Output Utente'!$F$2:$F$492,MATCH(401,'Output Utente'!$R$2:$R$492,0)),"")</f>
        <v/>
      </c>
      <c r="J404" s="24" t="str">
        <f>IFERROR(INDEX('Output Utente'!$G$2:$G$492,MATCH(401,'Output Utente'!$R$2:$R$492,0)),"")</f>
        <v/>
      </c>
      <c r="K404" s="24" t="str">
        <f>IFERROR(INDEX('Output Utente'!$H$2:$H$492,MATCH(401,'Output Utente'!$R$2:$R$492,0)),"")</f>
        <v/>
      </c>
      <c r="L404" s="23" t="str">
        <f>IFERROR(INDEX('Output Utente'!$E$2:$E$492,MATCH(401,'Output Utente'!$R$2:$R$492,0)),"")</f>
        <v/>
      </c>
      <c r="V404" t="str">
        <f>IFERROR(INDEX('Output Utente'!$M$2:$M$492,MATCH(401,'Output Utente'!$R$2:$R$492,0)),"")</f>
        <v/>
      </c>
      <c r="W404" t="str">
        <f t="shared" si="6"/>
        <v/>
      </c>
      <c r="X404" t="str">
        <f>IFERROR(INDEX('Output Utente'!$AF$2:$AF$492,MATCH(401,'Output Utente'!$R$2:$R$492,0)),"")</f>
        <v/>
      </c>
    </row>
    <row r="405" spans="1:24" ht="15" customHeight="1" x14ac:dyDescent="0.25">
      <c r="A405" s="26">
        <v>402</v>
      </c>
      <c r="B405" s="23" t="str">
        <f>IFERROR(INDEX('Output Utente'!$A$2:$A$492,MATCH(402,'Output Utente'!$R$2:$R$492,0)),"")</f>
        <v/>
      </c>
      <c r="C405" s="23" t="str">
        <f>IFERROR(INDEX('Output Utente'!$B$2:$B$492,MATCH(402,'Output Utente'!$R$2:$R$492,0)),"")</f>
        <v/>
      </c>
      <c r="D405" s="23" t="str">
        <f>IFERROR(INDEX('Output Utente'!$C$2:$C$492,MATCH(402,'Output Utente'!$R$2:$R$492,0)),"")</f>
        <v/>
      </c>
      <c r="E405" s="23" t="str">
        <f>IFERROR(INDEX('Input Giocatori 2026_27'!$D$3:$D$493,MATCH($B405,'Input Giocatori 2026_27'!$A$3:$A$493,0)),"")</f>
        <v/>
      </c>
      <c r="F405" s="24" t="str">
        <f>IFERROR(INDEX('Output Utente'!$N$2:$N$492,MATCH(402,'Output Utente'!$R$2:$R$492,0)),"")</f>
        <v/>
      </c>
      <c r="G405" s="23" t="str">
        <f>IFERROR(INDEX('Output Utente'!$O$2:$O$492,MATCH(402,'Output Utente'!$R$2:$R$492,0)),"")</f>
        <v/>
      </c>
      <c r="H405" s="23" t="str">
        <f>IFERROR(INDEX('Output Utente'!$P$2:$P$492,MATCH(402,'Output Utente'!$R$2:$R$492,0)),"")</f>
        <v/>
      </c>
      <c r="I405" s="24" t="str">
        <f>IFERROR(INDEX('Output Utente'!$F$2:$F$492,MATCH(402,'Output Utente'!$R$2:$R$492,0)),"")</f>
        <v/>
      </c>
      <c r="J405" s="24" t="str">
        <f>IFERROR(INDEX('Output Utente'!$G$2:$G$492,MATCH(402,'Output Utente'!$R$2:$R$492,0)),"")</f>
        <v/>
      </c>
      <c r="K405" s="24" t="str">
        <f>IFERROR(INDEX('Output Utente'!$H$2:$H$492,MATCH(402,'Output Utente'!$R$2:$R$492,0)),"")</f>
        <v/>
      </c>
      <c r="L405" s="23" t="str">
        <f>IFERROR(INDEX('Output Utente'!$E$2:$E$492,MATCH(402,'Output Utente'!$R$2:$R$492,0)),"")</f>
        <v/>
      </c>
      <c r="V405" t="str">
        <f>IFERROR(INDEX('Output Utente'!$M$2:$M$492,MATCH(402,'Output Utente'!$R$2:$R$492,0)),"")</f>
        <v/>
      </c>
      <c r="W405" t="str">
        <f t="shared" si="6"/>
        <v/>
      </c>
      <c r="X405" t="str">
        <f>IFERROR(INDEX('Output Utente'!$AF$2:$AF$492,MATCH(402,'Output Utente'!$R$2:$R$492,0)),"")</f>
        <v/>
      </c>
    </row>
    <row r="406" spans="1:24" ht="15" customHeight="1" x14ac:dyDescent="0.25">
      <c r="A406" s="26">
        <v>403</v>
      </c>
      <c r="B406" s="23" t="str">
        <f>IFERROR(INDEX('Output Utente'!$A$2:$A$492,MATCH(403,'Output Utente'!$R$2:$R$492,0)),"")</f>
        <v/>
      </c>
      <c r="C406" s="23" t="str">
        <f>IFERROR(INDEX('Output Utente'!$B$2:$B$492,MATCH(403,'Output Utente'!$R$2:$R$492,0)),"")</f>
        <v/>
      </c>
      <c r="D406" s="23" t="str">
        <f>IFERROR(INDEX('Output Utente'!$C$2:$C$492,MATCH(403,'Output Utente'!$R$2:$R$492,0)),"")</f>
        <v/>
      </c>
      <c r="E406" s="23" t="str">
        <f>IFERROR(INDEX('Input Giocatori 2026_27'!$D$3:$D$493,MATCH($B406,'Input Giocatori 2026_27'!$A$3:$A$493,0)),"")</f>
        <v/>
      </c>
      <c r="F406" s="24" t="str">
        <f>IFERROR(INDEX('Output Utente'!$N$2:$N$492,MATCH(403,'Output Utente'!$R$2:$R$492,0)),"")</f>
        <v/>
      </c>
      <c r="G406" s="23" t="str">
        <f>IFERROR(INDEX('Output Utente'!$O$2:$O$492,MATCH(403,'Output Utente'!$R$2:$R$492,0)),"")</f>
        <v/>
      </c>
      <c r="H406" s="23" t="str">
        <f>IFERROR(INDEX('Output Utente'!$P$2:$P$492,MATCH(403,'Output Utente'!$R$2:$R$492,0)),"")</f>
        <v/>
      </c>
      <c r="I406" s="24" t="str">
        <f>IFERROR(INDEX('Output Utente'!$F$2:$F$492,MATCH(403,'Output Utente'!$R$2:$R$492,0)),"")</f>
        <v/>
      </c>
      <c r="J406" s="24" t="str">
        <f>IFERROR(INDEX('Output Utente'!$G$2:$G$492,MATCH(403,'Output Utente'!$R$2:$R$492,0)),"")</f>
        <v/>
      </c>
      <c r="K406" s="24" t="str">
        <f>IFERROR(INDEX('Output Utente'!$H$2:$H$492,MATCH(403,'Output Utente'!$R$2:$R$492,0)),"")</f>
        <v/>
      </c>
      <c r="L406" s="23" t="str">
        <f>IFERROR(INDEX('Output Utente'!$E$2:$E$492,MATCH(403,'Output Utente'!$R$2:$R$492,0)),"")</f>
        <v/>
      </c>
      <c r="V406" t="str">
        <f>IFERROR(INDEX('Output Utente'!$M$2:$M$492,MATCH(403,'Output Utente'!$R$2:$R$492,0)),"")</f>
        <v/>
      </c>
      <c r="W406" t="str">
        <f t="shared" si="6"/>
        <v/>
      </c>
      <c r="X406" t="str">
        <f>IFERROR(INDEX('Output Utente'!$AF$2:$AF$492,MATCH(403,'Output Utente'!$R$2:$R$492,0)),"")</f>
        <v/>
      </c>
    </row>
    <row r="407" spans="1:24" ht="15" customHeight="1" x14ac:dyDescent="0.25">
      <c r="A407" s="26">
        <v>404</v>
      </c>
      <c r="B407" s="23" t="str">
        <f>IFERROR(INDEX('Output Utente'!$A$2:$A$492,MATCH(404,'Output Utente'!$R$2:$R$492,0)),"")</f>
        <v/>
      </c>
      <c r="C407" s="23" t="str">
        <f>IFERROR(INDEX('Output Utente'!$B$2:$B$492,MATCH(404,'Output Utente'!$R$2:$R$492,0)),"")</f>
        <v/>
      </c>
      <c r="D407" s="23" t="str">
        <f>IFERROR(INDEX('Output Utente'!$C$2:$C$492,MATCH(404,'Output Utente'!$R$2:$R$492,0)),"")</f>
        <v/>
      </c>
      <c r="E407" s="23" t="str">
        <f>IFERROR(INDEX('Input Giocatori 2026_27'!$D$3:$D$493,MATCH($B407,'Input Giocatori 2026_27'!$A$3:$A$493,0)),"")</f>
        <v/>
      </c>
      <c r="F407" s="24" t="str">
        <f>IFERROR(INDEX('Output Utente'!$N$2:$N$492,MATCH(404,'Output Utente'!$R$2:$R$492,0)),"")</f>
        <v/>
      </c>
      <c r="G407" s="23" t="str">
        <f>IFERROR(INDEX('Output Utente'!$O$2:$O$492,MATCH(404,'Output Utente'!$R$2:$R$492,0)),"")</f>
        <v/>
      </c>
      <c r="H407" s="23" t="str">
        <f>IFERROR(INDEX('Output Utente'!$P$2:$P$492,MATCH(404,'Output Utente'!$R$2:$R$492,0)),"")</f>
        <v/>
      </c>
      <c r="I407" s="24" t="str">
        <f>IFERROR(INDEX('Output Utente'!$F$2:$F$492,MATCH(404,'Output Utente'!$R$2:$R$492,0)),"")</f>
        <v/>
      </c>
      <c r="J407" s="24" t="str">
        <f>IFERROR(INDEX('Output Utente'!$G$2:$G$492,MATCH(404,'Output Utente'!$R$2:$R$492,0)),"")</f>
        <v/>
      </c>
      <c r="K407" s="24" t="str">
        <f>IFERROR(INDEX('Output Utente'!$H$2:$H$492,MATCH(404,'Output Utente'!$R$2:$R$492,0)),"")</f>
        <v/>
      </c>
      <c r="L407" s="23" t="str">
        <f>IFERROR(INDEX('Output Utente'!$E$2:$E$492,MATCH(404,'Output Utente'!$R$2:$R$492,0)),"")</f>
        <v/>
      </c>
      <c r="V407" t="str">
        <f>IFERROR(INDEX('Output Utente'!$M$2:$M$492,MATCH(404,'Output Utente'!$R$2:$R$492,0)),"")</f>
        <v/>
      </c>
      <c r="W407" t="str">
        <f t="shared" si="6"/>
        <v/>
      </c>
      <c r="X407" t="str">
        <f>IFERROR(INDEX('Output Utente'!$AF$2:$AF$492,MATCH(404,'Output Utente'!$R$2:$R$492,0)),"")</f>
        <v/>
      </c>
    </row>
    <row r="408" spans="1:24" ht="15" customHeight="1" x14ac:dyDescent="0.25">
      <c r="A408" s="26">
        <v>405</v>
      </c>
      <c r="B408" s="23" t="str">
        <f>IFERROR(INDEX('Output Utente'!$A$2:$A$492,MATCH(405,'Output Utente'!$R$2:$R$492,0)),"")</f>
        <v/>
      </c>
      <c r="C408" s="23" t="str">
        <f>IFERROR(INDEX('Output Utente'!$B$2:$B$492,MATCH(405,'Output Utente'!$R$2:$R$492,0)),"")</f>
        <v/>
      </c>
      <c r="D408" s="23" t="str">
        <f>IFERROR(INDEX('Output Utente'!$C$2:$C$492,MATCH(405,'Output Utente'!$R$2:$R$492,0)),"")</f>
        <v/>
      </c>
      <c r="E408" s="23" t="str">
        <f>IFERROR(INDEX('Input Giocatori 2026_27'!$D$3:$D$493,MATCH($B408,'Input Giocatori 2026_27'!$A$3:$A$493,0)),"")</f>
        <v/>
      </c>
      <c r="F408" s="24" t="str">
        <f>IFERROR(INDEX('Output Utente'!$N$2:$N$492,MATCH(405,'Output Utente'!$R$2:$R$492,0)),"")</f>
        <v/>
      </c>
      <c r="G408" s="23" t="str">
        <f>IFERROR(INDEX('Output Utente'!$O$2:$O$492,MATCH(405,'Output Utente'!$R$2:$R$492,0)),"")</f>
        <v/>
      </c>
      <c r="H408" s="23" t="str">
        <f>IFERROR(INDEX('Output Utente'!$P$2:$P$492,MATCH(405,'Output Utente'!$R$2:$R$492,0)),"")</f>
        <v/>
      </c>
      <c r="I408" s="24" t="str">
        <f>IFERROR(INDEX('Output Utente'!$F$2:$F$492,MATCH(405,'Output Utente'!$R$2:$R$492,0)),"")</f>
        <v/>
      </c>
      <c r="J408" s="24" t="str">
        <f>IFERROR(INDEX('Output Utente'!$G$2:$G$492,MATCH(405,'Output Utente'!$R$2:$R$492,0)),"")</f>
        <v/>
      </c>
      <c r="K408" s="24" t="str">
        <f>IFERROR(INDEX('Output Utente'!$H$2:$H$492,MATCH(405,'Output Utente'!$R$2:$R$492,0)),"")</f>
        <v/>
      </c>
      <c r="L408" s="23" t="str">
        <f>IFERROR(INDEX('Output Utente'!$E$2:$E$492,MATCH(405,'Output Utente'!$R$2:$R$492,0)),"")</f>
        <v/>
      </c>
      <c r="V408" t="str">
        <f>IFERROR(INDEX('Output Utente'!$M$2:$M$492,MATCH(405,'Output Utente'!$R$2:$R$492,0)),"")</f>
        <v/>
      </c>
      <c r="W408" t="str">
        <f t="shared" si="6"/>
        <v/>
      </c>
      <c r="X408" t="str">
        <f>IFERROR(INDEX('Output Utente'!$AF$2:$AF$492,MATCH(405,'Output Utente'!$R$2:$R$492,0)),"")</f>
        <v/>
      </c>
    </row>
    <row r="409" spans="1:24" ht="15" customHeight="1" x14ac:dyDescent="0.25">
      <c r="A409" s="26">
        <v>406</v>
      </c>
      <c r="B409" s="23" t="str">
        <f>IFERROR(INDEX('Output Utente'!$A$2:$A$492,MATCH(406,'Output Utente'!$R$2:$R$492,0)),"")</f>
        <v/>
      </c>
      <c r="C409" s="23" t="str">
        <f>IFERROR(INDEX('Output Utente'!$B$2:$B$492,MATCH(406,'Output Utente'!$R$2:$R$492,0)),"")</f>
        <v/>
      </c>
      <c r="D409" s="23" t="str">
        <f>IFERROR(INDEX('Output Utente'!$C$2:$C$492,MATCH(406,'Output Utente'!$R$2:$R$492,0)),"")</f>
        <v/>
      </c>
      <c r="E409" s="23" t="str">
        <f>IFERROR(INDEX('Input Giocatori 2026_27'!$D$3:$D$493,MATCH($B409,'Input Giocatori 2026_27'!$A$3:$A$493,0)),"")</f>
        <v/>
      </c>
      <c r="F409" s="24" t="str">
        <f>IFERROR(INDEX('Output Utente'!$N$2:$N$492,MATCH(406,'Output Utente'!$R$2:$R$492,0)),"")</f>
        <v/>
      </c>
      <c r="G409" s="23" t="str">
        <f>IFERROR(INDEX('Output Utente'!$O$2:$O$492,MATCH(406,'Output Utente'!$R$2:$R$492,0)),"")</f>
        <v/>
      </c>
      <c r="H409" s="23" t="str">
        <f>IFERROR(INDEX('Output Utente'!$P$2:$P$492,MATCH(406,'Output Utente'!$R$2:$R$492,0)),"")</f>
        <v/>
      </c>
      <c r="I409" s="24" t="str">
        <f>IFERROR(INDEX('Output Utente'!$F$2:$F$492,MATCH(406,'Output Utente'!$R$2:$R$492,0)),"")</f>
        <v/>
      </c>
      <c r="J409" s="24" t="str">
        <f>IFERROR(INDEX('Output Utente'!$G$2:$G$492,MATCH(406,'Output Utente'!$R$2:$R$492,0)),"")</f>
        <v/>
      </c>
      <c r="K409" s="24" t="str">
        <f>IFERROR(INDEX('Output Utente'!$H$2:$H$492,MATCH(406,'Output Utente'!$R$2:$R$492,0)),"")</f>
        <v/>
      </c>
      <c r="L409" s="23" t="str">
        <f>IFERROR(INDEX('Output Utente'!$E$2:$E$492,MATCH(406,'Output Utente'!$R$2:$R$492,0)),"")</f>
        <v/>
      </c>
      <c r="V409" t="str">
        <f>IFERROR(INDEX('Output Utente'!$M$2:$M$492,MATCH(406,'Output Utente'!$R$2:$R$492,0)),"")</f>
        <v/>
      </c>
      <c r="W409" t="str">
        <f t="shared" si="6"/>
        <v/>
      </c>
      <c r="X409" t="str">
        <f>IFERROR(INDEX('Output Utente'!$AF$2:$AF$492,MATCH(406,'Output Utente'!$R$2:$R$492,0)),"")</f>
        <v/>
      </c>
    </row>
    <row r="410" spans="1:24" ht="15" customHeight="1" x14ac:dyDescent="0.25">
      <c r="A410" s="26">
        <v>407</v>
      </c>
      <c r="B410" s="23" t="str">
        <f>IFERROR(INDEX('Output Utente'!$A$2:$A$492,MATCH(407,'Output Utente'!$R$2:$R$492,0)),"")</f>
        <v/>
      </c>
      <c r="C410" s="23" t="str">
        <f>IFERROR(INDEX('Output Utente'!$B$2:$B$492,MATCH(407,'Output Utente'!$R$2:$R$492,0)),"")</f>
        <v/>
      </c>
      <c r="D410" s="23" t="str">
        <f>IFERROR(INDEX('Output Utente'!$C$2:$C$492,MATCH(407,'Output Utente'!$R$2:$R$492,0)),"")</f>
        <v/>
      </c>
      <c r="E410" s="23" t="str">
        <f>IFERROR(INDEX('Input Giocatori 2026_27'!$D$3:$D$493,MATCH($B410,'Input Giocatori 2026_27'!$A$3:$A$493,0)),"")</f>
        <v/>
      </c>
      <c r="F410" s="24" t="str">
        <f>IFERROR(INDEX('Output Utente'!$N$2:$N$492,MATCH(407,'Output Utente'!$R$2:$R$492,0)),"")</f>
        <v/>
      </c>
      <c r="G410" s="23" t="str">
        <f>IFERROR(INDEX('Output Utente'!$O$2:$O$492,MATCH(407,'Output Utente'!$R$2:$R$492,0)),"")</f>
        <v/>
      </c>
      <c r="H410" s="23" t="str">
        <f>IFERROR(INDEX('Output Utente'!$P$2:$P$492,MATCH(407,'Output Utente'!$R$2:$R$492,0)),"")</f>
        <v/>
      </c>
      <c r="I410" s="24" t="str">
        <f>IFERROR(INDEX('Output Utente'!$F$2:$F$492,MATCH(407,'Output Utente'!$R$2:$R$492,0)),"")</f>
        <v/>
      </c>
      <c r="J410" s="24" t="str">
        <f>IFERROR(INDEX('Output Utente'!$G$2:$G$492,MATCH(407,'Output Utente'!$R$2:$R$492,0)),"")</f>
        <v/>
      </c>
      <c r="K410" s="24" t="str">
        <f>IFERROR(INDEX('Output Utente'!$H$2:$H$492,MATCH(407,'Output Utente'!$R$2:$R$492,0)),"")</f>
        <v/>
      </c>
      <c r="L410" s="23" t="str">
        <f>IFERROR(INDEX('Output Utente'!$E$2:$E$492,MATCH(407,'Output Utente'!$R$2:$R$492,0)),"")</f>
        <v/>
      </c>
      <c r="V410" t="str">
        <f>IFERROR(INDEX('Output Utente'!$M$2:$M$492,MATCH(407,'Output Utente'!$R$2:$R$492,0)),"")</f>
        <v/>
      </c>
      <c r="W410" t="str">
        <f t="shared" si="6"/>
        <v/>
      </c>
      <c r="X410" t="str">
        <f>IFERROR(INDEX('Output Utente'!$AF$2:$AF$492,MATCH(407,'Output Utente'!$R$2:$R$492,0)),"")</f>
        <v/>
      </c>
    </row>
    <row r="411" spans="1:24" ht="15" customHeight="1" x14ac:dyDescent="0.25">
      <c r="A411" s="26">
        <v>408</v>
      </c>
      <c r="B411" s="23" t="str">
        <f>IFERROR(INDEX('Output Utente'!$A$2:$A$492,MATCH(408,'Output Utente'!$R$2:$R$492,0)),"")</f>
        <v/>
      </c>
      <c r="C411" s="23" t="str">
        <f>IFERROR(INDEX('Output Utente'!$B$2:$B$492,MATCH(408,'Output Utente'!$R$2:$R$492,0)),"")</f>
        <v/>
      </c>
      <c r="D411" s="23" t="str">
        <f>IFERROR(INDEX('Output Utente'!$C$2:$C$492,MATCH(408,'Output Utente'!$R$2:$R$492,0)),"")</f>
        <v/>
      </c>
      <c r="E411" s="23" t="str">
        <f>IFERROR(INDEX('Input Giocatori 2026_27'!$D$3:$D$493,MATCH($B411,'Input Giocatori 2026_27'!$A$3:$A$493,0)),"")</f>
        <v/>
      </c>
      <c r="F411" s="24" t="str">
        <f>IFERROR(INDEX('Output Utente'!$N$2:$N$492,MATCH(408,'Output Utente'!$R$2:$R$492,0)),"")</f>
        <v/>
      </c>
      <c r="G411" s="23" t="str">
        <f>IFERROR(INDEX('Output Utente'!$O$2:$O$492,MATCH(408,'Output Utente'!$R$2:$R$492,0)),"")</f>
        <v/>
      </c>
      <c r="H411" s="23" t="str">
        <f>IFERROR(INDEX('Output Utente'!$P$2:$P$492,MATCH(408,'Output Utente'!$R$2:$R$492,0)),"")</f>
        <v/>
      </c>
      <c r="I411" s="24" t="str">
        <f>IFERROR(INDEX('Output Utente'!$F$2:$F$492,MATCH(408,'Output Utente'!$R$2:$R$492,0)),"")</f>
        <v/>
      </c>
      <c r="J411" s="24" t="str">
        <f>IFERROR(INDEX('Output Utente'!$G$2:$G$492,MATCH(408,'Output Utente'!$R$2:$R$492,0)),"")</f>
        <v/>
      </c>
      <c r="K411" s="24" t="str">
        <f>IFERROR(INDEX('Output Utente'!$H$2:$H$492,MATCH(408,'Output Utente'!$R$2:$R$492,0)),"")</f>
        <v/>
      </c>
      <c r="L411" s="23" t="str">
        <f>IFERROR(INDEX('Output Utente'!$E$2:$E$492,MATCH(408,'Output Utente'!$R$2:$R$492,0)),"")</f>
        <v/>
      </c>
      <c r="V411" t="str">
        <f>IFERROR(INDEX('Output Utente'!$M$2:$M$492,MATCH(408,'Output Utente'!$R$2:$R$492,0)),"")</f>
        <v/>
      </c>
      <c r="W411" t="str">
        <f t="shared" si="6"/>
        <v/>
      </c>
      <c r="X411" t="str">
        <f>IFERROR(INDEX('Output Utente'!$AF$2:$AF$492,MATCH(408,'Output Utente'!$R$2:$R$492,0)),"")</f>
        <v/>
      </c>
    </row>
    <row r="412" spans="1:24" ht="15" customHeight="1" x14ac:dyDescent="0.25">
      <c r="A412" s="26">
        <v>409</v>
      </c>
      <c r="B412" s="23" t="str">
        <f>IFERROR(INDEX('Output Utente'!$A$2:$A$492,MATCH(409,'Output Utente'!$R$2:$R$492,0)),"")</f>
        <v/>
      </c>
      <c r="C412" s="23" t="str">
        <f>IFERROR(INDEX('Output Utente'!$B$2:$B$492,MATCH(409,'Output Utente'!$R$2:$R$492,0)),"")</f>
        <v/>
      </c>
      <c r="D412" s="23" t="str">
        <f>IFERROR(INDEX('Output Utente'!$C$2:$C$492,MATCH(409,'Output Utente'!$R$2:$R$492,0)),"")</f>
        <v/>
      </c>
      <c r="E412" s="23" t="str">
        <f>IFERROR(INDEX('Input Giocatori 2026_27'!$D$3:$D$493,MATCH($B412,'Input Giocatori 2026_27'!$A$3:$A$493,0)),"")</f>
        <v/>
      </c>
      <c r="F412" s="24" t="str">
        <f>IFERROR(INDEX('Output Utente'!$N$2:$N$492,MATCH(409,'Output Utente'!$R$2:$R$492,0)),"")</f>
        <v/>
      </c>
      <c r="G412" s="23" t="str">
        <f>IFERROR(INDEX('Output Utente'!$O$2:$O$492,MATCH(409,'Output Utente'!$R$2:$R$492,0)),"")</f>
        <v/>
      </c>
      <c r="H412" s="23" t="str">
        <f>IFERROR(INDEX('Output Utente'!$P$2:$P$492,MATCH(409,'Output Utente'!$R$2:$R$492,0)),"")</f>
        <v/>
      </c>
      <c r="I412" s="24" t="str">
        <f>IFERROR(INDEX('Output Utente'!$F$2:$F$492,MATCH(409,'Output Utente'!$R$2:$R$492,0)),"")</f>
        <v/>
      </c>
      <c r="J412" s="24" t="str">
        <f>IFERROR(INDEX('Output Utente'!$G$2:$G$492,MATCH(409,'Output Utente'!$R$2:$R$492,0)),"")</f>
        <v/>
      </c>
      <c r="K412" s="24" t="str">
        <f>IFERROR(INDEX('Output Utente'!$H$2:$H$492,MATCH(409,'Output Utente'!$R$2:$R$492,0)),"")</f>
        <v/>
      </c>
      <c r="L412" s="23" t="str">
        <f>IFERROR(INDEX('Output Utente'!$E$2:$E$492,MATCH(409,'Output Utente'!$R$2:$R$492,0)),"")</f>
        <v/>
      </c>
      <c r="V412" t="str">
        <f>IFERROR(INDEX('Output Utente'!$M$2:$M$492,MATCH(409,'Output Utente'!$R$2:$R$492,0)),"")</f>
        <v/>
      </c>
      <c r="W412" t="str">
        <f t="shared" si="6"/>
        <v/>
      </c>
      <c r="X412" t="str">
        <f>IFERROR(INDEX('Output Utente'!$AF$2:$AF$492,MATCH(409,'Output Utente'!$R$2:$R$492,0)),"")</f>
        <v/>
      </c>
    </row>
    <row r="413" spans="1:24" ht="15" customHeight="1" x14ac:dyDescent="0.25">
      <c r="A413" s="26">
        <v>410</v>
      </c>
      <c r="B413" s="23" t="str">
        <f>IFERROR(INDEX('Output Utente'!$A$2:$A$492,MATCH(410,'Output Utente'!$R$2:$R$492,0)),"")</f>
        <v/>
      </c>
      <c r="C413" s="23" t="str">
        <f>IFERROR(INDEX('Output Utente'!$B$2:$B$492,MATCH(410,'Output Utente'!$R$2:$R$492,0)),"")</f>
        <v/>
      </c>
      <c r="D413" s="23" t="str">
        <f>IFERROR(INDEX('Output Utente'!$C$2:$C$492,MATCH(410,'Output Utente'!$R$2:$R$492,0)),"")</f>
        <v/>
      </c>
      <c r="E413" s="23" t="str">
        <f>IFERROR(INDEX('Input Giocatori 2026_27'!$D$3:$D$493,MATCH($B413,'Input Giocatori 2026_27'!$A$3:$A$493,0)),"")</f>
        <v/>
      </c>
      <c r="F413" s="24" t="str">
        <f>IFERROR(INDEX('Output Utente'!$N$2:$N$492,MATCH(410,'Output Utente'!$R$2:$R$492,0)),"")</f>
        <v/>
      </c>
      <c r="G413" s="23" t="str">
        <f>IFERROR(INDEX('Output Utente'!$O$2:$O$492,MATCH(410,'Output Utente'!$R$2:$R$492,0)),"")</f>
        <v/>
      </c>
      <c r="H413" s="23" t="str">
        <f>IFERROR(INDEX('Output Utente'!$P$2:$P$492,MATCH(410,'Output Utente'!$R$2:$R$492,0)),"")</f>
        <v/>
      </c>
      <c r="I413" s="24" t="str">
        <f>IFERROR(INDEX('Output Utente'!$F$2:$F$492,MATCH(410,'Output Utente'!$R$2:$R$492,0)),"")</f>
        <v/>
      </c>
      <c r="J413" s="24" t="str">
        <f>IFERROR(INDEX('Output Utente'!$G$2:$G$492,MATCH(410,'Output Utente'!$R$2:$R$492,0)),"")</f>
        <v/>
      </c>
      <c r="K413" s="24" t="str">
        <f>IFERROR(INDEX('Output Utente'!$H$2:$H$492,MATCH(410,'Output Utente'!$R$2:$R$492,0)),"")</f>
        <v/>
      </c>
      <c r="L413" s="23" t="str">
        <f>IFERROR(INDEX('Output Utente'!$E$2:$E$492,MATCH(410,'Output Utente'!$R$2:$R$492,0)),"")</f>
        <v/>
      </c>
      <c r="V413" t="str">
        <f>IFERROR(INDEX('Output Utente'!$M$2:$M$492,MATCH(410,'Output Utente'!$R$2:$R$492,0)),"")</f>
        <v/>
      </c>
      <c r="W413" t="str">
        <f t="shared" si="6"/>
        <v/>
      </c>
      <c r="X413" t="str">
        <f>IFERROR(INDEX('Output Utente'!$AF$2:$AF$492,MATCH(410,'Output Utente'!$R$2:$R$492,0)),"")</f>
        <v/>
      </c>
    </row>
    <row r="414" spans="1:24" ht="15" customHeight="1" x14ac:dyDescent="0.25">
      <c r="A414" s="26">
        <v>411</v>
      </c>
      <c r="B414" s="23" t="str">
        <f>IFERROR(INDEX('Output Utente'!$A$2:$A$492,MATCH(411,'Output Utente'!$R$2:$R$492,0)),"")</f>
        <v/>
      </c>
      <c r="C414" s="23" t="str">
        <f>IFERROR(INDEX('Output Utente'!$B$2:$B$492,MATCH(411,'Output Utente'!$R$2:$R$492,0)),"")</f>
        <v/>
      </c>
      <c r="D414" s="23" t="str">
        <f>IFERROR(INDEX('Output Utente'!$C$2:$C$492,MATCH(411,'Output Utente'!$R$2:$R$492,0)),"")</f>
        <v/>
      </c>
      <c r="E414" s="23" t="str">
        <f>IFERROR(INDEX('Input Giocatori 2026_27'!$D$3:$D$493,MATCH($B414,'Input Giocatori 2026_27'!$A$3:$A$493,0)),"")</f>
        <v/>
      </c>
      <c r="F414" s="24" t="str">
        <f>IFERROR(INDEX('Output Utente'!$N$2:$N$492,MATCH(411,'Output Utente'!$R$2:$R$492,0)),"")</f>
        <v/>
      </c>
      <c r="G414" s="23" t="str">
        <f>IFERROR(INDEX('Output Utente'!$O$2:$O$492,MATCH(411,'Output Utente'!$R$2:$R$492,0)),"")</f>
        <v/>
      </c>
      <c r="H414" s="23" t="str">
        <f>IFERROR(INDEX('Output Utente'!$P$2:$P$492,MATCH(411,'Output Utente'!$R$2:$R$492,0)),"")</f>
        <v/>
      </c>
      <c r="I414" s="24" t="str">
        <f>IFERROR(INDEX('Output Utente'!$F$2:$F$492,MATCH(411,'Output Utente'!$R$2:$R$492,0)),"")</f>
        <v/>
      </c>
      <c r="J414" s="24" t="str">
        <f>IFERROR(INDEX('Output Utente'!$G$2:$G$492,MATCH(411,'Output Utente'!$R$2:$R$492,0)),"")</f>
        <v/>
      </c>
      <c r="K414" s="24" t="str">
        <f>IFERROR(INDEX('Output Utente'!$H$2:$H$492,MATCH(411,'Output Utente'!$R$2:$R$492,0)),"")</f>
        <v/>
      </c>
      <c r="L414" s="23" t="str">
        <f>IFERROR(INDEX('Output Utente'!$E$2:$E$492,MATCH(411,'Output Utente'!$R$2:$R$492,0)),"")</f>
        <v/>
      </c>
      <c r="V414" t="str">
        <f>IFERROR(INDEX('Output Utente'!$M$2:$M$492,MATCH(411,'Output Utente'!$R$2:$R$492,0)),"")</f>
        <v/>
      </c>
      <c r="W414" t="str">
        <f t="shared" si="6"/>
        <v/>
      </c>
      <c r="X414" t="str">
        <f>IFERROR(INDEX('Output Utente'!$AF$2:$AF$492,MATCH(411,'Output Utente'!$R$2:$R$492,0)),"")</f>
        <v/>
      </c>
    </row>
    <row r="415" spans="1:24" ht="15" customHeight="1" x14ac:dyDescent="0.25">
      <c r="A415" s="26">
        <v>412</v>
      </c>
      <c r="B415" s="23" t="str">
        <f>IFERROR(INDEX('Output Utente'!$A$2:$A$492,MATCH(412,'Output Utente'!$R$2:$R$492,0)),"")</f>
        <v/>
      </c>
      <c r="C415" s="23" t="str">
        <f>IFERROR(INDEX('Output Utente'!$B$2:$B$492,MATCH(412,'Output Utente'!$R$2:$R$492,0)),"")</f>
        <v/>
      </c>
      <c r="D415" s="23" t="str">
        <f>IFERROR(INDEX('Output Utente'!$C$2:$C$492,MATCH(412,'Output Utente'!$R$2:$R$492,0)),"")</f>
        <v/>
      </c>
      <c r="E415" s="23" t="str">
        <f>IFERROR(INDEX('Input Giocatori 2026_27'!$D$3:$D$493,MATCH($B415,'Input Giocatori 2026_27'!$A$3:$A$493,0)),"")</f>
        <v/>
      </c>
      <c r="F415" s="24" t="str">
        <f>IFERROR(INDEX('Output Utente'!$N$2:$N$492,MATCH(412,'Output Utente'!$R$2:$R$492,0)),"")</f>
        <v/>
      </c>
      <c r="G415" s="23" t="str">
        <f>IFERROR(INDEX('Output Utente'!$O$2:$O$492,MATCH(412,'Output Utente'!$R$2:$R$492,0)),"")</f>
        <v/>
      </c>
      <c r="H415" s="23" t="str">
        <f>IFERROR(INDEX('Output Utente'!$P$2:$P$492,MATCH(412,'Output Utente'!$R$2:$R$492,0)),"")</f>
        <v/>
      </c>
      <c r="I415" s="24" t="str">
        <f>IFERROR(INDEX('Output Utente'!$F$2:$F$492,MATCH(412,'Output Utente'!$R$2:$R$492,0)),"")</f>
        <v/>
      </c>
      <c r="J415" s="24" t="str">
        <f>IFERROR(INDEX('Output Utente'!$G$2:$G$492,MATCH(412,'Output Utente'!$R$2:$R$492,0)),"")</f>
        <v/>
      </c>
      <c r="K415" s="24" t="str">
        <f>IFERROR(INDEX('Output Utente'!$H$2:$H$492,MATCH(412,'Output Utente'!$R$2:$R$492,0)),"")</f>
        <v/>
      </c>
      <c r="L415" s="23" t="str">
        <f>IFERROR(INDEX('Output Utente'!$E$2:$E$492,MATCH(412,'Output Utente'!$R$2:$R$492,0)),"")</f>
        <v/>
      </c>
      <c r="V415" t="str">
        <f>IFERROR(INDEX('Output Utente'!$M$2:$M$492,MATCH(412,'Output Utente'!$R$2:$R$492,0)),"")</f>
        <v/>
      </c>
      <c r="W415" t="str">
        <f t="shared" si="6"/>
        <v/>
      </c>
      <c r="X415" t="str">
        <f>IFERROR(INDEX('Output Utente'!$AF$2:$AF$492,MATCH(412,'Output Utente'!$R$2:$R$492,0)),"")</f>
        <v/>
      </c>
    </row>
    <row r="416" spans="1:24" ht="15" customHeight="1" x14ac:dyDescent="0.25">
      <c r="A416" s="26">
        <v>413</v>
      </c>
      <c r="B416" s="23" t="str">
        <f>IFERROR(INDEX('Output Utente'!$A$2:$A$492,MATCH(413,'Output Utente'!$R$2:$R$492,0)),"")</f>
        <v/>
      </c>
      <c r="C416" s="23" t="str">
        <f>IFERROR(INDEX('Output Utente'!$B$2:$B$492,MATCH(413,'Output Utente'!$R$2:$R$492,0)),"")</f>
        <v/>
      </c>
      <c r="D416" s="23" t="str">
        <f>IFERROR(INDEX('Output Utente'!$C$2:$C$492,MATCH(413,'Output Utente'!$R$2:$R$492,0)),"")</f>
        <v/>
      </c>
      <c r="E416" s="23" t="str">
        <f>IFERROR(INDEX('Input Giocatori 2026_27'!$D$3:$D$493,MATCH($B416,'Input Giocatori 2026_27'!$A$3:$A$493,0)),"")</f>
        <v/>
      </c>
      <c r="F416" s="24" t="str">
        <f>IFERROR(INDEX('Output Utente'!$N$2:$N$492,MATCH(413,'Output Utente'!$R$2:$R$492,0)),"")</f>
        <v/>
      </c>
      <c r="G416" s="23" t="str">
        <f>IFERROR(INDEX('Output Utente'!$O$2:$O$492,MATCH(413,'Output Utente'!$R$2:$R$492,0)),"")</f>
        <v/>
      </c>
      <c r="H416" s="23" t="str">
        <f>IFERROR(INDEX('Output Utente'!$P$2:$P$492,MATCH(413,'Output Utente'!$R$2:$R$492,0)),"")</f>
        <v/>
      </c>
      <c r="I416" s="24" t="str">
        <f>IFERROR(INDEX('Output Utente'!$F$2:$F$492,MATCH(413,'Output Utente'!$R$2:$R$492,0)),"")</f>
        <v/>
      </c>
      <c r="J416" s="24" t="str">
        <f>IFERROR(INDEX('Output Utente'!$G$2:$G$492,MATCH(413,'Output Utente'!$R$2:$R$492,0)),"")</f>
        <v/>
      </c>
      <c r="K416" s="24" t="str">
        <f>IFERROR(INDEX('Output Utente'!$H$2:$H$492,MATCH(413,'Output Utente'!$R$2:$R$492,0)),"")</f>
        <v/>
      </c>
      <c r="L416" s="23" t="str">
        <f>IFERROR(INDEX('Output Utente'!$E$2:$E$492,MATCH(413,'Output Utente'!$R$2:$R$492,0)),"")</f>
        <v/>
      </c>
      <c r="V416" t="str">
        <f>IFERROR(INDEX('Output Utente'!$M$2:$M$492,MATCH(413,'Output Utente'!$R$2:$R$492,0)),"")</f>
        <v/>
      </c>
      <c r="W416" t="str">
        <f t="shared" si="6"/>
        <v/>
      </c>
      <c r="X416" t="str">
        <f>IFERROR(INDEX('Output Utente'!$AF$2:$AF$492,MATCH(413,'Output Utente'!$R$2:$R$492,0)),"")</f>
        <v/>
      </c>
    </row>
    <row r="417" spans="1:24" ht="15" customHeight="1" x14ac:dyDescent="0.25">
      <c r="A417" s="26">
        <v>414</v>
      </c>
      <c r="B417" s="23" t="str">
        <f>IFERROR(INDEX('Output Utente'!$A$2:$A$492,MATCH(414,'Output Utente'!$R$2:$R$492,0)),"")</f>
        <v/>
      </c>
      <c r="C417" s="23" t="str">
        <f>IFERROR(INDEX('Output Utente'!$B$2:$B$492,MATCH(414,'Output Utente'!$R$2:$R$492,0)),"")</f>
        <v/>
      </c>
      <c r="D417" s="23" t="str">
        <f>IFERROR(INDEX('Output Utente'!$C$2:$C$492,MATCH(414,'Output Utente'!$R$2:$R$492,0)),"")</f>
        <v/>
      </c>
      <c r="E417" s="23" t="str">
        <f>IFERROR(INDEX('Input Giocatori 2026_27'!$D$3:$D$493,MATCH($B417,'Input Giocatori 2026_27'!$A$3:$A$493,0)),"")</f>
        <v/>
      </c>
      <c r="F417" s="24" t="str">
        <f>IFERROR(INDEX('Output Utente'!$N$2:$N$492,MATCH(414,'Output Utente'!$R$2:$R$492,0)),"")</f>
        <v/>
      </c>
      <c r="G417" s="23" t="str">
        <f>IFERROR(INDEX('Output Utente'!$O$2:$O$492,MATCH(414,'Output Utente'!$R$2:$R$492,0)),"")</f>
        <v/>
      </c>
      <c r="H417" s="23" t="str">
        <f>IFERROR(INDEX('Output Utente'!$P$2:$P$492,MATCH(414,'Output Utente'!$R$2:$R$492,0)),"")</f>
        <v/>
      </c>
      <c r="I417" s="24" t="str">
        <f>IFERROR(INDEX('Output Utente'!$F$2:$F$492,MATCH(414,'Output Utente'!$R$2:$R$492,0)),"")</f>
        <v/>
      </c>
      <c r="J417" s="24" t="str">
        <f>IFERROR(INDEX('Output Utente'!$G$2:$G$492,MATCH(414,'Output Utente'!$R$2:$R$492,0)),"")</f>
        <v/>
      </c>
      <c r="K417" s="24" t="str">
        <f>IFERROR(INDEX('Output Utente'!$H$2:$H$492,MATCH(414,'Output Utente'!$R$2:$R$492,0)),"")</f>
        <v/>
      </c>
      <c r="L417" s="23" t="str">
        <f>IFERROR(INDEX('Output Utente'!$E$2:$E$492,MATCH(414,'Output Utente'!$R$2:$R$492,0)),"")</f>
        <v/>
      </c>
      <c r="V417" t="str">
        <f>IFERROR(INDEX('Output Utente'!$M$2:$M$492,MATCH(414,'Output Utente'!$R$2:$R$492,0)),"")</f>
        <v/>
      </c>
      <c r="W417" t="str">
        <f t="shared" si="6"/>
        <v/>
      </c>
      <c r="X417" t="str">
        <f>IFERROR(INDEX('Output Utente'!$AF$2:$AF$492,MATCH(414,'Output Utente'!$R$2:$R$492,0)),"")</f>
        <v/>
      </c>
    </row>
    <row r="418" spans="1:24" ht="15" customHeight="1" x14ac:dyDescent="0.25">
      <c r="A418" s="26">
        <v>415</v>
      </c>
      <c r="B418" s="23" t="str">
        <f>IFERROR(INDEX('Output Utente'!$A$2:$A$492,MATCH(415,'Output Utente'!$R$2:$R$492,0)),"")</f>
        <v/>
      </c>
      <c r="C418" s="23" t="str">
        <f>IFERROR(INDEX('Output Utente'!$B$2:$B$492,MATCH(415,'Output Utente'!$R$2:$R$492,0)),"")</f>
        <v/>
      </c>
      <c r="D418" s="23" t="str">
        <f>IFERROR(INDEX('Output Utente'!$C$2:$C$492,MATCH(415,'Output Utente'!$R$2:$R$492,0)),"")</f>
        <v/>
      </c>
      <c r="E418" s="23" t="str">
        <f>IFERROR(INDEX('Input Giocatori 2026_27'!$D$3:$D$493,MATCH($B418,'Input Giocatori 2026_27'!$A$3:$A$493,0)),"")</f>
        <v/>
      </c>
      <c r="F418" s="24" t="str">
        <f>IFERROR(INDEX('Output Utente'!$N$2:$N$492,MATCH(415,'Output Utente'!$R$2:$R$492,0)),"")</f>
        <v/>
      </c>
      <c r="G418" s="23" t="str">
        <f>IFERROR(INDEX('Output Utente'!$O$2:$O$492,MATCH(415,'Output Utente'!$R$2:$R$492,0)),"")</f>
        <v/>
      </c>
      <c r="H418" s="23" t="str">
        <f>IFERROR(INDEX('Output Utente'!$P$2:$P$492,MATCH(415,'Output Utente'!$R$2:$R$492,0)),"")</f>
        <v/>
      </c>
      <c r="I418" s="24" t="str">
        <f>IFERROR(INDEX('Output Utente'!$F$2:$F$492,MATCH(415,'Output Utente'!$R$2:$R$492,0)),"")</f>
        <v/>
      </c>
      <c r="J418" s="24" t="str">
        <f>IFERROR(INDEX('Output Utente'!$G$2:$G$492,MATCH(415,'Output Utente'!$R$2:$R$492,0)),"")</f>
        <v/>
      </c>
      <c r="K418" s="24" t="str">
        <f>IFERROR(INDEX('Output Utente'!$H$2:$H$492,MATCH(415,'Output Utente'!$R$2:$R$492,0)),"")</f>
        <v/>
      </c>
      <c r="L418" s="23" t="str">
        <f>IFERROR(INDEX('Output Utente'!$E$2:$E$492,MATCH(415,'Output Utente'!$R$2:$R$492,0)),"")</f>
        <v/>
      </c>
      <c r="V418" t="str">
        <f>IFERROR(INDEX('Output Utente'!$M$2:$M$492,MATCH(415,'Output Utente'!$R$2:$R$492,0)),"")</f>
        <v/>
      </c>
      <c r="W418" t="str">
        <f t="shared" si="6"/>
        <v/>
      </c>
      <c r="X418" t="str">
        <f>IFERROR(INDEX('Output Utente'!$AF$2:$AF$492,MATCH(415,'Output Utente'!$R$2:$R$492,0)),"")</f>
        <v/>
      </c>
    </row>
    <row r="419" spans="1:24" ht="15" customHeight="1" x14ac:dyDescent="0.25">
      <c r="A419" s="26">
        <v>416</v>
      </c>
      <c r="B419" s="23" t="str">
        <f>IFERROR(INDEX('Output Utente'!$A$2:$A$492,MATCH(416,'Output Utente'!$R$2:$R$492,0)),"")</f>
        <v/>
      </c>
      <c r="C419" s="23" t="str">
        <f>IFERROR(INDEX('Output Utente'!$B$2:$B$492,MATCH(416,'Output Utente'!$R$2:$R$492,0)),"")</f>
        <v/>
      </c>
      <c r="D419" s="23" t="str">
        <f>IFERROR(INDEX('Output Utente'!$C$2:$C$492,MATCH(416,'Output Utente'!$R$2:$R$492,0)),"")</f>
        <v/>
      </c>
      <c r="E419" s="23" t="str">
        <f>IFERROR(INDEX('Input Giocatori 2026_27'!$D$3:$D$493,MATCH($B419,'Input Giocatori 2026_27'!$A$3:$A$493,0)),"")</f>
        <v/>
      </c>
      <c r="F419" s="24" t="str">
        <f>IFERROR(INDEX('Output Utente'!$N$2:$N$492,MATCH(416,'Output Utente'!$R$2:$R$492,0)),"")</f>
        <v/>
      </c>
      <c r="G419" s="23" t="str">
        <f>IFERROR(INDEX('Output Utente'!$O$2:$O$492,MATCH(416,'Output Utente'!$R$2:$R$492,0)),"")</f>
        <v/>
      </c>
      <c r="H419" s="23" t="str">
        <f>IFERROR(INDEX('Output Utente'!$P$2:$P$492,MATCH(416,'Output Utente'!$R$2:$R$492,0)),"")</f>
        <v/>
      </c>
      <c r="I419" s="24" t="str">
        <f>IFERROR(INDEX('Output Utente'!$F$2:$F$492,MATCH(416,'Output Utente'!$R$2:$R$492,0)),"")</f>
        <v/>
      </c>
      <c r="J419" s="24" t="str">
        <f>IFERROR(INDEX('Output Utente'!$G$2:$G$492,MATCH(416,'Output Utente'!$R$2:$R$492,0)),"")</f>
        <v/>
      </c>
      <c r="K419" s="24" t="str">
        <f>IFERROR(INDEX('Output Utente'!$H$2:$H$492,MATCH(416,'Output Utente'!$R$2:$R$492,0)),"")</f>
        <v/>
      </c>
      <c r="L419" s="23" t="str">
        <f>IFERROR(INDEX('Output Utente'!$E$2:$E$492,MATCH(416,'Output Utente'!$R$2:$R$492,0)),"")</f>
        <v/>
      </c>
      <c r="V419" t="str">
        <f>IFERROR(INDEX('Output Utente'!$M$2:$M$492,MATCH(416,'Output Utente'!$R$2:$R$492,0)),"")</f>
        <v/>
      </c>
      <c r="W419" t="str">
        <f t="shared" si="6"/>
        <v/>
      </c>
      <c r="X419" t="str">
        <f>IFERROR(INDEX('Output Utente'!$AF$2:$AF$492,MATCH(416,'Output Utente'!$R$2:$R$492,0)),"")</f>
        <v/>
      </c>
    </row>
    <row r="420" spans="1:24" ht="15" customHeight="1" x14ac:dyDescent="0.25">
      <c r="A420" s="26">
        <v>417</v>
      </c>
      <c r="B420" s="23" t="str">
        <f>IFERROR(INDEX('Output Utente'!$A$2:$A$492,MATCH(417,'Output Utente'!$R$2:$R$492,0)),"")</f>
        <v/>
      </c>
      <c r="C420" s="23" t="str">
        <f>IFERROR(INDEX('Output Utente'!$B$2:$B$492,MATCH(417,'Output Utente'!$R$2:$R$492,0)),"")</f>
        <v/>
      </c>
      <c r="D420" s="23" t="str">
        <f>IFERROR(INDEX('Output Utente'!$C$2:$C$492,MATCH(417,'Output Utente'!$R$2:$R$492,0)),"")</f>
        <v/>
      </c>
      <c r="E420" s="23" t="str">
        <f>IFERROR(INDEX('Input Giocatori 2026_27'!$D$3:$D$493,MATCH($B420,'Input Giocatori 2026_27'!$A$3:$A$493,0)),"")</f>
        <v/>
      </c>
      <c r="F420" s="24" t="str">
        <f>IFERROR(INDEX('Output Utente'!$N$2:$N$492,MATCH(417,'Output Utente'!$R$2:$R$492,0)),"")</f>
        <v/>
      </c>
      <c r="G420" s="23" t="str">
        <f>IFERROR(INDEX('Output Utente'!$O$2:$O$492,MATCH(417,'Output Utente'!$R$2:$R$492,0)),"")</f>
        <v/>
      </c>
      <c r="H420" s="23" t="str">
        <f>IFERROR(INDEX('Output Utente'!$P$2:$P$492,MATCH(417,'Output Utente'!$R$2:$R$492,0)),"")</f>
        <v/>
      </c>
      <c r="I420" s="24" t="str">
        <f>IFERROR(INDEX('Output Utente'!$F$2:$F$492,MATCH(417,'Output Utente'!$R$2:$R$492,0)),"")</f>
        <v/>
      </c>
      <c r="J420" s="24" t="str">
        <f>IFERROR(INDEX('Output Utente'!$G$2:$G$492,MATCH(417,'Output Utente'!$R$2:$R$492,0)),"")</f>
        <v/>
      </c>
      <c r="K420" s="24" t="str">
        <f>IFERROR(INDEX('Output Utente'!$H$2:$H$492,MATCH(417,'Output Utente'!$R$2:$R$492,0)),"")</f>
        <v/>
      </c>
      <c r="L420" s="23" t="str">
        <f>IFERROR(INDEX('Output Utente'!$E$2:$E$492,MATCH(417,'Output Utente'!$R$2:$R$492,0)),"")</f>
        <v/>
      </c>
      <c r="V420" t="str">
        <f>IFERROR(INDEX('Output Utente'!$M$2:$M$492,MATCH(417,'Output Utente'!$R$2:$R$492,0)),"")</f>
        <v/>
      </c>
      <c r="W420" t="str">
        <f t="shared" si="6"/>
        <v/>
      </c>
      <c r="X420" t="str">
        <f>IFERROR(INDEX('Output Utente'!$AF$2:$AF$492,MATCH(417,'Output Utente'!$R$2:$R$492,0)),"")</f>
        <v/>
      </c>
    </row>
    <row r="421" spans="1:24" ht="15" customHeight="1" x14ac:dyDescent="0.25">
      <c r="A421" s="26">
        <v>418</v>
      </c>
      <c r="B421" s="23" t="str">
        <f>IFERROR(INDEX('Output Utente'!$A$2:$A$492,MATCH(418,'Output Utente'!$R$2:$R$492,0)),"")</f>
        <v/>
      </c>
      <c r="C421" s="23" t="str">
        <f>IFERROR(INDEX('Output Utente'!$B$2:$B$492,MATCH(418,'Output Utente'!$R$2:$R$492,0)),"")</f>
        <v/>
      </c>
      <c r="D421" s="23" t="str">
        <f>IFERROR(INDEX('Output Utente'!$C$2:$C$492,MATCH(418,'Output Utente'!$R$2:$R$492,0)),"")</f>
        <v/>
      </c>
      <c r="E421" s="23" t="str">
        <f>IFERROR(INDEX('Input Giocatori 2026_27'!$D$3:$D$493,MATCH($B421,'Input Giocatori 2026_27'!$A$3:$A$493,0)),"")</f>
        <v/>
      </c>
      <c r="F421" s="24" t="str">
        <f>IFERROR(INDEX('Output Utente'!$N$2:$N$492,MATCH(418,'Output Utente'!$R$2:$R$492,0)),"")</f>
        <v/>
      </c>
      <c r="G421" s="23" t="str">
        <f>IFERROR(INDEX('Output Utente'!$O$2:$O$492,MATCH(418,'Output Utente'!$R$2:$R$492,0)),"")</f>
        <v/>
      </c>
      <c r="H421" s="23" t="str">
        <f>IFERROR(INDEX('Output Utente'!$P$2:$P$492,MATCH(418,'Output Utente'!$R$2:$R$492,0)),"")</f>
        <v/>
      </c>
      <c r="I421" s="24" t="str">
        <f>IFERROR(INDEX('Output Utente'!$F$2:$F$492,MATCH(418,'Output Utente'!$R$2:$R$492,0)),"")</f>
        <v/>
      </c>
      <c r="J421" s="24" t="str">
        <f>IFERROR(INDEX('Output Utente'!$G$2:$G$492,MATCH(418,'Output Utente'!$R$2:$R$492,0)),"")</f>
        <v/>
      </c>
      <c r="K421" s="24" t="str">
        <f>IFERROR(INDEX('Output Utente'!$H$2:$H$492,MATCH(418,'Output Utente'!$R$2:$R$492,0)),"")</f>
        <v/>
      </c>
      <c r="L421" s="23" t="str">
        <f>IFERROR(INDEX('Output Utente'!$E$2:$E$492,MATCH(418,'Output Utente'!$R$2:$R$492,0)),"")</f>
        <v/>
      </c>
      <c r="V421" t="str">
        <f>IFERROR(INDEX('Output Utente'!$M$2:$M$492,MATCH(418,'Output Utente'!$R$2:$R$492,0)),"")</f>
        <v/>
      </c>
      <c r="W421" t="str">
        <f t="shared" si="6"/>
        <v/>
      </c>
      <c r="X421" t="str">
        <f>IFERROR(INDEX('Output Utente'!$AF$2:$AF$492,MATCH(418,'Output Utente'!$R$2:$R$492,0)),"")</f>
        <v/>
      </c>
    </row>
    <row r="422" spans="1:24" ht="15" customHeight="1" x14ac:dyDescent="0.25">
      <c r="A422" s="26">
        <v>419</v>
      </c>
      <c r="B422" s="23" t="str">
        <f>IFERROR(INDEX('Output Utente'!$A$2:$A$492,MATCH(419,'Output Utente'!$R$2:$R$492,0)),"")</f>
        <v/>
      </c>
      <c r="C422" s="23" t="str">
        <f>IFERROR(INDEX('Output Utente'!$B$2:$B$492,MATCH(419,'Output Utente'!$R$2:$R$492,0)),"")</f>
        <v/>
      </c>
      <c r="D422" s="23" t="str">
        <f>IFERROR(INDEX('Output Utente'!$C$2:$C$492,MATCH(419,'Output Utente'!$R$2:$R$492,0)),"")</f>
        <v/>
      </c>
      <c r="E422" s="23" t="str">
        <f>IFERROR(INDEX('Input Giocatori 2026_27'!$D$3:$D$493,MATCH($B422,'Input Giocatori 2026_27'!$A$3:$A$493,0)),"")</f>
        <v/>
      </c>
      <c r="F422" s="24" t="str">
        <f>IFERROR(INDEX('Output Utente'!$N$2:$N$492,MATCH(419,'Output Utente'!$R$2:$R$492,0)),"")</f>
        <v/>
      </c>
      <c r="G422" s="23" t="str">
        <f>IFERROR(INDEX('Output Utente'!$O$2:$O$492,MATCH(419,'Output Utente'!$R$2:$R$492,0)),"")</f>
        <v/>
      </c>
      <c r="H422" s="23" t="str">
        <f>IFERROR(INDEX('Output Utente'!$P$2:$P$492,MATCH(419,'Output Utente'!$R$2:$R$492,0)),"")</f>
        <v/>
      </c>
      <c r="I422" s="24" t="str">
        <f>IFERROR(INDEX('Output Utente'!$F$2:$F$492,MATCH(419,'Output Utente'!$R$2:$R$492,0)),"")</f>
        <v/>
      </c>
      <c r="J422" s="24" t="str">
        <f>IFERROR(INDEX('Output Utente'!$G$2:$G$492,MATCH(419,'Output Utente'!$R$2:$R$492,0)),"")</f>
        <v/>
      </c>
      <c r="K422" s="24" t="str">
        <f>IFERROR(INDEX('Output Utente'!$H$2:$H$492,MATCH(419,'Output Utente'!$R$2:$R$492,0)),"")</f>
        <v/>
      </c>
      <c r="L422" s="23" t="str">
        <f>IFERROR(INDEX('Output Utente'!$E$2:$E$492,MATCH(419,'Output Utente'!$R$2:$R$492,0)),"")</f>
        <v/>
      </c>
      <c r="V422" t="str">
        <f>IFERROR(INDEX('Output Utente'!$M$2:$M$492,MATCH(419,'Output Utente'!$R$2:$R$492,0)),"")</f>
        <v/>
      </c>
      <c r="W422" t="str">
        <f t="shared" si="6"/>
        <v/>
      </c>
      <c r="X422" t="str">
        <f>IFERROR(INDEX('Output Utente'!$AF$2:$AF$492,MATCH(419,'Output Utente'!$R$2:$R$492,0)),"")</f>
        <v/>
      </c>
    </row>
    <row r="423" spans="1:24" ht="15" customHeight="1" x14ac:dyDescent="0.25">
      <c r="A423" s="26">
        <v>420</v>
      </c>
      <c r="B423" s="23" t="str">
        <f>IFERROR(INDEX('Output Utente'!$A$2:$A$492,MATCH(420,'Output Utente'!$R$2:$R$492,0)),"")</f>
        <v/>
      </c>
      <c r="C423" s="23" t="str">
        <f>IFERROR(INDEX('Output Utente'!$B$2:$B$492,MATCH(420,'Output Utente'!$R$2:$R$492,0)),"")</f>
        <v/>
      </c>
      <c r="D423" s="23" t="str">
        <f>IFERROR(INDEX('Output Utente'!$C$2:$C$492,MATCH(420,'Output Utente'!$R$2:$R$492,0)),"")</f>
        <v/>
      </c>
      <c r="E423" s="23" t="str">
        <f>IFERROR(INDEX('Input Giocatori 2026_27'!$D$3:$D$493,MATCH($B423,'Input Giocatori 2026_27'!$A$3:$A$493,0)),"")</f>
        <v/>
      </c>
      <c r="F423" s="24" t="str">
        <f>IFERROR(INDEX('Output Utente'!$N$2:$N$492,MATCH(420,'Output Utente'!$R$2:$R$492,0)),"")</f>
        <v/>
      </c>
      <c r="G423" s="23" t="str">
        <f>IFERROR(INDEX('Output Utente'!$O$2:$O$492,MATCH(420,'Output Utente'!$R$2:$R$492,0)),"")</f>
        <v/>
      </c>
      <c r="H423" s="23" t="str">
        <f>IFERROR(INDEX('Output Utente'!$P$2:$P$492,MATCH(420,'Output Utente'!$R$2:$R$492,0)),"")</f>
        <v/>
      </c>
      <c r="I423" s="24" t="str">
        <f>IFERROR(INDEX('Output Utente'!$F$2:$F$492,MATCH(420,'Output Utente'!$R$2:$R$492,0)),"")</f>
        <v/>
      </c>
      <c r="J423" s="24" t="str">
        <f>IFERROR(INDEX('Output Utente'!$G$2:$G$492,MATCH(420,'Output Utente'!$R$2:$R$492,0)),"")</f>
        <v/>
      </c>
      <c r="K423" s="24" t="str">
        <f>IFERROR(INDEX('Output Utente'!$H$2:$H$492,MATCH(420,'Output Utente'!$R$2:$R$492,0)),"")</f>
        <v/>
      </c>
      <c r="L423" s="23" t="str">
        <f>IFERROR(INDEX('Output Utente'!$E$2:$E$492,MATCH(420,'Output Utente'!$R$2:$R$492,0)),"")</f>
        <v/>
      </c>
      <c r="V423" t="str">
        <f>IFERROR(INDEX('Output Utente'!$M$2:$M$492,MATCH(420,'Output Utente'!$R$2:$R$492,0)),"")</f>
        <v/>
      </c>
      <c r="W423" t="str">
        <f t="shared" si="6"/>
        <v/>
      </c>
      <c r="X423" t="str">
        <f>IFERROR(INDEX('Output Utente'!$AF$2:$AF$492,MATCH(420,'Output Utente'!$R$2:$R$492,0)),"")</f>
        <v/>
      </c>
    </row>
    <row r="424" spans="1:24" ht="15" customHeight="1" x14ac:dyDescent="0.25">
      <c r="A424" s="26">
        <v>421</v>
      </c>
      <c r="B424" s="23" t="str">
        <f>IFERROR(INDEX('Output Utente'!$A$2:$A$492,MATCH(421,'Output Utente'!$R$2:$R$492,0)),"")</f>
        <v/>
      </c>
      <c r="C424" s="23" t="str">
        <f>IFERROR(INDEX('Output Utente'!$B$2:$B$492,MATCH(421,'Output Utente'!$R$2:$R$492,0)),"")</f>
        <v/>
      </c>
      <c r="D424" s="23" t="str">
        <f>IFERROR(INDEX('Output Utente'!$C$2:$C$492,MATCH(421,'Output Utente'!$R$2:$R$492,0)),"")</f>
        <v/>
      </c>
      <c r="E424" s="23" t="str">
        <f>IFERROR(INDEX('Input Giocatori 2026_27'!$D$3:$D$493,MATCH($B424,'Input Giocatori 2026_27'!$A$3:$A$493,0)),"")</f>
        <v/>
      </c>
      <c r="F424" s="24" t="str">
        <f>IFERROR(INDEX('Output Utente'!$N$2:$N$492,MATCH(421,'Output Utente'!$R$2:$R$492,0)),"")</f>
        <v/>
      </c>
      <c r="G424" s="23" t="str">
        <f>IFERROR(INDEX('Output Utente'!$O$2:$O$492,MATCH(421,'Output Utente'!$R$2:$R$492,0)),"")</f>
        <v/>
      </c>
      <c r="H424" s="23" t="str">
        <f>IFERROR(INDEX('Output Utente'!$P$2:$P$492,MATCH(421,'Output Utente'!$R$2:$R$492,0)),"")</f>
        <v/>
      </c>
      <c r="I424" s="24" t="str">
        <f>IFERROR(INDEX('Output Utente'!$F$2:$F$492,MATCH(421,'Output Utente'!$R$2:$R$492,0)),"")</f>
        <v/>
      </c>
      <c r="J424" s="24" t="str">
        <f>IFERROR(INDEX('Output Utente'!$G$2:$G$492,MATCH(421,'Output Utente'!$R$2:$R$492,0)),"")</f>
        <v/>
      </c>
      <c r="K424" s="24" t="str">
        <f>IFERROR(INDEX('Output Utente'!$H$2:$H$492,MATCH(421,'Output Utente'!$R$2:$R$492,0)),"")</f>
        <v/>
      </c>
      <c r="L424" s="23" t="str">
        <f>IFERROR(INDEX('Output Utente'!$E$2:$E$492,MATCH(421,'Output Utente'!$R$2:$R$492,0)),"")</f>
        <v/>
      </c>
      <c r="V424" t="str">
        <f>IFERROR(INDEX('Output Utente'!$M$2:$M$492,MATCH(421,'Output Utente'!$R$2:$R$492,0)),"")</f>
        <v/>
      </c>
      <c r="W424" t="str">
        <f t="shared" si="6"/>
        <v/>
      </c>
      <c r="X424" t="str">
        <f>IFERROR(INDEX('Output Utente'!$AF$2:$AF$492,MATCH(421,'Output Utente'!$R$2:$R$492,0)),"")</f>
        <v/>
      </c>
    </row>
    <row r="425" spans="1:24" ht="15" customHeight="1" x14ac:dyDescent="0.25">
      <c r="A425" s="26">
        <v>422</v>
      </c>
      <c r="B425" s="23" t="str">
        <f>IFERROR(INDEX('Output Utente'!$A$2:$A$492,MATCH(422,'Output Utente'!$R$2:$R$492,0)),"")</f>
        <v/>
      </c>
      <c r="C425" s="23" t="str">
        <f>IFERROR(INDEX('Output Utente'!$B$2:$B$492,MATCH(422,'Output Utente'!$R$2:$R$492,0)),"")</f>
        <v/>
      </c>
      <c r="D425" s="23" t="str">
        <f>IFERROR(INDEX('Output Utente'!$C$2:$C$492,MATCH(422,'Output Utente'!$R$2:$R$492,0)),"")</f>
        <v/>
      </c>
      <c r="E425" s="23" t="str">
        <f>IFERROR(INDEX('Input Giocatori 2026_27'!$D$3:$D$493,MATCH($B425,'Input Giocatori 2026_27'!$A$3:$A$493,0)),"")</f>
        <v/>
      </c>
      <c r="F425" s="24" t="str">
        <f>IFERROR(INDEX('Output Utente'!$N$2:$N$492,MATCH(422,'Output Utente'!$R$2:$R$492,0)),"")</f>
        <v/>
      </c>
      <c r="G425" s="23" t="str">
        <f>IFERROR(INDEX('Output Utente'!$O$2:$O$492,MATCH(422,'Output Utente'!$R$2:$R$492,0)),"")</f>
        <v/>
      </c>
      <c r="H425" s="23" t="str">
        <f>IFERROR(INDEX('Output Utente'!$P$2:$P$492,MATCH(422,'Output Utente'!$R$2:$R$492,0)),"")</f>
        <v/>
      </c>
      <c r="I425" s="24" t="str">
        <f>IFERROR(INDEX('Output Utente'!$F$2:$F$492,MATCH(422,'Output Utente'!$R$2:$R$492,0)),"")</f>
        <v/>
      </c>
      <c r="J425" s="24" t="str">
        <f>IFERROR(INDEX('Output Utente'!$G$2:$G$492,MATCH(422,'Output Utente'!$R$2:$R$492,0)),"")</f>
        <v/>
      </c>
      <c r="K425" s="24" t="str">
        <f>IFERROR(INDEX('Output Utente'!$H$2:$H$492,MATCH(422,'Output Utente'!$R$2:$R$492,0)),"")</f>
        <v/>
      </c>
      <c r="L425" s="23" t="str">
        <f>IFERROR(INDEX('Output Utente'!$E$2:$E$492,MATCH(422,'Output Utente'!$R$2:$R$492,0)),"")</f>
        <v/>
      </c>
      <c r="V425" t="str">
        <f>IFERROR(INDEX('Output Utente'!$M$2:$M$492,MATCH(422,'Output Utente'!$R$2:$R$492,0)),"")</f>
        <v/>
      </c>
      <c r="W425" t="str">
        <f t="shared" si="6"/>
        <v/>
      </c>
      <c r="X425" t="str">
        <f>IFERROR(INDEX('Output Utente'!$AF$2:$AF$492,MATCH(422,'Output Utente'!$R$2:$R$492,0)),"")</f>
        <v/>
      </c>
    </row>
    <row r="426" spans="1:24" ht="15" customHeight="1" x14ac:dyDescent="0.25">
      <c r="A426" s="26">
        <v>423</v>
      </c>
      <c r="B426" s="23" t="str">
        <f>IFERROR(INDEX('Output Utente'!$A$2:$A$492,MATCH(423,'Output Utente'!$R$2:$R$492,0)),"")</f>
        <v/>
      </c>
      <c r="C426" s="23" t="str">
        <f>IFERROR(INDEX('Output Utente'!$B$2:$B$492,MATCH(423,'Output Utente'!$R$2:$R$492,0)),"")</f>
        <v/>
      </c>
      <c r="D426" s="23" t="str">
        <f>IFERROR(INDEX('Output Utente'!$C$2:$C$492,MATCH(423,'Output Utente'!$R$2:$R$492,0)),"")</f>
        <v/>
      </c>
      <c r="E426" s="23" t="str">
        <f>IFERROR(INDEX('Input Giocatori 2026_27'!$D$3:$D$493,MATCH($B426,'Input Giocatori 2026_27'!$A$3:$A$493,0)),"")</f>
        <v/>
      </c>
      <c r="F426" s="24" t="str">
        <f>IFERROR(INDEX('Output Utente'!$N$2:$N$492,MATCH(423,'Output Utente'!$R$2:$R$492,0)),"")</f>
        <v/>
      </c>
      <c r="G426" s="23" t="str">
        <f>IFERROR(INDEX('Output Utente'!$O$2:$O$492,MATCH(423,'Output Utente'!$R$2:$R$492,0)),"")</f>
        <v/>
      </c>
      <c r="H426" s="23" t="str">
        <f>IFERROR(INDEX('Output Utente'!$P$2:$P$492,MATCH(423,'Output Utente'!$R$2:$R$492,0)),"")</f>
        <v/>
      </c>
      <c r="I426" s="24" t="str">
        <f>IFERROR(INDEX('Output Utente'!$F$2:$F$492,MATCH(423,'Output Utente'!$R$2:$R$492,0)),"")</f>
        <v/>
      </c>
      <c r="J426" s="24" t="str">
        <f>IFERROR(INDEX('Output Utente'!$G$2:$G$492,MATCH(423,'Output Utente'!$R$2:$R$492,0)),"")</f>
        <v/>
      </c>
      <c r="K426" s="24" t="str">
        <f>IFERROR(INDEX('Output Utente'!$H$2:$H$492,MATCH(423,'Output Utente'!$R$2:$R$492,0)),"")</f>
        <v/>
      </c>
      <c r="L426" s="23" t="str">
        <f>IFERROR(INDEX('Output Utente'!$E$2:$E$492,MATCH(423,'Output Utente'!$R$2:$R$492,0)),"")</f>
        <v/>
      </c>
      <c r="V426" t="str">
        <f>IFERROR(INDEX('Output Utente'!$M$2:$M$492,MATCH(423,'Output Utente'!$R$2:$R$492,0)),"")</f>
        <v/>
      </c>
      <c r="W426" t="str">
        <f t="shared" si="6"/>
        <v/>
      </c>
      <c r="X426" t="str">
        <f>IFERROR(INDEX('Output Utente'!$AF$2:$AF$492,MATCH(423,'Output Utente'!$R$2:$R$492,0)),"")</f>
        <v/>
      </c>
    </row>
    <row r="427" spans="1:24" ht="15" customHeight="1" x14ac:dyDescent="0.25">
      <c r="A427" s="26">
        <v>424</v>
      </c>
      <c r="B427" s="23" t="str">
        <f>IFERROR(INDEX('Output Utente'!$A$2:$A$492,MATCH(424,'Output Utente'!$R$2:$R$492,0)),"")</f>
        <v/>
      </c>
      <c r="C427" s="23" t="str">
        <f>IFERROR(INDEX('Output Utente'!$B$2:$B$492,MATCH(424,'Output Utente'!$R$2:$R$492,0)),"")</f>
        <v/>
      </c>
      <c r="D427" s="23" t="str">
        <f>IFERROR(INDEX('Output Utente'!$C$2:$C$492,MATCH(424,'Output Utente'!$R$2:$R$492,0)),"")</f>
        <v/>
      </c>
      <c r="E427" s="23" t="str">
        <f>IFERROR(INDEX('Input Giocatori 2026_27'!$D$3:$D$493,MATCH($B427,'Input Giocatori 2026_27'!$A$3:$A$493,0)),"")</f>
        <v/>
      </c>
      <c r="F427" s="24" t="str">
        <f>IFERROR(INDEX('Output Utente'!$N$2:$N$492,MATCH(424,'Output Utente'!$R$2:$R$492,0)),"")</f>
        <v/>
      </c>
      <c r="G427" s="23" t="str">
        <f>IFERROR(INDEX('Output Utente'!$O$2:$O$492,MATCH(424,'Output Utente'!$R$2:$R$492,0)),"")</f>
        <v/>
      </c>
      <c r="H427" s="23" t="str">
        <f>IFERROR(INDEX('Output Utente'!$P$2:$P$492,MATCH(424,'Output Utente'!$R$2:$R$492,0)),"")</f>
        <v/>
      </c>
      <c r="I427" s="24" t="str">
        <f>IFERROR(INDEX('Output Utente'!$F$2:$F$492,MATCH(424,'Output Utente'!$R$2:$R$492,0)),"")</f>
        <v/>
      </c>
      <c r="J427" s="24" t="str">
        <f>IFERROR(INDEX('Output Utente'!$G$2:$G$492,MATCH(424,'Output Utente'!$R$2:$R$492,0)),"")</f>
        <v/>
      </c>
      <c r="K427" s="24" t="str">
        <f>IFERROR(INDEX('Output Utente'!$H$2:$H$492,MATCH(424,'Output Utente'!$R$2:$R$492,0)),"")</f>
        <v/>
      </c>
      <c r="L427" s="23" t="str">
        <f>IFERROR(INDEX('Output Utente'!$E$2:$E$492,MATCH(424,'Output Utente'!$R$2:$R$492,0)),"")</f>
        <v/>
      </c>
      <c r="V427" t="str">
        <f>IFERROR(INDEX('Output Utente'!$M$2:$M$492,MATCH(424,'Output Utente'!$R$2:$R$492,0)),"")</f>
        <v/>
      </c>
      <c r="W427" t="str">
        <f t="shared" si="6"/>
        <v/>
      </c>
      <c r="X427" t="str">
        <f>IFERROR(INDEX('Output Utente'!$AF$2:$AF$492,MATCH(424,'Output Utente'!$R$2:$R$492,0)),"")</f>
        <v/>
      </c>
    </row>
    <row r="428" spans="1:24" ht="15" customHeight="1" x14ac:dyDescent="0.25">
      <c r="A428" s="26">
        <v>425</v>
      </c>
      <c r="B428" s="23" t="str">
        <f>IFERROR(INDEX('Output Utente'!$A$2:$A$492,MATCH(425,'Output Utente'!$R$2:$R$492,0)),"")</f>
        <v/>
      </c>
      <c r="C428" s="23" t="str">
        <f>IFERROR(INDEX('Output Utente'!$B$2:$B$492,MATCH(425,'Output Utente'!$R$2:$R$492,0)),"")</f>
        <v/>
      </c>
      <c r="D428" s="23" t="str">
        <f>IFERROR(INDEX('Output Utente'!$C$2:$C$492,MATCH(425,'Output Utente'!$R$2:$R$492,0)),"")</f>
        <v/>
      </c>
      <c r="E428" s="23" t="str">
        <f>IFERROR(INDEX('Input Giocatori 2026_27'!$D$3:$D$493,MATCH($B428,'Input Giocatori 2026_27'!$A$3:$A$493,0)),"")</f>
        <v/>
      </c>
      <c r="F428" s="24" t="str">
        <f>IFERROR(INDEX('Output Utente'!$N$2:$N$492,MATCH(425,'Output Utente'!$R$2:$R$492,0)),"")</f>
        <v/>
      </c>
      <c r="G428" s="23" t="str">
        <f>IFERROR(INDEX('Output Utente'!$O$2:$O$492,MATCH(425,'Output Utente'!$R$2:$R$492,0)),"")</f>
        <v/>
      </c>
      <c r="H428" s="23" t="str">
        <f>IFERROR(INDEX('Output Utente'!$P$2:$P$492,MATCH(425,'Output Utente'!$R$2:$R$492,0)),"")</f>
        <v/>
      </c>
      <c r="I428" s="24" t="str">
        <f>IFERROR(INDEX('Output Utente'!$F$2:$F$492,MATCH(425,'Output Utente'!$R$2:$R$492,0)),"")</f>
        <v/>
      </c>
      <c r="J428" s="24" t="str">
        <f>IFERROR(INDEX('Output Utente'!$G$2:$G$492,MATCH(425,'Output Utente'!$R$2:$R$492,0)),"")</f>
        <v/>
      </c>
      <c r="K428" s="24" t="str">
        <f>IFERROR(INDEX('Output Utente'!$H$2:$H$492,MATCH(425,'Output Utente'!$R$2:$R$492,0)),"")</f>
        <v/>
      </c>
      <c r="L428" s="23" t="str">
        <f>IFERROR(INDEX('Output Utente'!$E$2:$E$492,MATCH(425,'Output Utente'!$R$2:$R$492,0)),"")</f>
        <v/>
      </c>
      <c r="V428" t="str">
        <f>IFERROR(INDEX('Output Utente'!$M$2:$M$492,MATCH(425,'Output Utente'!$R$2:$R$492,0)),"")</f>
        <v/>
      </c>
      <c r="W428" t="str">
        <f t="shared" si="6"/>
        <v/>
      </c>
      <c r="X428" t="str">
        <f>IFERROR(INDEX('Output Utente'!$AF$2:$AF$492,MATCH(425,'Output Utente'!$R$2:$R$492,0)),"")</f>
        <v/>
      </c>
    </row>
    <row r="429" spans="1:24" ht="15" customHeight="1" x14ac:dyDescent="0.25">
      <c r="A429" s="26">
        <v>426</v>
      </c>
      <c r="B429" s="23" t="str">
        <f>IFERROR(INDEX('Output Utente'!$A$2:$A$492,MATCH(426,'Output Utente'!$R$2:$R$492,0)),"")</f>
        <v/>
      </c>
      <c r="C429" s="23" t="str">
        <f>IFERROR(INDEX('Output Utente'!$B$2:$B$492,MATCH(426,'Output Utente'!$R$2:$R$492,0)),"")</f>
        <v/>
      </c>
      <c r="D429" s="23" t="str">
        <f>IFERROR(INDEX('Output Utente'!$C$2:$C$492,MATCH(426,'Output Utente'!$R$2:$R$492,0)),"")</f>
        <v/>
      </c>
      <c r="E429" s="23" t="str">
        <f>IFERROR(INDEX('Input Giocatori 2026_27'!$D$3:$D$493,MATCH($B429,'Input Giocatori 2026_27'!$A$3:$A$493,0)),"")</f>
        <v/>
      </c>
      <c r="F429" s="24" t="str">
        <f>IFERROR(INDEX('Output Utente'!$N$2:$N$492,MATCH(426,'Output Utente'!$R$2:$R$492,0)),"")</f>
        <v/>
      </c>
      <c r="G429" s="23" t="str">
        <f>IFERROR(INDEX('Output Utente'!$O$2:$O$492,MATCH(426,'Output Utente'!$R$2:$R$492,0)),"")</f>
        <v/>
      </c>
      <c r="H429" s="23" t="str">
        <f>IFERROR(INDEX('Output Utente'!$P$2:$P$492,MATCH(426,'Output Utente'!$R$2:$R$492,0)),"")</f>
        <v/>
      </c>
      <c r="I429" s="24" t="str">
        <f>IFERROR(INDEX('Output Utente'!$F$2:$F$492,MATCH(426,'Output Utente'!$R$2:$R$492,0)),"")</f>
        <v/>
      </c>
      <c r="J429" s="24" t="str">
        <f>IFERROR(INDEX('Output Utente'!$G$2:$G$492,MATCH(426,'Output Utente'!$R$2:$R$492,0)),"")</f>
        <v/>
      </c>
      <c r="K429" s="24" t="str">
        <f>IFERROR(INDEX('Output Utente'!$H$2:$H$492,MATCH(426,'Output Utente'!$R$2:$R$492,0)),"")</f>
        <v/>
      </c>
      <c r="L429" s="23" t="str">
        <f>IFERROR(INDEX('Output Utente'!$E$2:$E$492,MATCH(426,'Output Utente'!$R$2:$R$492,0)),"")</f>
        <v/>
      </c>
      <c r="V429" t="str">
        <f>IFERROR(INDEX('Output Utente'!$M$2:$M$492,MATCH(426,'Output Utente'!$R$2:$R$492,0)),"")</f>
        <v/>
      </c>
      <c r="W429" t="str">
        <f t="shared" si="6"/>
        <v/>
      </c>
      <c r="X429" t="str">
        <f>IFERROR(INDEX('Output Utente'!$AF$2:$AF$492,MATCH(426,'Output Utente'!$R$2:$R$492,0)),"")</f>
        <v/>
      </c>
    </row>
    <row r="430" spans="1:24" ht="15" customHeight="1" x14ac:dyDescent="0.25">
      <c r="A430" s="26">
        <v>427</v>
      </c>
      <c r="B430" s="23" t="str">
        <f>IFERROR(INDEX('Output Utente'!$A$2:$A$492,MATCH(427,'Output Utente'!$R$2:$R$492,0)),"")</f>
        <v/>
      </c>
      <c r="C430" s="23" t="str">
        <f>IFERROR(INDEX('Output Utente'!$B$2:$B$492,MATCH(427,'Output Utente'!$R$2:$R$492,0)),"")</f>
        <v/>
      </c>
      <c r="D430" s="23" t="str">
        <f>IFERROR(INDEX('Output Utente'!$C$2:$C$492,MATCH(427,'Output Utente'!$R$2:$R$492,0)),"")</f>
        <v/>
      </c>
      <c r="E430" s="23" t="str">
        <f>IFERROR(INDEX('Input Giocatori 2026_27'!$D$3:$D$493,MATCH($B430,'Input Giocatori 2026_27'!$A$3:$A$493,0)),"")</f>
        <v/>
      </c>
      <c r="F430" s="24" t="str">
        <f>IFERROR(INDEX('Output Utente'!$N$2:$N$492,MATCH(427,'Output Utente'!$R$2:$R$492,0)),"")</f>
        <v/>
      </c>
      <c r="G430" s="23" t="str">
        <f>IFERROR(INDEX('Output Utente'!$O$2:$O$492,MATCH(427,'Output Utente'!$R$2:$R$492,0)),"")</f>
        <v/>
      </c>
      <c r="H430" s="23" t="str">
        <f>IFERROR(INDEX('Output Utente'!$P$2:$P$492,MATCH(427,'Output Utente'!$R$2:$R$492,0)),"")</f>
        <v/>
      </c>
      <c r="I430" s="24" t="str">
        <f>IFERROR(INDEX('Output Utente'!$F$2:$F$492,MATCH(427,'Output Utente'!$R$2:$R$492,0)),"")</f>
        <v/>
      </c>
      <c r="J430" s="24" t="str">
        <f>IFERROR(INDEX('Output Utente'!$G$2:$G$492,MATCH(427,'Output Utente'!$R$2:$R$492,0)),"")</f>
        <v/>
      </c>
      <c r="K430" s="24" t="str">
        <f>IFERROR(INDEX('Output Utente'!$H$2:$H$492,MATCH(427,'Output Utente'!$R$2:$R$492,0)),"")</f>
        <v/>
      </c>
      <c r="L430" s="23" t="str">
        <f>IFERROR(INDEX('Output Utente'!$E$2:$E$492,MATCH(427,'Output Utente'!$R$2:$R$492,0)),"")</f>
        <v/>
      </c>
      <c r="V430" t="str">
        <f>IFERROR(INDEX('Output Utente'!$M$2:$M$492,MATCH(427,'Output Utente'!$R$2:$R$492,0)),"")</f>
        <v/>
      </c>
      <c r="W430" t="str">
        <f t="shared" si="6"/>
        <v/>
      </c>
      <c r="X430" t="str">
        <f>IFERROR(INDEX('Output Utente'!$AF$2:$AF$492,MATCH(427,'Output Utente'!$R$2:$R$492,0)),"")</f>
        <v/>
      </c>
    </row>
    <row r="431" spans="1:24" ht="15" customHeight="1" x14ac:dyDescent="0.25">
      <c r="A431" s="26">
        <v>428</v>
      </c>
      <c r="B431" s="23" t="str">
        <f>IFERROR(INDEX('Output Utente'!$A$2:$A$492,MATCH(428,'Output Utente'!$R$2:$R$492,0)),"")</f>
        <v/>
      </c>
      <c r="C431" s="23" t="str">
        <f>IFERROR(INDEX('Output Utente'!$B$2:$B$492,MATCH(428,'Output Utente'!$R$2:$R$492,0)),"")</f>
        <v/>
      </c>
      <c r="D431" s="23" t="str">
        <f>IFERROR(INDEX('Output Utente'!$C$2:$C$492,MATCH(428,'Output Utente'!$R$2:$R$492,0)),"")</f>
        <v/>
      </c>
      <c r="E431" s="23" t="str">
        <f>IFERROR(INDEX('Input Giocatori 2026_27'!$D$3:$D$493,MATCH($B431,'Input Giocatori 2026_27'!$A$3:$A$493,0)),"")</f>
        <v/>
      </c>
      <c r="F431" s="24" t="str">
        <f>IFERROR(INDEX('Output Utente'!$N$2:$N$492,MATCH(428,'Output Utente'!$R$2:$R$492,0)),"")</f>
        <v/>
      </c>
      <c r="G431" s="23" t="str">
        <f>IFERROR(INDEX('Output Utente'!$O$2:$O$492,MATCH(428,'Output Utente'!$R$2:$R$492,0)),"")</f>
        <v/>
      </c>
      <c r="H431" s="23" t="str">
        <f>IFERROR(INDEX('Output Utente'!$P$2:$P$492,MATCH(428,'Output Utente'!$R$2:$R$492,0)),"")</f>
        <v/>
      </c>
      <c r="I431" s="24" t="str">
        <f>IFERROR(INDEX('Output Utente'!$F$2:$F$492,MATCH(428,'Output Utente'!$R$2:$R$492,0)),"")</f>
        <v/>
      </c>
      <c r="J431" s="24" t="str">
        <f>IFERROR(INDEX('Output Utente'!$G$2:$G$492,MATCH(428,'Output Utente'!$R$2:$R$492,0)),"")</f>
        <v/>
      </c>
      <c r="K431" s="24" t="str">
        <f>IFERROR(INDEX('Output Utente'!$H$2:$H$492,MATCH(428,'Output Utente'!$R$2:$R$492,0)),"")</f>
        <v/>
      </c>
      <c r="L431" s="23" t="str">
        <f>IFERROR(INDEX('Output Utente'!$E$2:$E$492,MATCH(428,'Output Utente'!$R$2:$R$492,0)),"")</f>
        <v/>
      </c>
      <c r="V431" t="str">
        <f>IFERROR(INDEX('Output Utente'!$M$2:$M$492,MATCH(428,'Output Utente'!$R$2:$R$492,0)),"")</f>
        <v/>
      </c>
      <c r="W431" t="str">
        <f t="shared" si="6"/>
        <v/>
      </c>
      <c r="X431" t="str">
        <f>IFERROR(INDEX('Output Utente'!$AF$2:$AF$492,MATCH(428,'Output Utente'!$R$2:$R$492,0)),"")</f>
        <v/>
      </c>
    </row>
    <row r="432" spans="1:24" ht="15" customHeight="1" x14ac:dyDescent="0.25">
      <c r="A432" s="26">
        <v>429</v>
      </c>
      <c r="B432" s="23" t="str">
        <f>IFERROR(INDEX('Output Utente'!$A$2:$A$492,MATCH(429,'Output Utente'!$R$2:$R$492,0)),"")</f>
        <v/>
      </c>
      <c r="C432" s="23" t="str">
        <f>IFERROR(INDEX('Output Utente'!$B$2:$B$492,MATCH(429,'Output Utente'!$R$2:$R$492,0)),"")</f>
        <v/>
      </c>
      <c r="D432" s="23" t="str">
        <f>IFERROR(INDEX('Output Utente'!$C$2:$C$492,MATCH(429,'Output Utente'!$R$2:$R$492,0)),"")</f>
        <v/>
      </c>
      <c r="E432" s="23" t="str">
        <f>IFERROR(INDEX('Input Giocatori 2026_27'!$D$3:$D$493,MATCH($B432,'Input Giocatori 2026_27'!$A$3:$A$493,0)),"")</f>
        <v/>
      </c>
      <c r="F432" s="24" t="str">
        <f>IFERROR(INDEX('Output Utente'!$N$2:$N$492,MATCH(429,'Output Utente'!$R$2:$R$492,0)),"")</f>
        <v/>
      </c>
      <c r="G432" s="23" t="str">
        <f>IFERROR(INDEX('Output Utente'!$O$2:$O$492,MATCH(429,'Output Utente'!$R$2:$R$492,0)),"")</f>
        <v/>
      </c>
      <c r="H432" s="23" t="str">
        <f>IFERROR(INDEX('Output Utente'!$P$2:$P$492,MATCH(429,'Output Utente'!$R$2:$R$492,0)),"")</f>
        <v/>
      </c>
      <c r="I432" s="24" t="str">
        <f>IFERROR(INDEX('Output Utente'!$F$2:$F$492,MATCH(429,'Output Utente'!$R$2:$R$492,0)),"")</f>
        <v/>
      </c>
      <c r="J432" s="24" t="str">
        <f>IFERROR(INDEX('Output Utente'!$G$2:$G$492,MATCH(429,'Output Utente'!$R$2:$R$492,0)),"")</f>
        <v/>
      </c>
      <c r="K432" s="24" t="str">
        <f>IFERROR(INDEX('Output Utente'!$H$2:$H$492,MATCH(429,'Output Utente'!$R$2:$R$492,0)),"")</f>
        <v/>
      </c>
      <c r="L432" s="23" t="str">
        <f>IFERROR(INDEX('Output Utente'!$E$2:$E$492,MATCH(429,'Output Utente'!$R$2:$R$492,0)),"")</f>
        <v/>
      </c>
      <c r="V432" t="str">
        <f>IFERROR(INDEX('Output Utente'!$M$2:$M$492,MATCH(429,'Output Utente'!$R$2:$R$492,0)),"")</f>
        <v/>
      </c>
      <c r="W432" t="str">
        <f t="shared" si="6"/>
        <v/>
      </c>
      <c r="X432" t="str">
        <f>IFERROR(INDEX('Output Utente'!$AF$2:$AF$492,MATCH(429,'Output Utente'!$R$2:$R$492,0)),"")</f>
        <v/>
      </c>
    </row>
    <row r="433" spans="1:24" ht="15" customHeight="1" x14ac:dyDescent="0.25">
      <c r="A433" s="26">
        <v>430</v>
      </c>
      <c r="B433" s="23" t="str">
        <f>IFERROR(INDEX('Output Utente'!$A$2:$A$492,MATCH(430,'Output Utente'!$R$2:$R$492,0)),"")</f>
        <v/>
      </c>
      <c r="C433" s="23" t="str">
        <f>IFERROR(INDEX('Output Utente'!$B$2:$B$492,MATCH(430,'Output Utente'!$R$2:$R$492,0)),"")</f>
        <v/>
      </c>
      <c r="D433" s="23" t="str">
        <f>IFERROR(INDEX('Output Utente'!$C$2:$C$492,MATCH(430,'Output Utente'!$R$2:$R$492,0)),"")</f>
        <v/>
      </c>
      <c r="E433" s="23" t="str">
        <f>IFERROR(INDEX('Input Giocatori 2026_27'!$D$3:$D$493,MATCH($B433,'Input Giocatori 2026_27'!$A$3:$A$493,0)),"")</f>
        <v/>
      </c>
      <c r="F433" s="24" t="str">
        <f>IFERROR(INDEX('Output Utente'!$N$2:$N$492,MATCH(430,'Output Utente'!$R$2:$R$492,0)),"")</f>
        <v/>
      </c>
      <c r="G433" s="23" t="str">
        <f>IFERROR(INDEX('Output Utente'!$O$2:$O$492,MATCH(430,'Output Utente'!$R$2:$R$492,0)),"")</f>
        <v/>
      </c>
      <c r="H433" s="23" t="str">
        <f>IFERROR(INDEX('Output Utente'!$P$2:$P$492,MATCH(430,'Output Utente'!$R$2:$R$492,0)),"")</f>
        <v/>
      </c>
      <c r="I433" s="24" t="str">
        <f>IFERROR(INDEX('Output Utente'!$F$2:$F$492,MATCH(430,'Output Utente'!$R$2:$R$492,0)),"")</f>
        <v/>
      </c>
      <c r="J433" s="24" t="str">
        <f>IFERROR(INDEX('Output Utente'!$G$2:$G$492,MATCH(430,'Output Utente'!$R$2:$R$492,0)),"")</f>
        <v/>
      </c>
      <c r="K433" s="24" t="str">
        <f>IFERROR(INDEX('Output Utente'!$H$2:$H$492,MATCH(430,'Output Utente'!$R$2:$R$492,0)),"")</f>
        <v/>
      </c>
      <c r="L433" s="23" t="str">
        <f>IFERROR(INDEX('Output Utente'!$E$2:$E$492,MATCH(430,'Output Utente'!$R$2:$R$492,0)),"")</f>
        <v/>
      </c>
      <c r="V433" t="str">
        <f>IFERROR(INDEX('Output Utente'!$M$2:$M$492,MATCH(430,'Output Utente'!$R$2:$R$492,0)),"")</f>
        <v/>
      </c>
      <c r="W433" t="str">
        <f t="shared" si="6"/>
        <v/>
      </c>
      <c r="X433" t="str">
        <f>IFERROR(INDEX('Output Utente'!$AF$2:$AF$492,MATCH(430,'Output Utente'!$R$2:$R$492,0)),"")</f>
        <v/>
      </c>
    </row>
    <row r="434" spans="1:24" ht="15" customHeight="1" x14ac:dyDescent="0.25">
      <c r="A434" s="26">
        <v>431</v>
      </c>
      <c r="B434" s="23" t="str">
        <f>IFERROR(INDEX('Output Utente'!$A$2:$A$492,MATCH(431,'Output Utente'!$R$2:$R$492,0)),"")</f>
        <v/>
      </c>
      <c r="C434" s="23" t="str">
        <f>IFERROR(INDEX('Output Utente'!$B$2:$B$492,MATCH(431,'Output Utente'!$R$2:$R$492,0)),"")</f>
        <v/>
      </c>
      <c r="D434" s="23" t="str">
        <f>IFERROR(INDEX('Output Utente'!$C$2:$C$492,MATCH(431,'Output Utente'!$R$2:$R$492,0)),"")</f>
        <v/>
      </c>
      <c r="E434" s="23" t="str">
        <f>IFERROR(INDEX('Input Giocatori 2026_27'!$D$3:$D$493,MATCH($B434,'Input Giocatori 2026_27'!$A$3:$A$493,0)),"")</f>
        <v/>
      </c>
      <c r="F434" s="24" t="str">
        <f>IFERROR(INDEX('Output Utente'!$N$2:$N$492,MATCH(431,'Output Utente'!$R$2:$R$492,0)),"")</f>
        <v/>
      </c>
      <c r="G434" s="23" t="str">
        <f>IFERROR(INDEX('Output Utente'!$O$2:$O$492,MATCH(431,'Output Utente'!$R$2:$R$492,0)),"")</f>
        <v/>
      </c>
      <c r="H434" s="23" t="str">
        <f>IFERROR(INDEX('Output Utente'!$P$2:$P$492,MATCH(431,'Output Utente'!$R$2:$R$492,0)),"")</f>
        <v/>
      </c>
      <c r="I434" s="24" t="str">
        <f>IFERROR(INDEX('Output Utente'!$F$2:$F$492,MATCH(431,'Output Utente'!$R$2:$R$492,0)),"")</f>
        <v/>
      </c>
      <c r="J434" s="24" t="str">
        <f>IFERROR(INDEX('Output Utente'!$G$2:$G$492,MATCH(431,'Output Utente'!$R$2:$R$492,0)),"")</f>
        <v/>
      </c>
      <c r="K434" s="24" t="str">
        <f>IFERROR(INDEX('Output Utente'!$H$2:$H$492,MATCH(431,'Output Utente'!$R$2:$R$492,0)),"")</f>
        <v/>
      </c>
      <c r="L434" s="23" t="str">
        <f>IFERROR(INDEX('Output Utente'!$E$2:$E$492,MATCH(431,'Output Utente'!$R$2:$R$492,0)),"")</f>
        <v/>
      </c>
      <c r="V434" t="str">
        <f>IFERROR(INDEX('Output Utente'!$M$2:$M$492,MATCH(431,'Output Utente'!$R$2:$R$492,0)),"")</f>
        <v/>
      </c>
      <c r="W434" t="str">
        <f t="shared" si="6"/>
        <v/>
      </c>
      <c r="X434" t="str">
        <f>IFERROR(INDEX('Output Utente'!$AF$2:$AF$492,MATCH(431,'Output Utente'!$R$2:$R$492,0)),"")</f>
        <v/>
      </c>
    </row>
    <row r="435" spans="1:24" ht="15" customHeight="1" x14ac:dyDescent="0.25">
      <c r="A435" s="26">
        <v>432</v>
      </c>
      <c r="B435" s="23" t="str">
        <f>IFERROR(INDEX('Output Utente'!$A$2:$A$492,MATCH(432,'Output Utente'!$R$2:$R$492,0)),"")</f>
        <v/>
      </c>
      <c r="C435" s="23" t="str">
        <f>IFERROR(INDEX('Output Utente'!$B$2:$B$492,MATCH(432,'Output Utente'!$R$2:$R$492,0)),"")</f>
        <v/>
      </c>
      <c r="D435" s="23" t="str">
        <f>IFERROR(INDEX('Output Utente'!$C$2:$C$492,MATCH(432,'Output Utente'!$R$2:$R$492,0)),"")</f>
        <v/>
      </c>
      <c r="E435" s="23" t="str">
        <f>IFERROR(INDEX('Input Giocatori 2026_27'!$D$3:$D$493,MATCH($B435,'Input Giocatori 2026_27'!$A$3:$A$493,0)),"")</f>
        <v/>
      </c>
      <c r="F435" s="24" t="str">
        <f>IFERROR(INDEX('Output Utente'!$N$2:$N$492,MATCH(432,'Output Utente'!$R$2:$R$492,0)),"")</f>
        <v/>
      </c>
      <c r="G435" s="23" t="str">
        <f>IFERROR(INDEX('Output Utente'!$O$2:$O$492,MATCH(432,'Output Utente'!$R$2:$R$492,0)),"")</f>
        <v/>
      </c>
      <c r="H435" s="23" t="str">
        <f>IFERROR(INDEX('Output Utente'!$P$2:$P$492,MATCH(432,'Output Utente'!$R$2:$R$492,0)),"")</f>
        <v/>
      </c>
      <c r="I435" s="24" t="str">
        <f>IFERROR(INDEX('Output Utente'!$F$2:$F$492,MATCH(432,'Output Utente'!$R$2:$R$492,0)),"")</f>
        <v/>
      </c>
      <c r="J435" s="24" t="str">
        <f>IFERROR(INDEX('Output Utente'!$G$2:$G$492,MATCH(432,'Output Utente'!$R$2:$R$492,0)),"")</f>
        <v/>
      </c>
      <c r="K435" s="24" t="str">
        <f>IFERROR(INDEX('Output Utente'!$H$2:$H$492,MATCH(432,'Output Utente'!$R$2:$R$492,0)),"")</f>
        <v/>
      </c>
      <c r="L435" s="23" t="str">
        <f>IFERROR(INDEX('Output Utente'!$E$2:$E$492,MATCH(432,'Output Utente'!$R$2:$R$492,0)),"")</f>
        <v/>
      </c>
      <c r="V435" t="str">
        <f>IFERROR(INDEX('Output Utente'!$M$2:$M$492,MATCH(432,'Output Utente'!$R$2:$R$492,0)),"")</f>
        <v/>
      </c>
      <c r="W435" t="str">
        <f t="shared" si="6"/>
        <v/>
      </c>
      <c r="X435" t="str">
        <f>IFERROR(INDEX('Output Utente'!$AF$2:$AF$492,MATCH(432,'Output Utente'!$R$2:$R$492,0)),"")</f>
        <v/>
      </c>
    </row>
    <row r="436" spans="1:24" ht="15" customHeight="1" x14ac:dyDescent="0.25">
      <c r="A436" s="26">
        <v>433</v>
      </c>
      <c r="B436" s="23" t="str">
        <f>IFERROR(INDEX('Output Utente'!$A$2:$A$492,MATCH(433,'Output Utente'!$R$2:$R$492,0)),"")</f>
        <v/>
      </c>
      <c r="C436" s="23" t="str">
        <f>IFERROR(INDEX('Output Utente'!$B$2:$B$492,MATCH(433,'Output Utente'!$R$2:$R$492,0)),"")</f>
        <v/>
      </c>
      <c r="D436" s="23" t="str">
        <f>IFERROR(INDEX('Output Utente'!$C$2:$C$492,MATCH(433,'Output Utente'!$R$2:$R$492,0)),"")</f>
        <v/>
      </c>
      <c r="E436" s="23" t="str">
        <f>IFERROR(INDEX('Input Giocatori 2026_27'!$D$3:$D$493,MATCH($B436,'Input Giocatori 2026_27'!$A$3:$A$493,0)),"")</f>
        <v/>
      </c>
      <c r="F436" s="24" t="str">
        <f>IFERROR(INDEX('Output Utente'!$N$2:$N$492,MATCH(433,'Output Utente'!$R$2:$R$492,0)),"")</f>
        <v/>
      </c>
      <c r="G436" s="23" t="str">
        <f>IFERROR(INDEX('Output Utente'!$O$2:$O$492,MATCH(433,'Output Utente'!$R$2:$R$492,0)),"")</f>
        <v/>
      </c>
      <c r="H436" s="23" t="str">
        <f>IFERROR(INDEX('Output Utente'!$P$2:$P$492,MATCH(433,'Output Utente'!$R$2:$R$492,0)),"")</f>
        <v/>
      </c>
      <c r="I436" s="24" t="str">
        <f>IFERROR(INDEX('Output Utente'!$F$2:$F$492,MATCH(433,'Output Utente'!$R$2:$R$492,0)),"")</f>
        <v/>
      </c>
      <c r="J436" s="24" t="str">
        <f>IFERROR(INDEX('Output Utente'!$G$2:$G$492,MATCH(433,'Output Utente'!$R$2:$R$492,0)),"")</f>
        <v/>
      </c>
      <c r="K436" s="24" t="str">
        <f>IFERROR(INDEX('Output Utente'!$H$2:$H$492,MATCH(433,'Output Utente'!$R$2:$R$492,0)),"")</f>
        <v/>
      </c>
      <c r="L436" s="23" t="str">
        <f>IFERROR(INDEX('Output Utente'!$E$2:$E$492,MATCH(433,'Output Utente'!$R$2:$R$492,0)),"")</f>
        <v/>
      </c>
      <c r="V436" t="str">
        <f>IFERROR(INDEX('Output Utente'!$M$2:$M$492,MATCH(433,'Output Utente'!$R$2:$R$492,0)),"")</f>
        <v/>
      </c>
      <c r="W436" t="str">
        <f t="shared" si="6"/>
        <v/>
      </c>
      <c r="X436" t="str">
        <f>IFERROR(INDEX('Output Utente'!$AF$2:$AF$492,MATCH(433,'Output Utente'!$R$2:$R$492,0)),"")</f>
        <v/>
      </c>
    </row>
    <row r="437" spans="1:24" ht="15" customHeight="1" x14ac:dyDescent="0.25">
      <c r="A437" s="26">
        <v>434</v>
      </c>
      <c r="B437" s="23" t="str">
        <f>IFERROR(INDEX('Output Utente'!$A$2:$A$492,MATCH(434,'Output Utente'!$R$2:$R$492,0)),"")</f>
        <v/>
      </c>
      <c r="C437" s="23" t="str">
        <f>IFERROR(INDEX('Output Utente'!$B$2:$B$492,MATCH(434,'Output Utente'!$R$2:$R$492,0)),"")</f>
        <v/>
      </c>
      <c r="D437" s="23" t="str">
        <f>IFERROR(INDEX('Output Utente'!$C$2:$C$492,MATCH(434,'Output Utente'!$R$2:$R$492,0)),"")</f>
        <v/>
      </c>
      <c r="E437" s="23" t="str">
        <f>IFERROR(INDEX('Input Giocatori 2026_27'!$D$3:$D$493,MATCH($B437,'Input Giocatori 2026_27'!$A$3:$A$493,0)),"")</f>
        <v/>
      </c>
      <c r="F437" s="24" t="str">
        <f>IFERROR(INDEX('Output Utente'!$N$2:$N$492,MATCH(434,'Output Utente'!$R$2:$R$492,0)),"")</f>
        <v/>
      </c>
      <c r="G437" s="23" t="str">
        <f>IFERROR(INDEX('Output Utente'!$O$2:$O$492,MATCH(434,'Output Utente'!$R$2:$R$492,0)),"")</f>
        <v/>
      </c>
      <c r="H437" s="23" t="str">
        <f>IFERROR(INDEX('Output Utente'!$P$2:$P$492,MATCH(434,'Output Utente'!$R$2:$R$492,0)),"")</f>
        <v/>
      </c>
      <c r="I437" s="24" t="str">
        <f>IFERROR(INDEX('Output Utente'!$F$2:$F$492,MATCH(434,'Output Utente'!$R$2:$R$492,0)),"")</f>
        <v/>
      </c>
      <c r="J437" s="24" t="str">
        <f>IFERROR(INDEX('Output Utente'!$G$2:$G$492,MATCH(434,'Output Utente'!$R$2:$R$492,0)),"")</f>
        <v/>
      </c>
      <c r="K437" s="24" t="str">
        <f>IFERROR(INDEX('Output Utente'!$H$2:$H$492,MATCH(434,'Output Utente'!$R$2:$R$492,0)),"")</f>
        <v/>
      </c>
      <c r="L437" s="23" t="str">
        <f>IFERROR(INDEX('Output Utente'!$E$2:$E$492,MATCH(434,'Output Utente'!$R$2:$R$492,0)),"")</f>
        <v/>
      </c>
      <c r="V437" t="str">
        <f>IFERROR(INDEX('Output Utente'!$M$2:$M$492,MATCH(434,'Output Utente'!$R$2:$R$492,0)),"")</f>
        <v/>
      </c>
      <c r="W437" t="str">
        <f t="shared" si="6"/>
        <v/>
      </c>
      <c r="X437" t="str">
        <f>IFERROR(INDEX('Output Utente'!$AF$2:$AF$492,MATCH(434,'Output Utente'!$R$2:$R$492,0)),"")</f>
        <v/>
      </c>
    </row>
    <row r="438" spans="1:24" ht="15" customHeight="1" x14ac:dyDescent="0.25">
      <c r="A438" s="26">
        <v>435</v>
      </c>
      <c r="B438" s="23" t="str">
        <f>IFERROR(INDEX('Output Utente'!$A$2:$A$492,MATCH(435,'Output Utente'!$R$2:$R$492,0)),"")</f>
        <v/>
      </c>
      <c r="C438" s="23" t="str">
        <f>IFERROR(INDEX('Output Utente'!$B$2:$B$492,MATCH(435,'Output Utente'!$R$2:$R$492,0)),"")</f>
        <v/>
      </c>
      <c r="D438" s="23" t="str">
        <f>IFERROR(INDEX('Output Utente'!$C$2:$C$492,MATCH(435,'Output Utente'!$R$2:$R$492,0)),"")</f>
        <v/>
      </c>
      <c r="E438" s="23" t="str">
        <f>IFERROR(INDEX('Input Giocatori 2026_27'!$D$3:$D$493,MATCH($B438,'Input Giocatori 2026_27'!$A$3:$A$493,0)),"")</f>
        <v/>
      </c>
      <c r="F438" s="24" t="str">
        <f>IFERROR(INDEX('Output Utente'!$N$2:$N$492,MATCH(435,'Output Utente'!$R$2:$R$492,0)),"")</f>
        <v/>
      </c>
      <c r="G438" s="23" t="str">
        <f>IFERROR(INDEX('Output Utente'!$O$2:$O$492,MATCH(435,'Output Utente'!$R$2:$R$492,0)),"")</f>
        <v/>
      </c>
      <c r="H438" s="23" t="str">
        <f>IFERROR(INDEX('Output Utente'!$P$2:$P$492,MATCH(435,'Output Utente'!$R$2:$R$492,0)),"")</f>
        <v/>
      </c>
      <c r="I438" s="24" t="str">
        <f>IFERROR(INDEX('Output Utente'!$F$2:$F$492,MATCH(435,'Output Utente'!$R$2:$R$492,0)),"")</f>
        <v/>
      </c>
      <c r="J438" s="24" t="str">
        <f>IFERROR(INDEX('Output Utente'!$G$2:$G$492,MATCH(435,'Output Utente'!$R$2:$R$492,0)),"")</f>
        <v/>
      </c>
      <c r="K438" s="24" t="str">
        <f>IFERROR(INDEX('Output Utente'!$H$2:$H$492,MATCH(435,'Output Utente'!$R$2:$R$492,0)),"")</f>
        <v/>
      </c>
      <c r="L438" s="23" t="str">
        <f>IFERROR(INDEX('Output Utente'!$E$2:$E$492,MATCH(435,'Output Utente'!$R$2:$R$492,0)),"")</f>
        <v/>
      </c>
      <c r="V438" t="str">
        <f>IFERROR(INDEX('Output Utente'!$M$2:$M$492,MATCH(435,'Output Utente'!$R$2:$R$492,0)),"")</f>
        <v/>
      </c>
      <c r="W438" t="str">
        <f t="shared" si="6"/>
        <v/>
      </c>
      <c r="X438" t="str">
        <f>IFERROR(INDEX('Output Utente'!$AF$2:$AF$492,MATCH(435,'Output Utente'!$R$2:$R$492,0)),"")</f>
        <v/>
      </c>
    </row>
    <row r="439" spans="1:24" ht="15" customHeight="1" x14ac:dyDescent="0.25">
      <c r="A439" s="26">
        <v>436</v>
      </c>
      <c r="B439" s="23" t="str">
        <f>IFERROR(INDEX('Output Utente'!$A$2:$A$492,MATCH(436,'Output Utente'!$R$2:$R$492,0)),"")</f>
        <v/>
      </c>
      <c r="C439" s="23" t="str">
        <f>IFERROR(INDEX('Output Utente'!$B$2:$B$492,MATCH(436,'Output Utente'!$R$2:$R$492,0)),"")</f>
        <v/>
      </c>
      <c r="D439" s="23" t="str">
        <f>IFERROR(INDEX('Output Utente'!$C$2:$C$492,MATCH(436,'Output Utente'!$R$2:$R$492,0)),"")</f>
        <v/>
      </c>
      <c r="E439" s="23" t="str">
        <f>IFERROR(INDEX('Input Giocatori 2026_27'!$D$3:$D$493,MATCH($B439,'Input Giocatori 2026_27'!$A$3:$A$493,0)),"")</f>
        <v/>
      </c>
      <c r="F439" s="24" t="str">
        <f>IFERROR(INDEX('Output Utente'!$N$2:$N$492,MATCH(436,'Output Utente'!$R$2:$R$492,0)),"")</f>
        <v/>
      </c>
      <c r="G439" s="23" t="str">
        <f>IFERROR(INDEX('Output Utente'!$O$2:$O$492,MATCH(436,'Output Utente'!$R$2:$R$492,0)),"")</f>
        <v/>
      </c>
      <c r="H439" s="23" t="str">
        <f>IFERROR(INDEX('Output Utente'!$P$2:$P$492,MATCH(436,'Output Utente'!$R$2:$R$492,0)),"")</f>
        <v/>
      </c>
      <c r="I439" s="24" t="str">
        <f>IFERROR(INDEX('Output Utente'!$F$2:$F$492,MATCH(436,'Output Utente'!$R$2:$R$492,0)),"")</f>
        <v/>
      </c>
      <c r="J439" s="24" t="str">
        <f>IFERROR(INDEX('Output Utente'!$G$2:$G$492,MATCH(436,'Output Utente'!$R$2:$R$492,0)),"")</f>
        <v/>
      </c>
      <c r="K439" s="24" t="str">
        <f>IFERROR(INDEX('Output Utente'!$H$2:$H$492,MATCH(436,'Output Utente'!$R$2:$R$492,0)),"")</f>
        <v/>
      </c>
      <c r="L439" s="23" t="str">
        <f>IFERROR(INDEX('Output Utente'!$E$2:$E$492,MATCH(436,'Output Utente'!$R$2:$R$492,0)),"")</f>
        <v/>
      </c>
      <c r="V439" t="str">
        <f>IFERROR(INDEX('Output Utente'!$M$2:$M$492,MATCH(436,'Output Utente'!$R$2:$R$492,0)),"")</f>
        <v/>
      </c>
      <c r="W439" t="str">
        <f t="shared" si="6"/>
        <v/>
      </c>
      <c r="X439" t="str">
        <f>IFERROR(INDEX('Output Utente'!$AF$2:$AF$492,MATCH(436,'Output Utente'!$R$2:$R$492,0)),"")</f>
        <v/>
      </c>
    </row>
    <row r="440" spans="1:24" ht="15" customHeight="1" x14ac:dyDescent="0.25">
      <c r="A440" s="26">
        <v>437</v>
      </c>
      <c r="B440" s="23" t="str">
        <f>IFERROR(INDEX('Output Utente'!$A$2:$A$492,MATCH(437,'Output Utente'!$R$2:$R$492,0)),"")</f>
        <v/>
      </c>
      <c r="C440" s="23" t="str">
        <f>IFERROR(INDEX('Output Utente'!$B$2:$B$492,MATCH(437,'Output Utente'!$R$2:$R$492,0)),"")</f>
        <v/>
      </c>
      <c r="D440" s="23" t="str">
        <f>IFERROR(INDEX('Output Utente'!$C$2:$C$492,MATCH(437,'Output Utente'!$R$2:$R$492,0)),"")</f>
        <v/>
      </c>
      <c r="E440" s="23" t="str">
        <f>IFERROR(INDEX('Input Giocatori 2026_27'!$D$3:$D$493,MATCH($B440,'Input Giocatori 2026_27'!$A$3:$A$493,0)),"")</f>
        <v/>
      </c>
      <c r="F440" s="24" t="str">
        <f>IFERROR(INDEX('Output Utente'!$N$2:$N$492,MATCH(437,'Output Utente'!$R$2:$R$492,0)),"")</f>
        <v/>
      </c>
      <c r="G440" s="23" t="str">
        <f>IFERROR(INDEX('Output Utente'!$O$2:$O$492,MATCH(437,'Output Utente'!$R$2:$R$492,0)),"")</f>
        <v/>
      </c>
      <c r="H440" s="23" t="str">
        <f>IFERROR(INDEX('Output Utente'!$P$2:$P$492,MATCH(437,'Output Utente'!$R$2:$R$492,0)),"")</f>
        <v/>
      </c>
      <c r="I440" s="24" t="str">
        <f>IFERROR(INDEX('Output Utente'!$F$2:$F$492,MATCH(437,'Output Utente'!$R$2:$R$492,0)),"")</f>
        <v/>
      </c>
      <c r="J440" s="24" t="str">
        <f>IFERROR(INDEX('Output Utente'!$G$2:$G$492,MATCH(437,'Output Utente'!$R$2:$R$492,0)),"")</f>
        <v/>
      </c>
      <c r="K440" s="24" t="str">
        <f>IFERROR(INDEX('Output Utente'!$H$2:$H$492,MATCH(437,'Output Utente'!$R$2:$R$492,0)),"")</f>
        <v/>
      </c>
      <c r="L440" s="23" t="str">
        <f>IFERROR(INDEX('Output Utente'!$E$2:$E$492,MATCH(437,'Output Utente'!$R$2:$R$492,0)),"")</f>
        <v/>
      </c>
      <c r="V440" t="str">
        <f>IFERROR(INDEX('Output Utente'!$M$2:$M$492,MATCH(437,'Output Utente'!$R$2:$R$492,0)),"")</f>
        <v/>
      </c>
      <c r="W440" t="str">
        <f t="shared" si="6"/>
        <v/>
      </c>
      <c r="X440" t="str">
        <f>IFERROR(INDEX('Output Utente'!$AF$2:$AF$492,MATCH(437,'Output Utente'!$R$2:$R$492,0)),"")</f>
        <v/>
      </c>
    </row>
    <row r="441" spans="1:24" ht="15" customHeight="1" x14ac:dyDescent="0.25">
      <c r="A441" s="26">
        <v>438</v>
      </c>
      <c r="B441" s="23" t="str">
        <f>IFERROR(INDEX('Output Utente'!$A$2:$A$492,MATCH(438,'Output Utente'!$R$2:$R$492,0)),"")</f>
        <v/>
      </c>
      <c r="C441" s="23" t="str">
        <f>IFERROR(INDEX('Output Utente'!$B$2:$B$492,MATCH(438,'Output Utente'!$R$2:$R$492,0)),"")</f>
        <v/>
      </c>
      <c r="D441" s="23" t="str">
        <f>IFERROR(INDEX('Output Utente'!$C$2:$C$492,MATCH(438,'Output Utente'!$R$2:$R$492,0)),"")</f>
        <v/>
      </c>
      <c r="E441" s="23" t="str">
        <f>IFERROR(INDEX('Input Giocatori 2026_27'!$D$3:$D$493,MATCH($B441,'Input Giocatori 2026_27'!$A$3:$A$493,0)),"")</f>
        <v/>
      </c>
      <c r="F441" s="24" t="str">
        <f>IFERROR(INDEX('Output Utente'!$N$2:$N$492,MATCH(438,'Output Utente'!$R$2:$R$492,0)),"")</f>
        <v/>
      </c>
      <c r="G441" s="23" t="str">
        <f>IFERROR(INDEX('Output Utente'!$O$2:$O$492,MATCH(438,'Output Utente'!$R$2:$R$492,0)),"")</f>
        <v/>
      </c>
      <c r="H441" s="23" t="str">
        <f>IFERROR(INDEX('Output Utente'!$P$2:$P$492,MATCH(438,'Output Utente'!$R$2:$R$492,0)),"")</f>
        <v/>
      </c>
      <c r="I441" s="24" t="str">
        <f>IFERROR(INDEX('Output Utente'!$F$2:$F$492,MATCH(438,'Output Utente'!$R$2:$R$492,0)),"")</f>
        <v/>
      </c>
      <c r="J441" s="24" t="str">
        <f>IFERROR(INDEX('Output Utente'!$G$2:$G$492,MATCH(438,'Output Utente'!$R$2:$R$492,0)),"")</f>
        <v/>
      </c>
      <c r="K441" s="24" t="str">
        <f>IFERROR(INDEX('Output Utente'!$H$2:$H$492,MATCH(438,'Output Utente'!$R$2:$R$492,0)),"")</f>
        <v/>
      </c>
      <c r="L441" s="23" t="str">
        <f>IFERROR(INDEX('Output Utente'!$E$2:$E$492,MATCH(438,'Output Utente'!$R$2:$R$492,0)),"")</f>
        <v/>
      </c>
      <c r="V441" t="str">
        <f>IFERROR(INDEX('Output Utente'!$M$2:$M$492,MATCH(438,'Output Utente'!$R$2:$R$492,0)),"")</f>
        <v/>
      </c>
      <c r="W441" t="str">
        <f t="shared" si="6"/>
        <v/>
      </c>
      <c r="X441" t="str">
        <f>IFERROR(INDEX('Output Utente'!$AF$2:$AF$492,MATCH(438,'Output Utente'!$R$2:$R$492,0)),"")</f>
        <v/>
      </c>
    </row>
    <row r="442" spans="1:24" ht="15" customHeight="1" x14ac:dyDescent="0.25">
      <c r="A442" s="26">
        <v>439</v>
      </c>
      <c r="B442" s="23" t="str">
        <f>IFERROR(INDEX('Output Utente'!$A$2:$A$492,MATCH(439,'Output Utente'!$R$2:$R$492,0)),"")</f>
        <v/>
      </c>
      <c r="C442" s="23" t="str">
        <f>IFERROR(INDEX('Output Utente'!$B$2:$B$492,MATCH(439,'Output Utente'!$R$2:$R$492,0)),"")</f>
        <v/>
      </c>
      <c r="D442" s="23" t="str">
        <f>IFERROR(INDEX('Output Utente'!$C$2:$C$492,MATCH(439,'Output Utente'!$R$2:$R$492,0)),"")</f>
        <v/>
      </c>
      <c r="E442" s="23" t="str">
        <f>IFERROR(INDEX('Input Giocatori 2026_27'!$D$3:$D$493,MATCH($B442,'Input Giocatori 2026_27'!$A$3:$A$493,0)),"")</f>
        <v/>
      </c>
      <c r="F442" s="24" t="str">
        <f>IFERROR(INDEX('Output Utente'!$N$2:$N$492,MATCH(439,'Output Utente'!$R$2:$R$492,0)),"")</f>
        <v/>
      </c>
      <c r="G442" s="23" t="str">
        <f>IFERROR(INDEX('Output Utente'!$O$2:$O$492,MATCH(439,'Output Utente'!$R$2:$R$492,0)),"")</f>
        <v/>
      </c>
      <c r="H442" s="23" t="str">
        <f>IFERROR(INDEX('Output Utente'!$P$2:$P$492,MATCH(439,'Output Utente'!$R$2:$R$492,0)),"")</f>
        <v/>
      </c>
      <c r="I442" s="24" t="str">
        <f>IFERROR(INDEX('Output Utente'!$F$2:$F$492,MATCH(439,'Output Utente'!$R$2:$R$492,0)),"")</f>
        <v/>
      </c>
      <c r="J442" s="24" t="str">
        <f>IFERROR(INDEX('Output Utente'!$G$2:$G$492,MATCH(439,'Output Utente'!$R$2:$R$492,0)),"")</f>
        <v/>
      </c>
      <c r="K442" s="24" t="str">
        <f>IFERROR(INDEX('Output Utente'!$H$2:$H$492,MATCH(439,'Output Utente'!$R$2:$R$492,0)),"")</f>
        <v/>
      </c>
      <c r="L442" s="23" t="str">
        <f>IFERROR(INDEX('Output Utente'!$E$2:$E$492,MATCH(439,'Output Utente'!$R$2:$R$492,0)),"")</f>
        <v/>
      </c>
      <c r="V442" t="str">
        <f>IFERROR(INDEX('Output Utente'!$M$2:$M$492,MATCH(439,'Output Utente'!$R$2:$R$492,0)),"")</f>
        <v/>
      </c>
      <c r="W442" t="str">
        <f t="shared" si="6"/>
        <v/>
      </c>
      <c r="X442" t="str">
        <f>IFERROR(INDEX('Output Utente'!$AF$2:$AF$492,MATCH(439,'Output Utente'!$R$2:$R$492,0)),"")</f>
        <v/>
      </c>
    </row>
    <row r="443" spans="1:24" ht="15" customHeight="1" x14ac:dyDescent="0.25">
      <c r="A443" s="26">
        <v>440</v>
      </c>
      <c r="B443" s="23" t="str">
        <f>IFERROR(INDEX('Output Utente'!$A$2:$A$492,MATCH(440,'Output Utente'!$R$2:$R$492,0)),"")</f>
        <v/>
      </c>
      <c r="C443" s="23" t="str">
        <f>IFERROR(INDEX('Output Utente'!$B$2:$B$492,MATCH(440,'Output Utente'!$R$2:$R$492,0)),"")</f>
        <v/>
      </c>
      <c r="D443" s="23" t="str">
        <f>IFERROR(INDEX('Output Utente'!$C$2:$C$492,MATCH(440,'Output Utente'!$R$2:$R$492,0)),"")</f>
        <v/>
      </c>
      <c r="E443" s="23" t="str">
        <f>IFERROR(INDEX('Input Giocatori 2026_27'!$D$3:$D$493,MATCH($B443,'Input Giocatori 2026_27'!$A$3:$A$493,0)),"")</f>
        <v/>
      </c>
      <c r="F443" s="24" t="str">
        <f>IFERROR(INDEX('Output Utente'!$N$2:$N$492,MATCH(440,'Output Utente'!$R$2:$R$492,0)),"")</f>
        <v/>
      </c>
      <c r="G443" s="23" t="str">
        <f>IFERROR(INDEX('Output Utente'!$O$2:$O$492,MATCH(440,'Output Utente'!$R$2:$R$492,0)),"")</f>
        <v/>
      </c>
      <c r="H443" s="23" t="str">
        <f>IFERROR(INDEX('Output Utente'!$P$2:$P$492,MATCH(440,'Output Utente'!$R$2:$R$492,0)),"")</f>
        <v/>
      </c>
      <c r="I443" s="24" t="str">
        <f>IFERROR(INDEX('Output Utente'!$F$2:$F$492,MATCH(440,'Output Utente'!$R$2:$R$492,0)),"")</f>
        <v/>
      </c>
      <c r="J443" s="24" t="str">
        <f>IFERROR(INDEX('Output Utente'!$G$2:$G$492,MATCH(440,'Output Utente'!$R$2:$R$492,0)),"")</f>
        <v/>
      </c>
      <c r="K443" s="24" t="str">
        <f>IFERROR(INDEX('Output Utente'!$H$2:$H$492,MATCH(440,'Output Utente'!$R$2:$R$492,0)),"")</f>
        <v/>
      </c>
      <c r="L443" s="23" t="str">
        <f>IFERROR(INDEX('Output Utente'!$E$2:$E$492,MATCH(440,'Output Utente'!$R$2:$R$492,0)),"")</f>
        <v/>
      </c>
      <c r="V443" t="str">
        <f>IFERROR(INDEX('Output Utente'!$M$2:$M$492,MATCH(440,'Output Utente'!$R$2:$R$492,0)),"")</f>
        <v/>
      </c>
      <c r="W443" t="str">
        <f t="shared" si="6"/>
        <v/>
      </c>
      <c r="X443" t="str">
        <f>IFERROR(INDEX('Output Utente'!$AF$2:$AF$492,MATCH(440,'Output Utente'!$R$2:$R$492,0)),"")</f>
        <v/>
      </c>
    </row>
    <row r="444" spans="1:24" ht="15" customHeight="1" x14ac:dyDescent="0.25">
      <c r="A444" s="26">
        <v>441</v>
      </c>
      <c r="B444" s="23" t="str">
        <f>IFERROR(INDEX('Output Utente'!$A$2:$A$492,MATCH(441,'Output Utente'!$R$2:$R$492,0)),"")</f>
        <v/>
      </c>
      <c r="C444" s="23" t="str">
        <f>IFERROR(INDEX('Output Utente'!$B$2:$B$492,MATCH(441,'Output Utente'!$R$2:$R$492,0)),"")</f>
        <v/>
      </c>
      <c r="D444" s="23" t="str">
        <f>IFERROR(INDEX('Output Utente'!$C$2:$C$492,MATCH(441,'Output Utente'!$R$2:$R$492,0)),"")</f>
        <v/>
      </c>
      <c r="E444" s="23" t="str">
        <f>IFERROR(INDEX('Input Giocatori 2026_27'!$D$3:$D$493,MATCH($B444,'Input Giocatori 2026_27'!$A$3:$A$493,0)),"")</f>
        <v/>
      </c>
      <c r="F444" s="24" t="str">
        <f>IFERROR(INDEX('Output Utente'!$N$2:$N$492,MATCH(441,'Output Utente'!$R$2:$R$492,0)),"")</f>
        <v/>
      </c>
      <c r="G444" s="23" t="str">
        <f>IFERROR(INDEX('Output Utente'!$O$2:$O$492,MATCH(441,'Output Utente'!$R$2:$R$492,0)),"")</f>
        <v/>
      </c>
      <c r="H444" s="23" t="str">
        <f>IFERROR(INDEX('Output Utente'!$P$2:$P$492,MATCH(441,'Output Utente'!$R$2:$R$492,0)),"")</f>
        <v/>
      </c>
      <c r="I444" s="24" t="str">
        <f>IFERROR(INDEX('Output Utente'!$F$2:$F$492,MATCH(441,'Output Utente'!$R$2:$R$492,0)),"")</f>
        <v/>
      </c>
      <c r="J444" s="24" t="str">
        <f>IFERROR(INDEX('Output Utente'!$G$2:$G$492,MATCH(441,'Output Utente'!$R$2:$R$492,0)),"")</f>
        <v/>
      </c>
      <c r="K444" s="24" t="str">
        <f>IFERROR(INDEX('Output Utente'!$H$2:$H$492,MATCH(441,'Output Utente'!$R$2:$R$492,0)),"")</f>
        <v/>
      </c>
      <c r="L444" s="23" t="str">
        <f>IFERROR(INDEX('Output Utente'!$E$2:$E$492,MATCH(441,'Output Utente'!$R$2:$R$492,0)),"")</f>
        <v/>
      </c>
      <c r="V444" t="str">
        <f>IFERROR(INDEX('Output Utente'!$M$2:$M$492,MATCH(441,'Output Utente'!$R$2:$R$492,0)),"")</f>
        <v/>
      </c>
      <c r="W444" t="str">
        <f t="shared" si="6"/>
        <v/>
      </c>
      <c r="X444" t="str">
        <f>IFERROR(INDEX('Output Utente'!$AF$2:$AF$492,MATCH(441,'Output Utente'!$R$2:$R$492,0)),"")</f>
        <v/>
      </c>
    </row>
    <row r="445" spans="1:24" ht="15" customHeight="1" x14ac:dyDescent="0.25">
      <c r="A445" s="26">
        <v>442</v>
      </c>
      <c r="B445" s="23" t="str">
        <f>IFERROR(INDEX('Output Utente'!$A$2:$A$492,MATCH(442,'Output Utente'!$R$2:$R$492,0)),"")</f>
        <v/>
      </c>
      <c r="C445" s="23" t="str">
        <f>IFERROR(INDEX('Output Utente'!$B$2:$B$492,MATCH(442,'Output Utente'!$R$2:$R$492,0)),"")</f>
        <v/>
      </c>
      <c r="D445" s="23" t="str">
        <f>IFERROR(INDEX('Output Utente'!$C$2:$C$492,MATCH(442,'Output Utente'!$R$2:$R$492,0)),"")</f>
        <v/>
      </c>
      <c r="E445" s="23" t="str">
        <f>IFERROR(INDEX('Input Giocatori 2026_27'!$D$3:$D$493,MATCH($B445,'Input Giocatori 2026_27'!$A$3:$A$493,0)),"")</f>
        <v/>
      </c>
      <c r="F445" s="24" t="str">
        <f>IFERROR(INDEX('Output Utente'!$N$2:$N$492,MATCH(442,'Output Utente'!$R$2:$R$492,0)),"")</f>
        <v/>
      </c>
      <c r="G445" s="23" t="str">
        <f>IFERROR(INDEX('Output Utente'!$O$2:$O$492,MATCH(442,'Output Utente'!$R$2:$R$492,0)),"")</f>
        <v/>
      </c>
      <c r="H445" s="23" t="str">
        <f>IFERROR(INDEX('Output Utente'!$P$2:$P$492,MATCH(442,'Output Utente'!$R$2:$R$492,0)),"")</f>
        <v/>
      </c>
      <c r="I445" s="24" t="str">
        <f>IFERROR(INDEX('Output Utente'!$F$2:$F$492,MATCH(442,'Output Utente'!$R$2:$R$492,0)),"")</f>
        <v/>
      </c>
      <c r="J445" s="24" t="str">
        <f>IFERROR(INDEX('Output Utente'!$G$2:$G$492,MATCH(442,'Output Utente'!$R$2:$R$492,0)),"")</f>
        <v/>
      </c>
      <c r="K445" s="24" t="str">
        <f>IFERROR(INDEX('Output Utente'!$H$2:$H$492,MATCH(442,'Output Utente'!$R$2:$R$492,0)),"")</f>
        <v/>
      </c>
      <c r="L445" s="23" t="str">
        <f>IFERROR(INDEX('Output Utente'!$E$2:$E$492,MATCH(442,'Output Utente'!$R$2:$R$492,0)),"")</f>
        <v/>
      </c>
      <c r="V445" t="str">
        <f>IFERROR(INDEX('Output Utente'!$M$2:$M$492,MATCH(442,'Output Utente'!$R$2:$R$492,0)),"")</f>
        <v/>
      </c>
      <c r="W445" t="str">
        <f t="shared" si="6"/>
        <v/>
      </c>
      <c r="X445" t="str">
        <f>IFERROR(INDEX('Output Utente'!$AF$2:$AF$492,MATCH(442,'Output Utente'!$R$2:$R$492,0)),"")</f>
        <v/>
      </c>
    </row>
    <row r="446" spans="1:24" ht="15" customHeight="1" x14ac:dyDescent="0.25">
      <c r="A446" s="26">
        <v>443</v>
      </c>
      <c r="B446" s="23" t="str">
        <f>IFERROR(INDEX('Output Utente'!$A$2:$A$492,MATCH(443,'Output Utente'!$R$2:$R$492,0)),"")</f>
        <v/>
      </c>
      <c r="C446" s="23" t="str">
        <f>IFERROR(INDEX('Output Utente'!$B$2:$B$492,MATCH(443,'Output Utente'!$R$2:$R$492,0)),"")</f>
        <v/>
      </c>
      <c r="D446" s="23" t="str">
        <f>IFERROR(INDEX('Output Utente'!$C$2:$C$492,MATCH(443,'Output Utente'!$R$2:$R$492,0)),"")</f>
        <v/>
      </c>
      <c r="E446" s="23" t="str">
        <f>IFERROR(INDEX('Input Giocatori 2026_27'!$D$3:$D$493,MATCH($B446,'Input Giocatori 2026_27'!$A$3:$A$493,0)),"")</f>
        <v/>
      </c>
      <c r="F446" s="24" t="str">
        <f>IFERROR(INDEX('Output Utente'!$N$2:$N$492,MATCH(443,'Output Utente'!$R$2:$R$492,0)),"")</f>
        <v/>
      </c>
      <c r="G446" s="23" t="str">
        <f>IFERROR(INDEX('Output Utente'!$O$2:$O$492,MATCH(443,'Output Utente'!$R$2:$R$492,0)),"")</f>
        <v/>
      </c>
      <c r="H446" s="23" t="str">
        <f>IFERROR(INDEX('Output Utente'!$P$2:$P$492,MATCH(443,'Output Utente'!$R$2:$R$492,0)),"")</f>
        <v/>
      </c>
      <c r="I446" s="24" t="str">
        <f>IFERROR(INDEX('Output Utente'!$F$2:$F$492,MATCH(443,'Output Utente'!$R$2:$R$492,0)),"")</f>
        <v/>
      </c>
      <c r="J446" s="24" t="str">
        <f>IFERROR(INDEX('Output Utente'!$G$2:$G$492,MATCH(443,'Output Utente'!$R$2:$R$492,0)),"")</f>
        <v/>
      </c>
      <c r="K446" s="24" t="str">
        <f>IFERROR(INDEX('Output Utente'!$H$2:$H$492,MATCH(443,'Output Utente'!$R$2:$R$492,0)),"")</f>
        <v/>
      </c>
      <c r="L446" s="23" t="str">
        <f>IFERROR(INDEX('Output Utente'!$E$2:$E$492,MATCH(443,'Output Utente'!$R$2:$R$492,0)),"")</f>
        <v/>
      </c>
      <c r="V446" t="str">
        <f>IFERROR(INDEX('Output Utente'!$M$2:$M$492,MATCH(443,'Output Utente'!$R$2:$R$492,0)),"")</f>
        <v/>
      </c>
      <c r="W446" t="str">
        <f t="shared" si="6"/>
        <v/>
      </c>
      <c r="X446" t="str">
        <f>IFERROR(INDEX('Output Utente'!$AF$2:$AF$492,MATCH(443,'Output Utente'!$R$2:$R$492,0)),"")</f>
        <v/>
      </c>
    </row>
    <row r="447" spans="1:24" ht="15" customHeight="1" x14ac:dyDescent="0.25">
      <c r="A447" s="26">
        <v>444</v>
      </c>
      <c r="B447" s="23" t="str">
        <f>IFERROR(INDEX('Output Utente'!$A$2:$A$492,MATCH(444,'Output Utente'!$R$2:$R$492,0)),"")</f>
        <v/>
      </c>
      <c r="C447" s="23" t="str">
        <f>IFERROR(INDEX('Output Utente'!$B$2:$B$492,MATCH(444,'Output Utente'!$R$2:$R$492,0)),"")</f>
        <v/>
      </c>
      <c r="D447" s="23" t="str">
        <f>IFERROR(INDEX('Output Utente'!$C$2:$C$492,MATCH(444,'Output Utente'!$R$2:$R$492,0)),"")</f>
        <v/>
      </c>
      <c r="E447" s="23" t="str">
        <f>IFERROR(INDEX('Input Giocatori 2026_27'!$D$3:$D$493,MATCH($B447,'Input Giocatori 2026_27'!$A$3:$A$493,0)),"")</f>
        <v/>
      </c>
      <c r="F447" s="24" t="str">
        <f>IFERROR(INDEX('Output Utente'!$N$2:$N$492,MATCH(444,'Output Utente'!$R$2:$R$492,0)),"")</f>
        <v/>
      </c>
      <c r="G447" s="23" t="str">
        <f>IFERROR(INDEX('Output Utente'!$O$2:$O$492,MATCH(444,'Output Utente'!$R$2:$R$492,0)),"")</f>
        <v/>
      </c>
      <c r="H447" s="23" t="str">
        <f>IFERROR(INDEX('Output Utente'!$P$2:$P$492,MATCH(444,'Output Utente'!$R$2:$R$492,0)),"")</f>
        <v/>
      </c>
      <c r="I447" s="24" t="str">
        <f>IFERROR(INDEX('Output Utente'!$F$2:$F$492,MATCH(444,'Output Utente'!$R$2:$R$492,0)),"")</f>
        <v/>
      </c>
      <c r="J447" s="24" t="str">
        <f>IFERROR(INDEX('Output Utente'!$G$2:$G$492,MATCH(444,'Output Utente'!$R$2:$R$492,0)),"")</f>
        <v/>
      </c>
      <c r="K447" s="24" t="str">
        <f>IFERROR(INDEX('Output Utente'!$H$2:$H$492,MATCH(444,'Output Utente'!$R$2:$R$492,0)),"")</f>
        <v/>
      </c>
      <c r="L447" s="23" t="str">
        <f>IFERROR(INDEX('Output Utente'!$E$2:$E$492,MATCH(444,'Output Utente'!$R$2:$R$492,0)),"")</f>
        <v/>
      </c>
      <c r="V447" t="str">
        <f>IFERROR(INDEX('Output Utente'!$M$2:$M$492,MATCH(444,'Output Utente'!$R$2:$R$492,0)),"")</f>
        <v/>
      </c>
      <c r="W447" t="str">
        <f t="shared" si="6"/>
        <v/>
      </c>
      <c r="X447" t="str">
        <f>IFERROR(INDEX('Output Utente'!$AF$2:$AF$492,MATCH(444,'Output Utente'!$R$2:$R$492,0)),"")</f>
        <v/>
      </c>
    </row>
    <row r="448" spans="1:24" ht="15" customHeight="1" x14ac:dyDescent="0.25">
      <c r="A448" s="26">
        <v>445</v>
      </c>
      <c r="B448" s="23" t="str">
        <f>IFERROR(INDEX('Output Utente'!$A$2:$A$492,MATCH(445,'Output Utente'!$R$2:$R$492,0)),"")</f>
        <v/>
      </c>
      <c r="C448" s="23" t="str">
        <f>IFERROR(INDEX('Output Utente'!$B$2:$B$492,MATCH(445,'Output Utente'!$R$2:$R$492,0)),"")</f>
        <v/>
      </c>
      <c r="D448" s="23" t="str">
        <f>IFERROR(INDEX('Output Utente'!$C$2:$C$492,MATCH(445,'Output Utente'!$R$2:$R$492,0)),"")</f>
        <v/>
      </c>
      <c r="E448" s="23" t="str">
        <f>IFERROR(INDEX('Input Giocatori 2026_27'!$D$3:$D$493,MATCH($B448,'Input Giocatori 2026_27'!$A$3:$A$493,0)),"")</f>
        <v/>
      </c>
      <c r="F448" s="24" t="str">
        <f>IFERROR(INDEX('Output Utente'!$N$2:$N$492,MATCH(445,'Output Utente'!$R$2:$R$492,0)),"")</f>
        <v/>
      </c>
      <c r="G448" s="23" t="str">
        <f>IFERROR(INDEX('Output Utente'!$O$2:$O$492,MATCH(445,'Output Utente'!$R$2:$R$492,0)),"")</f>
        <v/>
      </c>
      <c r="H448" s="23" t="str">
        <f>IFERROR(INDEX('Output Utente'!$P$2:$P$492,MATCH(445,'Output Utente'!$R$2:$R$492,0)),"")</f>
        <v/>
      </c>
      <c r="I448" s="24" t="str">
        <f>IFERROR(INDEX('Output Utente'!$F$2:$F$492,MATCH(445,'Output Utente'!$R$2:$R$492,0)),"")</f>
        <v/>
      </c>
      <c r="J448" s="24" t="str">
        <f>IFERROR(INDEX('Output Utente'!$G$2:$G$492,MATCH(445,'Output Utente'!$R$2:$R$492,0)),"")</f>
        <v/>
      </c>
      <c r="K448" s="24" t="str">
        <f>IFERROR(INDEX('Output Utente'!$H$2:$H$492,MATCH(445,'Output Utente'!$R$2:$R$492,0)),"")</f>
        <v/>
      </c>
      <c r="L448" s="23" t="str">
        <f>IFERROR(INDEX('Output Utente'!$E$2:$E$492,MATCH(445,'Output Utente'!$R$2:$R$492,0)),"")</f>
        <v/>
      </c>
      <c r="V448" t="str">
        <f>IFERROR(INDEX('Output Utente'!$M$2:$M$492,MATCH(445,'Output Utente'!$R$2:$R$492,0)),"")</f>
        <v/>
      </c>
      <c r="W448" t="str">
        <f t="shared" si="6"/>
        <v/>
      </c>
      <c r="X448" t="str">
        <f>IFERROR(INDEX('Output Utente'!$AF$2:$AF$492,MATCH(445,'Output Utente'!$R$2:$R$492,0)),"")</f>
        <v/>
      </c>
    </row>
    <row r="449" spans="1:24" ht="15" customHeight="1" x14ac:dyDescent="0.25">
      <c r="A449" s="26">
        <v>446</v>
      </c>
      <c r="B449" s="23" t="str">
        <f>IFERROR(INDEX('Output Utente'!$A$2:$A$492,MATCH(446,'Output Utente'!$R$2:$R$492,0)),"")</f>
        <v/>
      </c>
      <c r="C449" s="23" t="str">
        <f>IFERROR(INDEX('Output Utente'!$B$2:$B$492,MATCH(446,'Output Utente'!$R$2:$R$492,0)),"")</f>
        <v/>
      </c>
      <c r="D449" s="23" t="str">
        <f>IFERROR(INDEX('Output Utente'!$C$2:$C$492,MATCH(446,'Output Utente'!$R$2:$R$492,0)),"")</f>
        <v/>
      </c>
      <c r="E449" s="23" t="str">
        <f>IFERROR(INDEX('Input Giocatori 2026_27'!$D$3:$D$493,MATCH($B449,'Input Giocatori 2026_27'!$A$3:$A$493,0)),"")</f>
        <v/>
      </c>
      <c r="F449" s="24" t="str">
        <f>IFERROR(INDEX('Output Utente'!$N$2:$N$492,MATCH(446,'Output Utente'!$R$2:$R$492,0)),"")</f>
        <v/>
      </c>
      <c r="G449" s="23" t="str">
        <f>IFERROR(INDEX('Output Utente'!$O$2:$O$492,MATCH(446,'Output Utente'!$R$2:$R$492,0)),"")</f>
        <v/>
      </c>
      <c r="H449" s="23" t="str">
        <f>IFERROR(INDEX('Output Utente'!$P$2:$P$492,MATCH(446,'Output Utente'!$R$2:$R$492,0)),"")</f>
        <v/>
      </c>
      <c r="I449" s="24" t="str">
        <f>IFERROR(INDEX('Output Utente'!$F$2:$F$492,MATCH(446,'Output Utente'!$R$2:$R$492,0)),"")</f>
        <v/>
      </c>
      <c r="J449" s="24" t="str">
        <f>IFERROR(INDEX('Output Utente'!$G$2:$G$492,MATCH(446,'Output Utente'!$R$2:$R$492,0)),"")</f>
        <v/>
      </c>
      <c r="K449" s="24" t="str">
        <f>IFERROR(INDEX('Output Utente'!$H$2:$H$492,MATCH(446,'Output Utente'!$R$2:$R$492,0)),"")</f>
        <v/>
      </c>
      <c r="L449" s="23" t="str">
        <f>IFERROR(INDEX('Output Utente'!$E$2:$E$492,MATCH(446,'Output Utente'!$R$2:$R$492,0)),"")</f>
        <v/>
      </c>
      <c r="V449" t="str">
        <f>IFERROR(INDEX('Output Utente'!$M$2:$M$492,MATCH(446,'Output Utente'!$R$2:$R$492,0)),"")</f>
        <v/>
      </c>
      <c r="W449" t="str">
        <f t="shared" si="6"/>
        <v/>
      </c>
      <c r="X449" t="str">
        <f>IFERROR(INDEX('Output Utente'!$AF$2:$AF$492,MATCH(446,'Output Utente'!$R$2:$R$492,0)),"")</f>
        <v/>
      </c>
    </row>
    <row r="450" spans="1:24" ht="15" customHeight="1" x14ac:dyDescent="0.25">
      <c r="A450" s="26">
        <v>447</v>
      </c>
      <c r="B450" s="23" t="str">
        <f>IFERROR(INDEX('Output Utente'!$A$2:$A$492,MATCH(447,'Output Utente'!$R$2:$R$492,0)),"")</f>
        <v/>
      </c>
      <c r="C450" s="23" t="str">
        <f>IFERROR(INDEX('Output Utente'!$B$2:$B$492,MATCH(447,'Output Utente'!$R$2:$R$492,0)),"")</f>
        <v/>
      </c>
      <c r="D450" s="23" t="str">
        <f>IFERROR(INDEX('Output Utente'!$C$2:$C$492,MATCH(447,'Output Utente'!$R$2:$R$492,0)),"")</f>
        <v/>
      </c>
      <c r="E450" s="23" t="str">
        <f>IFERROR(INDEX('Input Giocatori 2026_27'!$D$3:$D$493,MATCH($B450,'Input Giocatori 2026_27'!$A$3:$A$493,0)),"")</f>
        <v/>
      </c>
      <c r="F450" s="24" t="str">
        <f>IFERROR(INDEX('Output Utente'!$N$2:$N$492,MATCH(447,'Output Utente'!$R$2:$R$492,0)),"")</f>
        <v/>
      </c>
      <c r="G450" s="23" t="str">
        <f>IFERROR(INDEX('Output Utente'!$O$2:$O$492,MATCH(447,'Output Utente'!$R$2:$R$492,0)),"")</f>
        <v/>
      </c>
      <c r="H450" s="23" t="str">
        <f>IFERROR(INDEX('Output Utente'!$P$2:$P$492,MATCH(447,'Output Utente'!$R$2:$R$492,0)),"")</f>
        <v/>
      </c>
      <c r="I450" s="24" t="str">
        <f>IFERROR(INDEX('Output Utente'!$F$2:$F$492,MATCH(447,'Output Utente'!$R$2:$R$492,0)),"")</f>
        <v/>
      </c>
      <c r="J450" s="24" t="str">
        <f>IFERROR(INDEX('Output Utente'!$G$2:$G$492,MATCH(447,'Output Utente'!$R$2:$R$492,0)),"")</f>
        <v/>
      </c>
      <c r="K450" s="24" t="str">
        <f>IFERROR(INDEX('Output Utente'!$H$2:$H$492,MATCH(447,'Output Utente'!$R$2:$R$492,0)),"")</f>
        <v/>
      </c>
      <c r="L450" s="23" t="str">
        <f>IFERROR(INDEX('Output Utente'!$E$2:$E$492,MATCH(447,'Output Utente'!$R$2:$R$492,0)),"")</f>
        <v/>
      </c>
      <c r="V450" t="str">
        <f>IFERROR(INDEX('Output Utente'!$M$2:$M$492,MATCH(447,'Output Utente'!$R$2:$R$492,0)),"")</f>
        <v/>
      </c>
      <c r="W450" t="str">
        <f t="shared" si="6"/>
        <v/>
      </c>
      <c r="X450" t="str">
        <f>IFERROR(INDEX('Output Utente'!$AF$2:$AF$492,MATCH(447,'Output Utente'!$R$2:$R$492,0)),"")</f>
        <v/>
      </c>
    </row>
    <row r="451" spans="1:24" ht="15" customHeight="1" x14ac:dyDescent="0.25">
      <c r="A451" s="26">
        <v>448</v>
      </c>
      <c r="B451" s="23" t="str">
        <f>IFERROR(INDEX('Output Utente'!$A$2:$A$492,MATCH(448,'Output Utente'!$R$2:$R$492,0)),"")</f>
        <v/>
      </c>
      <c r="C451" s="23" t="str">
        <f>IFERROR(INDEX('Output Utente'!$B$2:$B$492,MATCH(448,'Output Utente'!$R$2:$R$492,0)),"")</f>
        <v/>
      </c>
      <c r="D451" s="23" t="str">
        <f>IFERROR(INDEX('Output Utente'!$C$2:$C$492,MATCH(448,'Output Utente'!$R$2:$R$492,0)),"")</f>
        <v/>
      </c>
      <c r="E451" s="23" t="str">
        <f>IFERROR(INDEX('Input Giocatori 2026_27'!$D$3:$D$493,MATCH($B451,'Input Giocatori 2026_27'!$A$3:$A$493,0)),"")</f>
        <v/>
      </c>
      <c r="F451" s="24" t="str">
        <f>IFERROR(INDEX('Output Utente'!$N$2:$N$492,MATCH(448,'Output Utente'!$R$2:$R$492,0)),"")</f>
        <v/>
      </c>
      <c r="G451" s="23" t="str">
        <f>IFERROR(INDEX('Output Utente'!$O$2:$O$492,MATCH(448,'Output Utente'!$R$2:$R$492,0)),"")</f>
        <v/>
      </c>
      <c r="H451" s="23" t="str">
        <f>IFERROR(INDEX('Output Utente'!$P$2:$P$492,MATCH(448,'Output Utente'!$R$2:$R$492,0)),"")</f>
        <v/>
      </c>
      <c r="I451" s="24" t="str">
        <f>IFERROR(INDEX('Output Utente'!$F$2:$F$492,MATCH(448,'Output Utente'!$R$2:$R$492,0)),"")</f>
        <v/>
      </c>
      <c r="J451" s="24" t="str">
        <f>IFERROR(INDEX('Output Utente'!$G$2:$G$492,MATCH(448,'Output Utente'!$R$2:$R$492,0)),"")</f>
        <v/>
      </c>
      <c r="K451" s="24" t="str">
        <f>IFERROR(INDEX('Output Utente'!$H$2:$H$492,MATCH(448,'Output Utente'!$R$2:$R$492,0)),"")</f>
        <v/>
      </c>
      <c r="L451" s="23" t="str">
        <f>IFERROR(INDEX('Output Utente'!$E$2:$E$492,MATCH(448,'Output Utente'!$R$2:$R$492,0)),"")</f>
        <v/>
      </c>
      <c r="V451" t="str">
        <f>IFERROR(INDEX('Output Utente'!$M$2:$M$492,MATCH(448,'Output Utente'!$R$2:$R$492,0)),"")</f>
        <v/>
      </c>
      <c r="W451" t="str">
        <f t="shared" si="6"/>
        <v/>
      </c>
      <c r="X451" t="str">
        <f>IFERROR(INDEX('Output Utente'!$AF$2:$AF$492,MATCH(448,'Output Utente'!$R$2:$R$492,0)),"")</f>
        <v/>
      </c>
    </row>
    <row r="452" spans="1:24" ht="15" customHeight="1" x14ac:dyDescent="0.25">
      <c r="A452" s="26">
        <v>449</v>
      </c>
      <c r="B452" s="23" t="str">
        <f>IFERROR(INDEX('Output Utente'!$A$2:$A$492,MATCH(449,'Output Utente'!$R$2:$R$492,0)),"")</f>
        <v/>
      </c>
      <c r="C452" s="23" t="str">
        <f>IFERROR(INDEX('Output Utente'!$B$2:$B$492,MATCH(449,'Output Utente'!$R$2:$R$492,0)),"")</f>
        <v/>
      </c>
      <c r="D452" s="23" t="str">
        <f>IFERROR(INDEX('Output Utente'!$C$2:$C$492,MATCH(449,'Output Utente'!$R$2:$R$492,0)),"")</f>
        <v/>
      </c>
      <c r="E452" s="23" t="str">
        <f>IFERROR(INDEX('Input Giocatori 2026_27'!$D$3:$D$493,MATCH($B452,'Input Giocatori 2026_27'!$A$3:$A$493,0)),"")</f>
        <v/>
      </c>
      <c r="F452" s="24" t="str">
        <f>IFERROR(INDEX('Output Utente'!$N$2:$N$492,MATCH(449,'Output Utente'!$R$2:$R$492,0)),"")</f>
        <v/>
      </c>
      <c r="G452" s="23" t="str">
        <f>IFERROR(INDEX('Output Utente'!$O$2:$O$492,MATCH(449,'Output Utente'!$R$2:$R$492,0)),"")</f>
        <v/>
      </c>
      <c r="H452" s="23" t="str">
        <f>IFERROR(INDEX('Output Utente'!$P$2:$P$492,MATCH(449,'Output Utente'!$R$2:$R$492,0)),"")</f>
        <v/>
      </c>
      <c r="I452" s="24" t="str">
        <f>IFERROR(INDEX('Output Utente'!$F$2:$F$492,MATCH(449,'Output Utente'!$R$2:$R$492,0)),"")</f>
        <v/>
      </c>
      <c r="J452" s="24" t="str">
        <f>IFERROR(INDEX('Output Utente'!$G$2:$G$492,MATCH(449,'Output Utente'!$R$2:$R$492,0)),"")</f>
        <v/>
      </c>
      <c r="K452" s="24" t="str">
        <f>IFERROR(INDEX('Output Utente'!$H$2:$H$492,MATCH(449,'Output Utente'!$R$2:$R$492,0)),"")</f>
        <v/>
      </c>
      <c r="L452" s="23" t="str">
        <f>IFERROR(INDEX('Output Utente'!$E$2:$E$492,MATCH(449,'Output Utente'!$R$2:$R$492,0)),"")</f>
        <v/>
      </c>
      <c r="V452" t="str">
        <f>IFERROR(INDEX('Output Utente'!$M$2:$M$492,MATCH(449,'Output Utente'!$R$2:$R$492,0)),"")</f>
        <v/>
      </c>
      <c r="W452" t="str">
        <f t="shared" ref="W452:W494" si="7">IF(OR($G452="",$V452=""),"",$G452-$V452)</f>
        <v/>
      </c>
      <c r="X452" t="str">
        <f>IFERROR(INDEX('Output Utente'!$AF$2:$AF$492,MATCH(449,'Output Utente'!$R$2:$R$492,0)),"")</f>
        <v/>
      </c>
    </row>
    <row r="453" spans="1:24" ht="15" customHeight="1" x14ac:dyDescent="0.25">
      <c r="A453" s="26">
        <v>450</v>
      </c>
      <c r="B453" s="23" t="str">
        <f>IFERROR(INDEX('Output Utente'!$A$2:$A$492,MATCH(450,'Output Utente'!$R$2:$R$492,0)),"")</f>
        <v/>
      </c>
      <c r="C453" s="23" t="str">
        <f>IFERROR(INDEX('Output Utente'!$B$2:$B$492,MATCH(450,'Output Utente'!$R$2:$R$492,0)),"")</f>
        <v/>
      </c>
      <c r="D453" s="23" t="str">
        <f>IFERROR(INDEX('Output Utente'!$C$2:$C$492,MATCH(450,'Output Utente'!$R$2:$R$492,0)),"")</f>
        <v/>
      </c>
      <c r="E453" s="23" t="str">
        <f>IFERROR(INDEX('Input Giocatori 2026_27'!$D$3:$D$493,MATCH($B453,'Input Giocatori 2026_27'!$A$3:$A$493,0)),"")</f>
        <v/>
      </c>
      <c r="F453" s="24" t="str">
        <f>IFERROR(INDEX('Output Utente'!$N$2:$N$492,MATCH(450,'Output Utente'!$R$2:$R$492,0)),"")</f>
        <v/>
      </c>
      <c r="G453" s="23" t="str">
        <f>IFERROR(INDEX('Output Utente'!$O$2:$O$492,MATCH(450,'Output Utente'!$R$2:$R$492,0)),"")</f>
        <v/>
      </c>
      <c r="H453" s="23" t="str">
        <f>IFERROR(INDEX('Output Utente'!$P$2:$P$492,MATCH(450,'Output Utente'!$R$2:$R$492,0)),"")</f>
        <v/>
      </c>
      <c r="I453" s="24" t="str">
        <f>IFERROR(INDEX('Output Utente'!$F$2:$F$492,MATCH(450,'Output Utente'!$R$2:$R$492,0)),"")</f>
        <v/>
      </c>
      <c r="J453" s="24" t="str">
        <f>IFERROR(INDEX('Output Utente'!$G$2:$G$492,MATCH(450,'Output Utente'!$R$2:$R$492,0)),"")</f>
        <v/>
      </c>
      <c r="K453" s="24" t="str">
        <f>IFERROR(INDEX('Output Utente'!$H$2:$H$492,MATCH(450,'Output Utente'!$R$2:$R$492,0)),"")</f>
        <v/>
      </c>
      <c r="L453" s="23" t="str">
        <f>IFERROR(INDEX('Output Utente'!$E$2:$E$492,MATCH(450,'Output Utente'!$R$2:$R$492,0)),"")</f>
        <v/>
      </c>
      <c r="V453" t="str">
        <f>IFERROR(INDEX('Output Utente'!$M$2:$M$492,MATCH(450,'Output Utente'!$R$2:$R$492,0)),"")</f>
        <v/>
      </c>
      <c r="W453" t="str">
        <f t="shared" si="7"/>
        <v/>
      </c>
      <c r="X453" t="str">
        <f>IFERROR(INDEX('Output Utente'!$AF$2:$AF$492,MATCH(450,'Output Utente'!$R$2:$R$492,0)),"")</f>
        <v/>
      </c>
    </row>
    <row r="454" spans="1:24" ht="15" customHeight="1" x14ac:dyDescent="0.25">
      <c r="A454" s="26">
        <v>451</v>
      </c>
      <c r="B454" s="23" t="str">
        <f>IFERROR(INDEX('Output Utente'!$A$2:$A$492,MATCH(451,'Output Utente'!$R$2:$R$492,0)),"")</f>
        <v/>
      </c>
      <c r="C454" s="23" t="str">
        <f>IFERROR(INDEX('Output Utente'!$B$2:$B$492,MATCH(451,'Output Utente'!$R$2:$R$492,0)),"")</f>
        <v/>
      </c>
      <c r="D454" s="23" t="str">
        <f>IFERROR(INDEX('Output Utente'!$C$2:$C$492,MATCH(451,'Output Utente'!$R$2:$R$492,0)),"")</f>
        <v/>
      </c>
      <c r="E454" s="23" t="str">
        <f>IFERROR(INDEX('Input Giocatori 2026_27'!$D$3:$D$493,MATCH($B454,'Input Giocatori 2026_27'!$A$3:$A$493,0)),"")</f>
        <v/>
      </c>
      <c r="F454" s="24" t="str">
        <f>IFERROR(INDEX('Output Utente'!$N$2:$N$492,MATCH(451,'Output Utente'!$R$2:$R$492,0)),"")</f>
        <v/>
      </c>
      <c r="G454" s="23" t="str">
        <f>IFERROR(INDEX('Output Utente'!$O$2:$O$492,MATCH(451,'Output Utente'!$R$2:$R$492,0)),"")</f>
        <v/>
      </c>
      <c r="H454" s="23" t="str">
        <f>IFERROR(INDEX('Output Utente'!$P$2:$P$492,MATCH(451,'Output Utente'!$R$2:$R$492,0)),"")</f>
        <v/>
      </c>
      <c r="I454" s="24" t="str">
        <f>IFERROR(INDEX('Output Utente'!$F$2:$F$492,MATCH(451,'Output Utente'!$R$2:$R$492,0)),"")</f>
        <v/>
      </c>
      <c r="J454" s="24" t="str">
        <f>IFERROR(INDEX('Output Utente'!$G$2:$G$492,MATCH(451,'Output Utente'!$R$2:$R$492,0)),"")</f>
        <v/>
      </c>
      <c r="K454" s="24" t="str">
        <f>IFERROR(INDEX('Output Utente'!$H$2:$H$492,MATCH(451,'Output Utente'!$R$2:$R$492,0)),"")</f>
        <v/>
      </c>
      <c r="L454" s="23" t="str">
        <f>IFERROR(INDEX('Output Utente'!$E$2:$E$492,MATCH(451,'Output Utente'!$R$2:$R$492,0)),"")</f>
        <v/>
      </c>
      <c r="V454" t="str">
        <f>IFERROR(INDEX('Output Utente'!$M$2:$M$492,MATCH(451,'Output Utente'!$R$2:$R$492,0)),"")</f>
        <v/>
      </c>
      <c r="W454" t="str">
        <f t="shared" si="7"/>
        <v/>
      </c>
      <c r="X454" t="str">
        <f>IFERROR(INDEX('Output Utente'!$AF$2:$AF$492,MATCH(451,'Output Utente'!$R$2:$R$492,0)),"")</f>
        <v/>
      </c>
    </row>
    <row r="455" spans="1:24" ht="15" customHeight="1" x14ac:dyDescent="0.25">
      <c r="A455" s="26">
        <v>452</v>
      </c>
      <c r="B455" s="23" t="str">
        <f>IFERROR(INDEX('Output Utente'!$A$2:$A$492,MATCH(452,'Output Utente'!$R$2:$R$492,0)),"")</f>
        <v/>
      </c>
      <c r="C455" s="23" t="str">
        <f>IFERROR(INDEX('Output Utente'!$B$2:$B$492,MATCH(452,'Output Utente'!$R$2:$R$492,0)),"")</f>
        <v/>
      </c>
      <c r="D455" s="23" t="str">
        <f>IFERROR(INDEX('Output Utente'!$C$2:$C$492,MATCH(452,'Output Utente'!$R$2:$R$492,0)),"")</f>
        <v/>
      </c>
      <c r="E455" s="23" t="str">
        <f>IFERROR(INDEX('Input Giocatori 2026_27'!$D$3:$D$493,MATCH($B455,'Input Giocatori 2026_27'!$A$3:$A$493,0)),"")</f>
        <v/>
      </c>
      <c r="F455" s="24" t="str">
        <f>IFERROR(INDEX('Output Utente'!$N$2:$N$492,MATCH(452,'Output Utente'!$R$2:$R$492,0)),"")</f>
        <v/>
      </c>
      <c r="G455" s="23" t="str">
        <f>IFERROR(INDEX('Output Utente'!$O$2:$O$492,MATCH(452,'Output Utente'!$R$2:$R$492,0)),"")</f>
        <v/>
      </c>
      <c r="H455" s="23" t="str">
        <f>IFERROR(INDEX('Output Utente'!$P$2:$P$492,MATCH(452,'Output Utente'!$R$2:$R$492,0)),"")</f>
        <v/>
      </c>
      <c r="I455" s="24" t="str">
        <f>IFERROR(INDEX('Output Utente'!$F$2:$F$492,MATCH(452,'Output Utente'!$R$2:$R$492,0)),"")</f>
        <v/>
      </c>
      <c r="J455" s="24" t="str">
        <f>IFERROR(INDEX('Output Utente'!$G$2:$G$492,MATCH(452,'Output Utente'!$R$2:$R$492,0)),"")</f>
        <v/>
      </c>
      <c r="K455" s="24" t="str">
        <f>IFERROR(INDEX('Output Utente'!$H$2:$H$492,MATCH(452,'Output Utente'!$R$2:$R$492,0)),"")</f>
        <v/>
      </c>
      <c r="L455" s="23" t="str">
        <f>IFERROR(INDEX('Output Utente'!$E$2:$E$492,MATCH(452,'Output Utente'!$R$2:$R$492,0)),"")</f>
        <v/>
      </c>
      <c r="V455" t="str">
        <f>IFERROR(INDEX('Output Utente'!$M$2:$M$492,MATCH(452,'Output Utente'!$R$2:$R$492,0)),"")</f>
        <v/>
      </c>
      <c r="W455" t="str">
        <f t="shared" si="7"/>
        <v/>
      </c>
      <c r="X455" t="str">
        <f>IFERROR(INDEX('Output Utente'!$AF$2:$AF$492,MATCH(452,'Output Utente'!$R$2:$R$492,0)),"")</f>
        <v/>
      </c>
    </row>
    <row r="456" spans="1:24" ht="15" customHeight="1" x14ac:dyDescent="0.25">
      <c r="A456" s="26">
        <v>453</v>
      </c>
      <c r="B456" s="23" t="str">
        <f>IFERROR(INDEX('Output Utente'!$A$2:$A$492,MATCH(453,'Output Utente'!$R$2:$R$492,0)),"")</f>
        <v/>
      </c>
      <c r="C456" s="23" t="str">
        <f>IFERROR(INDEX('Output Utente'!$B$2:$B$492,MATCH(453,'Output Utente'!$R$2:$R$492,0)),"")</f>
        <v/>
      </c>
      <c r="D456" s="23" t="str">
        <f>IFERROR(INDEX('Output Utente'!$C$2:$C$492,MATCH(453,'Output Utente'!$R$2:$R$492,0)),"")</f>
        <v/>
      </c>
      <c r="E456" s="23" t="str">
        <f>IFERROR(INDEX('Input Giocatori 2026_27'!$D$3:$D$493,MATCH($B456,'Input Giocatori 2026_27'!$A$3:$A$493,0)),"")</f>
        <v/>
      </c>
      <c r="F456" s="24" t="str">
        <f>IFERROR(INDEX('Output Utente'!$N$2:$N$492,MATCH(453,'Output Utente'!$R$2:$R$492,0)),"")</f>
        <v/>
      </c>
      <c r="G456" s="23" t="str">
        <f>IFERROR(INDEX('Output Utente'!$O$2:$O$492,MATCH(453,'Output Utente'!$R$2:$R$492,0)),"")</f>
        <v/>
      </c>
      <c r="H456" s="23" t="str">
        <f>IFERROR(INDEX('Output Utente'!$P$2:$P$492,MATCH(453,'Output Utente'!$R$2:$R$492,0)),"")</f>
        <v/>
      </c>
      <c r="I456" s="24" t="str">
        <f>IFERROR(INDEX('Output Utente'!$F$2:$F$492,MATCH(453,'Output Utente'!$R$2:$R$492,0)),"")</f>
        <v/>
      </c>
      <c r="J456" s="24" t="str">
        <f>IFERROR(INDEX('Output Utente'!$G$2:$G$492,MATCH(453,'Output Utente'!$R$2:$R$492,0)),"")</f>
        <v/>
      </c>
      <c r="K456" s="24" t="str">
        <f>IFERROR(INDEX('Output Utente'!$H$2:$H$492,MATCH(453,'Output Utente'!$R$2:$R$492,0)),"")</f>
        <v/>
      </c>
      <c r="L456" s="23" t="str">
        <f>IFERROR(INDEX('Output Utente'!$E$2:$E$492,MATCH(453,'Output Utente'!$R$2:$R$492,0)),"")</f>
        <v/>
      </c>
      <c r="V456" t="str">
        <f>IFERROR(INDEX('Output Utente'!$M$2:$M$492,MATCH(453,'Output Utente'!$R$2:$R$492,0)),"")</f>
        <v/>
      </c>
      <c r="W456" t="str">
        <f t="shared" si="7"/>
        <v/>
      </c>
      <c r="X456" t="str">
        <f>IFERROR(INDEX('Output Utente'!$AF$2:$AF$492,MATCH(453,'Output Utente'!$R$2:$R$492,0)),"")</f>
        <v/>
      </c>
    </row>
    <row r="457" spans="1:24" ht="15" customHeight="1" x14ac:dyDescent="0.25">
      <c r="A457" s="26">
        <v>454</v>
      </c>
      <c r="B457" s="23" t="str">
        <f>IFERROR(INDEX('Output Utente'!$A$2:$A$492,MATCH(454,'Output Utente'!$R$2:$R$492,0)),"")</f>
        <v/>
      </c>
      <c r="C457" s="23" t="str">
        <f>IFERROR(INDEX('Output Utente'!$B$2:$B$492,MATCH(454,'Output Utente'!$R$2:$R$492,0)),"")</f>
        <v/>
      </c>
      <c r="D457" s="23" t="str">
        <f>IFERROR(INDEX('Output Utente'!$C$2:$C$492,MATCH(454,'Output Utente'!$R$2:$R$492,0)),"")</f>
        <v/>
      </c>
      <c r="E457" s="23" t="str">
        <f>IFERROR(INDEX('Input Giocatori 2026_27'!$D$3:$D$493,MATCH($B457,'Input Giocatori 2026_27'!$A$3:$A$493,0)),"")</f>
        <v/>
      </c>
      <c r="F457" s="24" t="str">
        <f>IFERROR(INDEX('Output Utente'!$N$2:$N$492,MATCH(454,'Output Utente'!$R$2:$R$492,0)),"")</f>
        <v/>
      </c>
      <c r="G457" s="23" t="str">
        <f>IFERROR(INDEX('Output Utente'!$O$2:$O$492,MATCH(454,'Output Utente'!$R$2:$R$492,0)),"")</f>
        <v/>
      </c>
      <c r="H457" s="23" t="str">
        <f>IFERROR(INDEX('Output Utente'!$P$2:$P$492,MATCH(454,'Output Utente'!$R$2:$R$492,0)),"")</f>
        <v/>
      </c>
      <c r="I457" s="24" t="str">
        <f>IFERROR(INDEX('Output Utente'!$F$2:$F$492,MATCH(454,'Output Utente'!$R$2:$R$492,0)),"")</f>
        <v/>
      </c>
      <c r="J457" s="24" t="str">
        <f>IFERROR(INDEX('Output Utente'!$G$2:$G$492,MATCH(454,'Output Utente'!$R$2:$R$492,0)),"")</f>
        <v/>
      </c>
      <c r="K457" s="24" t="str">
        <f>IFERROR(INDEX('Output Utente'!$H$2:$H$492,MATCH(454,'Output Utente'!$R$2:$R$492,0)),"")</f>
        <v/>
      </c>
      <c r="L457" s="23" t="str">
        <f>IFERROR(INDEX('Output Utente'!$E$2:$E$492,MATCH(454,'Output Utente'!$R$2:$R$492,0)),"")</f>
        <v/>
      </c>
      <c r="V457" t="str">
        <f>IFERROR(INDEX('Output Utente'!$M$2:$M$492,MATCH(454,'Output Utente'!$R$2:$R$492,0)),"")</f>
        <v/>
      </c>
      <c r="W457" t="str">
        <f t="shared" si="7"/>
        <v/>
      </c>
      <c r="X457" t="str">
        <f>IFERROR(INDEX('Output Utente'!$AF$2:$AF$492,MATCH(454,'Output Utente'!$R$2:$R$492,0)),"")</f>
        <v/>
      </c>
    </row>
    <row r="458" spans="1:24" ht="15" customHeight="1" x14ac:dyDescent="0.25">
      <c r="A458" s="26">
        <v>455</v>
      </c>
      <c r="B458" s="23" t="str">
        <f>IFERROR(INDEX('Output Utente'!$A$2:$A$492,MATCH(455,'Output Utente'!$R$2:$R$492,0)),"")</f>
        <v/>
      </c>
      <c r="C458" s="23" t="str">
        <f>IFERROR(INDEX('Output Utente'!$B$2:$B$492,MATCH(455,'Output Utente'!$R$2:$R$492,0)),"")</f>
        <v/>
      </c>
      <c r="D458" s="23" t="str">
        <f>IFERROR(INDEX('Output Utente'!$C$2:$C$492,MATCH(455,'Output Utente'!$R$2:$R$492,0)),"")</f>
        <v/>
      </c>
      <c r="E458" s="23" t="str">
        <f>IFERROR(INDEX('Input Giocatori 2026_27'!$D$3:$D$493,MATCH($B458,'Input Giocatori 2026_27'!$A$3:$A$493,0)),"")</f>
        <v/>
      </c>
      <c r="F458" s="24" t="str">
        <f>IFERROR(INDEX('Output Utente'!$N$2:$N$492,MATCH(455,'Output Utente'!$R$2:$R$492,0)),"")</f>
        <v/>
      </c>
      <c r="G458" s="23" t="str">
        <f>IFERROR(INDEX('Output Utente'!$O$2:$O$492,MATCH(455,'Output Utente'!$R$2:$R$492,0)),"")</f>
        <v/>
      </c>
      <c r="H458" s="23" t="str">
        <f>IFERROR(INDEX('Output Utente'!$P$2:$P$492,MATCH(455,'Output Utente'!$R$2:$R$492,0)),"")</f>
        <v/>
      </c>
      <c r="I458" s="24" t="str">
        <f>IFERROR(INDEX('Output Utente'!$F$2:$F$492,MATCH(455,'Output Utente'!$R$2:$R$492,0)),"")</f>
        <v/>
      </c>
      <c r="J458" s="24" t="str">
        <f>IFERROR(INDEX('Output Utente'!$G$2:$G$492,MATCH(455,'Output Utente'!$R$2:$R$492,0)),"")</f>
        <v/>
      </c>
      <c r="K458" s="24" t="str">
        <f>IFERROR(INDEX('Output Utente'!$H$2:$H$492,MATCH(455,'Output Utente'!$R$2:$R$492,0)),"")</f>
        <v/>
      </c>
      <c r="L458" s="23" t="str">
        <f>IFERROR(INDEX('Output Utente'!$E$2:$E$492,MATCH(455,'Output Utente'!$R$2:$R$492,0)),"")</f>
        <v/>
      </c>
      <c r="V458" t="str">
        <f>IFERROR(INDEX('Output Utente'!$M$2:$M$492,MATCH(455,'Output Utente'!$R$2:$R$492,0)),"")</f>
        <v/>
      </c>
      <c r="W458" t="str">
        <f t="shared" si="7"/>
        <v/>
      </c>
      <c r="X458" t="str">
        <f>IFERROR(INDEX('Output Utente'!$AF$2:$AF$492,MATCH(455,'Output Utente'!$R$2:$R$492,0)),"")</f>
        <v/>
      </c>
    </row>
    <row r="459" spans="1:24" ht="15" customHeight="1" x14ac:dyDescent="0.25">
      <c r="A459" s="26">
        <v>456</v>
      </c>
      <c r="B459" s="23" t="str">
        <f>IFERROR(INDEX('Output Utente'!$A$2:$A$492,MATCH(456,'Output Utente'!$R$2:$R$492,0)),"")</f>
        <v/>
      </c>
      <c r="C459" s="23" t="str">
        <f>IFERROR(INDEX('Output Utente'!$B$2:$B$492,MATCH(456,'Output Utente'!$R$2:$R$492,0)),"")</f>
        <v/>
      </c>
      <c r="D459" s="23" t="str">
        <f>IFERROR(INDEX('Output Utente'!$C$2:$C$492,MATCH(456,'Output Utente'!$R$2:$R$492,0)),"")</f>
        <v/>
      </c>
      <c r="E459" s="23" t="str">
        <f>IFERROR(INDEX('Input Giocatori 2026_27'!$D$3:$D$493,MATCH($B459,'Input Giocatori 2026_27'!$A$3:$A$493,0)),"")</f>
        <v/>
      </c>
      <c r="F459" s="24" t="str">
        <f>IFERROR(INDEX('Output Utente'!$N$2:$N$492,MATCH(456,'Output Utente'!$R$2:$R$492,0)),"")</f>
        <v/>
      </c>
      <c r="G459" s="23" t="str">
        <f>IFERROR(INDEX('Output Utente'!$O$2:$O$492,MATCH(456,'Output Utente'!$R$2:$R$492,0)),"")</f>
        <v/>
      </c>
      <c r="H459" s="23" t="str">
        <f>IFERROR(INDEX('Output Utente'!$P$2:$P$492,MATCH(456,'Output Utente'!$R$2:$R$492,0)),"")</f>
        <v/>
      </c>
      <c r="I459" s="24" t="str">
        <f>IFERROR(INDEX('Output Utente'!$F$2:$F$492,MATCH(456,'Output Utente'!$R$2:$R$492,0)),"")</f>
        <v/>
      </c>
      <c r="J459" s="24" t="str">
        <f>IFERROR(INDEX('Output Utente'!$G$2:$G$492,MATCH(456,'Output Utente'!$R$2:$R$492,0)),"")</f>
        <v/>
      </c>
      <c r="K459" s="24" t="str">
        <f>IFERROR(INDEX('Output Utente'!$H$2:$H$492,MATCH(456,'Output Utente'!$R$2:$R$492,0)),"")</f>
        <v/>
      </c>
      <c r="L459" s="23" t="str">
        <f>IFERROR(INDEX('Output Utente'!$E$2:$E$492,MATCH(456,'Output Utente'!$R$2:$R$492,0)),"")</f>
        <v/>
      </c>
      <c r="V459" t="str">
        <f>IFERROR(INDEX('Output Utente'!$M$2:$M$492,MATCH(456,'Output Utente'!$R$2:$R$492,0)),"")</f>
        <v/>
      </c>
      <c r="W459" t="str">
        <f t="shared" si="7"/>
        <v/>
      </c>
      <c r="X459" t="str">
        <f>IFERROR(INDEX('Output Utente'!$AF$2:$AF$492,MATCH(456,'Output Utente'!$R$2:$R$492,0)),"")</f>
        <v/>
      </c>
    </row>
    <row r="460" spans="1:24" ht="15" customHeight="1" x14ac:dyDescent="0.25">
      <c r="A460" s="26">
        <v>457</v>
      </c>
      <c r="B460" s="23" t="str">
        <f>IFERROR(INDEX('Output Utente'!$A$2:$A$492,MATCH(457,'Output Utente'!$R$2:$R$492,0)),"")</f>
        <v/>
      </c>
      <c r="C460" s="23" t="str">
        <f>IFERROR(INDEX('Output Utente'!$B$2:$B$492,MATCH(457,'Output Utente'!$R$2:$R$492,0)),"")</f>
        <v/>
      </c>
      <c r="D460" s="23" t="str">
        <f>IFERROR(INDEX('Output Utente'!$C$2:$C$492,MATCH(457,'Output Utente'!$R$2:$R$492,0)),"")</f>
        <v/>
      </c>
      <c r="E460" s="23" t="str">
        <f>IFERROR(INDEX('Input Giocatori 2026_27'!$D$3:$D$493,MATCH($B460,'Input Giocatori 2026_27'!$A$3:$A$493,0)),"")</f>
        <v/>
      </c>
      <c r="F460" s="24" t="str">
        <f>IFERROR(INDEX('Output Utente'!$N$2:$N$492,MATCH(457,'Output Utente'!$R$2:$R$492,0)),"")</f>
        <v/>
      </c>
      <c r="G460" s="23" t="str">
        <f>IFERROR(INDEX('Output Utente'!$O$2:$O$492,MATCH(457,'Output Utente'!$R$2:$R$492,0)),"")</f>
        <v/>
      </c>
      <c r="H460" s="23" t="str">
        <f>IFERROR(INDEX('Output Utente'!$P$2:$P$492,MATCH(457,'Output Utente'!$R$2:$R$492,0)),"")</f>
        <v/>
      </c>
      <c r="I460" s="24" t="str">
        <f>IFERROR(INDEX('Output Utente'!$F$2:$F$492,MATCH(457,'Output Utente'!$R$2:$R$492,0)),"")</f>
        <v/>
      </c>
      <c r="J460" s="24" t="str">
        <f>IFERROR(INDEX('Output Utente'!$G$2:$G$492,MATCH(457,'Output Utente'!$R$2:$R$492,0)),"")</f>
        <v/>
      </c>
      <c r="K460" s="24" t="str">
        <f>IFERROR(INDEX('Output Utente'!$H$2:$H$492,MATCH(457,'Output Utente'!$R$2:$R$492,0)),"")</f>
        <v/>
      </c>
      <c r="L460" s="23" t="str">
        <f>IFERROR(INDEX('Output Utente'!$E$2:$E$492,MATCH(457,'Output Utente'!$R$2:$R$492,0)),"")</f>
        <v/>
      </c>
      <c r="V460" t="str">
        <f>IFERROR(INDEX('Output Utente'!$M$2:$M$492,MATCH(457,'Output Utente'!$R$2:$R$492,0)),"")</f>
        <v/>
      </c>
      <c r="W460" t="str">
        <f t="shared" si="7"/>
        <v/>
      </c>
      <c r="X460" t="str">
        <f>IFERROR(INDEX('Output Utente'!$AF$2:$AF$492,MATCH(457,'Output Utente'!$R$2:$R$492,0)),"")</f>
        <v/>
      </c>
    </row>
    <row r="461" spans="1:24" ht="15" customHeight="1" x14ac:dyDescent="0.25">
      <c r="A461" s="26">
        <v>458</v>
      </c>
      <c r="B461" s="23" t="str">
        <f>IFERROR(INDEX('Output Utente'!$A$2:$A$492,MATCH(458,'Output Utente'!$R$2:$R$492,0)),"")</f>
        <v/>
      </c>
      <c r="C461" s="23" t="str">
        <f>IFERROR(INDEX('Output Utente'!$B$2:$B$492,MATCH(458,'Output Utente'!$R$2:$R$492,0)),"")</f>
        <v/>
      </c>
      <c r="D461" s="23" t="str">
        <f>IFERROR(INDEX('Output Utente'!$C$2:$C$492,MATCH(458,'Output Utente'!$R$2:$R$492,0)),"")</f>
        <v/>
      </c>
      <c r="E461" s="23" t="str">
        <f>IFERROR(INDEX('Input Giocatori 2026_27'!$D$3:$D$493,MATCH($B461,'Input Giocatori 2026_27'!$A$3:$A$493,0)),"")</f>
        <v/>
      </c>
      <c r="F461" s="24" t="str">
        <f>IFERROR(INDEX('Output Utente'!$N$2:$N$492,MATCH(458,'Output Utente'!$R$2:$R$492,0)),"")</f>
        <v/>
      </c>
      <c r="G461" s="23" t="str">
        <f>IFERROR(INDEX('Output Utente'!$O$2:$O$492,MATCH(458,'Output Utente'!$R$2:$R$492,0)),"")</f>
        <v/>
      </c>
      <c r="H461" s="23" t="str">
        <f>IFERROR(INDEX('Output Utente'!$P$2:$P$492,MATCH(458,'Output Utente'!$R$2:$R$492,0)),"")</f>
        <v/>
      </c>
      <c r="I461" s="24" t="str">
        <f>IFERROR(INDEX('Output Utente'!$F$2:$F$492,MATCH(458,'Output Utente'!$R$2:$R$492,0)),"")</f>
        <v/>
      </c>
      <c r="J461" s="24" t="str">
        <f>IFERROR(INDEX('Output Utente'!$G$2:$G$492,MATCH(458,'Output Utente'!$R$2:$R$492,0)),"")</f>
        <v/>
      </c>
      <c r="K461" s="24" t="str">
        <f>IFERROR(INDEX('Output Utente'!$H$2:$H$492,MATCH(458,'Output Utente'!$R$2:$R$492,0)),"")</f>
        <v/>
      </c>
      <c r="L461" s="23" t="str">
        <f>IFERROR(INDEX('Output Utente'!$E$2:$E$492,MATCH(458,'Output Utente'!$R$2:$R$492,0)),"")</f>
        <v/>
      </c>
      <c r="V461" t="str">
        <f>IFERROR(INDEX('Output Utente'!$M$2:$M$492,MATCH(458,'Output Utente'!$R$2:$R$492,0)),"")</f>
        <v/>
      </c>
      <c r="W461" t="str">
        <f t="shared" si="7"/>
        <v/>
      </c>
      <c r="X461" t="str">
        <f>IFERROR(INDEX('Output Utente'!$AF$2:$AF$492,MATCH(458,'Output Utente'!$R$2:$R$492,0)),"")</f>
        <v/>
      </c>
    </row>
    <row r="462" spans="1:24" ht="15" customHeight="1" x14ac:dyDescent="0.25">
      <c r="A462" s="26">
        <v>459</v>
      </c>
      <c r="B462" s="23" t="str">
        <f>IFERROR(INDEX('Output Utente'!$A$2:$A$492,MATCH(459,'Output Utente'!$R$2:$R$492,0)),"")</f>
        <v/>
      </c>
      <c r="C462" s="23" t="str">
        <f>IFERROR(INDEX('Output Utente'!$B$2:$B$492,MATCH(459,'Output Utente'!$R$2:$R$492,0)),"")</f>
        <v/>
      </c>
      <c r="D462" s="23" t="str">
        <f>IFERROR(INDEX('Output Utente'!$C$2:$C$492,MATCH(459,'Output Utente'!$R$2:$R$492,0)),"")</f>
        <v/>
      </c>
      <c r="E462" s="23" t="str">
        <f>IFERROR(INDEX('Input Giocatori 2026_27'!$D$3:$D$493,MATCH($B462,'Input Giocatori 2026_27'!$A$3:$A$493,0)),"")</f>
        <v/>
      </c>
      <c r="F462" s="24" t="str">
        <f>IFERROR(INDEX('Output Utente'!$N$2:$N$492,MATCH(459,'Output Utente'!$R$2:$R$492,0)),"")</f>
        <v/>
      </c>
      <c r="G462" s="23" t="str">
        <f>IFERROR(INDEX('Output Utente'!$O$2:$O$492,MATCH(459,'Output Utente'!$R$2:$R$492,0)),"")</f>
        <v/>
      </c>
      <c r="H462" s="23" t="str">
        <f>IFERROR(INDEX('Output Utente'!$P$2:$P$492,MATCH(459,'Output Utente'!$R$2:$R$492,0)),"")</f>
        <v/>
      </c>
      <c r="I462" s="24" t="str">
        <f>IFERROR(INDEX('Output Utente'!$F$2:$F$492,MATCH(459,'Output Utente'!$R$2:$R$492,0)),"")</f>
        <v/>
      </c>
      <c r="J462" s="24" t="str">
        <f>IFERROR(INDEX('Output Utente'!$G$2:$G$492,MATCH(459,'Output Utente'!$R$2:$R$492,0)),"")</f>
        <v/>
      </c>
      <c r="K462" s="24" t="str">
        <f>IFERROR(INDEX('Output Utente'!$H$2:$H$492,MATCH(459,'Output Utente'!$R$2:$R$492,0)),"")</f>
        <v/>
      </c>
      <c r="L462" s="23" t="str">
        <f>IFERROR(INDEX('Output Utente'!$E$2:$E$492,MATCH(459,'Output Utente'!$R$2:$R$492,0)),"")</f>
        <v/>
      </c>
      <c r="V462" t="str">
        <f>IFERROR(INDEX('Output Utente'!$M$2:$M$492,MATCH(459,'Output Utente'!$R$2:$R$492,0)),"")</f>
        <v/>
      </c>
      <c r="W462" t="str">
        <f t="shared" si="7"/>
        <v/>
      </c>
      <c r="X462" t="str">
        <f>IFERROR(INDEX('Output Utente'!$AF$2:$AF$492,MATCH(459,'Output Utente'!$R$2:$R$492,0)),"")</f>
        <v/>
      </c>
    </row>
    <row r="463" spans="1:24" ht="15" customHeight="1" x14ac:dyDescent="0.25">
      <c r="A463" s="26">
        <v>460</v>
      </c>
      <c r="B463" s="23" t="str">
        <f>IFERROR(INDEX('Output Utente'!$A$2:$A$492,MATCH(460,'Output Utente'!$R$2:$R$492,0)),"")</f>
        <v/>
      </c>
      <c r="C463" s="23" t="str">
        <f>IFERROR(INDEX('Output Utente'!$B$2:$B$492,MATCH(460,'Output Utente'!$R$2:$R$492,0)),"")</f>
        <v/>
      </c>
      <c r="D463" s="23" t="str">
        <f>IFERROR(INDEX('Output Utente'!$C$2:$C$492,MATCH(460,'Output Utente'!$R$2:$R$492,0)),"")</f>
        <v/>
      </c>
      <c r="E463" s="23" t="str">
        <f>IFERROR(INDEX('Input Giocatori 2026_27'!$D$3:$D$493,MATCH($B463,'Input Giocatori 2026_27'!$A$3:$A$493,0)),"")</f>
        <v/>
      </c>
      <c r="F463" s="24" t="str">
        <f>IFERROR(INDEX('Output Utente'!$N$2:$N$492,MATCH(460,'Output Utente'!$R$2:$R$492,0)),"")</f>
        <v/>
      </c>
      <c r="G463" s="23" t="str">
        <f>IFERROR(INDEX('Output Utente'!$O$2:$O$492,MATCH(460,'Output Utente'!$R$2:$R$492,0)),"")</f>
        <v/>
      </c>
      <c r="H463" s="23" t="str">
        <f>IFERROR(INDEX('Output Utente'!$P$2:$P$492,MATCH(460,'Output Utente'!$R$2:$R$492,0)),"")</f>
        <v/>
      </c>
      <c r="I463" s="24" t="str">
        <f>IFERROR(INDEX('Output Utente'!$F$2:$F$492,MATCH(460,'Output Utente'!$R$2:$R$492,0)),"")</f>
        <v/>
      </c>
      <c r="J463" s="24" t="str">
        <f>IFERROR(INDEX('Output Utente'!$G$2:$G$492,MATCH(460,'Output Utente'!$R$2:$R$492,0)),"")</f>
        <v/>
      </c>
      <c r="K463" s="24" t="str">
        <f>IFERROR(INDEX('Output Utente'!$H$2:$H$492,MATCH(460,'Output Utente'!$R$2:$R$492,0)),"")</f>
        <v/>
      </c>
      <c r="L463" s="23" t="str">
        <f>IFERROR(INDEX('Output Utente'!$E$2:$E$492,MATCH(460,'Output Utente'!$R$2:$R$492,0)),"")</f>
        <v/>
      </c>
      <c r="V463" t="str">
        <f>IFERROR(INDEX('Output Utente'!$M$2:$M$492,MATCH(460,'Output Utente'!$R$2:$R$492,0)),"")</f>
        <v/>
      </c>
      <c r="W463" t="str">
        <f t="shared" si="7"/>
        <v/>
      </c>
      <c r="X463" t="str">
        <f>IFERROR(INDEX('Output Utente'!$AF$2:$AF$492,MATCH(460,'Output Utente'!$R$2:$R$492,0)),"")</f>
        <v/>
      </c>
    </row>
    <row r="464" spans="1:24" ht="15" customHeight="1" x14ac:dyDescent="0.25">
      <c r="A464" s="26">
        <v>461</v>
      </c>
      <c r="B464" s="23" t="str">
        <f>IFERROR(INDEX('Output Utente'!$A$2:$A$492,MATCH(461,'Output Utente'!$R$2:$R$492,0)),"")</f>
        <v/>
      </c>
      <c r="C464" s="23" t="str">
        <f>IFERROR(INDEX('Output Utente'!$B$2:$B$492,MATCH(461,'Output Utente'!$R$2:$R$492,0)),"")</f>
        <v/>
      </c>
      <c r="D464" s="23" t="str">
        <f>IFERROR(INDEX('Output Utente'!$C$2:$C$492,MATCH(461,'Output Utente'!$R$2:$R$492,0)),"")</f>
        <v/>
      </c>
      <c r="E464" s="23" t="str">
        <f>IFERROR(INDEX('Input Giocatori 2026_27'!$D$3:$D$493,MATCH($B464,'Input Giocatori 2026_27'!$A$3:$A$493,0)),"")</f>
        <v/>
      </c>
      <c r="F464" s="24" t="str">
        <f>IFERROR(INDEX('Output Utente'!$N$2:$N$492,MATCH(461,'Output Utente'!$R$2:$R$492,0)),"")</f>
        <v/>
      </c>
      <c r="G464" s="23" t="str">
        <f>IFERROR(INDEX('Output Utente'!$O$2:$O$492,MATCH(461,'Output Utente'!$R$2:$R$492,0)),"")</f>
        <v/>
      </c>
      <c r="H464" s="23" t="str">
        <f>IFERROR(INDEX('Output Utente'!$P$2:$P$492,MATCH(461,'Output Utente'!$R$2:$R$492,0)),"")</f>
        <v/>
      </c>
      <c r="I464" s="24" t="str">
        <f>IFERROR(INDEX('Output Utente'!$F$2:$F$492,MATCH(461,'Output Utente'!$R$2:$R$492,0)),"")</f>
        <v/>
      </c>
      <c r="J464" s="24" t="str">
        <f>IFERROR(INDEX('Output Utente'!$G$2:$G$492,MATCH(461,'Output Utente'!$R$2:$R$492,0)),"")</f>
        <v/>
      </c>
      <c r="K464" s="24" t="str">
        <f>IFERROR(INDEX('Output Utente'!$H$2:$H$492,MATCH(461,'Output Utente'!$R$2:$R$492,0)),"")</f>
        <v/>
      </c>
      <c r="L464" s="23" t="str">
        <f>IFERROR(INDEX('Output Utente'!$E$2:$E$492,MATCH(461,'Output Utente'!$R$2:$R$492,0)),"")</f>
        <v/>
      </c>
      <c r="V464" t="str">
        <f>IFERROR(INDEX('Output Utente'!$M$2:$M$492,MATCH(461,'Output Utente'!$R$2:$R$492,0)),"")</f>
        <v/>
      </c>
      <c r="W464" t="str">
        <f t="shared" si="7"/>
        <v/>
      </c>
      <c r="X464" t="str">
        <f>IFERROR(INDEX('Output Utente'!$AF$2:$AF$492,MATCH(461,'Output Utente'!$R$2:$R$492,0)),"")</f>
        <v/>
      </c>
    </row>
    <row r="465" spans="1:24" ht="15" customHeight="1" x14ac:dyDescent="0.25">
      <c r="A465" s="26">
        <v>462</v>
      </c>
      <c r="B465" s="23" t="str">
        <f>IFERROR(INDEX('Output Utente'!$A$2:$A$492,MATCH(462,'Output Utente'!$R$2:$R$492,0)),"")</f>
        <v/>
      </c>
      <c r="C465" s="23" t="str">
        <f>IFERROR(INDEX('Output Utente'!$B$2:$B$492,MATCH(462,'Output Utente'!$R$2:$R$492,0)),"")</f>
        <v/>
      </c>
      <c r="D465" s="23" t="str">
        <f>IFERROR(INDEX('Output Utente'!$C$2:$C$492,MATCH(462,'Output Utente'!$R$2:$R$492,0)),"")</f>
        <v/>
      </c>
      <c r="E465" s="23" t="str">
        <f>IFERROR(INDEX('Input Giocatori 2026_27'!$D$3:$D$493,MATCH($B465,'Input Giocatori 2026_27'!$A$3:$A$493,0)),"")</f>
        <v/>
      </c>
      <c r="F465" s="24" t="str">
        <f>IFERROR(INDEX('Output Utente'!$N$2:$N$492,MATCH(462,'Output Utente'!$R$2:$R$492,0)),"")</f>
        <v/>
      </c>
      <c r="G465" s="23" t="str">
        <f>IFERROR(INDEX('Output Utente'!$O$2:$O$492,MATCH(462,'Output Utente'!$R$2:$R$492,0)),"")</f>
        <v/>
      </c>
      <c r="H465" s="23" t="str">
        <f>IFERROR(INDEX('Output Utente'!$P$2:$P$492,MATCH(462,'Output Utente'!$R$2:$R$492,0)),"")</f>
        <v/>
      </c>
      <c r="I465" s="24" t="str">
        <f>IFERROR(INDEX('Output Utente'!$F$2:$F$492,MATCH(462,'Output Utente'!$R$2:$R$492,0)),"")</f>
        <v/>
      </c>
      <c r="J465" s="24" t="str">
        <f>IFERROR(INDEX('Output Utente'!$G$2:$G$492,MATCH(462,'Output Utente'!$R$2:$R$492,0)),"")</f>
        <v/>
      </c>
      <c r="K465" s="24" t="str">
        <f>IFERROR(INDEX('Output Utente'!$H$2:$H$492,MATCH(462,'Output Utente'!$R$2:$R$492,0)),"")</f>
        <v/>
      </c>
      <c r="L465" s="23" t="str">
        <f>IFERROR(INDEX('Output Utente'!$E$2:$E$492,MATCH(462,'Output Utente'!$R$2:$R$492,0)),"")</f>
        <v/>
      </c>
      <c r="V465" t="str">
        <f>IFERROR(INDEX('Output Utente'!$M$2:$M$492,MATCH(462,'Output Utente'!$R$2:$R$492,0)),"")</f>
        <v/>
      </c>
      <c r="W465" t="str">
        <f t="shared" si="7"/>
        <v/>
      </c>
      <c r="X465" t="str">
        <f>IFERROR(INDEX('Output Utente'!$AF$2:$AF$492,MATCH(462,'Output Utente'!$R$2:$R$492,0)),"")</f>
        <v/>
      </c>
    </row>
    <row r="466" spans="1:24" ht="15" customHeight="1" x14ac:dyDescent="0.25">
      <c r="A466" s="26">
        <v>463</v>
      </c>
      <c r="B466" s="23" t="str">
        <f>IFERROR(INDEX('Output Utente'!$A$2:$A$492,MATCH(463,'Output Utente'!$R$2:$R$492,0)),"")</f>
        <v/>
      </c>
      <c r="C466" s="23" t="str">
        <f>IFERROR(INDEX('Output Utente'!$B$2:$B$492,MATCH(463,'Output Utente'!$R$2:$R$492,0)),"")</f>
        <v/>
      </c>
      <c r="D466" s="23" t="str">
        <f>IFERROR(INDEX('Output Utente'!$C$2:$C$492,MATCH(463,'Output Utente'!$R$2:$R$492,0)),"")</f>
        <v/>
      </c>
      <c r="E466" s="23" t="str">
        <f>IFERROR(INDEX('Input Giocatori 2026_27'!$D$3:$D$493,MATCH($B466,'Input Giocatori 2026_27'!$A$3:$A$493,0)),"")</f>
        <v/>
      </c>
      <c r="F466" s="24" t="str">
        <f>IFERROR(INDEX('Output Utente'!$N$2:$N$492,MATCH(463,'Output Utente'!$R$2:$R$492,0)),"")</f>
        <v/>
      </c>
      <c r="G466" s="23" t="str">
        <f>IFERROR(INDEX('Output Utente'!$O$2:$O$492,MATCH(463,'Output Utente'!$R$2:$R$492,0)),"")</f>
        <v/>
      </c>
      <c r="H466" s="23" t="str">
        <f>IFERROR(INDEX('Output Utente'!$P$2:$P$492,MATCH(463,'Output Utente'!$R$2:$R$492,0)),"")</f>
        <v/>
      </c>
      <c r="I466" s="24" t="str">
        <f>IFERROR(INDEX('Output Utente'!$F$2:$F$492,MATCH(463,'Output Utente'!$R$2:$R$492,0)),"")</f>
        <v/>
      </c>
      <c r="J466" s="24" t="str">
        <f>IFERROR(INDEX('Output Utente'!$G$2:$G$492,MATCH(463,'Output Utente'!$R$2:$R$492,0)),"")</f>
        <v/>
      </c>
      <c r="K466" s="24" t="str">
        <f>IFERROR(INDEX('Output Utente'!$H$2:$H$492,MATCH(463,'Output Utente'!$R$2:$R$492,0)),"")</f>
        <v/>
      </c>
      <c r="L466" s="23" t="str">
        <f>IFERROR(INDEX('Output Utente'!$E$2:$E$492,MATCH(463,'Output Utente'!$R$2:$R$492,0)),"")</f>
        <v/>
      </c>
      <c r="V466" t="str">
        <f>IFERROR(INDEX('Output Utente'!$M$2:$M$492,MATCH(463,'Output Utente'!$R$2:$R$492,0)),"")</f>
        <v/>
      </c>
      <c r="W466" t="str">
        <f t="shared" si="7"/>
        <v/>
      </c>
      <c r="X466" t="str">
        <f>IFERROR(INDEX('Output Utente'!$AF$2:$AF$492,MATCH(463,'Output Utente'!$R$2:$R$492,0)),"")</f>
        <v/>
      </c>
    </row>
    <row r="467" spans="1:24" ht="15" customHeight="1" x14ac:dyDescent="0.25">
      <c r="A467" s="26">
        <v>464</v>
      </c>
      <c r="B467" s="23" t="str">
        <f>IFERROR(INDEX('Output Utente'!$A$2:$A$492,MATCH(464,'Output Utente'!$R$2:$R$492,0)),"")</f>
        <v/>
      </c>
      <c r="C467" s="23" t="str">
        <f>IFERROR(INDEX('Output Utente'!$B$2:$B$492,MATCH(464,'Output Utente'!$R$2:$R$492,0)),"")</f>
        <v/>
      </c>
      <c r="D467" s="23" t="str">
        <f>IFERROR(INDEX('Output Utente'!$C$2:$C$492,MATCH(464,'Output Utente'!$R$2:$R$492,0)),"")</f>
        <v/>
      </c>
      <c r="E467" s="23" t="str">
        <f>IFERROR(INDEX('Input Giocatori 2026_27'!$D$3:$D$493,MATCH($B467,'Input Giocatori 2026_27'!$A$3:$A$493,0)),"")</f>
        <v/>
      </c>
      <c r="F467" s="24" t="str">
        <f>IFERROR(INDEX('Output Utente'!$N$2:$N$492,MATCH(464,'Output Utente'!$R$2:$R$492,0)),"")</f>
        <v/>
      </c>
      <c r="G467" s="23" t="str">
        <f>IFERROR(INDEX('Output Utente'!$O$2:$O$492,MATCH(464,'Output Utente'!$R$2:$R$492,0)),"")</f>
        <v/>
      </c>
      <c r="H467" s="23" t="str">
        <f>IFERROR(INDEX('Output Utente'!$P$2:$P$492,MATCH(464,'Output Utente'!$R$2:$R$492,0)),"")</f>
        <v/>
      </c>
      <c r="I467" s="24" t="str">
        <f>IFERROR(INDEX('Output Utente'!$F$2:$F$492,MATCH(464,'Output Utente'!$R$2:$R$492,0)),"")</f>
        <v/>
      </c>
      <c r="J467" s="24" t="str">
        <f>IFERROR(INDEX('Output Utente'!$G$2:$G$492,MATCH(464,'Output Utente'!$R$2:$R$492,0)),"")</f>
        <v/>
      </c>
      <c r="K467" s="24" t="str">
        <f>IFERROR(INDEX('Output Utente'!$H$2:$H$492,MATCH(464,'Output Utente'!$R$2:$R$492,0)),"")</f>
        <v/>
      </c>
      <c r="L467" s="23" t="str">
        <f>IFERROR(INDEX('Output Utente'!$E$2:$E$492,MATCH(464,'Output Utente'!$R$2:$R$492,0)),"")</f>
        <v/>
      </c>
      <c r="V467" t="str">
        <f>IFERROR(INDEX('Output Utente'!$M$2:$M$492,MATCH(464,'Output Utente'!$R$2:$R$492,0)),"")</f>
        <v/>
      </c>
      <c r="W467" t="str">
        <f t="shared" si="7"/>
        <v/>
      </c>
      <c r="X467" t="str">
        <f>IFERROR(INDEX('Output Utente'!$AF$2:$AF$492,MATCH(464,'Output Utente'!$R$2:$R$492,0)),"")</f>
        <v/>
      </c>
    </row>
    <row r="468" spans="1:24" ht="15" customHeight="1" x14ac:dyDescent="0.25">
      <c r="A468" s="26">
        <v>465</v>
      </c>
      <c r="B468" s="23" t="str">
        <f>IFERROR(INDEX('Output Utente'!$A$2:$A$492,MATCH(465,'Output Utente'!$R$2:$R$492,0)),"")</f>
        <v/>
      </c>
      <c r="C468" s="23" t="str">
        <f>IFERROR(INDEX('Output Utente'!$B$2:$B$492,MATCH(465,'Output Utente'!$R$2:$R$492,0)),"")</f>
        <v/>
      </c>
      <c r="D468" s="23" t="str">
        <f>IFERROR(INDEX('Output Utente'!$C$2:$C$492,MATCH(465,'Output Utente'!$R$2:$R$492,0)),"")</f>
        <v/>
      </c>
      <c r="E468" s="23" t="str">
        <f>IFERROR(INDEX('Input Giocatori 2026_27'!$D$3:$D$493,MATCH($B468,'Input Giocatori 2026_27'!$A$3:$A$493,0)),"")</f>
        <v/>
      </c>
      <c r="F468" s="24" t="str">
        <f>IFERROR(INDEX('Output Utente'!$N$2:$N$492,MATCH(465,'Output Utente'!$R$2:$R$492,0)),"")</f>
        <v/>
      </c>
      <c r="G468" s="23" t="str">
        <f>IFERROR(INDEX('Output Utente'!$O$2:$O$492,MATCH(465,'Output Utente'!$R$2:$R$492,0)),"")</f>
        <v/>
      </c>
      <c r="H468" s="23" t="str">
        <f>IFERROR(INDEX('Output Utente'!$P$2:$P$492,MATCH(465,'Output Utente'!$R$2:$R$492,0)),"")</f>
        <v/>
      </c>
      <c r="I468" s="24" t="str">
        <f>IFERROR(INDEX('Output Utente'!$F$2:$F$492,MATCH(465,'Output Utente'!$R$2:$R$492,0)),"")</f>
        <v/>
      </c>
      <c r="J468" s="24" t="str">
        <f>IFERROR(INDEX('Output Utente'!$G$2:$G$492,MATCH(465,'Output Utente'!$R$2:$R$492,0)),"")</f>
        <v/>
      </c>
      <c r="K468" s="24" t="str">
        <f>IFERROR(INDEX('Output Utente'!$H$2:$H$492,MATCH(465,'Output Utente'!$R$2:$R$492,0)),"")</f>
        <v/>
      </c>
      <c r="L468" s="23" t="str">
        <f>IFERROR(INDEX('Output Utente'!$E$2:$E$492,MATCH(465,'Output Utente'!$R$2:$R$492,0)),"")</f>
        <v/>
      </c>
      <c r="V468" t="str">
        <f>IFERROR(INDEX('Output Utente'!$M$2:$M$492,MATCH(465,'Output Utente'!$R$2:$R$492,0)),"")</f>
        <v/>
      </c>
      <c r="W468" t="str">
        <f t="shared" si="7"/>
        <v/>
      </c>
      <c r="X468" t="str">
        <f>IFERROR(INDEX('Output Utente'!$AF$2:$AF$492,MATCH(465,'Output Utente'!$R$2:$R$492,0)),"")</f>
        <v/>
      </c>
    </row>
    <row r="469" spans="1:24" ht="15" customHeight="1" x14ac:dyDescent="0.25">
      <c r="A469" s="26">
        <v>466</v>
      </c>
      <c r="B469" s="23" t="str">
        <f>IFERROR(INDEX('Output Utente'!$A$2:$A$492,MATCH(466,'Output Utente'!$R$2:$R$492,0)),"")</f>
        <v/>
      </c>
      <c r="C469" s="23" t="str">
        <f>IFERROR(INDEX('Output Utente'!$B$2:$B$492,MATCH(466,'Output Utente'!$R$2:$R$492,0)),"")</f>
        <v/>
      </c>
      <c r="D469" s="23" t="str">
        <f>IFERROR(INDEX('Output Utente'!$C$2:$C$492,MATCH(466,'Output Utente'!$R$2:$R$492,0)),"")</f>
        <v/>
      </c>
      <c r="E469" s="23" t="str">
        <f>IFERROR(INDEX('Input Giocatori 2026_27'!$D$3:$D$493,MATCH($B469,'Input Giocatori 2026_27'!$A$3:$A$493,0)),"")</f>
        <v/>
      </c>
      <c r="F469" s="24" t="str">
        <f>IFERROR(INDEX('Output Utente'!$N$2:$N$492,MATCH(466,'Output Utente'!$R$2:$R$492,0)),"")</f>
        <v/>
      </c>
      <c r="G469" s="23" t="str">
        <f>IFERROR(INDEX('Output Utente'!$O$2:$O$492,MATCH(466,'Output Utente'!$R$2:$R$492,0)),"")</f>
        <v/>
      </c>
      <c r="H469" s="23" t="str">
        <f>IFERROR(INDEX('Output Utente'!$P$2:$P$492,MATCH(466,'Output Utente'!$R$2:$R$492,0)),"")</f>
        <v/>
      </c>
      <c r="I469" s="24" t="str">
        <f>IFERROR(INDEX('Output Utente'!$F$2:$F$492,MATCH(466,'Output Utente'!$R$2:$R$492,0)),"")</f>
        <v/>
      </c>
      <c r="J469" s="24" t="str">
        <f>IFERROR(INDEX('Output Utente'!$G$2:$G$492,MATCH(466,'Output Utente'!$R$2:$R$492,0)),"")</f>
        <v/>
      </c>
      <c r="K469" s="24" t="str">
        <f>IFERROR(INDEX('Output Utente'!$H$2:$H$492,MATCH(466,'Output Utente'!$R$2:$R$492,0)),"")</f>
        <v/>
      </c>
      <c r="L469" s="23" t="str">
        <f>IFERROR(INDEX('Output Utente'!$E$2:$E$492,MATCH(466,'Output Utente'!$R$2:$R$492,0)),"")</f>
        <v/>
      </c>
      <c r="V469" t="str">
        <f>IFERROR(INDEX('Output Utente'!$M$2:$M$492,MATCH(466,'Output Utente'!$R$2:$R$492,0)),"")</f>
        <v/>
      </c>
      <c r="W469" t="str">
        <f t="shared" si="7"/>
        <v/>
      </c>
      <c r="X469" t="str">
        <f>IFERROR(INDEX('Output Utente'!$AF$2:$AF$492,MATCH(466,'Output Utente'!$R$2:$R$492,0)),"")</f>
        <v/>
      </c>
    </row>
    <row r="470" spans="1:24" ht="15" customHeight="1" x14ac:dyDescent="0.25">
      <c r="A470" s="26">
        <v>467</v>
      </c>
      <c r="B470" s="23" t="str">
        <f>IFERROR(INDEX('Output Utente'!$A$2:$A$492,MATCH(467,'Output Utente'!$R$2:$R$492,0)),"")</f>
        <v/>
      </c>
      <c r="C470" s="23" t="str">
        <f>IFERROR(INDEX('Output Utente'!$B$2:$B$492,MATCH(467,'Output Utente'!$R$2:$R$492,0)),"")</f>
        <v/>
      </c>
      <c r="D470" s="23" t="str">
        <f>IFERROR(INDEX('Output Utente'!$C$2:$C$492,MATCH(467,'Output Utente'!$R$2:$R$492,0)),"")</f>
        <v/>
      </c>
      <c r="E470" s="23" t="str">
        <f>IFERROR(INDEX('Input Giocatori 2026_27'!$D$3:$D$493,MATCH($B470,'Input Giocatori 2026_27'!$A$3:$A$493,0)),"")</f>
        <v/>
      </c>
      <c r="F470" s="24" t="str">
        <f>IFERROR(INDEX('Output Utente'!$N$2:$N$492,MATCH(467,'Output Utente'!$R$2:$R$492,0)),"")</f>
        <v/>
      </c>
      <c r="G470" s="23" t="str">
        <f>IFERROR(INDEX('Output Utente'!$O$2:$O$492,MATCH(467,'Output Utente'!$R$2:$R$492,0)),"")</f>
        <v/>
      </c>
      <c r="H470" s="23" t="str">
        <f>IFERROR(INDEX('Output Utente'!$P$2:$P$492,MATCH(467,'Output Utente'!$R$2:$R$492,0)),"")</f>
        <v/>
      </c>
      <c r="I470" s="24" t="str">
        <f>IFERROR(INDEX('Output Utente'!$F$2:$F$492,MATCH(467,'Output Utente'!$R$2:$R$492,0)),"")</f>
        <v/>
      </c>
      <c r="J470" s="24" t="str">
        <f>IFERROR(INDEX('Output Utente'!$G$2:$G$492,MATCH(467,'Output Utente'!$R$2:$R$492,0)),"")</f>
        <v/>
      </c>
      <c r="K470" s="24" t="str">
        <f>IFERROR(INDEX('Output Utente'!$H$2:$H$492,MATCH(467,'Output Utente'!$R$2:$R$492,0)),"")</f>
        <v/>
      </c>
      <c r="L470" s="23" t="str">
        <f>IFERROR(INDEX('Output Utente'!$E$2:$E$492,MATCH(467,'Output Utente'!$R$2:$R$492,0)),"")</f>
        <v/>
      </c>
      <c r="V470" t="str">
        <f>IFERROR(INDEX('Output Utente'!$M$2:$M$492,MATCH(467,'Output Utente'!$R$2:$R$492,0)),"")</f>
        <v/>
      </c>
      <c r="W470" t="str">
        <f t="shared" si="7"/>
        <v/>
      </c>
      <c r="X470" t="str">
        <f>IFERROR(INDEX('Output Utente'!$AF$2:$AF$492,MATCH(467,'Output Utente'!$R$2:$R$492,0)),"")</f>
        <v/>
      </c>
    </row>
    <row r="471" spans="1:24" ht="15" customHeight="1" x14ac:dyDescent="0.25">
      <c r="A471" s="26">
        <v>468</v>
      </c>
      <c r="B471" s="23" t="str">
        <f>IFERROR(INDEX('Output Utente'!$A$2:$A$492,MATCH(468,'Output Utente'!$R$2:$R$492,0)),"")</f>
        <v/>
      </c>
      <c r="C471" s="23" t="str">
        <f>IFERROR(INDEX('Output Utente'!$B$2:$B$492,MATCH(468,'Output Utente'!$R$2:$R$492,0)),"")</f>
        <v/>
      </c>
      <c r="D471" s="23" t="str">
        <f>IFERROR(INDEX('Output Utente'!$C$2:$C$492,MATCH(468,'Output Utente'!$R$2:$R$492,0)),"")</f>
        <v/>
      </c>
      <c r="E471" s="23" t="str">
        <f>IFERROR(INDEX('Input Giocatori 2026_27'!$D$3:$D$493,MATCH($B471,'Input Giocatori 2026_27'!$A$3:$A$493,0)),"")</f>
        <v/>
      </c>
      <c r="F471" s="24" t="str">
        <f>IFERROR(INDEX('Output Utente'!$N$2:$N$492,MATCH(468,'Output Utente'!$R$2:$R$492,0)),"")</f>
        <v/>
      </c>
      <c r="G471" s="23" t="str">
        <f>IFERROR(INDEX('Output Utente'!$O$2:$O$492,MATCH(468,'Output Utente'!$R$2:$R$492,0)),"")</f>
        <v/>
      </c>
      <c r="H471" s="23" t="str">
        <f>IFERROR(INDEX('Output Utente'!$P$2:$P$492,MATCH(468,'Output Utente'!$R$2:$R$492,0)),"")</f>
        <v/>
      </c>
      <c r="I471" s="24" t="str">
        <f>IFERROR(INDEX('Output Utente'!$F$2:$F$492,MATCH(468,'Output Utente'!$R$2:$R$492,0)),"")</f>
        <v/>
      </c>
      <c r="J471" s="24" t="str">
        <f>IFERROR(INDEX('Output Utente'!$G$2:$G$492,MATCH(468,'Output Utente'!$R$2:$R$492,0)),"")</f>
        <v/>
      </c>
      <c r="K471" s="24" t="str">
        <f>IFERROR(INDEX('Output Utente'!$H$2:$H$492,MATCH(468,'Output Utente'!$R$2:$R$492,0)),"")</f>
        <v/>
      </c>
      <c r="L471" s="23" t="str">
        <f>IFERROR(INDEX('Output Utente'!$E$2:$E$492,MATCH(468,'Output Utente'!$R$2:$R$492,0)),"")</f>
        <v/>
      </c>
      <c r="V471" t="str">
        <f>IFERROR(INDEX('Output Utente'!$M$2:$M$492,MATCH(468,'Output Utente'!$R$2:$R$492,0)),"")</f>
        <v/>
      </c>
      <c r="W471" t="str">
        <f t="shared" si="7"/>
        <v/>
      </c>
      <c r="X471" t="str">
        <f>IFERROR(INDEX('Output Utente'!$AF$2:$AF$492,MATCH(468,'Output Utente'!$R$2:$R$492,0)),"")</f>
        <v/>
      </c>
    </row>
    <row r="472" spans="1:24" ht="15" customHeight="1" x14ac:dyDescent="0.25">
      <c r="A472" s="26">
        <v>469</v>
      </c>
      <c r="B472" s="23" t="str">
        <f>IFERROR(INDEX('Output Utente'!$A$2:$A$492,MATCH(469,'Output Utente'!$R$2:$R$492,0)),"")</f>
        <v/>
      </c>
      <c r="C472" s="23" t="str">
        <f>IFERROR(INDEX('Output Utente'!$B$2:$B$492,MATCH(469,'Output Utente'!$R$2:$R$492,0)),"")</f>
        <v/>
      </c>
      <c r="D472" s="23" t="str">
        <f>IFERROR(INDEX('Output Utente'!$C$2:$C$492,MATCH(469,'Output Utente'!$R$2:$R$492,0)),"")</f>
        <v/>
      </c>
      <c r="E472" s="23" t="str">
        <f>IFERROR(INDEX('Input Giocatori 2026_27'!$D$3:$D$493,MATCH($B472,'Input Giocatori 2026_27'!$A$3:$A$493,0)),"")</f>
        <v/>
      </c>
      <c r="F472" s="24" t="str">
        <f>IFERROR(INDEX('Output Utente'!$N$2:$N$492,MATCH(469,'Output Utente'!$R$2:$R$492,0)),"")</f>
        <v/>
      </c>
      <c r="G472" s="23" t="str">
        <f>IFERROR(INDEX('Output Utente'!$O$2:$O$492,MATCH(469,'Output Utente'!$R$2:$R$492,0)),"")</f>
        <v/>
      </c>
      <c r="H472" s="23" t="str">
        <f>IFERROR(INDEX('Output Utente'!$P$2:$P$492,MATCH(469,'Output Utente'!$R$2:$R$492,0)),"")</f>
        <v/>
      </c>
      <c r="I472" s="24" t="str">
        <f>IFERROR(INDEX('Output Utente'!$F$2:$F$492,MATCH(469,'Output Utente'!$R$2:$R$492,0)),"")</f>
        <v/>
      </c>
      <c r="J472" s="24" t="str">
        <f>IFERROR(INDEX('Output Utente'!$G$2:$G$492,MATCH(469,'Output Utente'!$R$2:$R$492,0)),"")</f>
        <v/>
      </c>
      <c r="K472" s="24" t="str">
        <f>IFERROR(INDEX('Output Utente'!$H$2:$H$492,MATCH(469,'Output Utente'!$R$2:$R$492,0)),"")</f>
        <v/>
      </c>
      <c r="L472" s="23" t="str">
        <f>IFERROR(INDEX('Output Utente'!$E$2:$E$492,MATCH(469,'Output Utente'!$R$2:$R$492,0)),"")</f>
        <v/>
      </c>
      <c r="V472" t="str">
        <f>IFERROR(INDEX('Output Utente'!$M$2:$M$492,MATCH(469,'Output Utente'!$R$2:$R$492,0)),"")</f>
        <v/>
      </c>
      <c r="W472" t="str">
        <f t="shared" si="7"/>
        <v/>
      </c>
      <c r="X472" t="str">
        <f>IFERROR(INDEX('Output Utente'!$AF$2:$AF$492,MATCH(469,'Output Utente'!$R$2:$R$492,0)),"")</f>
        <v/>
      </c>
    </row>
    <row r="473" spans="1:24" ht="15" customHeight="1" x14ac:dyDescent="0.25">
      <c r="A473" s="26">
        <v>470</v>
      </c>
      <c r="B473" s="23" t="str">
        <f>IFERROR(INDEX('Output Utente'!$A$2:$A$492,MATCH(470,'Output Utente'!$R$2:$R$492,0)),"")</f>
        <v/>
      </c>
      <c r="C473" s="23" t="str">
        <f>IFERROR(INDEX('Output Utente'!$B$2:$B$492,MATCH(470,'Output Utente'!$R$2:$R$492,0)),"")</f>
        <v/>
      </c>
      <c r="D473" s="23" t="str">
        <f>IFERROR(INDEX('Output Utente'!$C$2:$C$492,MATCH(470,'Output Utente'!$R$2:$R$492,0)),"")</f>
        <v/>
      </c>
      <c r="E473" s="23" t="str">
        <f>IFERROR(INDEX('Input Giocatori 2026_27'!$D$3:$D$493,MATCH($B473,'Input Giocatori 2026_27'!$A$3:$A$493,0)),"")</f>
        <v/>
      </c>
      <c r="F473" s="24" t="str">
        <f>IFERROR(INDEX('Output Utente'!$N$2:$N$492,MATCH(470,'Output Utente'!$R$2:$R$492,0)),"")</f>
        <v/>
      </c>
      <c r="G473" s="23" t="str">
        <f>IFERROR(INDEX('Output Utente'!$O$2:$O$492,MATCH(470,'Output Utente'!$R$2:$R$492,0)),"")</f>
        <v/>
      </c>
      <c r="H473" s="23" t="str">
        <f>IFERROR(INDEX('Output Utente'!$P$2:$P$492,MATCH(470,'Output Utente'!$R$2:$R$492,0)),"")</f>
        <v/>
      </c>
      <c r="I473" s="24" t="str">
        <f>IFERROR(INDEX('Output Utente'!$F$2:$F$492,MATCH(470,'Output Utente'!$R$2:$R$492,0)),"")</f>
        <v/>
      </c>
      <c r="J473" s="24" t="str">
        <f>IFERROR(INDEX('Output Utente'!$G$2:$G$492,MATCH(470,'Output Utente'!$R$2:$R$492,0)),"")</f>
        <v/>
      </c>
      <c r="K473" s="24" t="str">
        <f>IFERROR(INDEX('Output Utente'!$H$2:$H$492,MATCH(470,'Output Utente'!$R$2:$R$492,0)),"")</f>
        <v/>
      </c>
      <c r="L473" s="23" t="str">
        <f>IFERROR(INDEX('Output Utente'!$E$2:$E$492,MATCH(470,'Output Utente'!$R$2:$R$492,0)),"")</f>
        <v/>
      </c>
      <c r="V473" t="str">
        <f>IFERROR(INDEX('Output Utente'!$M$2:$M$492,MATCH(470,'Output Utente'!$R$2:$R$492,0)),"")</f>
        <v/>
      </c>
      <c r="W473" t="str">
        <f t="shared" si="7"/>
        <v/>
      </c>
      <c r="X473" t="str">
        <f>IFERROR(INDEX('Output Utente'!$AF$2:$AF$492,MATCH(470,'Output Utente'!$R$2:$R$492,0)),"")</f>
        <v/>
      </c>
    </row>
    <row r="474" spans="1:24" ht="15" customHeight="1" x14ac:dyDescent="0.25">
      <c r="A474" s="26">
        <v>471</v>
      </c>
      <c r="B474" s="23" t="str">
        <f>IFERROR(INDEX('Output Utente'!$A$2:$A$492,MATCH(471,'Output Utente'!$R$2:$R$492,0)),"")</f>
        <v/>
      </c>
      <c r="C474" s="23" t="str">
        <f>IFERROR(INDEX('Output Utente'!$B$2:$B$492,MATCH(471,'Output Utente'!$R$2:$R$492,0)),"")</f>
        <v/>
      </c>
      <c r="D474" s="23" t="str">
        <f>IFERROR(INDEX('Output Utente'!$C$2:$C$492,MATCH(471,'Output Utente'!$R$2:$R$492,0)),"")</f>
        <v/>
      </c>
      <c r="E474" s="23" t="str">
        <f>IFERROR(INDEX('Input Giocatori 2026_27'!$D$3:$D$493,MATCH($B474,'Input Giocatori 2026_27'!$A$3:$A$493,0)),"")</f>
        <v/>
      </c>
      <c r="F474" s="24" t="str">
        <f>IFERROR(INDEX('Output Utente'!$N$2:$N$492,MATCH(471,'Output Utente'!$R$2:$R$492,0)),"")</f>
        <v/>
      </c>
      <c r="G474" s="23" t="str">
        <f>IFERROR(INDEX('Output Utente'!$O$2:$O$492,MATCH(471,'Output Utente'!$R$2:$R$492,0)),"")</f>
        <v/>
      </c>
      <c r="H474" s="23" t="str">
        <f>IFERROR(INDEX('Output Utente'!$P$2:$P$492,MATCH(471,'Output Utente'!$R$2:$R$492,0)),"")</f>
        <v/>
      </c>
      <c r="I474" s="24" t="str">
        <f>IFERROR(INDEX('Output Utente'!$F$2:$F$492,MATCH(471,'Output Utente'!$R$2:$R$492,0)),"")</f>
        <v/>
      </c>
      <c r="J474" s="24" t="str">
        <f>IFERROR(INDEX('Output Utente'!$G$2:$G$492,MATCH(471,'Output Utente'!$R$2:$R$492,0)),"")</f>
        <v/>
      </c>
      <c r="K474" s="24" t="str">
        <f>IFERROR(INDEX('Output Utente'!$H$2:$H$492,MATCH(471,'Output Utente'!$R$2:$R$492,0)),"")</f>
        <v/>
      </c>
      <c r="L474" s="23" t="str">
        <f>IFERROR(INDEX('Output Utente'!$E$2:$E$492,MATCH(471,'Output Utente'!$R$2:$R$492,0)),"")</f>
        <v/>
      </c>
      <c r="V474" t="str">
        <f>IFERROR(INDEX('Output Utente'!$M$2:$M$492,MATCH(471,'Output Utente'!$R$2:$R$492,0)),"")</f>
        <v/>
      </c>
      <c r="W474" t="str">
        <f t="shared" si="7"/>
        <v/>
      </c>
      <c r="X474" t="str">
        <f>IFERROR(INDEX('Output Utente'!$AF$2:$AF$492,MATCH(471,'Output Utente'!$R$2:$R$492,0)),"")</f>
        <v/>
      </c>
    </row>
    <row r="475" spans="1:24" ht="15" customHeight="1" x14ac:dyDescent="0.25">
      <c r="A475" s="26">
        <v>472</v>
      </c>
      <c r="B475" s="23" t="str">
        <f>IFERROR(INDEX('Output Utente'!$A$2:$A$492,MATCH(472,'Output Utente'!$R$2:$R$492,0)),"")</f>
        <v/>
      </c>
      <c r="C475" s="23" t="str">
        <f>IFERROR(INDEX('Output Utente'!$B$2:$B$492,MATCH(472,'Output Utente'!$R$2:$R$492,0)),"")</f>
        <v/>
      </c>
      <c r="D475" s="23" t="str">
        <f>IFERROR(INDEX('Output Utente'!$C$2:$C$492,MATCH(472,'Output Utente'!$R$2:$R$492,0)),"")</f>
        <v/>
      </c>
      <c r="E475" s="23" t="str">
        <f>IFERROR(INDEX('Input Giocatori 2026_27'!$D$3:$D$493,MATCH($B475,'Input Giocatori 2026_27'!$A$3:$A$493,0)),"")</f>
        <v/>
      </c>
      <c r="F475" s="24" t="str">
        <f>IFERROR(INDEX('Output Utente'!$N$2:$N$492,MATCH(472,'Output Utente'!$R$2:$R$492,0)),"")</f>
        <v/>
      </c>
      <c r="G475" s="23" t="str">
        <f>IFERROR(INDEX('Output Utente'!$O$2:$O$492,MATCH(472,'Output Utente'!$R$2:$R$492,0)),"")</f>
        <v/>
      </c>
      <c r="H475" s="23" t="str">
        <f>IFERROR(INDEX('Output Utente'!$P$2:$P$492,MATCH(472,'Output Utente'!$R$2:$R$492,0)),"")</f>
        <v/>
      </c>
      <c r="I475" s="24" t="str">
        <f>IFERROR(INDEX('Output Utente'!$F$2:$F$492,MATCH(472,'Output Utente'!$R$2:$R$492,0)),"")</f>
        <v/>
      </c>
      <c r="J475" s="24" t="str">
        <f>IFERROR(INDEX('Output Utente'!$G$2:$G$492,MATCH(472,'Output Utente'!$R$2:$R$492,0)),"")</f>
        <v/>
      </c>
      <c r="K475" s="24" t="str">
        <f>IFERROR(INDEX('Output Utente'!$H$2:$H$492,MATCH(472,'Output Utente'!$R$2:$R$492,0)),"")</f>
        <v/>
      </c>
      <c r="L475" s="23" t="str">
        <f>IFERROR(INDEX('Output Utente'!$E$2:$E$492,MATCH(472,'Output Utente'!$R$2:$R$492,0)),"")</f>
        <v/>
      </c>
      <c r="V475" t="str">
        <f>IFERROR(INDEX('Output Utente'!$M$2:$M$492,MATCH(472,'Output Utente'!$R$2:$R$492,0)),"")</f>
        <v/>
      </c>
      <c r="W475" t="str">
        <f t="shared" si="7"/>
        <v/>
      </c>
      <c r="X475" t="str">
        <f>IFERROR(INDEX('Output Utente'!$AF$2:$AF$492,MATCH(472,'Output Utente'!$R$2:$R$492,0)),"")</f>
        <v/>
      </c>
    </row>
    <row r="476" spans="1:24" ht="15" customHeight="1" x14ac:dyDescent="0.25">
      <c r="A476" s="26">
        <v>473</v>
      </c>
      <c r="B476" s="23" t="str">
        <f>IFERROR(INDEX('Output Utente'!$A$2:$A$492,MATCH(473,'Output Utente'!$R$2:$R$492,0)),"")</f>
        <v/>
      </c>
      <c r="C476" s="23" t="str">
        <f>IFERROR(INDEX('Output Utente'!$B$2:$B$492,MATCH(473,'Output Utente'!$R$2:$R$492,0)),"")</f>
        <v/>
      </c>
      <c r="D476" s="23" t="str">
        <f>IFERROR(INDEX('Output Utente'!$C$2:$C$492,MATCH(473,'Output Utente'!$R$2:$R$492,0)),"")</f>
        <v/>
      </c>
      <c r="E476" s="23" t="str">
        <f>IFERROR(INDEX('Input Giocatori 2026_27'!$D$3:$D$493,MATCH($B476,'Input Giocatori 2026_27'!$A$3:$A$493,0)),"")</f>
        <v/>
      </c>
      <c r="F476" s="24" t="str">
        <f>IFERROR(INDEX('Output Utente'!$N$2:$N$492,MATCH(473,'Output Utente'!$R$2:$R$492,0)),"")</f>
        <v/>
      </c>
      <c r="G476" s="23" t="str">
        <f>IFERROR(INDEX('Output Utente'!$O$2:$O$492,MATCH(473,'Output Utente'!$R$2:$R$492,0)),"")</f>
        <v/>
      </c>
      <c r="H476" s="23" t="str">
        <f>IFERROR(INDEX('Output Utente'!$P$2:$P$492,MATCH(473,'Output Utente'!$R$2:$R$492,0)),"")</f>
        <v/>
      </c>
      <c r="I476" s="24" t="str">
        <f>IFERROR(INDEX('Output Utente'!$F$2:$F$492,MATCH(473,'Output Utente'!$R$2:$R$492,0)),"")</f>
        <v/>
      </c>
      <c r="J476" s="24" t="str">
        <f>IFERROR(INDEX('Output Utente'!$G$2:$G$492,MATCH(473,'Output Utente'!$R$2:$R$492,0)),"")</f>
        <v/>
      </c>
      <c r="K476" s="24" t="str">
        <f>IFERROR(INDEX('Output Utente'!$H$2:$H$492,MATCH(473,'Output Utente'!$R$2:$R$492,0)),"")</f>
        <v/>
      </c>
      <c r="L476" s="23" t="str">
        <f>IFERROR(INDEX('Output Utente'!$E$2:$E$492,MATCH(473,'Output Utente'!$R$2:$R$492,0)),"")</f>
        <v/>
      </c>
      <c r="V476" t="str">
        <f>IFERROR(INDEX('Output Utente'!$M$2:$M$492,MATCH(473,'Output Utente'!$R$2:$R$492,0)),"")</f>
        <v/>
      </c>
      <c r="W476" t="str">
        <f t="shared" si="7"/>
        <v/>
      </c>
      <c r="X476" t="str">
        <f>IFERROR(INDEX('Output Utente'!$AF$2:$AF$492,MATCH(473,'Output Utente'!$R$2:$R$492,0)),"")</f>
        <v/>
      </c>
    </row>
    <row r="477" spans="1:24" ht="15" customHeight="1" x14ac:dyDescent="0.25">
      <c r="A477" s="26">
        <v>474</v>
      </c>
      <c r="B477" s="23" t="str">
        <f>IFERROR(INDEX('Output Utente'!$A$2:$A$492,MATCH(474,'Output Utente'!$R$2:$R$492,0)),"")</f>
        <v/>
      </c>
      <c r="C477" s="23" t="str">
        <f>IFERROR(INDEX('Output Utente'!$B$2:$B$492,MATCH(474,'Output Utente'!$R$2:$R$492,0)),"")</f>
        <v/>
      </c>
      <c r="D477" s="23" t="str">
        <f>IFERROR(INDEX('Output Utente'!$C$2:$C$492,MATCH(474,'Output Utente'!$R$2:$R$492,0)),"")</f>
        <v/>
      </c>
      <c r="E477" s="23" t="str">
        <f>IFERROR(INDEX('Input Giocatori 2026_27'!$D$3:$D$493,MATCH($B477,'Input Giocatori 2026_27'!$A$3:$A$493,0)),"")</f>
        <v/>
      </c>
      <c r="F477" s="24" t="str">
        <f>IFERROR(INDEX('Output Utente'!$N$2:$N$492,MATCH(474,'Output Utente'!$R$2:$R$492,0)),"")</f>
        <v/>
      </c>
      <c r="G477" s="23" t="str">
        <f>IFERROR(INDEX('Output Utente'!$O$2:$O$492,MATCH(474,'Output Utente'!$R$2:$R$492,0)),"")</f>
        <v/>
      </c>
      <c r="H477" s="23" t="str">
        <f>IFERROR(INDEX('Output Utente'!$P$2:$P$492,MATCH(474,'Output Utente'!$R$2:$R$492,0)),"")</f>
        <v/>
      </c>
      <c r="I477" s="24" t="str">
        <f>IFERROR(INDEX('Output Utente'!$F$2:$F$492,MATCH(474,'Output Utente'!$R$2:$R$492,0)),"")</f>
        <v/>
      </c>
      <c r="J477" s="24" t="str">
        <f>IFERROR(INDEX('Output Utente'!$G$2:$G$492,MATCH(474,'Output Utente'!$R$2:$R$492,0)),"")</f>
        <v/>
      </c>
      <c r="K477" s="24" t="str">
        <f>IFERROR(INDEX('Output Utente'!$H$2:$H$492,MATCH(474,'Output Utente'!$R$2:$R$492,0)),"")</f>
        <v/>
      </c>
      <c r="L477" s="23" t="str">
        <f>IFERROR(INDEX('Output Utente'!$E$2:$E$492,MATCH(474,'Output Utente'!$R$2:$R$492,0)),"")</f>
        <v/>
      </c>
      <c r="V477" t="str">
        <f>IFERROR(INDEX('Output Utente'!$M$2:$M$492,MATCH(474,'Output Utente'!$R$2:$R$492,0)),"")</f>
        <v/>
      </c>
      <c r="W477" t="str">
        <f t="shared" si="7"/>
        <v/>
      </c>
      <c r="X477" t="str">
        <f>IFERROR(INDEX('Output Utente'!$AF$2:$AF$492,MATCH(474,'Output Utente'!$R$2:$R$492,0)),"")</f>
        <v/>
      </c>
    </row>
    <row r="478" spans="1:24" ht="15" customHeight="1" x14ac:dyDescent="0.25">
      <c r="A478" s="26">
        <v>475</v>
      </c>
      <c r="B478" s="23" t="str">
        <f>IFERROR(INDEX('Output Utente'!$A$2:$A$492,MATCH(475,'Output Utente'!$R$2:$R$492,0)),"")</f>
        <v/>
      </c>
      <c r="C478" s="23" t="str">
        <f>IFERROR(INDEX('Output Utente'!$B$2:$B$492,MATCH(475,'Output Utente'!$R$2:$R$492,0)),"")</f>
        <v/>
      </c>
      <c r="D478" s="23" t="str">
        <f>IFERROR(INDEX('Output Utente'!$C$2:$C$492,MATCH(475,'Output Utente'!$R$2:$R$492,0)),"")</f>
        <v/>
      </c>
      <c r="E478" s="23" t="str">
        <f>IFERROR(INDEX('Input Giocatori 2026_27'!$D$3:$D$493,MATCH($B478,'Input Giocatori 2026_27'!$A$3:$A$493,0)),"")</f>
        <v/>
      </c>
      <c r="F478" s="24" t="str">
        <f>IFERROR(INDEX('Output Utente'!$N$2:$N$492,MATCH(475,'Output Utente'!$R$2:$R$492,0)),"")</f>
        <v/>
      </c>
      <c r="G478" s="23" t="str">
        <f>IFERROR(INDEX('Output Utente'!$O$2:$O$492,MATCH(475,'Output Utente'!$R$2:$R$492,0)),"")</f>
        <v/>
      </c>
      <c r="H478" s="23" t="str">
        <f>IFERROR(INDEX('Output Utente'!$P$2:$P$492,MATCH(475,'Output Utente'!$R$2:$R$492,0)),"")</f>
        <v/>
      </c>
      <c r="I478" s="24" t="str">
        <f>IFERROR(INDEX('Output Utente'!$F$2:$F$492,MATCH(475,'Output Utente'!$R$2:$R$492,0)),"")</f>
        <v/>
      </c>
      <c r="J478" s="24" t="str">
        <f>IFERROR(INDEX('Output Utente'!$G$2:$G$492,MATCH(475,'Output Utente'!$R$2:$R$492,0)),"")</f>
        <v/>
      </c>
      <c r="K478" s="24" t="str">
        <f>IFERROR(INDEX('Output Utente'!$H$2:$H$492,MATCH(475,'Output Utente'!$R$2:$R$492,0)),"")</f>
        <v/>
      </c>
      <c r="L478" s="23" t="str">
        <f>IFERROR(INDEX('Output Utente'!$E$2:$E$492,MATCH(475,'Output Utente'!$R$2:$R$492,0)),"")</f>
        <v/>
      </c>
      <c r="V478" t="str">
        <f>IFERROR(INDEX('Output Utente'!$M$2:$M$492,MATCH(475,'Output Utente'!$R$2:$R$492,0)),"")</f>
        <v/>
      </c>
      <c r="W478" t="str">
        <f t="shared" si="7"/>
        <v/>
      </c>
      <c r="X478" t="str">
        <f>IFERROR(INDEX('Output Utente'!$AF$2:$AF$492,MATCH(475,'Output Utente'!$R$2:$R$492,0)),"")</f>
        <v/>
      </c>
    </row>
    <row r="479" spans="1:24" ht="15" customHeight="1" x14ac:dyDescent="0.25">
      <c r="A479" s="26">
        <v>476</v>
      </c>
      <c r="B479" s="23" t="str">
        <f>IFERROR(INDEX('Output Utente'!$A$2:$A$492,MATCH(476,'Output Utente'!$R$2:$R$492,0)),"")</f>
        <v/>
      </c>
      <c r="C479" s="23" t="str">
        <f>IFERROR(INDEX('Output Utente'!$B$2:$B$492,MATCH(476,'Output Utente'!$R$2:$R$492,0)),"")</f>
        <v/>
      </c>
      <c r="D479" s="23" t="str">
        <f>IFERROR(INDEX('Output Utente'!$C$2:$C$492,MATCH(476,'Output Utente'!$R$2:$R$492,0)),"")</f>
        <v/>
      </c>
      <c r="E479" s="23" t="str">
        <f>IFERROR(INDEX('Input Giocatori 2026_27'!$D$3:$D$493,MATCH($B479,'Input Giocatori 2026_27'!$A$3:$A$493,0)),"")</f>
        <v/>
      </c>
      <c r="F479" s="24" t="str">
        <f>IFERROR(INDEX('Output Utente'!$N$2:$N$492,MATCH(476,'Output Utente'!$R$2:$R$492,0)),"")</f>
        <v/>
      </c>
      <c r="G479" s="23" t="str">
        <f>IFERROR(INDEX('Output Utente'!$O$2:$O$492,MATCH(476,'Output Utente'!$R$2:$R$492,0)),"")</f>
        <v/>
      </c>
      <c r="H479" s="23" t="str">
        <f>IFERROR(INDEX('Output Utente'!$P$2:$P$492,MATCH(476,'Output Utente'!$R$2:$R$492,0)),"")</f>
        <v/>
      </c>
      <c r="I479" s="24" t="str">
        <f>IFERROR(INDEX('Output Utente'!$F$2:$F$492,MATCH(476,'Output Utente'!$R$2:$R$492,0)),"")</f>
        <v/>
      </c>
      <c r="J479" s="24" t="str">
        <f>IFERROR(INDEX('Output Utente'!$G$2:$G$492,MATCH(476,'Output Utente'!$R$2:$R$492,0)),"")</f>
        <v/>
      </c>
      <c r="K479" s="24" t="str">
        <f>IFERROR(INDEX('Output Utente'!$H$2:$H$492,MATCH(476,'Output Utente'!$R$2:$R$492,0)),"")</f>
        <v/>
      </c>
      <c r="L479" s="23" t="str">
        <f>IFERROR(INDEX('Output Utente'!$E$2:$E$492,MATCH(476,'Output Utente'!$R$2:$R$492,0)),"")</f>
        <v/>
      </c>
      <c r="V479" t="str">
        <f>IFERROR(INDEX('Output Utente'!$M$2:$M$492,MATCH(476,'Output Utente'!$R$2:$R$492,0)),"")</f>
        <v/>
      </c>
      <c r="W479" t="str">
        <f t="shared" si="7"/>
        <v/>
      </c>
      <c r="X479" t="str">
        <f>IFERROR(INDEX('Output Utente'!$AF$2:$AF$492,MATCH(476,'Output Utente'!$R$2:$R$492,0)),"")</f>
        <v/>
      </c>
    </row>
    <row r="480" spans="1:24" ht="15" customHeight="1" x14ac:dyDescent="0.25">
      <c r="A480" s="26">
        <v>477</v>
      </c>
      <c r="B480" s="23" t="str">
        <f>IFERROR(INDEX('Output Utente'!$A$2:$A$492,MATCH(477,'Output Utente'!$R$2:$R$492,0)),"")</f>
        <v/>
      </c>
      <c r="C480" s="23" t="str">
        <f>IFERROR(INDEX('Output Utente'!$B$2:$B$492,MATCH(477,'Output Utente'!$R$2:$R$492,0)),"")</f>
        <v/>
      </c>
      <c r="D480" s="23" t="str">
        <f>IFERROR(INDEX('Output Utente'!$C$2:$C$492,MATCH(477,'Output Utente'!$R$2:$R$492,0)),"")</f>
        <v/>
      </c>
      <c r="E480" s="23" t="str">
        <f>IFERROR(INDEX('Input Giocatori 2026_27'!$D$3:$D$493,MATCH($B480,'Input Giocatori 2026_27'!$A$3:$A$493,0)),"")</f>
        <v/>
      </c>
      <c r="F480" s="24" t="str">
        <f>IFERROR(INDEX('Output Utente'!$N$2:$N$492,MATCH(477,'Output Utente'!$R$2:$R$492,0)),"")</f>
        <v/>
      </c>
      <c r="G480" s="23" t="str">
        <f>IFERROR(INDEX('Output Utente'!$O$2:$O$492,MATCH(477,'Output Utente'!$R$2:$R$492,0)),"")</f>
        <v/>
      </c>
      <c r="H480" s="23" t="str">
        <f>IFERROR(INDEX('Output Utente'!$P$2:$P$492,MATCH(477,'Output Utente'!$R$2:$R$492,0)),"")</f>
        <v/>
      </c>
      <c r="I480" s="24" t="str">
        <f>IFERROR(INDEX('Output Utente'!$F$2:$F$492,MATCH(477,'Output Utente'!$R$2:$R$492,0)),"")</f>
        <v/>
      </c>
      <c r="J480" s="24" t="str">
        <f>IFERROR(INDEX('Output Utente'!$G$2:$G$492,MATCH(477,'Output Utente'!$R$2:$R$492,0)),"")</f>
        <v/>
      </c>
      <c r="K480" s="24" t="str">
        <f>IFERROR(INDEX('Output Utente'!$H$2:$H$492,MATCH(477,'Output Utente'!$R$2:$R$492,0)),"")</f>
        <v/>
      </c>
      <c r="L480" s="23" t="str">
        <f>IFERROR(INDEX('Output Utente'!$E$2:$E$492,MATCH(477,'Output Utente'!$R$2:$R$492,0)),"")</f>
        <v/>
      </c>
      <c r="V480" t="str">
        <f>IFERROR(INDEX('Output Utente'!$M$2:$M$492,MATCH(477,'Output Utente'!$R$2:$R$492,0)),"")</f>
        <v/>
      </c>
      <c r="W480" t="str">
        <f t="shared" si="7"/>
        <v/>
      </c>
      <c r="X480" t="str">
        <f>IFERROR(INDEX('Output Utente'!$AF$2:$AF$492,MATCH(477,'Output Utente'!$R$2:$R$492,0)),"")</f>
        <v/>
      </c>
    </row>
    <row r="481" spans="1:24" ht="15" customHeight="1" x14ac:dyDescent="0.25">
      <c r="A481" s="26">
        <v>478</v>
      </c>
      <c r="B481" s="23" t="str">
        <f>IFERROR(INDEX('Output Utente'!$A$2:$A$492,MATCH(478,'Output Utente'!$R$2:$R$492,0)),"")</f>
        <v/>
      </c>
      <c r="C481" s="23" t="str">
        <f>IFERROR(INDEX('Output Utente'!$B$2:$B$492,MATCH(478,'Output Utente'!$R$2:$R$492,0)),"")</f>
        <v/>
      </c>
      <c r="D481" s="23" t="str">
        <f>IFERROR(INDEX('Output Utente'!$C$2:$C$492,MATCH(478,'Output Utente'!$R$2:$R$492,0)),"")</f>
        <v/>
      </c>
      <c r="E481" s="23" t="str">
        <f>IFERROR(INDEX('Input Giocatori 2026_27'!$D$3:$D$493,MATCH($B481,'Input Giocatori 2026_27'!$A$3:$A$493,0)),"")</f>
        <v/>
      </c>
      <c r="F481" s="24" t="str">
        <f>IFERROR(INDEX('Output Utente'!$N$2:$N$492,MATCH(478,'Output Utente'!$R$2:$R$492,0)),"")</f>
        <v/>
      </c>
      <c r="G481" s="23" t="str">
        <f>IFERROR(INDEX('Output Utente'!$O$2:$O$492,MATCH(478,'Output Utente'!$R$2:$R$492,0)),"")</f>
        <v/>
      </c>
      <c r="H481" s="23" t="str">
        <f>IFERROR(INDEX('Output Utente'!$P$2:$P$492,MATCH(478,'Output Utente'!$R$2:$R$492,0)),"")</f>
        <v/>
      </c>
      <c r="I481" s="24" t="str">
        <f>IFERROR(INDEX('Output Utente'!$F$2:$F$492,MATCH(478,'Output Utente'!$R$2:$R$492,0)),"")</f>
        <v/>
      </c>
      <c r="J481" s="24" t="str">
        <f>IFERROR(INDEX('Output Utente'!$G$2:$G$492,MATCH(478,'Output Utente'!$R$2:$R$492,0)),"")</f>
        <v/>
      </c>
      <c r="K481" s="24" t="str">
        <f>IFERROR(INDEX('Output Utente'!$H$2:$H$492,MATCH(478,'Output Utente'!$R$2:$R$492,0)),"")</f>
        <v/>
      </c>
      <c r="L481" s="23" t="str">
        <f>IFERROR(INDEX('Output Utente'!$E$2:$E$492,MATCH(478,'Output Utente'!$R$2:$R$492,0)),"")</f>
        <v/>
      </c>
      <c r="V481" t="str">
        <f>IFERROR(INDEX('Output Utente'!$M$2:$M$492,MATCH(478,'Output Utente'!$R$2:$R$492,0)),"")</f>
        <v/>
      </c>
      <c r="W481" t="str">
        <f t="shared" si="7"/>
        <v/>
      </c>
      <c r="X481" t="str">
        <f>IFERROR(INDEX('Output Utente'!$AF$2:$AF$492,MATCH(478,'Output Utente'!$R$2:$R$492,0)),"")</f>
        <v/>
      </c>
    </row>
    <row r="482" spans="1:24" ht="15" customHeight="1" x14ac:dyDescent="0.25">
      <c r="A482" s="26">
        <v>479</v>
      </c>
      <c r="B482" s="23" t="str">
        <f>IFERROR(INDEX('Output Utente'!$A$2:$A$492,MATCH(479,'Output Utente'!$R$2:$R$492,0)),"")</f>
        <v/>
      </c>
      <c r="C482" s="23" t="str">
        <f>IFERROR(INDEX('Output Utente'!$B$2:$B$492,MATCH(479,'Output Utente'!$R$2:$R$492,0)),"")</f>
        <v/>
      </c>
      <c r="D482" s="23" t="str">
        <f>IFERROR(INDEX('Output Utente'!$C$2:$C$492,MATCH(479,'Output Utente'!$R$2:$R$492,0)),"")</f>
        <v/>
      </c>
      <c r="E482" s="23" t="str">
        <f>IFERROR(INDEX('Input Giocatori 2026_27'!$D$3:$D$493,MATCH($B482,'Input Giocatori 2026_27'!$A$3:$A$493,0)),"")</f>
        <v/>
      </c>
      <c r="F482" s="24" t="str">
        <f>IFERROR(INDEX('Output Utente'!$N$2:$N$492,MATCH(479,'Output Utente'!$R$2:$R$492,0)),"")</f>
        <v/>
      </c>
      <c r="G482" s="23" t="str">
        <f>IFERROR(INDEX('Output Utente'!$O$2:$O$492,MATCH(479,'Output Utente'!$R$2:$R$492,0)),"")</f>
        <v/>
      </c>
      <c r="H482" s="23" t="str">
        <f>IFERROR(INDEX('Output Utente'!$P$2:$P$492,MATCH(479,'Output Utente'!$R$2:$R$492,0)),"")</f>
        <v/>
      </c>
      <c r="I482" s="24" t="str">
        <f>IFERROR(INDEX('Output Utente'!$F$2:$F$492,MATCH(479,'Output Utente'!$R$2:$R$492,0)),"")</f>
        <v/>
      </c>
      <c r="J482" s="24" t="str">
        <f>IFERROR(INDEX('Output Utente'!$G$2:$G$492,MATCH(479,'Output Utente'!$R$2:$R$492,0)),"")</f>
        <v/>
      </c>
      <c r="K482" s="24" t="str">
        <f>IFERROR(INDEX('Output Utente'!$H$2:$H$492,MATCH(479,'Output Utente'!$R$2:$R$492,0)),"")</f>
        <v/>
      </c>
      <c r="L482" s="23" t="str">
        <f>IFERROR(INDEX('Output Utente'!$E$2:$E$492,MATCH(479,'Output Utente'!$R$2:$R$492,0)),"")</f>
        <v/>
      </c>
      <c r="V482" t="str">
        <f>IFERROR(INDEX('Output Utente'!$M$2:$M$492,MATCH(479,'Output Utente'!$R$2:$R$492,0)),"")</f>
        <v/>
      </c>
      <c r="W482" t="str">
        <f t="shared" si="7"/>
        <v/>
      </c>
      <c r="X482" t="str">
        <f>IFERROR(INDEX('Output Utente'!$AF$2:$AF$492,MATCH(479,'Output Utente'!$R$2:$R$492,0)),"")</f>
        <v/>
      </c>
    </row>
    <row r="483" spans="1:24" ht="15" customHeight="1" x14ac:dyDescent="0.25">
      <c r="A483" s="26">
        <v>480</v>
      </c>
      <c r="B483" s="23" t="str">
        <f>IFERROR(INDEX('Output Utente'!$A$2:$A$492,MATCH(480,'Output Utente'!$R$2:$R$492,0)),"")</f>
        <v/>
      </c>
      <c r="C483" s="23" t="str">
        <f>IFERROR(INDEX('Output Utente'!$B$2:$B$492,MATCH(480,'Output Utente'!$R$2:$R$492,0)),"")</f>
        <v/>
      </c>
      <c r="D483" s="23" t="str">
        <f>IFERROR(INDEX('Output Utente'!$C$2:$C$492,MATCH(480,'Output Utente'!$R$2:$R$492,0)),"")</f>
        <v/>
      </c>
      <c r="E483" s="23" t="str">
        <f>IFERROR(INDEX('Input Giocatori 2026_27'!$D$3:$D$493,MATCH($B483,'Input Giocatori 2026_27'!$A$3:$A$493,0)),"")</f>
        <v/>
      </c>
      <c r="F483" s="24" t="str">
        <f>IFERROR(INDEX('Output Utente'!$N$2:$N$492,MATCH(480,'Output Utente'!$R$2:$R$492,0)),"")</f>
        <v/>
      </c>
      <c r="G483" s="23" t="str">
        <f>IFERROR(INDEX('Output Utente'!$O$2:$O$492,MATCH(480,'Output Utente'!$R$2:$R$492,0)),"")</f>
        <v/>
      </c>
      <c r="H483" s="23" t="str">
        <f>IFERROR(INDEX('Output Utente'!$P$2:$P$492,MATCH(480,'Output Utente'!$R$2:$R$492,0)),"")</f>
        <v/>
      </c>
      <c r="I483" s="24" t="str">
        <f>IFERROR(INDEX('Output Utente'!$F$2:$F$492,MATCH(480,'Output Utente'!$R$2:$R$492,0)),"")</f>
        <v/>
      </c>
      <c r="J483" s="24" t="str">
        <f>IFERROR(INDEX('Output Utente'!$G$2:$G$492,MATCH(480,'Output Utente'!$R$2:$R$492,0)),"")</f>
        <v/>
      </c>
      <c r="K483" s="24" t="str">
        <f>IFERROR(INDEX('Output Utente'!$H$2:$H$492,MATCH(480,'Output Utente'!$R$2:$R$492,0)),"")</f>
        <v/>
      </c>
      <c r="L483" s="23" t="str">
        <f>IFERROR(INDEX('Output Utente'!$E$2:$E$492,MATCH(480,'Output Utente'!$R$2:$R$492,0)),"")</f>
        <v/>
      </c>
      <c r="V483" t="str">
        <f>IFERROR(INDEX('Output Utente'!$M$2:$M$492,MATCH(480,'Output Utente'!$R$2:$R$492,0)),"")</f>
        <v/>
      </c>
      <c r="W483" t="str">
        <f t="shared" si="7"/>
        <v/>
      </c>
      <c r="X483" t="str">
        <f>IFERROR(INDEX('Output Utente'!$AF$2:$AF$492,MATCH(480,'Output Utente'!$R$2:$R$492,0)),"")</f>
        <v/>
      </c>
    </row>
    <row r="484" spans="1:24" ht="15" customHeight="1" x14ac:dyDescent="0.25">
      <c r="A484" s="26">
        <v>481</v>
      </c>
      <c r="B484" s="23" t="str">
        <f>IFERROR(INDEX('Output Utente'!$A$2:$A$492,MATCH(481,'Output Utente'!$R$2:$R$492,0)),"")</f>
        <v/>
      </c>
      <c r="C484" s="23" t="str">
        <f>IFERROR(INDEX('Output Utente'!$B$2:$B$492,MATCH(481,'Output Utente'!$R$2:$R$492,0)),"")</f>
        <v/>
      </c>
      <c r="D484" s="23" t="str">
        <f>IFERROR(INDEX('Output Utente'!$C$2:$C$492,MATCH(481,'Output Utente'!$R$2:$R$492,0)),"")</f>
        <v/>
      </c>
      <c r="E484" s="23" t="str">
        <f>IFERROR(INDEX('Input Giocatori 2026_27'!$D$3:$D$493,MATCH($B484,'Input Giocatori 2026_27'!$A$3:$A$493,0)),"")</f>
        <v/>
      </c>
      <c r="F484" s="24" t="str">
        <f>IFERROR(INDEX('Output Utente'!$N$2:$N$492,MATCH(481,'Output Utente'!$R$2:$R$492,0)),"")</f>
        <v/>
      </c>
      <c r="G484" s="23" t="str">
        <f>IFERROR(INDEX('Output Utente'!$O$2:$O$492,MATCH(481,'Output Utente'!$R$2:$R$492,0)),"")</f>
        <v/>
      </c>
      <c r="H484" s="23" t="str">
        <f>IFERROR(INDEX('Output Utente'!$P$2:$P$492,MATCH(481,'Output Utente'!$R$2:$R$492,0)),"")</f>
        <v/>
      </c>
      <c r="I484" s="24" t="str">
        <f>IFERROR(INDEX('Output Utente'!$F$2:$F$492,MATCH(481,'Output Utente'!$R$2:$R$492,0)),"")</f>
        <v/>
      </c>
      <c r="J484" s="24" t="str">
        <f>IFERROR(INDEX('Output Utente'!$G$2:$G$492,MATCH(481,'Output Utente'!$R$2:$R$492,0)),"")</f>
        <v/>
      </c>
      <c r="K484" s="24" t="str">
        <f>IFERROR(INDEX('Output Utente'!$H$2:$H$492,MATCH(481,'Output Utente'!$R$2:$R$492,0)),"")</f>
        <v/>
      </c>
      <c r="L484" s="23" t="str">
        <f>IFERROR(INDEX('Output Utente'!$E$2:$E$492,MATCH(481,'Output Utente'!$R$2:$R$492,0)),"")</f>
        <v/>
      </c>
      <c r="V484" t="str">
        <f>IFERROR(INDEX('Output Utente'!$M$2:$M$492,MATCH(481,'Output Utente'!$R$2:$R$492,0)),"")</f>
        <v/>
      </c>
      <c r="W484" t="str">
        <f t="shared" si="7"/>
        <v/>
      </c>
      <c r="X484" t="str">
        <f>IFERROR(INDEX('Output Utente'!$AF$2:$AF$492,MATCH(481,'Output Utente'!$R$2:$R$492,0)),"")</f>
        <v/>
      </c>
    </row>
    <row r="485" spans="1:24" ht="15" customHeight="1" x14ac:dyDescent="0.25">
      <c r="A485" s="26">
        <v>482</v>
      </c>
      <c r="B485" s="23" t="str">
        <f>IFERROR(INDEX('Output Utente'!$A$2:$A$492,MATCH(482,'Output Utente'!$R$2:$R$492,0)),"")</f>
        <v/>
      </c>
      <c r="C485" s="23" t="str">
        <f>IFERROR(INDEX('Output Utente'!$B$2:$B$492,MATCH(482,'Output Utente'!$R$2:$R$492,0)),"")</f>
        <v/>
      </c>
      <c r="D485" s="23" t="str">
        <f>IFERROR(INDEX('Output Utente'!$C$2:$C$492,MATCH(482,'Output Utente'!$R$2:$R$492,0)),"")</f>
        <v/>
      </c>
      <c r="E485" s="23" t="str">
        <f>IFERROR(INDEX('Input Giocatori 2026_27'!$D$3:$D$493,MATCH($B485,'Input Giocatori 2026_27'!$A$3:$A$493,0)),"")</f>
        <v/>
      </c>
      <c r="F485" s="24" t="str">
        <f>IFERROR(INDEX('Output Utente'!$N$2:$N$492,MATCH(482,'Output Utente'!$R$2:$R$492,0)),"")</f>
        <v/>
      </c>
      <c r="G485" s="23" t="str">
        <f>IFERROR(INDEX('Output Utente'!$O$2:$O$492,MATCH(482,'Output Utente'!$R$2:$R$492,0)),"")</f>
        <v/>
      </c>
      <c r="H485" s="23" t="str">
        <f>IFERROR(INDEX('Output Utente'!$P$2:$P$492,MATCH(482,'Output Utente'!$R$2:$R$492,0)),"")</f>
        <v/>
      </c>
      <c r="I485" s="24" t="str">
        <f>IFERROR(INDEX('Output Utente'!$F$2:$F$492,MATCH(482,'Output Utente'!$R$2:$R$492,0)),"")</f>
        <v/>
      </c>
      <c r="J485" s="24" t="str">
        <f>IFERROR(INDEX('Output Utente'!$G$2:$G$492,MATCH(482,'Output Utente'!$R$2:$R$492,0)),"")</f>
        <v/>
      </c>
      <c r="K485" s="24" t="str">
        <f>IFERROR(INDEX('Output Utente'!$H$2:$H$492,MATCH(482,'Output Utente'!$R$2:$R$492,0)),"")</f>
        <v/>
      </c>
      <c r="L485" s="23" t="str">
        <f>IFERROR(INDEX('Output Utente'!$E$2:$E$492,MATCH(482,'Output Utente'!$R$2:$R$492,0)),"")</f>
        <v/>
      </c>
      <c r="V485" t="str">
        <f>IFERROR(INDEX('Output Utente'!$M$2:$M$492,MATCH(482,'Output Utente'!$R$2:$R$492,0)),"")</f>
        <v/>
      </c>
      <c r="W485" t="str">
        <f t="shared" si="7"/>
        <v/>
      </c>
      <c r="X485" t="str">
        <f>IFERROR(INDEX('Output Utente'!$AF$2:$AF$492,MATCH(482,'Output Utente'!$R$2:$R$492,0)),"")</f>
        <v/>
      </c>
    </row>
    <row r="486" spans="1:24" ht="15" customHeight="1" x14ac:dyDescent="0.25">
      <c r="A486" s="26">
        <v>483</v>
      </c>
      <c r="B486" s="23" t="str">
        <f>IFERROR(INDEX('Output Utente'!$A$2:$A$492,MATCH(483,'Output Utente'!$R$2:$R$492,0)),"")</f>
        <v/>
      </c>
      <c r="C486" s="23" t="str">
        <f>IFERROR(INDEX('Output Utente'!$B$2:$B$492,MATCH(483,'Output Utente'!$R$2:$R$492,0)),"")</f>
        <v/>
      </c>
      <c r="D486" s="23" t="str">
        <f>IFERROR(INDEX('Output Utente'!$C$2:$C$492,MATCH(483,'Output Utente'!$R$2:$R$492,0)),"")</f>
        <v/>
      </c>
      <c r="E486" s="23" t="str">
        <f>IFERROR(INDEX('Input Giocatori 2026_27'!$D$3:$D$493,MATCH($B486,'Input Giocatori 2026_27'!$A$3:$A$493,0)),"")</f>
        <v/>
      </c>
      <c r="F486" s="24" t="str">
        <f>IFERROR(INDEX('Output Utente'!$N$2:$N$492,MATCH(483,'Output Utente'!$R$2:$R$492,0)),"")</f>
        <v/>
      </c>
      <c r="G486" s="23" t="str">
        <f>IFERROR(INDEX('Output Utente'!$O$2:$O$492,MATCH(483,'Output Utente'!$R$2:$R$492,0)),"")</f>
        <v/>
      </c>
      <c r="H486" s="23" t="str">
        <f>IFERROR(INDEX('Output Utente'!$P$2:$P$492,MATCH(483,'Output Utente'!$R$2:$R$492,0)),"")</f>
        <v/>
      </c>
      <c r="I486" s="24" t="str">
        <f>IFERROR(INDEX('Output Utente'!$F$2:$F$492,MATCH(483,'Output Utente'!$R$2:$R$492,0)),"")</f>
        <v/>
      </c>
      <c r="J486" s="24" t="str">
        <f>IFERROR(INDEX('Output Utente'!$G$2:$G$492,MATCH(483,'Output Utente'!$R$2:$R$492,0)),"")</f>
        <v/>
      </c>
      <c r="K486" s="24" t="str">
        <f>IFERROR(INDEX('Output Utente'!$H$2:$H$492,MATCH(483,'Output Utente'!$R$2:$R$492,0)),"")</f>
        <v/>
      </c>
      <c r="L486" s="23" t="str">
        <f>IFERROR(INDEX('Output Utente'!$E$2:$E$492,MATCH(483,'Output Utente'!$R$2:$R$492,0)),"")</f>
        <v/>
      </c>
      <c r="V486" t="str">
        <f>IFERROR(INDEX('Output Utente'!$M$2:$M$492,MATCH(483,'Output Utente'!$R$2:$R$492,0)),"")</f>
        <v/>
      </c>
      <c r="W486" t="str">
        <f t="shared" si="7"/>
        <v/>
      </c>
      <c r="X486" t="str">
        <f>IFERROR(INDEX('Output Utente'!$AF$2:$AF$492,MATCH(483,'Output Utente'!$R$2:$R$492,0)),"")</f>
        <v/>
      </c>
    </row>
    <row r="487" spans="1:24" ht="15" customHeight="1" x14ac:dyDescent="0.25">
      <c r="A487" s="26">
        <v>484</v>
      </c>
      <c r="B487" s="23" t="str">
        <f>IFERROR(INDEX('Output Utente'!$A$2:$A$492,MATCH(484,'Output Utente'!$R$2:$R$492,0)),"")</f>
        <v/>
      </c>
      <c r="C487" s="23" t="str">
        <f>IFERROR(INDEX('Output Utente'!$B$2:$B$492,MATCH(484,'Output Utente'!$R$2:$R$492,0)),"")</f>
        <v/>
      </c>
      <c r="D487" s="23" t="str">
        <f>IFERROR(INDEX('Output Utente'!$C$2:$C$492,MATCH(484,'Output Utente'!$R$2:$R$492,0)),"")</f>
        <v/>
      </c>
      <c r="E487" s="23" t="str">
        <f>IFERROR(INDEX('Input Giocatori 2026_27'!$D$3:$D$493,MATCH($B487,'Input Giocatori 2026_27'!$A$3:$A$493,0)),"")</f>
        <v/>
      </c>
      <c r="F487" s="24" t="str">
        <f>IFERROR(INDEX('Output Utente'!$N$2:$N$492,MATCH(484,'Output Utente'!$R$2:$R$492,0)),"")</f>
        <v/>
      </c>
      <c r="G487" s="23" t="str">
        <f>IFERROR(INDEX('Output Utente'!$O$2:$O$492,MATCH(484,'Output Utente'!$R$2:$R$492,0)),"")</f>
        <v/>
      </c>
      <c r="H487" s="23" t="str">
        <f>IFERROR(INDEX('Output Utente'!$P$2:$P$492,MATCH(484,'Output Utente'!$R$2:$R$492,0)),"")</f>
        <v/>
      </c>
      <c r="I487" s="24" t="str">
        <f>IFERROR(INDEX('Output Utente'!$F$2:$F$492,MATCH(484,'Output Utente'!$R$2:$R$492,0)),"")</f>
        <v/>
      </c>
      <c r="J487" s="24" t="str">
        <f>IFERROR(INDEX('Output Utente'!$G$2:$G$492,MATCH(484,'Output Utente'!$R$2:$R$492,0)),"")</f>
        <v/>
      </c>
      <c r="K487" s="24" t="str">
        <f>IFERROR(INDEX('Output Utente'!$H$2:$H$492,MATCH(484,'Output Utente'!$R$2:$R$492,0)),"")</f>
        <v/>
      </c>
      <c r="L487" s="23" t="str">
        <f>IFERROR(INDEX('Output Utente'!$E$2:$E$492,MATCH(484,'Output Utente'!$R$2:$R$492,0)),"")</f>
        <v/>
      </c>
      <c r="V487" t="str">
        <f>IFERROR(INDEX('Output Utente'!$M$2:$M$492,MATCH(484,'Output Utente'!$R$2:$R$492,0)),"")</f>
        <v/>
      </c>
      <c r="W487" t="str">
        <f t="shared" si="7"/>
        <v/>
      </c>
      <c r="X487" t="str">
        <f>IFERROR(INDEX('Output Utente'!$AF$2:$AF$492,MATCH(484,'Output Utente'!$R$2:$R$492,0)),"")</f>
        <v/>
      </c>
    </row>
    <row r="488" spans="1:24" ht="15" customHeight="1" x14ac:dyDescent="0.25">
      <c r="A488" s="26">
        <v>485</v>
      </c>
      <c r="B488" s="23" t="str">
        <f>IFERROR(INDEX('Output Utente'!$A$2:$A$492,MATCH(485,'Output Utente'!$R$2:$R$492,0)),"")</f>
        <v/>
      </c>
      <c r="C488" s="23" t="str">
        <f>IFERROR(INDEX('Output Utente'!$B$2:$B$492,MATCH(485,'Output Utente'!$R$2:$R$492,0)),"")</f>
        <v/>
      </c>
      <c r="D488" s="23" t="str">
        <f>IFERROR(INDEX('Output Utente'!$C$2:$C$492,MATCH(485,'Output Utente'!$R$2:$R$492,0)),"")</f>
        <v/>
      </c>
      <c r="E488" s="23" t="str">
        <f>IFERROR(INDEX('Input Giocatori 2026_27'!$D$3:$D$493,MATCH($B488,'Input Giocatori 2026_27'!$A$3:$A$493,0)),"")</f>
        <v/>
      </c>
      <c r="F488" s="24" t="str">
        <f>IFERROR(INDEX('Output Utente'!$N$2:$N$492,MATCH(485,'Output Utente'!$R$2:$R$492,0)),"")</f>
        <v/>
      </c>
      <c r="G488" s="23" t="str">
        <f>IFERROR(INDEX('Output Utente'!$O$2:$O$492,MATCH(485,'Output Utente'!$R$2:$R$492,0)),"")</f>
        <v/>
      </c>
      <c r="H488" s="23" t="str">
        <f>IFERROR(INDEX('Output Utente'!$P$2:$P$492,MATCH(485,'Output Utente'!$R$2:$R$492,0)),"")</f>
        <v/>
      </c>
      <c r="I488" s="24" t="str">
        <f>IFERROR(INDEX('Output Utente'!$F$2:$F$492,MATCH(485,'Output Utente'!$R$2:$R$492,0)),"")</f>
        <v/>
      </c>
      <c r="J488" s="24" t="str">
        <f>IFERROR(INDEX('Output Utente'!$G$2:$G$492,MATCH(485,'Output Utente'!$R$2:$R$492,0)),"")</f>
        <v/>
      </c>
      <c r="K488" s="24" t="str">
        <f>IFERROR(INDEX('Output Utente'!$H$2:$H$492,MATCH(485,'Output Utente'!$R$2:$R$492,0)),"")</f>
        <v/>
      </c>
      <c r="L488" s="23" t="str">
        <f>IFERROR(INDEX('Output Utente'!$E$2:$E$492,MATCH(485,'Output Utente'!$R$2:$R$492,0)),"")</f>
        <v/>
      </c>
      <c r="V488" t="str">
        <f>IFERROR(INDEX('Output Utente'!$M$2:$M$492,MATCH(485,'Output Utente'!$R$2:$R$492,0)),"")</f>
        <v/>
      </c>
      <c r="W488" t="str">
        <f t="shared" si="7"/>
        <v/>
      </c>
      <c r="X488" t="str">
        <f>IFERROR(INDEX('Output Utente'!$AF$2:$AF$492,MATCH(485,'Output Utente'!$R$2:$R$492,0)),"")</f>
        <v/>
      </c>
    </row>
    <row r="489" spans="1:24" ht="15" customHeight="1" x14ac:dyDescent="0.25">
      <c r="A489" s="26">
        <v>486</v>
      </c>
      <c r="B489" s="23" t="str">
        <f>IFERROR(INDEX('Output Utente'!$A$2:$A$492,MATCH(486,'Output Utente'!$R$2:$R$492,0)),"")</f>
        <v/>
      </c>
      <c r="C489" s="23" t="str">
        <f>IFERROR(INDEX('Output Utente'!$B$2:$B$492,MATCH(486,'Output Utente'!$R$2:$R$492,0)),"")</f>
        <v/>
      </c>
      <c r="D489" s="23" t="str">
        <f>IFERROR(INDEX('Output Utente'!$C$2:$C$492,MATCH(486,'Output Utente'!$R$2:$R$492,0)),"")</f>
        <v/>
      </c>
      <c r="E489" s="23" t="str">
        <f>IFERROR(INDEX('Input Giocatori 2026_27'!$D$3:$D$493,MATCH($B489,'Input Giocatori 2026_27'!$A$3:$A$493,0)),"")</f>
        <v/>
      </c>
      <c r="F489" s="24" t="str">
        <f>IFERROR(INDEX('Output Utente'!$N$2:$N$492,MATCH(486,'Output Utente'!$R$2:$R$492,0)),"")</f>
        <v/>
      </c>
      <c r="G489" s="23" t="str">
        <f>IFERROR(INDEX('Output Utente'!$O$2:$O$492,MATCH(486,'Output Utente'!$R$2:$R$492,0)),"")</f>
        <v/>
      </c>
      <c r="H489" s="23" t="str">
        <f>IFERROR(INDEX('Output Utente'!$P$2:$P$492,MATCH(486,'Output Utente'!$R$2:$R$492,0)),"")</f>
        <v/>
      </c>
      <c r="I489" s="24" t="str">
        <f>IFERROR(INDEX('Output Utente'!$F$2:$F$492,MATCH(486,'Output Utente'!$R$2:$R$492,0)),"")</f>
        <v/>
      </c>
      <c r="J489" s="24" t="str">
        <f>IFERROR(INDEX('Output Utente'!$G$2:$G$492,MATCH(486,'Output Utente'!$R$2:$R$492,0)),"")</f>
        <v/>
      </c>
      <c r="K489" s="24" t="str">
        <f>IFERROR(INDEX('Output Utente'!$H$2:$H$492,MATCH(486,'Output Utente'!$R$2:$R$492,0)),"")</f>
        <v/>
      </c>
      <c r="L489" s="23" t="str">
        <f>IFERROR(INDEX('Output Utente'!$E$2:$E$492,MATCH(486,'Output Utente'!$R$2:$R$492,0)),"")</f>
        <v/>
      </c>
      <c r="V489" t="str">
        <f>IFERROR(INDEX('Output Utente'!$M$2:$M$492,MATCH(486,'Output Utente'!$R$2:$R$492,0)),"")</f>
        <v/>
      </c>
      <c r="W489" t="str">
        <f t="shared" si="7"/>
        <v/>
      </c>
      <c r="X489" t="str">
        <f>IFERROR(INDEX('Output Utente'!$AF$2:$AF$492,MATCH(486,'Output Utente'!$R$2:$R$492,0)),"")</f>
        <v/>
      </c>
    </row>
    <row r="490" spans="1:24" ht="15" customHeight="1" x14ac:dyDescent="0.25">
      <c r="A490" s="26">
        <v>487</v>
      </c>
      <c r="B490" s="23" t="str">
        <f>IFERROR(INDEX('Output Utente'!$A$2:$A$492,MATCH(487,'Output Utente'!$R$2:$R$492,0)),"")</f>
        <v/>
      </c>
      <c r="C490" s="23" t="str">
        <f>IFERROR(INDEX('Output Utente'!$B$2:$B$492,MATCH(487,'Output Utente'!$R$2:$R$492,0)),"")</f>
        <v/>
      </c>
      <c r="D490" s="23" t="str">
        <f>IFERROR(INDEX('Output Utente'!$C$2:$C$492,MATCH(487,'Output Utente'!$R$2:$R$492,0)),"")</f>
        <v/>
      </c>
      <c r="E490" s="23" t="str">
        <f>IFERROR(INDEX('Input Giocatori 2026_27'!$D$3:$D$493,MATCH($B490,'Input Giocatori 2026_27'!$A$3:$A$493,0)),"")</f>
        <v/>
      </c>
      <c r="F490" s="24" t="str">
        <f>IFERROR(INDEX('Output Utente'!$N$2:$N$492,MATCH(487,'Output Utente'!$R$2:$R$492,0)),"")</f>
        <v/>
      </c>
      <c r="G490" s="23" t="str">
        <f>IFERROR(INDEX('Output Utente'!$O$2:$O$492,MATCH(487,'Output Utente'!$R$2:$R$492,0)),"")</f>
        <v/>
      </c>
      <c r="H490" s="23" t="str">
        <f>IFERROR(INDEX('Output Utente'!$P$2:$P$492,MATCH(487,'Output Utente'!$R$2:$R$492,0)),"")</f>
        <v/>
      </c>
      <c r="I490" s="24" t="str">
        <f>IFERROR(INDEX('Output Utente'!$F$2:$F$492,MATCH(487,'Output Utente'!$R$2:$R$492,0)),"")</f>
        <v/>
      </c>
      <c r="J490" s="24" t="str">
        <f>IFERROR(INDEX('Output Utente'!$G$2:$G$492,MATCH(487,'Output Utente'!$R$2:$R$492,0)),"")</f>
        <v/>
      </c>
      <c r="K490" s="24" t="str">
        <f>IFERROR(INDEX('Output Utente'!$H$2:$H$492,MATCH(487,'Output Utente'!$R$2:$R$492,0)),"")</f>
        <v/>
      </c>
      <c r="L490" s="23" t="str">
        <f>IFERROR(INDEX('Output Utente'!$E$2:$E$492,MATCH(487,'Output Utente'!$R$2:$R$492,0)),"")</f>
        <v/>
      </c>
      <c r="V490" t="str">
        <f>IFERROR(INDEX('Output Utente'!$M$2:$M$492,MATCH(487,'Output Utente'!$R$2:$R$492,0)),"")</f>
        <v/>
      </c>
      <c r="W490" t="str">
        <f t="shared" si="7"/>
        <v/>
      </c>
      <c r="X490" t="str">
        <f>IFERROR(INDEX('Output Utente'!$AF$2:$AF$492,MATCH(487,'Output Utente'!$R$2:$R$492,0)),"")</f>
        <v/>
      </c>
    </row>
    <row r="491" spans="1:24" ht="15" customHeight="1" x14ac:dyDescent="0.25">
      <c r="A491" s="26">
        <v>488</v>
      </c>
      <c r="B491" s="23" t="str">
        <f>IFERROR(INDEX('Output Utente'!$A$2:$A$492,MATCH(488,'Output Utente'!$R$2:$R$492,0)),"")</f>
        <v/>
      </c>
      <c r="C491" s="23" t="str">
        <f>IFERROR(INDEX('Output Utente'!$B$2:$B$492,MATCH(488,'Output Utente'!$R$2:$R$492,0)),"")</f>
        <v/>
      </c>
      <c r="D491" s="23" t="str">
        <f>IFERROR(INDEX('Output Utente'!$C$2:$C$492,MATCH(488,'Output Utente'!$R$2:$R$492,0)),"")</f>
        <v/>
      </c>
      <c r="E491" s="23" t="str">
        <f>IFERROR(INDEX('Input Giocatori 2026_27'!$D$3:$D$493,MATCH($B491,'Input Giocatori 2026_27'!$A$3:$A$493,0)),"")</f>
        <v/>
      </c>
      <c r="F491" s="24" t="str">
        <f>IFERROR(INDEX('Output Utente'!$N$2:$N$492,MATCH(488,'Output Utente'!$R$2:$R$492,0)),"")</f>
        <v/>
      </c>
      <c r="G491" s="23" t="str">
        <f>IFERROR(INDEX('Output Utente'!$O$2:$O$492,MATCH(488,'Output Utente'!$R$2:$R$492,0)),"")</f>
        <v/>
      </c>
      <c r="H491" s="23" t="str">
        <f>IFERROR(INDEX('Output Utente'!$P$2:$P$492,MATCH(488,'Output Utente'!$R$2:$R$492,0)),"")</f>
        <v/>
      </c>
      <c r="I491" s="24" t="str">
        <f>IFERROR(INDEX('Output Utente'!$F$2:$F$492,MATCH(488,'Output Utente'!$R$2:$R$492,0)),"")</f>
        <v/>
      </c>
      <c r="J491" s="24" t="str">
        <f>IFERROR(INDEX('Output Utente'!$G$2:$G$492,MATCH(488,'Output Utente'!$R$2:$R$492,0)),"")</f>
        <v/>
      </c>
      <c r="K491" s="24" t="str">
        <f>IFERROR(INDEX('Output Utente'!$H$2:$H$492,MATCH(488,'Output Utente'!$R$2:$R$492,0)),"")</f>
        <v/>
      </c>
      <c r="L491" s="23" t="str">
        <f>IFERROR(INDEX('Output Utente'!$E$2:$E$492,MATCH(488,'Output Utente'!$R$2:$R$492,0)),"")</f>
        <v/>
      </c>
      <c r="V491" t="str">
        <f>IFERROR(INDEX('Output Utente'!$M$2:$M$492,MATCH(488,'Output Utente'!$R$2:$R$492,0)),"")</f>
        <v/>
      </c>
      <c r="W491" t="str">
        <f t="shared" si="7"/>
        <v/>
      </c>
      <c r="X491" t="str">
        <f>IFERROR(INDEX('Output Utente'!$AF$2:$AF$492,MATCH(488,'Output Utente'!$R$2:$R$492,0)),"")</f>
        <v/>
      </c>
    </row>
    <row r="492" spans="1:24" ht="15" customHeight="1" x14ac:dyDescent="0.25">
      <c r="A492" s="26">
        <v>489</v>
      </c>
      <c r="B492" s="23" t="str">
        <f>IFERROR(INDEX('Output Utente'!$A$2:$A$492,MATCH(489,'Output Utente'!$R$2:$R$492,0)),"")</f>
        <v/>
      </c>
      <c r="C492" s="23" t="str">
        <f>IFERROR(INDEX('Output Utente'!$B$2:$B$492,MATCH(489,'Output Utente'!$R$2:$R$492,0)),"")</f>
        <v/>
      </c>
      <c r="D492" s="23" t="str">
        <f>IFERROR(INDEX('Output Utente'!$C$2:$C$492,MATCH(489,'Output Utente'!$R$2:$R$492,0)),"")</f>
        <v/>
      </c>
      <c r="E492" s="23" t="str">
        <f>IFERROR(INDEX('Input Giocatori 2026_27'!$D$3:$D$493,MATCH($B492,'Input Giocatori 2026_27'!$A$3:$A$493,0)),"")</f>
        <v/>
      </c>
      <c r="F492" s="24" t="str">
        <f>IFERROR(INDEX('Output Utente'!$N$2:$N$492,MATCH(489,'Output Utente'!$R$2:$R$492,0)),"")</f>
        <v/>
      </c>
      <c r="G492" s="23" t="str">
        <f>IFERROR(INDEX('Output Utente'!$O$2:$O$492,MATCH(489,'Output Utente'!$R$2:$R$492,0)),"")</f>
        <v/>
      </c>
      <c r="H492" s="23" t="str">
        <f>IFERROR(INDEX('Output Utente'!$P$2:$P$492,MATCH(489,'Output Utente'!$R$2:$R$492,0)),"")</f>
        <v/>
      </c>
      <c r="I492" s="24" t="str">
        <f>IFERROR(INDEX('Output Utente'!$F$2:$F$492,MATCH(489,'Output Utente'!$R$2:$R$492,0)),"")</f>
        <v/>
      </c>
      <c r="J492" s="24" t="str">
        <f>IFERROR(INDEX('Output Utente'!$G$2:$G$492,MATCH(489,'Output Utente'!$R$2:$R$492,0)),"")</f>
        <v/>
      </c>
      <c r="K492" s="24" t="str">
        <f>IFERROR(INDEX('Output Utente'!$H$2:$H$492,MATCH(489,'Output Utente'!$R$2:$R$492,0)),"")</f>
        <v/>
      </c>
      <c r="L492" s="23" t="str">
        <f>IFERROR(INDEX('Output Utente'!$E$2:$E$492,MATCH(489,'Output Utente'!$R$2:$R$492,0)),"")</f>
        <v/>
      </c>
      <c r="V492" t="str">
        <f>IFERROR(INDEX('Output Utente'!$M$2:$M$492,MATCH(489,'Output Utente'!$R$2:$R$492,0)),"")</f>
        <v/>
      </c>
      <c r="W492" t="str">
        <f t="shared" si="7"/>
        <v/>
      </c>
      <c r="X492" t="str">
        <f>IFERROR(INDEX('Output Utente'!$AF$2:$AF$492,MATCH(489,'Output Utente'!$R$2:$R$492,0)),"")</f>
        <v/>
      </c>
    </row>
    <row r="493" spans="1:24" ht="15" customHeight="1" x14ac:dyDescent="0.25">
      <c r="A493" s="26">
        <v>490</v>
      </c>
      <c r="B493" s="23" t="str">
        <f>IFERROR(INDEX('Output Utente'!$A$2:$A$492,MATCH(490,'Output Utente'!$R$2:$R$492,0)),"")</f>
        <v/>
      </c>
      <c r="C493" s="23" t="str">
        <f>IFERROR(INDEX('Output Utente'!$B$2:$B$492,MATCH(490,'Output Utente'!$R$2:$R$492,0)),"")</f>
        <v/>
      </c>
      <c r="D493" s="23" t="str">
        <f>IFERROR(INDEX('Output Utente'!$C$2:$C$492,MATCH(490,'Output Utente'!$R$2:$R$492,0)),"")</f>
        <v/>
      </c>
      <c r="E493" s="23" t="str">
        <f>IFERROR(INDEX('Input Giocatori 2026_27'!$D$3:$D$493,MATCH($B493,'Input Giocatori 2026_27'!$A$3:$A$493,0)),"")</f>
        <v/>
      </c>
      <c r="F493" s="24" t="str">
        <f>IFERROR(INDEX('Output Utente'!$N$2:$N$492,MATCH(490,'Output Utente'!$R$2:$R$492,0)),"")</f>
        <v/>
      </c>
      <c r="G493" s="23" t="str">
        <f>IFERROR(INDEX('Output Utente'!$O$2:$O$492,MATCH(490,'Output Utente'!$R$2:$R$492,0)),"")</f>
        <v/>
      </c>
      <c r="H493" s="23" t="str">
        <f>IFERROR(INDEX('Output Utente'!$P$2:$P$492,MATCH(490,'Output Utente'!$R$2:$R$492,0)),"")</f>
        <v/>
      </c>
      <c r="I493" s="24" t="str">
        <f>IFERROR(INDEX('Output Utente'!$F$2:$F$492,MATCH(490,'Output Utente'!$R$2:$R$492,0)),"")</f>
        <v/>
      </c>
      <c r="J493" s="24" t="str">
        <f>IFERROR(INDEX('Output Utente'!$G$2:$G$492,MATCH(490,'Output Utente'!$R$2:$R$492,0)),"")</f>
        <v/>
      </c>
      <c r="K493" s="24" t="str">
        <f>IFERROR(INDEX('Output Utente'!$H$2:$H$492,MATCH(490,'Output Utente'!$R$2:$R$492,0)),"")</f>
        <v/>
      </c>
      <c r="L493" s="23" t="str">
        <f>IFERROR(INDEX('Output Utente'!$E$2:$E$492,MATCH(490,'Output Utente'!$R$2:$R$492,0)),"")</f>
        <v/>
      </c>
      <c r="V493" t="str">
        <f>IFERROR(INDEX('Output Utente'!$M$2:$M$492,MATCH(490,'Output Utente'!$R$2:$R$492,0)),"")</f>
        <v/>
      </c>
      <c r="W493" t="str">
        <f t="shared" si="7"/>
        <v/>
      </c>
      <c r="X493" t="str">
        <f>IFERROR(INDEX('Output Utente'!$AF$2:$AF$492,MATCH(490,'Output Utente'!$R$2:$R$492,0)),"")</f>
        <v/>
      </c>
    </row>
    <row r="494" spans="1:24" ht="15" customHeight="1" x14ac:dyDescent="0.25">
      <c r="A494" s="26">
        <v>491</v>
      </c>
      <c r="B494" s="23" t="str">
        <f>IFERROR(INDEX('Output Utente'!$A$2:$A$492,MATCH(491,'Output Utente'!$R$2:$R$492,0)),"")</f>
        <v/>
      </c>
      <c r="C494" s="23" t="str">
        <f>IFERROR(INDEX('Output Utente'!$B$2:$B$492,MATCH(491,'Output Utente'!$R$2:$R$492,0)),"")</f>
        <v/>
      </c>
      <c r="D494" s="23" t="str">
        <f>IFERROR(INDEX('Output Utente'!$C$2:$C$492,MATCH(491,'Output Utente'!$R$2:$R$492,0)),"")</f>
        <v/>
      </c>
      <c r="E494" s="23" t="str">
        <f>IFERROR(INDEX('Input Giocatori 2026_27'!$D$3:$D$493,MATCH($B494,'Input Giocatori 2026_27'!$A$3:$A$493,0)),"")</f>
        <v/>
      </c>
      <c r="F494" s="24" t="str">
        <f>IFERROR(INDEX('Output Utente'!$N$2:$N$492,MATCH(491,'Output Utente'!$R$2:$R$492,0)),"")</f>
        <v/>
      </c>
      <c r="G494" s="23" t="str">
        <f>IFERROR(INDEX('Output Utente'!$O$2:$O$492,MATCH(491,'Output Utente'!$R$2:$R$492,0)),"")</f>
        <v/>
      </c>
      <c r="H494" s="23" t="str">
        <f>IFERROR(INDEX('Output Utente'!$P$2:$P$492,MATCH(491,'Output Utente'!$R$2:$R$492,0)),"")</f>
        <v/>
      </c>
      <c r="I494" s="24" t="str">
        <f>IFERROR(INDEX('Output Utente'!$F$2:$F$492,MATCH(491,'Output Utente'!$R$2:$R$492,0)),"")</f>
        <v/>
      </c>
      <c r="J494" s="24" t="str">
        <f>IFERROR(INDEX('Output Utente'!$G$2:$G$492,MATCH(491,'Output Utente'!$R$2:$R$492,0)),"")</f>
        <v/>
      </c>
      <c r="K494" s="24" t="str">
        <f>IFERROR(INDEX('Output Utente'!$H$2:$H$492,MATCH(491,'Output Utente'!$R$2:$R$492,0)),"")</f>
        <v/>
      </c>
      <c r="L494" s="23" t="str">
        <f>IFERROR(INDEX('Output Utente'!$E$2:$E$492,MATCH(491,'Output Utente'!$R$2:$R$492,0)),"")</f>
        <v/>
      </c>
      <c r="V494" t="str">
        <f>IFERROR(INDEX('Output Utente'!$M$2:$M$492,MATCH(491,'Output Utente'!$R$2:$R$492,0)),"")</f>
        <v/>
      </c>
      <c r="W494" t="str">
        <f t="shared" si="7"/>
        <v/>
      </c>
      <c r="X494" t="str">
        <f>IFERROR(INDEX('Output Utente'!$AF$2:$AF$492,MATCH(491,'Output Utente'!$R$2:$R$492,0)),"")</f>
        <v/>
      </c>
    </row>
  </sheetData>
  <autoFilter ref="A3:L494" xr:uid="{00000000-0009-0000-0000-00000C000000}"/>
  <mergeCells count="4">
    <mergeCell ref="R9:U9"/>
    <mergeCell ref="A1:K1"/>
    <mergeCell ref="N1:P1"/>
    <mergeCell ref="Q11:U11"/>
  </mergeCell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93"/>
  <sheetViews>
    <sheetView tabSelected="1" topLeftCell="A379" zoomScaleNormal="100" workbookViewId="0">
      <selection activeCell="C464" sqref="C464"/>
    </sheetView>
  </sheetViews>
  <sheetFormatPr defaultColWidth="8.5703125" defaultRowHeight="15" x14ac:dyDescent="0.25"/>
  <cols>
    <col min="1" max="1" width="6" customWidth="1"/>
    <col min="2" max="2" width="3" customWidth="1"/>
    <col min="3" max="3" width="21" customWidth="1"/>
    <col min="4" max="4" width="12" customWidth="1"/>
    <col min="5" max="6" width="6" customWidth="1"/>
    <col min="7" max="7" width="7" customWidth="1"/>
  </cols>
  <sheetData>
    <row r="1" spans="1:7" ht="14.25" customHeight="1" x14ac:dyDescent="0.25">
      <c r="A1" s="63" t="s">
        <v>0</v>
      </c>
      <c r="B1" s="64"/>
      <c r="C1" s="64"/>
      <c r="D1" s="64"/>
      <c r="E1" s="64"/>
      <c r="F1" s="64"/>
      <c r="G1" s="64"/>
    </row>
    <row r="2" spans="1:7" ht="14.25" customHeight="1" x14ac:dyDescent="0.25">
      <c r="A2" t="s">
        <v>1</v>
      </c>
      <c r="B2" t="s">
        <v>2</v>
      </c>
      <c r="C2" t="s">
        <v>3</v>
      </c>
      <c r="D2" t="s">
        <v>4</v>
      </c>
      <c r="E2" t="s">
        <v>5</v>
      </c>
      <c r="F2" t="s">
        <v>6</v>
      </c>
      <c r="G2" t="s">
        <v>7</v>
      </c>
    </row>
    <row r="3" spans="1:7" ht="14.25" customHeight="1" x14ac:dyDescent="0.25">
      <c r="A3">
        <v>5841</v>
      </c>
      <c r="B3" t="s">
        <v>8</v>
      </c>
      <c r="C3" t="s">
        <v>9</v>
      </c>
      <c r="D3" t="s">
        <v>10</v>
      </c>
      <c r="E3">
        <v>18</v>
      </c>
      <c r="F3">
        <v>18</v>
      </c>
      <c r="G3">
        <v>65</v>
      </c>
    </row>
    <row r="4" spans="1:7" ht="14.25" customHeight="1" x14ac:dyDescent="0.25">
      <c r="A4">
        <v>5116</v>
      </c>
      <c r="B4" t="s">
        <v>8</v>
      </c>
      <c r="C4" t="s">
        <v>11</v>
      </c>
      <c r="D4" t="s">
        <v>12</v>
      </c>
      <c r="E4">
        <v>17</v>
      </c>
      <c r="F4">
        <v>17</v>
      </c>
      <c r="G4">
        <v>63</v>
      </c>
    </row>
    <row r="5" spans="1:7" ht="14.25" customHeight="1" x14ac:dyDescent="0.25">
      <c r="A5">
        <v>4431</v>
      </c>
      <c r="B5" t="s">
        <v>8</v>
      </c>
      <c r="C5" t="s">
        <v>13</v>
      </c>
      <c r="D5" t="s">
        <v>14</v>
      </c>
      <c r="E5">
        <v>16</v>
      </c>
      <c r="F5">
        <v>16</v>
      </c>
      <c r="G5">
        <v>52</v>
      </c>
    </row>
    <row r="6" spans="1:7" ht="14.25" customHeight="1" x14ac:dyDescent="0.25">
      <c r="A6">
        <v>6966</v>
      </c>
      <c r="B6" t="s">
        <v>8</v>
      </c>
      <c r="C6" t="s">
        <v>15</v>
      </c>
      <c r="D6" t="s">
        <v>16</v>
      </c>
      <c r="E6">
        <v>16</v>
      </c>
      <c r="F6">
        <v>16</v>
      </c>
      <c r="G6">
        <v>56</v>
      </c>
    </row>
    <row r="7" spans="1:7" ht="14.25" customHeight="1" x14ac:dyDescent="0.25">
      <c r="A7">
        <v>4312</v>
      </c>
      <c r="B7" t="s">
        <v>8</v>
      </c>
      <c r="C7" t="s">
        <v>17</v>
      </c>
      <c r="D7" t="s">
        <v>18</v>
      </c>
      <c r="E7">
        <v>15</v>
      </c>
      <c r="F7">
        <v>15</v>
      </c>
      <c r="G7">
        <v>50</v>
      </c>
    </row>
    <row r="8" spans="1:7" ht="14.25" customHeight="1" x14ac:dyDescent="0.25">
      <c r="A8">
        <v>2521</v>
      </c>
      <c r="B8" t="s">
        <v>8</v>
      </c>
      <c r="C8" t="s">
        <v>19</v>
      </c>
      <c r="D8" t="s">
        <v>20</v>
      </c>
      <c r="E8">
        <v>13</v>
      </c>
      <c r="F8">
        <v>13</v>
      </c>
      <c r="G8">
        <v>45</v>
      </c>
    </row>
    <row r="9" spans="1:7" ht="14.25" customHeight="1" x14ac:dyDescent="0.25">
      <c r="A9">
        <v>572</v>
      </c>
      <c r="B9" t="s">
        <v>8</v>
      </c>
      <c r="C9" t="s">
        <v>21</v>
      </c>
      <c r="D9" t="s">
        <v>22</v>
      </c>
      <c r="E9">
        <v>11</v>
      </c>
      <c r="F9">
        <v>11</v>
      </c>
      <c r="G9">
        <v>45</v>
      </c>
    </row>
    <row r="10" spans="1:7" ht="14.25" customHeight="1" x14ac:dyDescent="0.25">
      <c r="A10">
        <v>133</v>
      </c>
      <c r="B10" t="s">
        <v>8</v>
      </c>
      <c r="C10" t="s">
        <v>23</v>
      </c>
      <c r="D10" t="s">
        <v>24</v>
      </c>
      <c r="E10">
        <v>10</v>
      </c>
      <c r="F10">
        <v>10</v>
      </c>
      <c r="G10">
        <v>37</v>
      </c>
    </row>
    <row r="11" spans="1:7" ht="14.25" customHeight="1" x14ac:dyDescent="0.25">
      <c r="A11">
        <v>4360</v>
      </c>
      <c r="B11" t="s">
        <v>8</v>
      </c>
      <c r="C11" t="s">
        <v>25</v>
      </c>
      <c r="D11" t="s">
        <v>26</v>
      </c>
      <c r="E11">
        <v>9</v>
      </c>
      <c r="F11">
        <v>9</v>
      </c>
      <c r="G11">
        <v>27</v>
      </c>
    </row>
    <row r="12" spans="1:7" ht="14.25" customHeight="1" x14ac:dyDescent="0.25">
      <c r="A12">
        <v>5876</v>
      </c>
      <c r="B12" t="s">
        <v>8</v>
      </c>
      <c r="C12" t="s">
        <v>27</v>
      </c>
      <c r="D12" t="s">
        <v>28</v>
      </c>
      <c r="E12">
        <v>9</v>
      </c>
      <c r="F12">
        <v>9</v>
      </c>
      <c r="G12">
        <v>40</v>
      </c>
    </row>
    <row r="13" spans="1:7" ht="14.25" customHeight="1" x14ac:dyDescent="0.25">
      <c r="A13">
        <v>6482</v>
      </c>
      <c r="B13" t="s">
        <v>8</v>
      </c>
      <c r="C13" t="s">
        <v>29</v>
      </c>
      <c r="D13" t="s">
        <v>30</v>
      </c>
      <c r="E13">
        <v>9</v>
      </c>
      <c r="F13">
        <v>9</v>
      </c>
      <c r="G13">
        <v>30</v>
      </c>
    </row>
    <row r="14" spans="1:7" ht="14.25" customHeight="1" x14ac:dyDescent="0.25">
      <c r="A14">
        <v>6462</v>
      </c>
      <c r="B14" t="s">
        <v>8</v>
      </c>
      <c r="C14" t="s">
        <v>31</v>
      </c>
      <c r="D14" t="s">
        <v>32</v>
      </c>
      <c r="E14">
        <v>9</v>
      </c>
      <c r="F14">
        <v>9</v>
      </c>
      <c r="G14">
        <v>29</v>
      </c>
    </row>
    <row r="15" spans="1:7" ht="14.25" customHeight="1" x14ac:dyDescent="0.25">
      <c r="A15">
        <v>7332</v>
      </c>
      <c r="B15" t="s">
        <v>8</v>
      </c>
      <c r="C15" t="s">
        <v>33</v>
      </c>
      <c r="D15" t="s">
        <v>34</v>
      </c>
      <c r="E15">
        <v>8</v>
      </c>
      <c r="F15">
        <v>8</v>
      </c>
      <c r="G15">
        <v>18</v>
      </c>
    </row>
    <row r="16" spans="1:7" ht="14.25" customHeight="1" x14ac:dyDescent="0.25">
      <c r="A16">
        <v>2134</v>
      </c>
      <c r="B16" t="s">
        <v>8</v>
      </c>
      <c r="C16" t="s">
        <v>35</v>
      </c>
      <c r="D16" t="s">
        <v>36</v>
      </c>
      <c r="E16">
        <v>8</v>
      </c>
      <c r="F16">
        <v>8</v>
      </c>
      <c r="G16">
        <v>25</v>
      </c>
    </row>
    <row r="17" spans="1:7" ht="14.25" customHeight="1" x14ac:dyDescent="0.25">
      <c r="A17">
        <v>7411</v>
      </c>
      <c r="B17" t="s">
        <v>8</v>
      </c>
      <c r="C17" t="s">
        <v>37</v>
      </c>
      <c r="D17" t="s">
        <v>38</v>
      </c>
      <c r="E17">
        <v>7</v>
      </c>
      <c r="F17">
        <v>7</v>
      </c>
      <c r="G17">
        <v>5</v>
      </c>
    </row>
    <row r="18" spans="1:7" ht="14.25" customHeight="1" x14ac:dyDescent="0.25">
      <c r="A18">
        <v>6641</v>
      </c>
      <c r="B18" t="s">
        <v>8</v>
      </c>
      <c r="C18" t="s">
        <v>39</v>
      </c>
      <c r="D18" t="s">
        <v>38</v>
      </c>
      <c r="E18">
        <v>7</v>
      </c>
      <c r="F18">
        <v>7</v>
      </c>
      <c r="G18">
        <v>20</v>
      </c>
    </row>
    <row r="19" spans="1:7" ht="14.25" customHeight="1" x14ac:dyDescent="0.25">
      <c r="A19">
        <v>4236</v>
      </c>
      <c r="B19" t="s">
        <v>8</v>
      </c>
      <c r="C19" t="s">
        <v>40</v>
      </c>
      <c r="D19" t="s">
        <v>41</v>
      </c>
      <c r="E19">
        <v>7</v>
      </c>
      <c r="F19">
        <v>7</v>
      </c>
      <c r="G19">
        <v>15</v>
      </c>
    </row>
    <row r="20" spans="1:7" ht="14.25" customHeight="1" x14ac:dyDescent="0.25">
      <c r="A20">
        <v>218</v>
      </c>
      <c r="B20" t="s">
        <v>8</v>
      </c>
      <c r="C20" t="s">
        <v>42</v>
      </c>
      <c r="D20" t="s">
        <v>28</v>
      </c>
      <c r="E20">
        <v>6</v>
      </c>
      <c r="F20">
        <v>6</v>
      </c>
      <c r="G20">
        <v>10</v>
      </c>
    </row>
    <row r="21" spans="1:7" ht="14.25" customHeight="1" x14ac:dyDescent="0.25">
      <c r="A21">
        <v>6248</v>
      </c>
      <c r="B21" t="s">
        <v>8</v>
      </c>
      <c r="C21" t="s">
        <v>43</v>
      </c>
      <c r="D21" t="s">
        <v>44</v>
      </c>
      <c r="E21">
        <v>6</v>
      </c>
      <c r="F21">
        <v>6</v>
      </c>
      <c r="G21">
        <v>14</v>
      </c>
    </row>
    <row r="22" spans="1:7" ht="14.25" customHeight="1" x14ac:dyDescent="0.25">
      <c r="A22">
        <v>4485</v>
      </c>
      <c r="B22" t="s">
        <v>8</v>
      </c>
      <c r="C22" t="s">
        <v>45</v>
      </c>
      <c r="D22" t="s">
        <v>46</v>
      </c>
      <c r="E22">
        <v>5</v>
      </c>
      <c r="F22">
        <v>5</v>
      </c>
      <c r="G22">
        <v>12</v>
      </c>
    </row>
    <row r="23" spans="1:7" ht="14.25" customHeight="1" x14ac:dyDescent="0.25">
      <c r="A23">
        <v>2170</v>
      </c>
      <c r="B23" t="s">
        <v>8</v>
      </c>
      <c r="C23" t="s">
        <v>47</v>
      </c>
      <c r="D23" t="s">
        <v>22</v>
      </c>
      <c r="E23">
        <v>5</v>
      </c>
      <c r="F23">
        <v>5</v>
      </c>
      <c r="G23">
        <v>10</v>
      </c>
    </row>
    <row r="24" spans="1:7" ht="14.25" customHeight="1" x14ac:dyDescent="0.25">
      <c r="A24">
        <v>6415</v>
      </c>
      <c r="B24" t="s">
        <v>8</v>
      </c>
      <c r="C24" t="s">
        <v>48</v>
      </c>
      <c r="D24" t="s">
        <v>49</v>
      </c>
      <c r="E24">
        <v>4</v>
      </c>
      <c r="F24">
        <v>4</v>
      </c>
      <c r="G24">
        <v>8</v>
      </c>
    </row>
    <row r="25" spans="1:7" ht="14.25" customHeight="1" x14ac:dyDescent="0.25">
      <c r="A25">
        <v>7463</v>
      </c>
      <c r="B25" t="s">
        <v>8</v>
      </c>
      <c r="C25" t="s">
        <v>50</v>
      </c>
      <c r="D25" t="s">
        <v>49</v>
      </c>
      <c r="E25">
        <v>2</v>
      </c>
      <c r="F25">
        <v>2</v>
      </c>
      <c r="G25">
        <v>8</v>
      </c>
    </row>
    <row r="26" spans="1:7" ht="14.25" customHeight="1" x14ac:dyDescent="0.25">
      <c r="A26">
        <v>2814</v>
      </c>
      <c r="B26" t="s">
        <v>8</v>
      </c>
      <c r="C26" t="s">
        <v>51</v>
      </c>
      <c r="D26" t="s">
        <v>12</v>
      </c>
      <c r="E26">
        <v>2</v>
      </c>
      <c r="F26">
        <v>2</v>
      </c>
      <c r="G26">
        <v>5</v>
      </c>
    </row>
    <row r="27" spans="1:7" ht="14.25" customHeight="1" x14ac:dyDescent="0.25">
      <c r="A27">
        <v>2297</v>
      </c>
      <c r="B27" t="s">
        <v>8</v>
      </c>
      <c r="C27" t="s">
        <v>52</v>
      </c>
      <c r="D27" t="s">
        <v>14</v>
      </c>
      <c r="E27">
        <v>1</v>
      </c>
      <c r="F27">
        <v>1</v>
      </c>
      <c r="G27">
        <v>1</v>
      </c>
    </row>
    <row r="28" spans="1:7" ht="14.25" customHeight="1" x14ac:dyDescent="0.25">
      <c r="A28">
        <v>4</v>
      </c>
      <c r="B28" t="s">
        <v>8</v>
      </c>
      <c r="C28" t="s">
        <v>53</v>
      </c>
      <c r="D28" t="s">
        <v>14</v>
      </c>
      <c r="E28">
        <v>1</v>
      </c>
      <c r="F28">
        <v>1</v>
      </c>
      <c r="G28">
        <v>1</v>
      </c>
    </row>
    <row r="29" spans="1:7" ht="14.25" customHeight="1" x14ac:dyDescent="0.25">
      <c r="A29">
        <v>7533</v>
      </c>
      <c r="B29" t="s">
        <v>8</v>
      </c>
      <c r="C29" t="s">
        <v>54</v>
      </c>
      <c r="D29" t="s">
        <v>24</v>
      </c>
      <c r="E29">
        <v>1</v>
      </c>
      <c r="F29">
        <v>1</v>
      </c>
      <c r="G29">
        <v>1</v>
      </c>
    </row>
    <row r="30" spans="1:7" ht="14.25" customHeight="1" x14ac:dyDescent="0.25">
      <c r="A30">
        <v>7172</v>
      </c>
      <c r="B30" t="s">
        <v>8</v>
      </c>
      <c r="C30" t="s">
        <v>55</v>
      </c>
      <c r="D30" t="s">
        <v>24</v>
      </c>
      <c r="E30">
        <v>1</v>
      </c>
      <c r="F30">
        <v>1</v>
      </c>
      <c r="G30">
        <v>1</v>
      </c>
    </row>
    <row r="31" spans="1:7" ht="14.25" customHeight="1" x14ac:dyDescent="0.25">
      <c r="A31">
        <v>4929</v>
      </c>
      <c r="B31" t="s">
        <v>8</v>
      </c>
      <c r="C31" t="s">
        <v>56</v>
      </c>
      <c r="D31" t="s">
        <v>26</v>
      </c>
      <c r="E31">
        <v>1</v>
      </c>
      <c r="F31">
        <v>1</v>
      </c>
      <c r="G31">
        <v>1</v>
      </c>
    </row>
    <row r="32" spans="1:7" ht="14.25" customHeight="1" x14ac:dyDescent="0.25">
      <c r="A32">
        <v>6650</v>
      </c>
      <c r="B32" t="s">
        <v>8</v>
      </c>
      <c r="C32" t="s">
        <v>57</v>
      </c>
      <c r="D32" t="s">
        <v>26</v>
      </c>
      <c r="E32">
        <v>1</v>
      </c>
      <c r="F32">
        <v>1</v>
      </c>
      <c r="G32">
        <v>1</v>
      </c>
    </row>
    <row r="33" spans="1:7" ht="14.25" customHeight="1" x14ac:dyDescent="0.25">
      <c r="A33">
        <v>7301</v>
      </c>
      <c r="B33" t="s">
        <v>8</v>
      </c>
      <c r="C33" t="s">
        <v>58</v>
      </c>
      <c r="D33" t="s">
        <v>16</v>
      </c>
      <c r="E33">
        <v>1</v>
      </c>
      <c r="F33">
        <v>1</v>
      </c>
      <c r="G33">
        <v>1</v>
      </c>
    </row>
    <row r="34" spans="1:7" ht="14.25" customHeight="1" x14ac:dyDescent="0.25">
      <c r="A34">
        <v>2809</v>
      </c>
      <c r="B34" t="s">
        <v>8</v>
      </c>
      <c r="C34" t="s">
        <v>59</v>
      </c>
      <c r="D34" t="s">
        <v>16</v>
      </c>
      <c r="E34">
        <v>1</v>
      </c>
      <c r="F34">
        <v>1</v>
      </c>
      <c r="G34">
        <v>1</v>
      </c>
    </row>
    <row r="35" spans="1:7" ht="14.25" customHeight="1" x14ac:dyDescent="0.25">
      <c r="A35">
        <v>6403</v>
      </c>
      <c r="B35" t="s">
        <v>8</v>
      </c>
      <c r="C35" t="s">
        <v>60</v>
      </c>
      <c r="D35" t="s">
        <v>20</v>
      </c>
      <c r="E35">
        <v>1</v>
      </c>
      <c r="F35">
        <v>1</v>
      </c>
      <c r="G35">
        <v>1</v>
      </c>
    </row>
    <row r="36" spans="1:7" ht="14.25" customHeight="1" x14ac:dyDescent="0.25">
      <c r="A36">
        <v>158</v>
      </c>
      <c r="B36" t="s">
        <v>8</v>
      </c>
      <c r="C36" t="s">
        <v>61</v>
      </c>
      <c r="D36" t="s">
        <v>20</v>
      </c>
      <c r="E36">
        <v>1</v>
      </c>
      <c r="F36">
        <v>1</v>
      </c>
      <c r="G36">
        <v>1</v>
      </c>
    </row>
    <row r="37" spans="1:7" ht="14.25" customHeight="1" x14ac:dyDescent="0.25">
      <c r="A37">
        <v>7466</v>
      </c>
      <c r="B37" t="s">
        <v>8</v>
      </c>
      <c r="C37" t="s">
        <v>62</v>
      </c>
      <c r="D37" t="s">
        <v>49</v>
      </c>
      <c r="E37">
        <v>1</v>
      </c>
      <c r="F37">
        <v>1</v>
      </c>
      <c r="G37">
        <v>1</v>
      </c>
    </row>
    <row r="38" spans="1:7" ht="14.25" customHeight="1" x14ac:dyDescent="0.25">
      <c r="A38">
        <v>219</v>
      </c>
      <c r="B38" t="s">
        <v>8</v>
      </c>
      <c r="C38" t="s">
        <v>63</v>
      </c>
      <c r="D38" t="s">
        <v>34</v>
      </c>
      <c r="E38">
        <v>1</v>
      </c>
      <c r="F38">
        <v>1</v>
      </c>
      <c r="G38">
        <v>1</v>
      </c>
    </row>
    <row r="39" spans="1:7" ht="14.25" customHeight="1" x14ac:dyDescent="0.25">
      <c r="A39">
        <v>6569</v>
      </c>
      <c r="B39" t="s">
        <v>8</v>
      </c>
      <c r="C39" t="s">
        <v>64</v>
      </c>
      <c r="D39" t="s">
        <v>34</v>
      </c>
      <c r="E39">
        <v>1</v>
      </c>
      <c r="F39">
        <v>1</v>
      </c>
      <c r="G39">
        <v>1</v>
      </c>
    </row>
    <row r="40" spans="1:7" ht="14.25" customHeight="1" x14ac:dyDescent="0.25">
      <c r="A40">
        <v>1926</v>
      </c>
      <c r="B40" t="s">
        <v>8</v>
      </c>
      <c r="C40" t="s">
        <v>65</v>
      </c>
      <c r="D40" t="s">
        <v>12</v>
      </c>
      <c r="E40">
        <v>1</v>
      </c>
      <c r="F40">
        <v>1</v>
      </c>
      <c r="G40">
        <v>1</v>
      </c>
    </row>
    <row r="41" spans="1:7" ht="14.25" customHeight="1" x14ac:dyDescent="0.25">
      <c r="A41">
        <v>1930</v>
      </c>
      <c r="B41" t="s">
        <v>8</v>
      </c>
      <c r="C41" t="s">
        <v>66</v>
      </c>
      <c r="D41" t="s">
        <v>28</v>
      </c>
      <c r="E41">
        <v>1</v>
      </c>
      <c r="F41">
        <v>1</v>
      </c>
      <c r="G41">
        <v>1</v>
      </c>
    </row>
    <row r="42" spans="1:7" ht="14.25" customHeight="1" x14ac:dyDescent="0.25">
      <c r="A42">
        <v>7337</v>
      </c>
      <c r="B42" t="s">
        <v>8</v>
      </c>
      <c r="C42" t="s">
        <v>67</v>
      </c>
      <c r="D42" t="s">
        <v>30</v>
      </c>
      <c r="E42">
        <v>1</v>
      </c>
      <c r="F42">
        <v>1</v>
      </c>
      <c r="G42">
        <v>1</v>
      </c>
    </row>
    <row r="43" spans="1:7" ht="14.25" customHeight="1" x14ac:dyDescent="0.25">
      <c r="A43">
        <v>7534</v>
      </c>
      <c r="B43" t="s">
        <v>8</v>
      </c>
      <c r="C43" t="s">
        <v>68</v>
      </c>
      <c r="D43" t="s">
        <v>30</v>
      </c>
      <c r="E43">
        <v>1</v>
      </c>
      <c r="F43">
        <v>1</v>
      </c>
      <c r="G43">
        <v>1</v>
      </c>
    </row>
    <row r="44" spans="1:7" ht="14.25" customHeight="1" x14ac:dyDescent="0.25">
      <c r="A44">
        <v>6523</v>
      </c>
      <c r="B44" t="s">
        <v>8</v>
      </c>
      <c r="C44" t="s">
        <v>69</v>
      </c>
      <c r="D44" t="s">
        <v>36</v>
      </c>
      <c r="E44">
        <v>1</v>
      </c>
      <c r="F44">
        <v>1</v>
      </c>
      <c r="G44">
        <v>1</v>
      </c>
    </row>
    <row r="45" spans="1:7" ht="14.25" customHeight="1" x14ac:dyDescent="0.25">
      <c r="A45">
        <v>2815</v>
      </c>
      <c r="B45" t="s">
        <v>8</v>
      </c>
      <c r="C45" t="s">
        <v>70</v>
      </c>
      <c r="D45" t="s">
        <v>18</v>
      </c>
      <c r="E45">
        <v>1</v>
      </c>
      <c r="F45">
        <v>1</v>
      </c>
      <c r="G45">
        <v>1</v>
      </c>
    </row>
    <row r="46" spans="1:7" ht="14.25" customHeight="1" x14ac:dyDescent="0.25">
      <c r="A46">
        <v>6813</v>
      </c>
      <c r="B46" t="s">
        <v>8</v>
      </c>
      <c r="C46" t="s">
        <v>71</v>
      </c>
      <c r="D46" t="s">
        <v>18</v>
      </c>
      <c r="E46">
        <v>1</v>
      </c>
      <c r="F46">
        <v>1</v>
      </c>
      <c r="G46">
        <v>1</v>
      </c>
    </row>
    <row r="47" spans="1:7" ht="14.25" customHeight="1" x14ac:dyDescent="0.25">
      <c r="A47">
        <v>6682</v>
      </c>
      <c r="B47" t="s">
        <v>8</v>
      </c>
      <c r="C47" t="s">
        <v>72</v>
      </c>
      <c r="D47" t="s">
        <v>46</v>
      </c>
      <c r="E47">
        <v>1</v>
      </c>
      <c r="F47">
        <v>1</v>
      </c>
      <c r="G47">
        <v>1</v>
      </c>
    </row>
    <row r="48" spans="1:7" ht="14.25" customHeight="1" x14ac:dyDescent="0.25">
      <c r="A48">
        <v>7475</v>
      </c>
      <c r="B48" t="s">
        <v>8</v>
      </c>
      <c r="C48" t="s">
        <v>73</v>
      </c>
      <c r="D48" t="s">
        <v>46</v>
      </c>
      <c r="E48">
        <v>1</v>
      </c>
      <c r="F48">
        <v>1</v>
      </c>
      <c r="G48">
        <v>1</v>
      </c>
    </row>
    <row r="49" spans="1:7" ht="14.25" customHeight="1" x14ac:dyDescent="0.25">
      <c r="A49">
        <v>2845</v>
      </c>
      <c r="B49" t="s">
        <v>8</v>
      </c>
      <c r="C49" t="s">
        <v>74</v>
      </c>
      <c r="D49" t="s">
        <v>22</v>
      </c>
      <c r="E49">
        <v>1</v>
      </c>
      <c r="F49">
        <v>1</v>
      </c>
      <c r="G49">
        <v>1</v>
      </c>
    </row>
    <row r="50" spans="1:7" ht="14.25" customHeight="1" x14ac:dyDescent="0.25">
      <c r="A50">
        <v>6662</v>
      </c>
      <c r="B50" t="s">
        <v>8</v>
      </c>
      <c r="C50" t="s">
        <v>75</v>
      </c>
      <c r="D50" t="s">
        <v>38</v>
      </c>
      <c r="E50">
        <v>1</v>
      </c>
      <c r="F50">
        <v>1</v>
      </c>
      <c r="G50">
        <v>1</v>
      </c>
    </row>
    <row r="51" spans="1:7" ht="14.25" customHeight="1" x14ac:dyDescent="0.25">
      <c r="A51">
        <v>7048</v>
      </c>
      <c r="B51" t="s">
        <v>8</v>
      </c>
      <c r="C51" t="s">
        <v>76</v>
      </c>
      <c r="D51" t="s">
        <v>10</v>
      </c>
      <c r="E51">
        <v>1</v>
      </c>
      <c r="F51">
        <v>1</v>
      </c>
      <c r="G51">
        <v>1</v>
      </c>
    </row>
    <row r="52" spans="1:7" ht="14.25" customHeight="1" x14ac:dyDescent="0.25">
      <c r="A52">
        <v>610</v>
      </c>
      <c r="B52" t="s">
        <v>8</v>
      </c>
      <c r="C52" t="s">
        <v>77</v>
      </c>
      <c r="D52" t="s">
        <v>10</v>
      </c>
      <c r="E52">
        <v>1</v>
      </c>
      <c r="F52">
        <v>1</v>
      </c>
      <c r="G52">
        <v>1</v>
      </c>
    </row>
    <row r="53" spans="1:7" ht="14.25" customHeight="1" x14ac:dyDescent="0.25">
      <c r="A53">
        <v>4518</v>
      </c>
      <c r="B53" t="s">
        <v>8</v>
      </c>
      <c r="C53" t="s">
        <v>78</v>
      </c>
      <c r="D53" t="s">
        <v>41</v>
      </c>
      <c r="E53">
        <v>1</v>
      </c>
      <c r="F53">
        <v>1</v>
      </c>
      <c r="G53">
        <v>1</v>
      </c>
    </row>
    <row r="54" spans="1:7" ht="14.25" customHeight="1" x14ac:dyDescent="0.25">
      <c r="A54">
        <v>4867</v>
      </c>
      <c r="B54" t="s">
        <v>8</v>
      </c>
      <c r="C54" t="s">
        <v>79</v>
      </c>
      <c r="D54" t="s">
        <v>41</v>
      </c>
      <c r="E54">
        <v>1</v>
      </c>
      <c r="F54">
        <v>1</v>
      </c>
      <c r="G54">
        <v>3</v>
      </c>
    </row>
    <row r="55" spans="1:7" ht="14.25" customHeight="1" x14ac:dyDescent="0.25">
      <c r="A55">
        <v>7457</v>
      </c>
      <c r="B55" t="s">
        <v>8</v>
      </c>
      <c r="C55" t="s">
        <v>80</v>
      </c>
      <c r="D55" t="s">
        <v>81</v>
      </c>
      <c r="E55">
        <v>1</v>
      </c>
      <c r="F55">
        <v>1</v>
      </c>
      <c r="G55">
        <v>1</v>
      </c>
    </row>
    <row r="56" spans="1:7" ht="14.25" customHeight="1" x14ac:dyDescent="0.25">
      <c r="A56">
        <v>5320</v>
      </c>
      <c r="B56" t="s">
        <v>8</v>
      </c>
      <c r="C56" t="s">
        <v>82</v>
      </c>
      <c r="D56" t="s">
        <v>81</v>
      </c>
      <c r="E56">
        <v>1</v>
      </c>
      <c r="F56">
        <v>1</v>
      </c>
      <c r="G56">
        <v>1</v>
      </c>
    </row>
    <row r="57" spans="1:7" ht="14.25" customHeight="1" x14ac:dyDescent="0.25">
      <c r="A57">
        <v>7363</v>
      </c>
      <c r="B57" t="s">
        <v>8</v>
      </c>
      <c r="C57" t="s">
        <v>83</v>
      </c>
      <c r="D57" t="s">
        <v>81</v>
      </c>
      <c r="E57">
        <v>1</v>
      </c>
      <c r="F57">
        <v>1</v>
      </c>
      <c r="G57">
        <v>1</v>
      </c>
    </row>
    <row r="58" spans="1:7" ht="14.25" customHeight="1" x14ac:dyDescent="0.25">
      <c r="A58">
        <v>543</v>
      </c>
      <c r="B58" t="s">
        <v>8</v>
      </c>
      <c r="C58" t="s">
        <v>84</v>
      </c>
      <c r="D58" t="s">
        <v>32</v>
      </c>
      <c r="E58">
        <v>1</v>
      </c>
      <c r="F58">
        <v>1</v>
      </c>
      <c r="G58">
        <v>1</v>
      </c>
    </row>
    <row r="59" spans="1:7" ht="14.25" customHeight="1" x14ac:dyDescent="0.25">
      <c r="A59">
        <v>5707</v>
      </c>
      <c r="B59" t="s">
        <v>8</v>
      </c>
      <c r="C59" t="s">
        <v>85</v>
      </c>
      <c r="D59" t="s">
        <v>32</v>
      </c>
      <c r="E59">
        <v>1</v>
      </c>
      <c r="F59">
        <v>1</v>
      </c>
      <c r="G59">
        <v>1</v>
      </c>
    </row>
    <row r="60" spans="1:7" ht="14.25" customHeight="1" x14ac:dyDescent="0.25">
      <c r="A60">
        <v>6671</v>
      </c>
      <c r="B60" t="s">
        <v>8</v>
      </c>
      <c r="C60" t="s">
        <v>86</v>
      </c>
      <c r="D60" t="s">
        <v>44</v>
      </c>
      <c r="E60">
        <v>1</v>
      </c>
      <c r="F60">
        <v>1</v>
      </c>
      <c r="G60">
        <v>1</v>
      </c>
    </row>
    <row r="61" spans="1:7" ht="14.25" customHeight="1" x14ac:dyDescent="0.25">
      <c r="A61">
        <v>7531</v>
      </c>
      <c r="B61" t="s">
        <v>8</v>
      </c>
      <c r="C61" t="s">
        <v>87</v>
      </c>
      <c r="D61" t="s">
        <v>44</v>
      </c>
      <c r="E61">
        <v>1</v>
      </c>
      <c r="F61">
        <v>1</v>
      </c>
      <c r="G61">
        <v>1</v>
      </c>
    </row>
    <row r="62" spans="1:7" ht="14.25" customHeight="1" x14ac:dyDescent="0.25">
      <c r="A62">
        <v>254</v>
      </c>
      <c r="B62" t="s">
        <v>88</v>
      </c>
      <c r="C62" t="s">
        <v>89</v>
      </c>
      <c r="D62" t="s">
        <v>12</v>
      </c>
      <c r="E62">
        <v>32</v>
      </c>
      <c r="F62">
        <v>32</v>
      </c>
      <c r="G62">
        <v>265</v>
      </c>
    </row>
    <row r="63" spans="1:7" ht="14.25" customHeight="1" x14ac:dyDescent="0.25">
      <c r="A63">
        <v>7181</v>
      </c>
      <c r="B63" t="s">
        <v>88</v>
      </c>
      <c r="C63" t="s">
        <v>90</v>
      </c>
      <c r="D63" t="s">
        <v>10</v>
      </c>
      <c r="E63">
        <v>17</v>
      </c>
      <c r="F63">
        <v>17</v>
      </c>
      <c r="G63">
        <v>90</v>
      </c>
    </row>
    <row r="64" spans="1:7" ht="14.25" customHeight="1" x14ac:dyDescent="0.25">
      <c r="A64">
        <v>4159</v>
      </c>
      <c r="B64" t="s">
        <v>88</v>
      </c>
      <c r="C64" t="s">
        <v>91</v>
      </c>
      <c r="D64" t="s">
        <v>12</v>
      </c>
      <c r="E64">
        <v>16</v>
      </c>
      <c r="F64">
        <v>16</v>
      </c>
      <c r="G64">
        <v>55</v>
      </c>
    </row>
    <row r="65" spans="1:7" ht="14.25" customHeight="1" x14ac:dyDescent="0.25">
      <c r="A65">
        <v>2788</v>
      </c>
      <c r="B65" t="s">
        <v>88</v>
      </c>
      <c r="C65" t="s">
        <v>92</v>
      </c>
      <c r="D65" t="s">
        <v>28</v>
      </c>
      <c r="E65">
        <v>15</v>
      </c>
      <c r="F65">
        <v>15</v>
      </c>
      <c r="G65">
        <v>50</v>
      </c>
    </row>
    <row r="66" spans="1:7" ht="14.25" customHeight="1" x14ac:dyDescent="0.25">
      <c r="A66">
        <v>2296</v>
      </c>
      <c r="B66" t="s">
        <v>88</v>
      </c>
      <c r="C66" t="s">
        <v>93</v>
      </c>
      <c r="D66" t="s">
        <v>10</v>
      </c>
      <c r="E66">
        <v>15</v>
      </c>
      <c r="F66">
        <v>15</v>
      </c>
      <c r="G66">
        <v>49</v>
      </c>
    </row>
    <row r="67" spans="1:7" ht="14.25" customHeight="1" x14ac:dyDescent="0.25">
      <c r="A67">
        <v>2120</v>
      </c>
      <c r="B67" t="s">
        <v>88</v>
      </c>
      <c r="C67" t="s">
        <v>94</v>
      </c>
      <c r="D67" t="s">
        <v>12</v>
      </c>
      <c r="E67">
        <v>14</v>
      </c>
      <c r="F67">
        <v>14</v>
      </c>
      <c r="G67">
        <v>44</v>
      </c>
    </row>
    <row r="68" spans="1:7" ht="14.25" customHeight="1" x14ac:dyDescent="0.25">
      <c r="A68">
        <v>5022</v>
      </c>
      <c r="B68" t="s">
        <v>88</v>
      </c>
      <c r="C68" t="s">
        <v>95</v>
      </c>
      <c r="D68" t="s">
        <v>18</v>
      </c>
      <c r="E68">
        <v>14</v>
      </c>
      <c r="F68">
        <v>14</v>
      </c>
      <c r="G68">
        <v>48</v>
      </c>
    </row>
    <row r="69" spans="1:7" ht="14.25" customHeight="1" x14ac:dyDescent="0.25">
      <c r="A69">
        <v>4409</v>
      </c>
      <c r="B69" t="s">
        <v>88</v>
      </c>
      <c r="C69" t="s">
        <v>96</v>
      </c>
      <c r="D69" t="s">
        <v>22</v>
      </c>
      <c r="E69">
        <v>14</v>
      </c>
      <c r="F69">
        <v>14</v>
      </c>
      <c r="G69">
        <v>47</v>
      </c>
    </row>
    <row r="70" spans="1:7" ht="14.25" customHeight="1" x14ac:dyDescent="0.25">
      <c r="A70">
        <v>4976</v>
      </c>
      <c r="B70" t="s">
        <v>88</v>
      </c>
      <c r="C70" t="s">
        <v>97</v>
      </c>
      <c r="D70" t="s">
        <v>28</v>
      </c>
      <c r="E70">
        <v>13</v>
      </c>
      <c r="F70">
        <v>13</v>
      </c>
      <c r="G70">
        <v>46</v>
      </c>
    </row>
    <row r="71" spans="1:7" ht="14.25" customHeight="1" x14ac:dyDescent="0.25">
      <c r="A71">
        <v>4317</v>
      </c>
      <c r="B71" t="s">
        <v>88</v>
      </c>
      <c r="C71" t="s">
        <v>98</v>
      </c>
      <c r="D71" t="s">
        <v>10</v>
      </c>
      <c r="E71">
        <v>13</v>
      </c>
      <c r="F71">
        <v>13</v>
      </c>
      <c r="G71">
        <v>44</v>
      </c>
    </row>
    <row r="72" spans="1:7" ht="14.25" customHeight="1" x14ac:dyDescent="0.25">
      <c r="A72">
        <v>6956</v>
      </c>
      <c r="B72" t="s">
        <v>88</v>
      </c>
      <c r="C72" t="s">
        <v>99</v>
      </c>
      <c r="D72" t="s">
        <v>32</v>
      </c>
      <c r="E72">
        <v>13</v>
      </c>
      <c r="F72">
        <v>13</v>
      </c>
      <c r="G72">
        <v>46</v>
      </c>
    </row>
    <row r="73" spans="1:7" ht="14.25" customHeight="1" x14ac:dyDescent="0.25">
      <c r="A73">
        <v>2514</v>
      </c>
      <c r="B73" t="s">
        <v>88</v>
      </c>
      <c r="C73" t="s">
        <v>100</v>
      </c>
      <c r="D73" t="s">
        <v>12</v>
      </c>
      <c r="E73">
        <v>12</v>
      </c>
      <c r="F73">
        <v>12</v>
      </c>
      <c r="G73">
        <v>38</v>
      </c>
    </row>
    <row r="74" spans="1:7" ht="14.25" customHeight="1" x14ac:dyDescent="0.25">
      <c r="A74">
        <v>5833</v>
      </c>
      <c r="B74" t="s">
        <v>88</v>
      </c>
      <c r="C74" t="s">
        <v>101</v>
      </c>
      <c r="D74" t="s">
        <v>18</v>
      </c>
      <c r="E74">
        <v>12</v>
      </c>
      <c r="F74">
        <v>12</v>
      </c>
      <c r="G74">
        <v>31</v>
      </c>
    </row>
    <row r="75" spans="1:7" ht="14.25" customHeight="1" x14ac:dyDescent="0.25">
      <c r="A75">
        <v>2816</v>
      </c>
      <c r="B75" t="s">
        <v>88</v>
      </c>
      <c r="C75" t="s">
        <v>102</v>
      </c>
      <c r="D75" t="s">
        <v>22</v>
      </c>
      <c r="E75">
        <v>12</v>
      </c>
      <c r="F75">
        <v>12</v>
      </c>
      <c r="G75">
        <v>40</v>
      </c>
    </row>
    <row r="76" spans="1:7" ht="14.25" customHeight="1" x14ac:dyDescent="0.25">
      <c r="A76">
        <v>5750</v>
      </c>
      <c r="B76" t="s">
        <v>88</v>
      </c>
      <c r="C76" t="s">
        <v>103</v>
      </c>
      <c r="D76" t="s">
        <v>34</v>
      </c>
      <c r="E76">
        <v>11</v>
      </c>
      <c r="F76">
        <v>11</v>
      </c>
      <c r="G76">
        <v>40</v>
      </c>
    </row>
    <row r="77" spans="1:7" ht="14.25" customHeight="1" x14ac:dyDescent="0.25">
      <c r="A77">
        <v>6217</v>
      </c>
      <c r="B77" t="s">
        <v>88</v>
      </c>
      <c r="C77" t="s">
        <v>104</v>
      </c>
      <c r="D77" t="s">
        <v>12</v>
      </c>
      <c r="E77">
        <v>11</v>
      </c>
      <c r="F77">
        <v>11</v>
      </c>
      <c r="G77">
        <v>33</v>
      </c>
    </row>
    <row r="78" spans="1:7" ht="14.25" customHeight="1" x14ac:dyDescent="0.25">
      <c r="A78">
        <v>5526</v>
      </c>
      <c r="B78" t="s">
        <v>88</v>
      </c>
      <c r="C78" t="s">
        <v>105</v>
      </c>
      <c r="D78" t="s">
        <v>14</v>
      </c>
      <c r="E78">
        <v>10</v>
      </c>
      <c r="F78">
        <v>10</v>
      </c>
      <c r="G78">
        <v>28</v>
      </c>
    </row>
    <row r="79" spans="1:7" ht="14.25" customHeight="1" x14ac:dyDescent="0.25">
      <c r="A79">
        <v>6869</v>
      </c>
      <c r="B79" t="s">
        <v>88</v>
      </c>
      <c r="C79" t="s">
        <v>106</v>
      </c>
      <c r="D79" t="s">
        <v>16</v>
      </c>
      <c r="E79">
        <v>10</v>
      </c>
      <c r="F79">
        <v>10</v>
      </c>
      <c r="G79">
        <v>32</v>
      </c>
    </row>
    <row r="80" spans="1:7" ht="14.25" customHeight="1" x14ac:dyDescent="0.25">
      <c r="A80">
        <v>5885</v>
      </c>
      <c r="B80" t="s">
        <v>88</v>
      </c>
      <c r="C80" t="s">
        <v>107</v>
      </c>
      <c r="D80" t="s">
        <v>20</v>
      </c>
      <c r="E80">
        <v>10</v>
      </c>
      <c r="F80">
        <v>10</v>
      </c>
      <c r="G80">
        <v>30</v>
      </c>
    </row>
    <row r="81" spans="1:7" ht="14.25" customHeight="1" x14ac:dyDescent="0.25">
      <c r="A81">
        <v>4807</v>
      </c>
      <c r="B81" t="s">
        <v>88</v>
      </c>
      <c r="C81" t="s">
        <v>108</v>
      </c>
      <c r="D81" t="s">
        <v>10</v>
      </c>
      <c r="E81">
        <v>10</v>
      </c>
      <c r="F81">
        <v>10</v>
      </c>
      <c r="G81">
        <v>26</v>
      </c>
    </row>
    <row r="82" spans="1:7" ht="14.25" customHeight="1" x14ac:dyDescent="0.25">
      <c r="A82">
        <v>5514</v>
      </c>
      <c r="B82" t="s">
        <v>88</v>
      </c>
      <c r="C82" t="s">
        <v>109</v>
      </c>
      <c r="D82" t="s">
        <v>34</v>
      </c>
      <c r="E82">
        <v>9</v>
      </c>
      <c r="F82">
        <v>9</v>
      </c>
      <c r="G82">
        <v>33</v>
      </c>
    </row>
    <row r="83" spans="1:7" ht="14.25" customHeight="1" x14ac:dyDescent="0.25">
      <c r="A83">
        <v>5520</v>
      </c>
      <c r="B83" t="s">
        <v>88</v>
      </c>
      <c r="C83" t="s">
        <v>110</v>
      </c>
      <c r="D83" t="s">
        <v>28</v>
      </c>
      <c r="E83">
        <v>9</v>
      </c>
      <c r="F83">
        <v>9</v>
      </c>
      <c r="G83">
        <v>27</v>
      </c>
    </row>
    <row r="84" spans="1:7" ht="14.25" customHeight="1" x14ac:dyDescent="0.25">
      <c r="A84">
        <v>6046</v>
      </c>
      <c r="B84" t="s">
        <v>88</v>
      </c>
      <c r="C84" t="s">
        <v>111</v>
      </c>
      <c r="D84" t="s">
        <v>14</v>
      </c>
      <c r="E84">
        <v>8</v>
      </c>
      <c r="F84">
        <v>8</v>
      </c>
      <c r="G84">
        <v>16</v>
      </c>
    </row>
    <row r="85" spans="1:7" ht="14.25" customHeight="1" x14ac:dyDescent="0.25">
      <c r="A85">
        <v>554</v>
      </c>
      <c r="B85" t="s">
        <v>88</v>
      </c>
      <c r="C85" t="s">
        <v>112</v>
      </c>
      <c r="D85" t="s">
        <v>14</v>
      </c>
      <c r="E85">
        <v>8</v>
      </c>
      <c r="F85">
        <v>8</v>
      </c>
      <c r="G85">
        <v>24</v>
      </c>
    </row>
    <row r="86" spans="1:7" ht="14.25" customHeight="1" x14ac:dyDescent="0.25">
      <c r="A86">
        <v>6042</v>
      </c>
      <c r="B86" t="s">
        <v>88</v>
      </c>
      <c r="C86" t="s">
        <v>113</v>
      </c>
      <c r="D86" t="s">
        <v>24</v>
      </c>
      <c r="E86">
        <v>8</v>
      </c>
      <c r="F86">
        <v>8</v>
      </c>
      <c r="G86">
        <v>18</v>
      </c>
    </row>
    <row r="87" spans="1:7" ht="14.25" customHeight="1" x14ac:dyDescent="0.25">
      <c r="A87">
        <v>4734</v>
      </c>
      <c r="B87" t="s">
        <v>88</v>
      </c>
      <c r="C87" t="s">
        <v>114</v>
      </c>
      <c r="D87" t="s">
        <v>24</v>
      </c>
      <c r="E87">
        <v>8</v>
      </c>
      <c r="F87">
        <v>8</v>
      </c>
      <c r="G87">
        <v>24</v>
      </c>
    </row>
    <row r="88" spans="1:7" ht="14.25" customHeight="1" x14ac:dyDescent="0.25">
      <c r="A88">
        <v>4210</v>
      </c>
      <c r="B88" t="s">
        <v>88</v>
      </c>
      <c r="C88" t="s">
        <v>115</v>
      </c>
      <c r="D88" t="s">
        <v>26</v>
      </c>
      <c r="E88">
        <v>8</v>
      </c>
      <c r="F88">
        <v>8</v>
      </c>
      <c r="G88">
        <v>20</v>
      </c>
    </row>
    <row r="89" spans="1:7" ht="14.25" customHeight="1" x14ac:dyDescent="0.25">
      <c r="A89">
        <v>5365</v>
      </c>
      <c r="B89" t="s">
        <v>88</v>
      </c>
      <c r="C89" t="s">
        <v>116</v>
      </c>
      <c r="D89" t="s">
        <v>20</v>
      </c>
      <c r="E89">
        <v>8</v>
      </c>
      <c r="F89">
        <v>8</v>
      </c>
      <c r="G89">
        <v>27</v>
      </c>
    </row>
    <row r="90" spans="1:7" ht="14.25" customHeight="1" x14ac:dyDescent="0.25">
      <c r="A90">
        <v>6531</v>
      </c>
      <c r="B90" t="s">
        <v>88</v>
      </c>
      <c r="C90" t="s">
        <v>117</v>
      </c>
      <c r="D90" t="s">
        <v>20</v>
      </c>
      <c r="E90">
        <v>8</v>
      </c>
      <c r="F90">
        <v>8</v>
      </c>
      <c r="G90">
        <v>23</v>
      </c>
    </row>
    <row r="91" spans="1:7" ht="14.25" customHeight="1" x14ac:dyDescent="0.25">
      <c r="A91">
        <v>6814</v>
      </c>
      <c r="B91" t="s">
        <v>88</v>
      </c>
      <c r="C91" t="s">
        <v>118</v>
      </c>
      <c r="D91" t="s">
        <v>34</v>
      </c>
      <c r="E91">
        <v>8</v>
      </c>
      <c r="F91">
        <v>8</v>
      </c>
      <c r="G91">
        <v>22</v>
      </c>
    </row>
    <row r="92" spans="1:7" ht="14.25" customHeight="1" x14ac:dyDescent="0.25">
      <c r="A92">
        <v>4657</v>
      </c>
      <c r="B92" t="s">
        <v>88</v>
      </c>
      <c r="C92" t="s">
        <v>119</v>
      </c>
      <c r="D92" t="s">
        <v>28</v>
      </c>
      <c r="E92">
        <v>8</v>
      </c>
      <c r="F92">
        <v>8</v>
      </c>
      <c r="G92">
        <v>21</v>
      </c>
    </row>
    <row r="93" spans="1:7" ht="14.25" customHeight="1" x14ac:dyDescent="0.25">
      <c r="A93">
        <v>6496</v>
      </c>
      <c r="B93" t="s">
        <v>88</v>
      </c>
      <c r="C93" t="s">
        <v>120</v>
      </c>
      <c r="D93" t="s">
        <v>18</v>
      </c>
      <c r="E93">
        <v>8</v>
      </c>
      <c r="F93">
        <v>8</v>
      </c>
      <c r="G93">
        <v>25</v>
      </c>
    </row>
    <row r="94" spans="1:7" ht="14.25" customHeight="1" x14ac:dyDescent="0.25">
      <c r="A94">
        <v>1852</v>
      </c>
      <c r="B94" t="s">
        <v>88</v>
      </c>
      <c r="C94" t="s">
        <v>121</v>
      </c>
      <c r="D94" t="s">
        <v>22</v>
      </c>
      <c r="E94">
        <v>8</v>
      </c>
      <c r="F94">
        <v>8</v>
      </c>
      <c r="G94">
        <v>24</v>
      </c>
    </row>
    <row r="95" spans="1:7" ht="14.25" customHeight="1" x14ac:dyDescent="0.25">
      <c r="A95">
        <v>6664</v>
      </c>
      <c r="B95" t="s">
        <v>88</v>
      </c>
      <c r="C95" t="s">
        <v>122</v>
      </c>
      <c r="D95" t="s">
        <v>38</v>
      </c>
      <c r="E95">
        <v>8</v>
      </c>
      <c r="F95">
        <v>8</v>
      </c>
      <c r="G95">
        <v>21</v>
      </c>
    </row>
    <row r="96" spans="1:7" ht="14.25" customHeight="1" x14ac:dyDescent="0.25">
      <c r="A96">
        <v>5862</v>
      </c>
      <c r="B96" t="s">
        <v>88</v>
      </c>
      <c r="C96" t="s">
        <v>123</v>
      </c>
      <c r="D96" t="s">
        <v>38</v>
      </c>
      <c r="E96">
        <v>8</v>
      </c>
      <c r="F96">
        <v>8</v>
      </c>
      <c r="G96">
        <v>24</v>
      </c>
    </row>
    <row r="97" spans="1:7" ht="14.25" customHeight="1" x14ac:dyDescent="0.25">
      <c r="A97">
        <v>7529</v>
      </c>
      <c r="B97" t="s">
        <v>88</v>
      </c>
      <c r="C97" t="s">
        <v>124</v>
      </c>
      <c r="D97" t="s">
        <v>10</v>
      </c>
      <c r="E97">
        <v>8</v>
      </c>
      <c r="F97">
        <v>8</v>
      </c>
      <c r="G97">
        <v>20</v>
      </c>
    </row>
    <row r="98" spans="1:7" ht="14.25" customHeight="1" x14ac:dyDescent="0.25">
      <c r="A98">
        <v>4994</v>
      </c>
      <c r="B98" t="s">
        <v>88</v>
      </c>
      <c r="C98" t="s">
        <v>125</v>
      </c>
      <c r="D98" t="s">
        <v>32</v>
      </c>
      <c r="E98">
        <v>8</v>
      </c>
      <c r="F98">
        <v>8</v>
      </c>
      <c r="G98">
        <v>19</v>
      </c>
    </row>
    <row r="99" spans="1:7" ht="14.25" customHeight="1" x14ac:dyDescent="0.25">
      <c r="A99">
        <v>787</v>
      </c>
      <c r="B99" t="s">
        <v>88</v>
      </c>
      <c r="C99" t="s">
        <v>126</v>
      </c>
      <c r="D99" t="s">
        <v>14</v>
      </c>
      <c r="E99">
        <v>7</v>
      </c>
      <c r="F99">
        <v>7</v>
      </c>
      <c r="G99">
        <v>16</v>
      </c>
    </row>
    <row r="100" spans="1:7" ht="14.25" customHeight="1" x14ac:dyDescent="0.25">
      <c r="A100">
        <v>5701</v>
      </c>
      <c r="B100" t="s">
        <v>88</v>
      </c>
      <c r="C100" t="s">
        <v>127</v>
      </c>
      <c r="D100" t="s">
        <v>26</v>
      </c>
      <c r="E100">
        <v>7</v>
      </c>
      <c r="F100">
        <v>7</v>
      </c>
      <c r="G100">
        <v>14</v>
      </c>
    </row>
    <row r="101" spans="1:7" ht="14.25" customHeight="1" x14ac:dyDescent="0.25">
      <c r="A101">
        <v>7414</v>
      </c>
      <c r="B101" t="s">
        <v>88</v>
      </c>
      <c r="C101" t="s">
        <v>128</v>
      </c>
      <c r="D101" t="s">
        <v>16</v>
      </c>
      <c r="E101">
        <v>7</v>
      </c>
      <c r="F101">
        <v>7</v>
      </c>
      <c r="G101">
        <v>23</v>
      </c>
    </row>
    <row r="102" spans="1:7" ht="14.25" customHeight="1" x14ac:dyDescent="0.25">
      <c r="A102">
        <v>5877</v>
      </c>
      <c r="B102" t="s">
        <v>88</v>
      </c>
      <c r="C102" t="s">
        <v>129</v>
      </c>
      <c r="D102" t="s">
        <v>12</v>
      </c>
      <c r="E102">
        <v>7</v>
      </c>
      <c r="F102">
        <v>7</v>
      </c>
      <c r="G102">
        <v>27</v>
      </c>
    </row>
    <row r="103" spans="1:7" ht="14.25" customHeight="1" x14ac:dyDescent="0.25">
      <c r="A103">
        <v>6320</v>
      </c>
      <c r="B103" t="s">
        <v>88</v>
      </c>
      <c r="C103" t="s">
        <v>130</v>
      </c>
      <c r="D103" t="s">
        <v>30</v>
      </c>
      <c r="E103">
        <v>7</v>
      </c>
      <c r="F103">
        <v>7</v>
      </c>
      <c r="G103">
        <v>22</v>
      </c>
    </row>
    <row r="104" spans="1:7" ht="14.25" customHeight="1" x14ac:dyDescent="0.25">
      <c r="A104">
        <v>460</v>
      </c>
      <c r="B104" t="s">
        <v>88</v>
      </c>
      <c r="C104" t="s">
        <v>131</v>
      </c>
      <c r="D104" t="s">
        <v>30</v>
      </c>
      <c r="E104">
        <v>7</v>
      </c>
      <c r="F104">
        <v>7</v>
      </c>
      <c r="G104">
        <v>24</v>
      </c>
    </row>
    <row r="105" spans="1:7" ht="14.25" customHeight="1" x14ac:dyDescent="0.25">
      <c r="A105">
        <v>6989</v>
      </c>
      <c r="B105" t="s">
        <v>88</v>
      </c>
      <c r="C105" t="s">
        <v>132</v>
      </c>
      <c r="D105" t="s">
        <v>36</v>
      </c>
      <c r="E105">
        <v>7</v>
      </c>
      <c r="F105">
        <v>7</v>
      </c>
      <c r="G105">
        <v>17</v>
      </c>
    </row>
    <row r="106" spans="1:7" ht="14.25" customHeight="1" x14ac:dyDescent="0.25">
      <c r="A106">
        <v>4401</v>
      </c>
      <c r="B106" t="s">
        <v>88</v>
      </c>
      <c r="C106" t="s">
        <v>133</v>
      </c>
      <c r="D106" t="s">
        <v>18</v>
      </c>
      <c r="E106">
        <v>7</v>
      </c>
      <c r="F106">
        <v>7</v>
      </c>
      <c r="G106">
        <v>23</v>
      </c>
    </row>
    <row r="107" spans="1:7" ht="14.25" customHeight="1" x14ac:dyDescent="0.25">
      <c r="A107">
        <v>4751</v>
      </c>
      <c r="B107" t="s">
        <v>88</v>
      </c>
      <c r="C107" t="s">
        <v>134</v>
      </c>
      <c r="D107" t="s">
        <v>18</v>
      </c>
      <c r="E107">
        <v>7</v>
      </c>
      <c r="F107">
        <v>7</v>
      </c>
      <c r="G107">
        <v>20</v>
      </c>
    </row>
    <row r="108" spans="1:7" ht="14.25" customHeight="1" x14ac:dyDescent="0.25">
      <c r="A108">
        <v>2724</v>
      </c>
      <c r="B108" t="s">
        <v>88</v>
      </c>
      <c r="C108" t="s">
        <v>135</v>
      </c>
      <c r="D108" t="s">
        <v>22</v>
      </c>
      <c r="E108">
        <v>7</v>
      </c>
      <c r="F108">
        <v>7</v>
      </c>
      <c r="G108">
        <v>18</v>
      </c>
    </row>
    <row r="109" spans="1:7" ht="14.25" customHeight="1" x14ac:dyDescent="0.25">
      <c r="A109">
        <v>6672</v>
      </c>
      <c r="B109" t="s">
        <v>88</v>
      </c>
      <c r="C109" t="s">
        <v>136</v>
      </c>
      <c r="D109" t="s">
        <v>41</v>
      </c>
      <c r="E109">
        <v>7</v>
      </c>
      <c r="F109">
        <v>7</v>
      </c>
      <c r="G109">
        <v>1</v>
      </c>
    </row>
    <row r="110" spans="1:7" ht="14.25" customHeight="1" x14ac:dyDescent="0.25">
      <c r="A110">
        <v>6642</v>
      </c>
      <c r="B110" t="s">
        <v>88</v>
      </c>
      <c r="C110" t="s">
        <v>137</v>
      </c>
      <c r="D110" t="s">
        <v>81</v>
      </c>
      <c r="E110">
        <v>7</v>
      </c>
      <c r="F110">
        <v>7</v>
      </c>
      <c r="G110">
        <v>18</v>
      </c>
    </row>
    <row r="111" spans="1:7" ht="14.25" customHeight="1" x14ac:dyDescent="0.25">
      <c r="A111">
        <v>5010</v>
      </c>
      <c r="B111" t="s">
        <v>88</v>
      </c>
      <c r="C111" t="s">
        <v>138</v>
      </c>
      <c r="D111" t="s">
        <v>81</v>
      </c>
      <c r="E111">
        <v>7</v>
      </c>
      <c r="F111">
        <v>7</v>
      </c>
      <c r="G111">
        <v>18</v>
      </c>
    </row>
    <row r="112" spans="1:7" ht="14.25" customHeight="1" x14ac:dyDescent="0.25">
      <c r="A112">
        <v>6485</v>
      </c>
      <c r="B112" t="s">
        <v>88</v>
      </c>
      <c r="C112" t="s">
        <v>139</v>
      </c>
      <c r="D112" t="s">
        <v>32</v>
      </c>
      <c r="E112">
        <v>7</v>
      </c>
      <c r="F112">
        <v>7</v>
      </c>
      <c r="G112">
        <v>15</v>
      </c>
    </row>
    <row r="113" spans="1:7" ht="14.25" customHeight="1" x14ac:dyDescent="0.25">
      <c r="A113">
        <v>6916</v>
      </c>
      <c r="B113" t="s">
        <v>88</v>
      </c>
      <c r="C113" t="s">
        <v>140</v>
      </c>
      <c r="D113" t="s">
        <v>14</v>
      </c>
      <c r="E113">
        <v>6</v>
      </c>
      <c r="F113">
        <v>6</v>
      </c>
      <c r="G113">
        <v>16</v>
      </c>
    </row>
    <row r="114" spans="1:7" ht="14.25" customHeight="1" x14ac:dyDescent="0.25">
      <c r="A114">
        <v>4887</v>
      </c>
      <c r="B114" t="s">
        <v>88</v>
      </c>
      <c r="C114" t="s">
        <v>141</v>
      </c>
      <c r="D114" t="s">
        <v>14</v>
      </c>
      <c r="E114">
        <v>6</v>
      </c>
      <c r="F114">
        <v>6</v>
      </c>
      <c r="G114">
        <v>15</v>
      </c>
    </row>
    <row r="115" spans="1:7" ht="14.25" customHeight="1" x14ac:dyDescent="0.25">
      <c r="A115">
        <v>7219</v>
      </c>
      <c r="B115" t="s">
        <v>88</v>
      </c>
      <c r="C115" t="s">
        <v>142</v>
      </c>
      <c r="D115" t="s">
        <v>14</v>
      </c>
      <c r="E115">
        <v>6</v>
      </c>
      <c r="F115">
        <v>6</v>
      </c>
      <c r="G115">
        <v>17</v>
      </c>
    </row>
    <row r="116" spans="1:7" ht="14.25" customHeight="1" x14ac:dyDescent="0.25">
      <c r="A116">
        <v>7212</v>
      </c>
      <c r="B116" t="s">
        <v>88</v>
      </c>
      <c r="C116" t="s">
        <v>143</v>
      </c>
      <c r="D116" t="s">
        <v>24</v>
      </c>
      <c r="E116">
        <v>6</v>
      </c>
      <c r="F116">
        <v>6</v>
      </c>
      <c r="G116">
        <v>15</v>
      </c>
    </row>
    <row r="117" spans="1:7" ht="14.25" customHeight="1" x14ac:dyDescent="0.25">
      <c r="A117">
        <v>4433</v>
      </c>
      <c r="B117" t="s">
        <v>88</v>
      </c>
      <c r="C117" t="s">
        <v>144</v>
      </c>
      <c r="D117" t="s">
        <v>24</v>
      </c>
      <c r="E117">
        <v>6</v>
      </c>
      <c r="F117">
        <v>6</v>
      </c>
      <c r="G117">
        <v>19</v>
      </c>
    </row>
    <row r="118" spans="1:7" ht="14.25" customHeight="1" x14ac:dyDescent="0.25">
      <c r="A118">
        <v>6867</v>
      </c>
      <c r="B118" t="s">
        <v>88</v>
      </c>
      <c r="C118" t="s">
        <v>145</v>
      </c>
      <c r="D118" t="s">
        <v>16</v>
      </c>
      <c r="E118">
        <v>6</v>
      </c>
      <c r="F118">
        <v>6</v>
      </c>
      <c r="G118">
        <v>18</v>
      </c>
    </row>
    <row r="119" spans="1:7" ht="14.25" customHeight="1" x14ac:dyDescent="0.25">
      <c r="A119">
        <v>7294</v>
      </c>
      <c r="B119" t="s">
        <v>88</v>
      </c>
      <c r="C119" t="s">
        <v>146</v>
      </c>
      <c r="D119" t="s">
        <v>20</v>
      </c>
      <c r="E119">
        <v>6</v>
      </c>
      <c r="F119">
        <v>6</v>
      </c>
      <c r="G119">
        <v>18</v>
      </c>
    </row>
    <row r="120" spans="1:7" ht="14.25" customHeight="1" x14ac:dyDescent="0.25">
      <c r="A120">
        <v>7410</v>
      </c>
      <c r="B120" t="s">
        <v>88</v>
      </c>
      <c r="C120" t="s">
        <v>147</v>
      </c>
      <c r="D120" t="s">
        <v>20</v>
      </c>
      <c r="E120">
        <v>6</v>
      </c>
      <c r="F120">
        <v>6</v>
      </c>
      <c r="G120">
        <v>19</v>
      </c>
    </row>
    <row r="121" spans="1:7" ht="14.25" customHeight="1" x14ac:dyDescent="0.25">
      <c r="A121">
        <v>4952</v>
      </c>
      <c r="B121" t="s">
        <v>88</v>
      </c>
      <c r="C121" t="s">
        <v>148</v>
      </c>
      <c r="D121" t="s">
        <v>49</v>
      </c>
      <c r="E121">
        <v>6</v>
      </c>
      <c r="F121">
        <v>6</v>
      </c>
      <c r="G121">
        <v>14</v>
      </c>
    </row>
    <row r="122" spans="1:7" ht="14.25" customHeight="1" x14ac:dyDescent="0.25">
      <c r="A122">
        <v>6660</v>
      </c>
      <c r="B122" t="s">
        <v>88</v>
      </c>
      <c r="C122" t="s">
        <v>149</v>
      </c>
      <c r="D122" t="s">
        <v>34</v>
      </c>
      <c r="E122">
        <v>6</v>
      </c>
      <c r="F122">
        <v>6</v>
      </c>
      <c r="G122">
        <v>13</v>
      </c>
    </row>
    <row r="123" spans="1:7" ht="14.25" customHeight="1" x14ac:dyDescent="0.25">
      <c r="A123">
        <v>4177</v>
      </c>
      <c r="B123" t="s">
        <v>88</v>
      </c>
      <c r="C123" t="s">
        <v>150</v>
      </c>
      <c r="D123" t="s">
        <v>12</v>
      </c>
      <c r="E123">
        <v>6</v>
      </c>
      <c r="F123">
        <v>6</v>
      </c>
      <c r="G123">
        <v>18</v>
      </c>
    </row>
    <row r="124" spans="1:7" ht="14.25" customHeight="1" x14ac:dyDescent="0.25">
      <c r="A124">
        <v>5620</v>
      </c>
      <c r="B124" t="s">
        <v>88</v>
      </c>
      <c r="C124" t="s">
        <v>151</v>
      </c>
      <c r="D124" t="s">
        <v>30</v>
      </c>
      <c r="E124">
        <v>6</v>
      </c>
      <c r="F124">
        <v>6</v>
      </c>
      <c r="G124">
        <v>17</v>
      </c>
    </row>
    <row r="125" spans="1:7" ht="14.25" customHeight="1" x14ac:dyDescent="0.25">
      <c r="A125">
        <v>2188</v>
      </c>
      <c r="B125" t="s">
        <v>88</v>
      </c>
      <c r="C125" t="s">
        <v>152</v>
      </c>
      <c r="D125" t="s">
        <v>30</v>
      </c>
      <c r="E125">
        <v>6</v>
      </c>
      <c r="F125">
        <v>6</v>
      </c>
      <c r="G125">
        <v>20</v>
      </c>
    </row>
    <row r="126" spans="1:7" ht="14.25" customHeight="1" x14ac:dyDescent="0.25">
      <c r="A126">
        <v>4502</v>
      </c>
      <c r="B126" t="s">
        <v>88</v>
      </c>
      <c r="C126" t="s">
        <v>153</v>
      </c>
      <c r="D126" t="s">
        <v>36</v>
      </c>
      <c r="E126">
        <v>6</v>
      </c>
      <c r="F126">
        <v>6</v>
      </c>
      <c r="G126">
        <v>13</v>
      </c>
    </row>
    <row r="127" spans="1:7" ht="14.25" customHeight="1" x14ac:dyDescent="0.25">
      <c r="A127">
        <v>7485</v>
      </c>
      <c r="B127" t="s">
        <v>88</v>
      </c>
      <c r="C127" t="s">
        <v>154</v>
      </c>
      <c r="D127" t="s">
        <v>46</v>
      </c>
      <c r="E127">
        <v>6</v>
      </c>
      <c r="F127">
        <v>6</v>
      </c>
      <c r="G127">
        <v>15</v>
      </c>
    </row>
    <row r="128" spans="1:7" ht="14.25" customHeight="1" x14ac:dyDescent="0.25">
      <c r="A128">
        <v>6202</v>
      </c>
      <c r="B128" t="s">
        <v>88</v>
      </c>
      <c r="C128" t="s">
        <v>155</v>
      </c>
      <c r="D128" t="s">
        <v>22</v>
      </c>
      <c r="E128">
        <v>6</v>
      </c>
      <c r="F128">
        <v>6</v>
      </c>
      <c r="G128">
        <v>16</v>
      </c>
    </row>
    <row r="129" spans="1:7" ht="14.25" customHeight="1" x14ac:dyDescent="0.25">
      <c r="A129">
        <v>6663</v>
      </c>
      <c r="B129" t="s">
        <v>88</v>
      </c>
      <c r="C129" t="s">
        <v>156</v>
      </c>
      <c r="D129" t="s">
        <v>38</v>
      </c>
      <c r="E129">
        <v>6</v>
      </c>
      <c r="F129">
        <v>6</v>
      </c>
      <c r="G129">
        <v>18</v>
      </c>
    </row>
    <row r="130" spans="1:7" ht="14.25" customHeight="1" x14ac:dyDescent="0.25">
      <c r="A130">
        <v>6495</v>
      </c>
      <c r="B130" t="s">
        <v>88</v>
      </c>
      <c r="C130" t="s">
        <v>157</v>
      </c>
      <c r="D130" t="s">
        <v>81</v>
      </c>
      <c r="E130">
        <v>6</v>
      </c>
      <c r="F130">
        <v>6</v>
      </c>
      <c r="G130">
        <v>11</v>
      </c>
    </row>
    <row r="131" spans="1:7" ht="14.25" customHeight="1" x14ac:dyDescent="0.25">
      <c r="A131">
        <v>5555</v>
      </c>
      <c r="B131" t="s">
        <v>88</v>
      </c>
      <c r="C131" t="s">
        <v>158</v>
      </c>
      <c r="D131" t="s">
        <v>32</v>
      </c>
      <c r="E131">
        <v>6</v>
      </c>
      <c r="F131">
        <v>6</v>
      </c>
      <c r="G131">
        <v>12</v>
      </c>
    </row>
    <row r="132" spans="1:7" ht="14.25" customHeight="1" x14ac:dyDescent="0.25">
      <c r="A132">
        <v>7253</v>
      </c>
      <c r="B132" t="s">
        <v>88</v>
      </c>
      <c r="C132" t="s">
        <v>159</v>
      </c>
      <c r="D132" t="s">
        <v>44</v>
      </c>
      <c r="E132">
        <v>6</v>
      </c>
      <c r="F132">
        <v>6</v>
      </c>
      <c r="G132">
        <v>13</v>
      </c>
    </row>
    <row r="133" spans="1:7" ht="14.25" customHeight="1" x14ac:dyDescent="0.25">
      <c r="A133">
        <v>2640</v>
      </c>
      <c r="B133" t="s">
        <v>88</v>
      </c>
      <c r="C133" t="s">
        <v>160</v>
      </c>
      <c r="D133" t="s">
        <v>14</v>
      </c>
      <c r="E133">
        <v>5</v>
      </c>
      <c r="F133">
        <v>5</v>
      </c>
      <c r="G133">
        <v>12</v>
      </c>
    </row>
    <row r="134" spans="1:7" ht="14.25" customHeight="1" x14ac:dyDescent="0.25">
      <c r="A134">
        <v>7068</v>
      </c>
      <c r="B134" t="s">
        <v>88</v>
      </c>
      <c r="C134" t="s">
        <v>161</v>
      </c>
      <c r="D134" t="s">
        <v>24</v>
      </c>
      <c r="E134">
        <v>5</v>
      </c>
      <c r="F134">
        <v>5</v>
      </c>
      <c r="G134">
        <v>11</v>
      </c>
    </row>
    <row r="135" spans="1:7" ht="14.25" customHeight="1" x14ac:dyDescent="0.25">
      <c r="A135">
        <v>5678</v>
      </c>
      <c r="B135" t="s">
        <v>88</v>
      </c>
      <c r="C135" t="s">
        <v>162</v>
      </c>
      <c r="D135" t="s">
        <v>24</v>
      </c>
      <c r="E135">
        <v>5</v>
      </c>
      <c r="F135">
        <v>5</v>
      </c>
      <c r="G135">
        <v>13</v>
      </c>
    </row>
    <row r="136" spans="1:7" ht="14.25" customHeight="1" x14ac:dyDescent="0.25">
      <c r="A136">
        <v>7532</v>
      </c>
      <c r="B136" t="s">
        <v>88</v>
      </c>
      <c r="C136" t="s">
        <v>163</v>
      </c>
      <c r="D136" t="s">
        <v>26</v>
      </c>
      <c r="E136">
        <v>5</v>
      </c>
      <c r="F136">
        <v>5</v>
      </c>
      <c r="G136">
        <v>11</v>
      </c>
    </row>
    <row r="137" spans="1:7" ht="14.25" customHeight="1" x14ac:dyDescent="0.25">
      <c r="A137">
        <v>7274</v>
      </c>
      <c r="B137" t="s">
        <v>88</v>
      </c>
      <c r="C137" t="s">
        <v>164</v>
      </c>
      <c r="D137" t="s">
        <v>26</v>
      </c>
      <c r="E137">
        <v>5</v>
      </c>
      <c r="F137">
        <v>5</v>
      </c>
      <c r="G137">
        <v>11</v>
      </c>
    </row>
    <row r="138" spans="1:7" ht="14.25" customHeight="1" x14ac:dyDescent="0.25">
      <c r="A138">
        <v>6893</v>
      </c>
      <c r="B138" t="s">
        <v>88</v>
      </c>
      <c r="C138" t="s">
        <v>165</v>
      </c>
      <c r="D138" t="s">
        <v>16</v>
      </c>
      <c r="E138">
        <v>5</v>
      </c>
      <c r="F138">
        <v>5</v>
      </c>
      <c r="G138">
        <v>13</v>
      </c>
    </row>
    <row r="139" spans="1:7" ht="14.25" customHeight="1" x14ac:dyDescent="0.25">
      <c r="A139">
        <v>5449</v>
      </c>
      <c r="B139" t="s">
        <v>88</v>
      </c>
      <c r="C139" t="s">
        <v>166</v>
      </c>
      <c r="D139" t="s">
        <v>20</v>
      </c>
      <c r="E139">
        <v>5</v>
      </c>
      <c r="F139">
        <v>5</v>
      </c>
      <c r="G139">
        <v>12</v>
      </c>
    </row>
    <row r="140" spans="1:7" ht="14.25" customHeight="1" x14ac:dyDescent="0.25">
      <c r="A140">
        <v>7469</v>
      </c>
      <c r="B140" t="s">
        <v>88</v>
      </c>
      <c r="C140" t="s">
        <v>167</v>
      </c>
      <c r="D140" t="s">
        <v>49</v>
      </c>
      <c r="E140">
        <v>5</v>
      </c>
      <c r="F140">
        <v>5</v>
      </c>
      <c r="G140">
        <v>11</v>
      </c>
    </row>
    <row r="141" spans="1:7" ht="14.25" customHeight="1" x14ac:dyDescent="0.25">
      <c r="A141">
        <v>6238</v>
      </c>
      <c r="B141" t="s">
        <v>88</v>
      </c>
      <c r="C141" t="s">
        <v>168</v>
      </c>
      <c r="D141" t="s">
        <v>49</v>
      </c>
      <c r="E141">
        <v>5</v>
      </c>
      <c r="F141">
        <v>5</v>
      </c>
      <c r="G141">
        <v>12</v>
      </c>
    </row>
    <row r="142" spans="1:7" ht="14.25" customHeight="1" x14ac:dyDescent="0.25">
      <c r="A142">
        <v>2593</v>
      </c>
      <c r="B142" t="s">
        <v>88</v>
      </c>
      <c r="C142" t="s">
        <v>169</v>
      </c>
      <c r="D142" t="s">
        <v>34</v>
      </c>
      <c r="E142">
        <v>5</v>
      </c>
      <c r="F142">
        <v>5</v>
      </c>
      <c r="G142">
        <v>15</v>
      </c>
    </row>
    <row r="143" spans="1:7" ht="14.25" customHeight="1" x14ac:dyDescent="0.25">
      <c r="A143">
        <v>6766</v>
      </c>
      <c r="B143" t="s">
        <v>88</v>
      </c>
      <c r="C143" t="s">
        <v>170</v>
      </c>
      <c r="D143" t="s">
        <v>28</v>
      </c>
      <c r="E143">
        <v>5</v>
      </c>
      <c r="F143">
        <v>5</v>
      </c>
      <c r="G143">
        <v>13</v>
      </c>
    </row>
    <row r="144" spans="1:7" ht="14.25" customHeight="1" x14ac:dyDescent="0.25">
      <c r="A144">
        <v>4817</v>
      </c>
      <c r="B144" t="s">
        <v>88</v>
      </c>
      <c r="C144" t="s">
        <v>171</v>
      </c>
      <c r="D144" t="s">
        <v>30</v>
      </c>
      <c r="E144">
        <v>5</v>
      </c>
      <c r="F144">
        <v>5</v>
      </c>
      <c r="G144">
        <v>15</v>
      </c>
    </row>
    <row r="145" spans="1:7" ht="14.25" customHeight="1" x14ac:dyDescent="0.25">
      <c r="A145">
        <v>6632</v>
      </c>
      <c r="B145" t="s">
        <v>88</v>
      </c>
      <c r="C145" t="s">
        <v>172</v>
      </c>
      <c r="D145" t="s">
        <v>36</v>
      </c>
      <c r="E145">
        <v>5</v>
      </c>
      <c r="F145">
        <v>5</v>
      </c>
      <c r="G145">
        <v>12</v>
      </c>
    </row>
    <row r="146" spans="1:7" ht="14.25" customHeight="1" x14ac:dyDescent="0.25">
      <c r="A146">
        <v>6990</v>
      </c>
      <c r="B146" t="s">
        <v>88</v>
      </c>
      <c r="C146" t="s">
        <v>173</v>
      </c>
      <c r="D146" t="s">
        <v>36</v>
      </c>
      <c r="E146">
        <v>5</v>
      </c>
      <c r="F146">
        <v>5</v>
      </c>
      <c r="G146">
        <v>11</v>
      </c>
    </row>
    <row r="147" spans="1:7" ht="14.25" customHeight="1" x14ac:dyDescent="0.25">
      <c r="A147">
        <v>5840</v>
      </c>
      <c r="B147" t="s">
        <v>88</v>
      </c>
      <c r="C147" t="s">
        <v>174</v>
      </c>
      <c r="D147" t="s">
        <v>22</v>
      </c>
      <c r="E147">
        <v>5</v>
      </c>
      <c r="F147">
        <v>5</v>
      </c>
      <c r="G147">
        <v>13</v>
      </c>
    </row>
    <row r="148" spans="1:7" ht="14.25" customHeight="1" x14ac:dyDescent="0.25">
      <c r="A148">
        <v>6986</v>
      </c>
      <c r="B148" t="s">
        <v>88</v>
      </c>
      <c r="C148" t="s">
        <v>175</v>
      </c>
      <c r="D148" t="s">
        <v>10</v>
      </c>
      <c r="E148">
        <v>5</v>
      </c>
      <c r="F148">
        <v>5</v>
      </c>
      <c r="G148">
        <v>16</v>
      </c>
    </row>
    <row r="149" spans="1:7" ht="14.25" customHeight="1" x14ac:dyDescent="0.25">
      <c r="A149">
        <v>6426</v>
      </c>
      <c r="B149" t="s">
        <v>88</v>
      </c>
      <c r="C149" t="s">
        <v>176</v>
      </c>
      <c r="D149" t="s">
        <v>81</v>
      </c>
      <c r="E149">
        <v>5</v>
      </c>
      <c r="F149">
        <v>5</v>
      </c>
      <c r="G149">
        <v>13</v>
      </c>
    </row>
    <row r="150" spans="1:7" ht="14.25" customHeight="1" x14ac:dyDescent="0.25">
      <c r="A150">
        <v>6890</v>
      </c>
      <c r="B150" t="s">
        <v>88</v>
      </c>
      <c r="C150" t="s">
        <v>177</v>
      </c>
      <c r="D150" t="s">
        <v>44</v>
      </c>
      <c r="E150">
        <v>5</v>
      </c>
      <c r="F150">
        <v>5</v>
      </c>
      <c r="G150">
        <v>11</v>
      </c>
    </row>
    <row r="151" spans="1:7" ht="14.25" customHeight="1" x14ac:dyDescent="0.25">
      <c r="A151">
        <v>5695</v>
      </c>
      <c r="B151" t="s">
        <v>88</v>
      </c>
      <c r="C151" t="s">
        <v>178</v>
      </c>
      <c r="D151" t="s">
        <v>44</v>
      </c>
      <c r="E151">
        <v>5</v>
      </c>
      <c r="F151">
        <v>5</v>
      </c>
      <c r="G151">
        <v>11</v>
      </c>
    </row>
    <row r="152" spans="1:7" ht="14.25" customHeight="1" x14ac:dyDescent="0.25">
      <c r="A152">
        <v>4461</v>
      </c>
      <c r="B152" t="s">
        <v>88</v>
      </c>
      <c r="C152" t="s">
        <v>179</v>
      </c>
      <c r="D152" t="s">
        <v>26</v>
      </c>
      <c r="E152">
        <v>4</v>
      </c>
      <c r="F152">
        <v>4</v>
      </c>
      <c r="G152">
        <v>9</v>
      </c>
    </row>
    <row r="153" spans="1:7" ht="14.25" customHeight="1" x14ac:dyDescent="0.25">
      <c r="A153">
        <v>7014</v>
      </c>
      <c r="B153" t="s">
        <v>88</v>
      </c>
      <c r="C153" t="s">
        <v>180</v>
      </c>
      <c r="D153" t="s">
        <v>16</v>
      </c>
      <c r="E153">
        <v>4</v>
      </c>
      <c r="F153">
        <v>4</v>
      </c>
      <c r="G153">
        <v>10</v>
      </c>
    </row>
    <row r="154" spans="1:7" ht="14.25" customHeight="1" x14ac:dyDescent="0.25">
      <c r="A154">
        <v>5603</v>
      </c>
      <c r="B154" t="s">
        <v>88</v>
      </c>
      <c r="C154" t="s">
        <v>181</v>
      </c>
      <c r="D154" t="s">
        <v>20</v>
      </c>
      <c r="E154">
        <v>4</v>
      </c>
      <c r="F154">
        <v>4</v>
      </c>
      <c r="G154">
        <v>8</v>
      </c>
    </row>
    <row r="155" spans="1:7" ht="14.25" customHeight="1" x14ac:dyDescent="0.25">
      <c r="A155">
        <v>7467</v>
      </c>
      <c r="B155" t="s">
        <v>88</v>
      </c>
      <c r="C155" t="s">
        <v>182</v>
      </c>
      <c r="D155" t="s">
        <v>49</v>
      </c>
      <c r="E155">
        <v>4</v>
      </c>
      <c r="F155">
        <v>4</v>
      </c>
      <c r="G155">
        <v>10</v>
      </c>
    </row>
    <row r="156" spans="1:7" ht="14.25" customHeight="1" x14ac:dyDescent="0.25">
      <c r="A156">
        <v>7537</v>
      </c>
      <c r="B156" t="s">
        <v>88</v>
      </c>
      <c r="C156" t="s">
        <v>183</v>
      </c>
      <c r="D156" t="s">
        <v>34</v>
      </c>
      <c r="E156">
        <v>4</v>
      </c>
      <c r="F156">
        <v>4</v>
      </c>
      <c r="G156">
        <v>9</v>
      </c>
    </row>
    <row r="157" spans="1:7" ht="14.25" customHeight="1" x14ac:dyDescent="0.25">
      <c r="A157">
        <v>5831</v>
      </c>
      <c r="B157" t="s">
        <v>88</v>
      </c>
      <c r="C157" t="s">
        <v>184</v>
      </c>
      <c r="D157" t="s">
        <v>28</v>
      </c>
      <c r="E157">
        <v>4</v>
      </c>
      <c r="F157">
        <v>4</v>
      </c>
      <c r="G157">
        <v>10</v>
      </c>
    </row>
    <row r="158" spans="1:7" ht="14.25" customHeight="1" x14ac:dyDescent="0.25">
      <c r="A158">
        <v>7240</v>
      </c>
      <c r="B158" t="s">
        <v>88</v>
      </c>
      <c r="C158" t="s">
        <v>185</v>
      </c>
      <c r="D158" t="s">
        <v>36</v>
      </c>
      <c r="E158">
        <v>4</v>
      </c>
      <c r="F158">
        <v>4</v>
      </c>
      <c r="G158">
        <v>12</v>
      </c>
    </row>
    <row r="159" spans="1:7" ht="14.25" customHeight="1" x14ac:dyDescent="0.25">
      <c r="A159">
        <v>2115</v>
      </c>
      <c r="B159" t="s">
        <v>88</v>
      </c>
      <c r="C159" t="s">
        <v>186</v>
      </c>
      <c r="D159" t="s">
        <v>46</v>
      </c>
      <c r="E159">
        <v>4</v>
      </c>
      <c r="F159">
        <v>4</v>
      </c>
      <c r="G159">
        <v>11</v>
      </c>
    </row>
    <row r="160" spans="1:7" ht="14.25" customHeight="1" x14ac:dyDescent="0.25">
      <c r="A160">
        <v>6659</v>
      </c>
      <c r="B160" t="s">
        <v>88</v>
      </c>
      <c r="C160" t="s">
        <v>187</v>
      </c>
      <c r="D160" t="s">
        <v>46</v>
      </c>
      <c r="E160">
        <v>4</v>
      </c>
      <c r="F160">
        <v>4</v>
      </c>
      <c r="G160">
        <v>12</v>
      </c>
    </row>
    <row r="161" spans="1:7" ht="14.25" customHeight="1" x14ac:dyDescent="0.25">
      <c r="A161">
        <v>5838</v>
      </c>
      <c r="B161" t="s">
        <v>88</v>
      </c>
      <c r="C161" t="s">
        <v>188</v>
      </c>
      <c r="D161" t="s">
        <v>46</v>
      </c>
      <c r="E161">
        <v>4</v>
      </c>
      <c r="F161">
        <v>4</v>
      </c>
      <c r="G161">
        <v>12</v>
      </c>
    </row>
    <row r="162" spans="1:7" ht="14.25" customHeight="1" x14ac:dyDescent="0.25">
      <c r="A162">
        <v>5307</v>
      </c>
      <c r="B162" t="s">
        <v>88</v>
      </c>
      <c r="C162" t="s">
        <v>189</v>
      </c>
      <c r="D162" t="s">
        <v>38</v>
      </c>
      <c r="E162">
        <v>4</v>
      </c>
      <c r="F162">
        <v>4</v>
      </c>
      <c r="G162">
        <v>10</v>
      </c>
    </row>
    <row r="163" spans="1:7" ht="14.25" customHeight="1" x14ac:dyDescent="0.25">
      <c r="A163">
        <v>6631</v>
      </c>
      <c r="B163" t="s">
        <v>88</v>
      </c>
      <c r="C163" t="s">
        <v>190</v>
      </c>
      <c r="D163" t="s">
        <v>10</v>
      </c>
      <c r="E163">
        <v>4</v>
      </c>
      <c r="F163">
        <v>4</v>
      </c>
      <c r="G163">
        <v>10</v>
      </c>
    </row>
    <row r="164" spans="1:7" ht="14.25" customHeight="1" x14ac:dyDescent="0.25">
      <c r="A164">
        <v>4374</v>
      </c>
      <c r="B164" t="s">
        <v>88</v>
      </c>
      <c r="C164" t="s">
        <v>191</v>
      </c>
      <c r="D164" t="s">
        <v>41</v>
      </c>
      <c r="E164">
        <v>4</v>
      </c>
      <c r="F164">
        <v>4</v>
      </c>
      <c r="G164">
        <v>10</v>
      </c>
    </row>
    <row r="165" spans="1:7" ht="14.25" customHeight="1" x14ac:dyDescent="0.25">
      <c r="A165">
        <v>5851</v>
      </c>
      <c r="B165" t="s">
        <v>88</v>
      </c>
      <c r="C165" t="s">
        <v>192</v>
      </c>
      <c r="D165" t="s">
        <v>41</v>
      </c>
      <c r="E165">
        <v>4</v>
      </c>
      <c r="F165">
        <v>4</v>
      </c>
      <c r="G165">
        <v>13</v>
      </c>
    </row>
    <row r="166" spans="1:7" ht="14.25" customHeight="1" x14ac:dyDescent="0.25">
      <c r="A166">
        <v>7526</v>
      </c>
      <c r="B166" t="s">
        <v>88</v>
      </c>
      <c r="C166" t="s">
        <v>193</v>
      </c>
      <c r="D166" t="s">
        <v>81</v>
      </c>
      <c r="E166">
        <v>4</v>
      </c>
      <c r="F166">
        <v>4</v>
      </c>
      <c r="G166">
        <v>10</v>
      </c>
    </row>
    <row r="167" spans="1:7" ht="14.25" customHeight="1" x14ac:dyDescent="0.25">
      <c r="A167">
        <v>4263</v>
      </c>
      <c r="B167" t="s">
        <v>88</v>
      </c>
      <c r="C167" t="s">
        <v>194</v>
      </c>
      <c r="D167" t="s">
        <v>32</v>
      </c>
      <c r="E167">
        <v>4</v>
      </c>
      <c r="F167">
        <v>4</v>
      </c>
      <c r="G167">
        <v>9</v>
      </c>
    </row>
    <row r="168" spans="1:7" ht="14.25" customHeight="1" x14ac:dyDescent="0.25">
      <c r="A168">
        <v>5820</v>
      </c>
      <c r="B168" t="s">
        <v>88</v>
      </c>
      <c r="C168" t="s">
        <v>195</v>
      </c>
      <c r="D168" t="s">
        <v>32</v>
      </c>
      <c r="E168">
        <v>4</v>
      </c>
      <c r="F168">
        <v>4</v>
      </c>
      <c r="G168">
        <v>10</v>
      </c>
    </row>
    <row r="169" spans="1:7" ht="14.25" customHeight="1" x14ac:dyDescent="0.25">
      <c r="A169">
        <v>5527</v>
      </c>
      <c r="B169" t="s">
        <v>88</v>
      </c>
      <c r="C169" t="s">
        <v>196</v>
      </c>
      <c r="D169" t="s">
        <v>32</v>
      </c>
      <c r="E169">
        <v>4</v>
      </c>
      <c r="F169">
        <v>4</v>
      </c>
      <c r="G169">
        <v>10</v>
      </c>
    </row>
    <row r="170" spans="1:7" ht="14.25" customHeight="1" x14ac:dyDescent="0.25">
      <c r="A170">
        <v>7312</v>
      </c>
      <c r="B170" t="s">
        <v>88</v>
      </c>
      <c r="C170" t="s">
        <v>197</v>
      </c>
      <c r="D170" t="s">
        <v>32</v>
      </c>
      <c r="E170">
        <v>4</v>
      </c>
      <c r="F170">
        <v>4</v>
      </c>
      <c r="G170">
        <v>8</v>
      </c>
    </row>
    <row r="171" spans="1:7" ht="14.25" customHeight="1" x14ac:dyDescent="0.25">
      <c r="A171">
        <v>7538</v>
      </c>
      <c r="B171" t="s">
        <v>88</v>
      </c>
      <c r="C171" t="s">
        <v>198</v>
      </c>
      <c r="D171" t="s">
        <v>44</v>
      </c>
      <c r="E171">
        <v>4</v>
      </c>
      <c r="F171">
        <v>4</v>
      </c>
      <c r="G171">
        <v>10</v>
      </c>
    </row>
    <row r="172" spans="1:7" ht="14.25" customHeight="1" x14ac:dyDescent="0.25">
      <c r="A172">
        <v>4845</v>
      </c>
      <c r="B172" t="s">
        <v>88</v>
      </c>
      <c r="C172" t="s">
        <v>199</v>
      </c>
      <c r="D172" t="s">
        <v>44</v>
      </c>
      <c r="E172">
        <v>4</v>
      </c>
      <c r="F172">
        <v>4</v>
      </c>
      <c r="G172">
        <v>12</v>
      </c>
    </row>
    <row r="173" spans="1:7" ht="14.25" customHeight="1" x14ac:dyDescent="0.25">
      <c r="A173">
        <v>5578</v>
      </c>
      <c r="B173" t="s">
        <v>88</v>
      </c>
      <c r="C173" t="s">
        <v>200</v>
      </c>
      <c r="D173" t="s">
        <v>14</v>
      </c>
      <c r="E173">
        <v>3</v>
      </c>
      <c r="F173">
        <v>3</v>
      </c>
      <c r="G173">
        <v>7</v>
      </c>
    </row>
    <row r="174" spans="1:7" ht="14.25" customHeight="1" x14ac:dyDescent="0.25">
      <c r="A174">
        <v>5498</v>
      </c>
      <c r="B174" t="s">
        <v>88</v>
      </c>
      <c r="C174" t="s">
        <v>201</v>
      </c>
      <c r="D174" t="s">
        <v>24</v>
      </c>
      <c r="E174">
        <v>3</v>
      </c>
      <c r="F174">
        <v>3</v>
      </c>
      <c r="G174">
        <v>6</v>
      </c>
    </row>
    <row r="175" spans="1:7" ht="14.25" customHeight="1" x14ac:dyDescent="0.25">
      <c r="A175">
        <v>7268</v>
      </c>
      <c r="B175" t="s">
        <v>88</v>
      </c>
      <c r="C175" t="s">
        <v>202</v>
      </c>
      <c r="D175" t="s">
        <v>26</v>
      </c>
      <c r="E175">
        <v>3</v>
      </c>
      <c r="F175">
        <v>3</v>
      </c>
      <c r="G175">
        <v>10</v>
      </c>
    </row>
    <row r="176" spans="1:7" ht="14.25" customHeight="1" x14ac:dyDescent="0.25">
      <c r="A176">
        <v>7125</v>
      </c>
      <c r="B176" t="s">
        <v>88</v>
      </c>
      <c r="C176" t="s">
        <v>203</v>
      </c>
      <c r="D176" t="s">
        <v>26</v>
      </c>
      <c r="E176">
        <v>3</v>
      </c>
      <c r="F176">
        <v>3</v>
      </c>
      <c r="G176">
        <v>7</v>
      </c>
    </row>
    <row r="177" spans="1:7" ht="14.25" customHeight="1" x14ac:dyDescent="0.25">
      <c r="A177">
        <v>4378</v>
      </c>
      <c r="B177" t="s">
        <v>88</v>
      </c>
      <c r="C177" t="s">
        <v>204</v>
      </c>
      <c r="D177" t="s">
        <v>20</v>
      </c>
      <c r="E177">
        <v>3</v>
      </c>
      <c r="F177">
        <v>3</v>
      </c>
      <c r="G177">
        <v>7</v>
      </c>
    </row>
    <row r="178" spans="1:7" ht="14.25" customHeight="1" x14ac:dyDescent="0.25">
      <c r="A178">
        <v>7175</v>
      </c>
      <c r="B178" t="s">
        <v>88</v>
      </c>
      <c r="C178" t="s">
        <v>205</v>
      </c>
      <c r="D178" t="s">
        <v>20</v>
      </c>
      <c r="E178">
        <v>3</v>
      </c>
      <c r="F178">
        <v>3</v>
      </c>
      <c r="G178">
        <v>7</v>
      </c>
    </row>
    <row r="179" spans="1:7" ht="14.25" customHeight="1" x14ac:dyDescent="0.25">
      <c r="A179">
        <v>7540</v>
      </c>
      <c r="B179" t="s">
        <v>88</v>
      </c>
      <c r="C179" t="s">
        <v>206</v>
      </c>
      <c r="D179" t="s">
        <v>49</v>
      </c>
      <c r="E179">
        <v>3</v>
      </c>
      <c r="F179">
        <v>3</v>
      </c>
      <c r="G179">
        <v>7</v>
      </c>
    </row>
    <row r="180" spans="1:7" ht="14.25" customHeight="1" x14ac:dyDescent="0.25">
      <c r="A180">
        <v>5757</v>
      </c>
      <c r="B180" t="s">
        <v>88</v>
      </c>
      <c r="C180" t="s">
        <v>207</v>
      </c>
      <c r="D180" t="s">
        <v>49</v>
      </c>
      <c r="E180">
        <v>3</v>
      </c>
      <c r="F180">
        <v>3</v>
      </c>
      <c r="G180">
        <v>8</v>
      </c>
    </row>
    <row r="181" spans="1:7" ht="14.25" customHeight="1" x14ac:dyDescent="0.25">
      <c r="A181">
        <v>7012</v>
      </c>
      <c r="B181" t="s">
        <v>88</v>
      </c>
      <c r="C181" t="s">
        <v>208</v>
      </c>
      <c r="D181" t="s">
        <v>30</v>
      </c>
      <c r="E181">
        <v>3</v>
      </c>
      <c r="F181">
        <v>3</v>
      </c>
      <c r="G181">
        <v>10</v>
      </c>
    </row>
    <row r="182" spans="1:7" ht="14.25" customHeight="1" x14ac:dyDescent="0.25">
      <c r="A182">
        <v>7131</v>
      </c>
      <c r="B182" t="s">
        <v>88</v>
      </c>
      <c r="C182" t="s">
        <v>209</v>
      </c>
      <c r="D182" t="s">
        <v>30</v>
      </c>
      <c r="E182">
        <v>3</v>
      </c>
      <c r="F182">
        <v>3</v>
      </c>
      <c r="G182">
        <v>12</v>
      </c>
    </row>
    <row r="183" spans="1:7" ht="14.25" customHeight="1" x14ac:dyDescent="0.25">
      <c r="A183">
        <v>5739</v>
      </c>
      <c r="B183" t="s">
        <v>88</v>
      </c>
      <c r="C183" t="s">
        <v>210</v>
      </c>
      <c r="D183" t="s">
        <v>18</v>
      </c>
      <c r="E183">
        <v>3</v>
      </c>
      <c r="F183">
        <v>3</v>
      </c>
      <c r="G183">
        <v>12</v>
      </c>
    </row>
    <row r="184" spans="1:7" ht="14.25" customHeight="1" x14ac:dyDescent="0.25">
      <c r="A184">
        <v>7211</v>
      </c>
      <c r="B184" t="s">
        <v>88</v>
      </c>
      <c r="C184" t="s">
        <v>211</v>
      </c>
      <c r="D184" t="s">
        <v>18</v>
      </c>
      <c r="E184">
        <v>3</v>
      </c>
      <c r="F184">
        <v>3</v>
      </c>
      <c r="G184">
        <v>8</v>
      </c>
    </row>
    <row r="185" spans="1:7" ht="14.25" customHeight="1" x14ac:dyDescent="0.25">
      <c r="A185">
        <v>5273</v>
      </c>
      <c r="B185" t="s">
        <v>88</v>
      </c>
      <c r="C185" t="s">
        <v>212</v>
      </c>
      <c r="D185" t="s">
        <v>18</v>
      </c>
      <c r="E185">
        <v>3</v>
      </c>
      <c r="F185">
        <v>3</v>
      </c>
      <c r="G185">
        <v>9</v>
      </c>
    </row>
    <row r="186" spans="1:7" ht="14.25" customHeight="1" x14ac:dyDescent="0.25">
      <c r="A186">
        <v>7238</v>
      </c>
      <c r="B186" t="s">
        <v>88</v>
      </c>
      <c r="C186" t="s">
        <v>213</v>
      </c>
      <c r="D186" t="s">
        <v>46</v>
      </c>
      <c r="E186">
        <v>3</v>
      </c>
      <c r="F186">
        <v>3</v>
      </c>
      <c r="G186">
        <v>9</v>
      </c>
    </row>
    <row r="187" spans="1:7" ht="14.25" customHeight="1" x14ac:dyDescent="0.25">
      <c r="A187">
        <v>4925</v>
      </c>
      <c r="B187" t="s">
        <v>88</v>
      </c>
      <c r="C187" t="s">
        <v>214</v>
      </c>
      <c r="D187" t="s">
        <v>46</v>
      </c>
      <c r="E187">
        <v>3</v>
      </c>
      <c r="F187">
        <v>3</v>
      </c>
      <c r="G187">
        <v>9</v>
      </c>
    </row>
    <row r="188" spans="1:7" ht="14.25" customHeight="1" x14ac:dyDescent="0.25">
      <c r="A188">
        <v>7235</v>
      </c>
      <c r="B188" t="s">
        <v>88</v>
      </c>
      <c r="C188" t="s">
        <v>215</v>
      </c>
      <c r="D188" t="s">
        <v>38</v>
      </c>
      <c r="E188">
        <v>3</v>
      </c>
      <c r="F188">
        <v>3</v>
      </c>
      <c r="G188">
        <v>8</v>
      </c>
    </row>
    <row r="189" spans="1:7" ht="14.25" customHeight="1" x14ac:dyDescent="0.25">
      <c r="A189">
        <v>7255</v>
      </c>
      <c r="B189" t="s">
        <v>88</v>
      </c>
      <c r="C189" t="s">
        <v>216</v>
      </c>
      <c r="D189" t="s">
        <v>38</v>
      </c>
      <c r="E189">
        <v>3</v>
      </c>
      <c r="F189">
        <v>3</v>
      </c>
      <c r="G189">
        <v>10</v>
      </c>
    </row>
    <row r="190" spans="1:7" ht="14.25" customHeight="1" x14ac:dyDescent="0.25">
      <c r="A190">
        <v>6985</v>
      </c>
      <c r="B190" t="s">
        <v>88</v>
      </c>
      <c r="C190" t="s">
        <v>217</v>
      </c>
      <c r="D190" t="s">
        <v>41</v>
      </c>
      <c r="E190">
        <v>3</v>
      </c>
      <c r="F190">
        <v>3</v>
      </c>
      <c r="G190">
        <v>12</v>
      </c>
    </row>
    <row r="191" spans="1:7" ht="14.25" customHeight="1" x14ac:dyDescent="0.25">
      <c r="A191">
        <v>6892</v>
      </c>
      <c r="B191" t="s">
        <v>88</v>
      </c>
      <c r="C191" t="s">
        <v>218</v>
      </c>
      <c r="D191" t="s">
        <v>44</v>
      </c>
      <c r="E191">
        <v>3</v>
      </c>
      <c r="F191">
        <v>3</v>
      </c>
      <c r="G191">
        <v>7</v>
      </c>
    </row>
    <row r="192" spans="1:7" ht="14.25" customHeight="1" x14ac:dyDescent="0.25">
      <c r="A192">
        <v>6673</v>
      </c>
      <c r="B192" t="s">
        <v>88</v>
      </c>
      <c r="C192" t="s">
        <v>219</v>
      </c>
      <c r="D192" t="s">
        <v>44</v>
      </c>
      <c r="E192">
        <v>3</v>
      </c>
      <c r="F192">
        <v>3</v>
      </c>
      <c r="G192">
        <v>7</v>
      </c>
    </row>
    <row r="193" spans="1:7" ht="14.25" customHeight="1" x14ac:dyDescent="0.25">
      <c r="A193">
        <v>6821</v>
      </c>
      <c r="B193" t="s">
        <v>88</v>
      </c>
      <c r="C193" t="s">
        <v>220</v>
      </c>
      <c r="D193" t="s">
        <v>44</v>
      </c>
      <c r="E193">
        <v>3</v>
      </c>
      <c r="F193">
        <v>3</v>
      </c>
      <c r="G193">
        <v>7</v>
      </c>
    </row>
    <row r="194" spans="1:7" ht="14.25" customHeight="1" x14ac:dyDescent="0.25">
      <c r="A194">
        <v>7326</v>
      </c>
      <c r="B194" t="s">
        <v>88</v>
      </c>
      <c r="C194" t="s">
        <v>221</v>
      </c>
      <c r="D194" t="s">
        <v>24</v>
      </c>
      <c r="E194">
        <v>2</v>
      </c>
      <c r="F194">
        <v>2</v>
      </c>
      <c r="G194">
        <v>5</v>
      </c>
    </row>
    <row r="195" spans="1:7" ht="14.25" customHeight="1" x14ac:dyDescent="0.25">
      <c r="A195">
        <v>7483</v>
      </c>
      <c r="B195" t="s">
        <v>88</v>
      </c>
      <c r="C195" t="s">
        <v>222</v>
      </c>
      <c r="D195" t="s">
        <v>24</v>
      </c>
      <c r="E195">
        <v>2</v>
      </c>
      <c r="F195">
        <v>2</v>
      </c>
      <c r="G195">
        <v>6</v>
      </c>
    </row>
    <row r="196" spans="1:7" ht="14.25" customHeight="1" x14ac:dyDescent="0.25">
      <c r="A196">
        <v>6896</v>
      </c>
      <c r="B196" t="s">
        <v>88</v>
      </c>
      <c r="C196" t="s">
        <v>223</v>
      </c>
      <c r="D196" t="s">
        <v>16</v>
      </c>
      <c r="E196">
        <v>2</v>
      </c>
      <c r="F196">
        <v>2</v>
      </c>
      <c r="G196">
        <v>5</v>
      </c>
    </row>
    <row r="197" spans="1:7" ht="14.25" customHeight="1" x14ac:dyDescent="0.25">
      <c r="A197">
        <v>6977</v>
      </c>
      <c r="B197" t="s">
        <v>88</v>
      </c>
      <c r="C197" t="s">
        <v>224</v>
      </c>
      <c r="D197" t="s">
        <v>34</v>
      </c>
      <c r="E197">
        <v>2</v>
      </c>
      <c r="F197">
        <v>2</v>
      </c>
      <c r="G197">
        <v>5</v>
      </c>
    </row>
    <row r="198" spans="1:7" ht="14.25" customHeight="1" x14ac:dyDescent="0.25">
      <c r="A198">
        <v>7413</v>
      </c>
      <c r="B198" t="s">
        <v>88</v>
      </c>
      <c r="C198" t="s">
        <v>225</v>
      </c>
      <c r="D198" t="s">
        <v>34</v>
      </c>
      <c r="E198">
        <v>2</v>
      </c>
      <c r="F198">
        <v>2</v>
      </c>
      <c r="G198">
        <v>7</v>
      </c>
    </row>
    <row r="199" spans="1:7" ht="14.25" customHeight="1" x14ac:dyDescent="0.25">
      <c r="A199">
        <v>791</v>
      </c>
      <c r="B199" t="s">
        <v>88</v>
      </c>
      <c r="C199" t="s">
        <v>226</v>
      </c>
      <c r="D199" t="s">
        <v>34</v>
      </c>
      <c r="E199">
        <v>2</v>
      </c>
      <c r="F199">
        <v>2</v>
      </c>
      <c r="G199">
        <v>5</v>
      </c>
    </row>
    <row r="200" spans="1:7" ht="14.25" customHeight="1" x14ac:dyDescent="0.25">
      <c r="A200">
        <v>2263</v>
      </c>
      <c r="B200" t="s">
        <v>88</v>
      </c>
      <c r="C200" t="s">
        <v>227</v>
      </c>
      <c r="D200" t="s">
        <v>30</v>
      </c>
      <c r="E200">
        <v>2</v>
      </c>
      <c r="F200">
        <v>2</v>
      </c>
      <c r="G200">
        <v>8</v>
      </c>
    </row>
    <row r="201" spans="1:7" ht="14.25" customHeight="1" x14ac:dyDescent="0.25">
      <c r="A201">
        <v>2728</v>
      </c>
      <c r="B201" t="s">
        <v>88</v>
      </c>
      <c r="C201" t="s">
        <v>228</v>
      </c>
      <c r="D201" t="s">
        <v>30</v>
      </c>
      <c r="E201">
        <v>2</v>
      </c>
      <c r="F201">
        <v>2</v>
      </c>
      <c r="G201">
        <v>5</v>
      </c>
    </row>
    <row r="202" spans="1:7" ht="14.25" customHeight="1" x14ac:dyDescent="0.25">
      <c r="A202">
        <v>6883</v>
      </c>
      <c r="B202" t="s">
        <v>88</v>
      </c>
      <c r="C202" t="s">
        <v>229</v>
      </c>
      <c r="D202" t="s">
        <v>36</v>
      </c>
      <c r="E202">
        <v>2</v>
      </c>
      <c r="F202">
        <v>2</v>
      </c>
      <c r="G202">
        <v>4</v>
      </c>
    </row>
    <row r="203" spans="1:7" ht="14.25" customHeight="1" x14ac:dyDescent="0.25">
      <c r="A203">
        <v>7525</v>
      </c>
      <c r="B203" t="s">
        <v>88</v>
      </c>
      <c r="C203" t="s">
        <v>230</v>
      </c>
      <c r="D203" t="s">
        <v>18</v>
      </c>
      <c r="E203">
        <v>2</v>
      </c>
      <c r="F203">
        <v>2</v>
      </c>
      <c r="G203">
        <v>4</v>
      </c>
    </row>
    <row r="204" spans="1:7" ht="14.25" customHeight="1" x14ac:dyDescent="0.25">
      <c r="A204">
        <v>6638</v>
      </c>
      <c r="B204" t="s">
        <v>88</v>
      </c>
      <c r="C204" t="s">
        <v>231</v>
      </c>
      <c r="D204" t="s">
        <v>22</v>
      </c>
      <c r="E204">
        <v>2</v>
      </c>
      <c r="F204">
        <v>2</v>
      </c>
      <c r="G204">
        <v>6</v>
      </c>
    </row>
    <row r="205" spans="1:7" ht="14.25" customHeight="1" x14ac:dyDescent="0.25">
      <c r="A205">
        <v>252</v>
      </c>
      <c r="B205" t="s">
        <v>88</v>
      </c>
      <c r="C205" t="s">
        <v>232</v>
      </c>
      <c r="D205" t="s">
        <v>81</v>
      </c>
      <c r="E205">
        <v>2</v>
      </c>
      <c r="F205">
        <v>2</v>
      </c>
      <c r="G205">
        <v>5</v>
      </c>
    </row>
    <row r="206" spans="1:7" ht="14.25" customHeight="1" x14ac:dyDescent="0.25">
      <c r="A206">
        <v>6925</v>
      </c>
      <c r="B206" t="s">
        <v>88</v>
      </c>
      <c r="C206" t="s">
        <v>233</v>
      </c>
      <c r="D206" t="s">
        <v>32</v>
      </c>
      <c r="E206">
        <v>2</v>
      </c>
      <c r="F206">
        <v>2</v>
      </c>
      <c r="G206">
        <v>5</v>
      </c>
    </row>
    <row r="207" spans="1:7" ht="14.25" customHeight="1" x14ac:dyDescent="0.25">
      <c r="A207">
        <v>5994</v>
      </c>
      <c r="B207" t="s">
        <v>88</v>
      </c>
      <c r="C207" t="s">
        <v>234</v>
      </c>
      <c r="D207" t="s">
        <v>32</v>
      </c>
      <c r="E207">
        <v>2</v>
      </c>
      <c r="F207">
        <v>2</v>
      </c>
      <c r="G207">
        <v>4</v>
      </c>
    </row>
    <row r="208" spans="1:7" ht="14.25" customHeight="1" x14ac:dyDescent="0.25">
      <c r="A208">
        <v>7478</v>
      </c>
      <c r="B208" t="s">
        <v>88</v>
      </c>
      <c r="C208" t="s">
        <v>235</v>
      </c>
      <c r="D208" t="s">
        <v>44</v>
      </c>
      <c r="E208">
        <v>2</v>
      </c>
      <c r="F208">
        <v>2</v>
      </c>
      <c r="G208">
        <v>4</v>
      </c>
    </row>
    <row r="209" spans="1:7" ht="14.25" customHeight="1" x14ac:dyDescent="0.25">
      <c r="A209">
        <v>6681</v>
      </c>
      <c r="B209" t="s">
        <v>88</v>
      </c>
      <c r="C209" t="s">
        <v>236</v>
      </c>
      <c r="D209" t="s">
        <v>44</v>
      </c>
      <c r="E209">
        <v>2</v>
      </c>
      <c r="F209">
        <v>2</v>
      </c>
      <c r="G209">
        <v>4</v>
      </c>
    </row>
    <row r="210" spans="1:7" ht="14.25" customHeight="1" x14ac:dyDescent="0.25">
      <c r="A210">
        <v>487</v>
      </c>
      <c r="B210" t="s">
        <v>88</v>
      </c>
      <c r="C210" t="s">
        <v>237</v>
      </c>
      <c r="D210" t="s">
        <v>24</v>
      </c>
      <c r="E210">
        <v>1</v>
      </c>
      <c r="F210">
        <v>1</v>
      </c>
      <c r="G210">
        <v>4</v>
      </c>
    </row>
    <row r="211" spans="1:7" ht="14.25" customHeight="1" x14ac:dyDescent="0.25">
      <c r="A211">
        <v>7346</v>
      </c>
      <c r="B211" t="s">
        <v>88</v>
      </c>
      <c r="C211" t="s">
        <v>238</v>
      </c>
      <c r="D211" t="s">
        <v>26</v>
      </c>
      <c r="E211">
        <v>1</v>
      </c>
      <c r="F211">
        <v>1</v>
      </c>
      <c r="G211">
        <v>1</v>
      </c>
    </row>
    <row r="212" spans="1:7" ht="14.25" customHeight="1" x14ac:dyDescent="0.25">
      <c r="A212">
        <v>418</v>
      </c>
      <c r="B212" t="s">
        <v>88</v>
      </c>
      <c r="C212" t="s">
        <v>239</v>
      </c>
      <c r="D212" t="s">
        <v>16</v>
      </c>
      <c r="E212">
        <v>1</v>
      </c>
      <c r="F212">
        <v>1</v>
      </c>
      <c r="G212">
        <v>1</v>
      </c>
    </row>
    <row r="213" spans="1:7" ht="14.25" customHeight="1" x14ac:dyDescent="0.25">
      <c r="A213">
        <v>7407</v>
      </c>
      <c r="B213" t="s">
        <v>88</v>
      </c>
      <c r="C213" t="s">
        <v>240</v>
      </c>
      <c r="D213" t="s">
        <v>16</v>
      </c>
      <c r="E213">
        <v>1</v>
      </c>
      <c r="F213">
        <v>1</v>
      </c>
      <c r="G213">
        <v>8</v>
      </c>
    </row>
    <row r="214" spans="1:7" ht="14.25" customHeight="1" x14ac:dyDescent="0.25">
      <c r="A214">
        <v>5424</v>
      </c>
      <c r="B214" t="s">
        <v>88</v>
      </c>
      <c r="C214" t="s">
        <v>241</v>
      </c>
      <c r="D214" t="s">
        <v>49</v>
      </c>
      <c r="E214">
        <v>1</v>
      </c>
      <c r="F214">
        <v>1</v>
      </c>
      <c r="G214">
        <v>1</v>
      </c>
    </row>
    <row r="215" spans="1:7" ht="14.25" customHeight="1" x14ac:dyDescent="0.25">
      <c r="A215">
        <v>7468</v>
      </c>
      <c r="B215" t="s">
        <v>88</v>
      </c>
      <c r="C215" t="s">
        <v>242</v>
      </c>
      <c r="D215" t="s">
        <v>49</v>
      </c>
      <c r="E215">
        <v>1</v>
      </c>
      <c r="F215">
        <v>1</v>
      </c>
      <c r="G215">
        <v>1</v>
      </c>
    </row>
    <row r="216" spans="1:7" ht="14.25" customHeight="1" x14ac:dyDescent="0.25">
      <c r="A216">
        <v>7470</v>
      </c>
      <c r="B216" t="s">
        <v>88</v>
      </c>
      <c r="C216" t="s">
        <v>243</v>
      </c>
      <c r="D216" t="s">
        <v>49</v>
      </c>
      <c r="E216">
        <v>1</v>
      </c>
      <c r="F216">
        <v>1</v>
      </c>
      <c r="G216">
        <v>3</v>
      </c>
    </row>
    <row r="217" spans="1:7" ht="14.25" customHeight="1" x14ac:dyDescent="0.25">
      <c r="A217">
        <v>7471</v>
      </c>
      <c r="B217" t="s">
        <v>88</v>
      </c>
      <c r="C217" t="s">
        <v>244</v>
      </c>
      <c r="D217" t="s">
        <v>49</v>
      </c>
      <c r="E217">
        <v>1</v>
      </c>
      <c r="F217">
        <v>1</v>
      </c>
      <c r="G217">
        <v>3</v>
      </c>
    </row>
    <row r="218" spans="1:7" ht="14.25" customHeight="1" x14ac:dyDescent="0.25">
      <c r="A218">
        <v>6245</v>
      </c>
      <c r="B218" t="s">
        <v>88</v>
      </c>
      <c r="C218" t="s">
        <v>245</v>
      </c>
      <c r="D218" t="s">
        <v>34</v>
      </c>
      <c r="E218">
        <v>1</v>
      </c>
      <c r="F218">
        <v>1</v>
      </c>
      <c r="G218">
        <v>2</v>
      </c>
    </row>
    <row r="219" spans="1:7" ht="14.25" customHeight="1" x14ac:dyDescent="0.25">
      <c r="A219">
        <v>6244</v>
      </c>
      <c r="B219" t="s">
        <v>88</v>
      </c>
      <c r="C219" t="s">
        <v>246</v>
      </c>
      <c r="D219" t="s">
        <v>34</v>
      </c>
      <c r="E219">
        <v>1</v>
      </c>
      <c r="F219">
        <v>1</v>
      </c>
      <c r="G219">
        <v>2</v>
      </c>
    </row>
    <row r="220" spans="1:7" ht="14.25" customHeight="1" x14ac:dyDescent="0.25">
      <c r="A220">
        <v>294</v>
      </c>
      <c r="B220" t="s">
        <v>88</v>
      </c>
      <c r="C220" t="s">
        <v>247</v>
      </c>
      <c r="D220" t="s">
        <v>28</v>
      </c>
      <c r="E220">
        <v>1</v>
      </c>
      <c r="F220">
        <v>1</v>
      </c>
      <c r="G220">
        <v>3</v>
      </c>
    </row>
    <row r="221" spans="1:7" ht="14.25" customHeight="1" x14ac:dyDescent="0.25">
      <c r="A221">
        <v>6039</v>
      </c>
      <c r="B221" t="s">
        <v>88</v>
      </c>
      <c r="C221" t="s">
        <v>248</v>
      </c>
      <c r="D221" t="s">
        <v>28</v>
      </c>
      <c r="E221">
        <v>1</v>
      </c>
      <c r="F221">
        <v>1</v>
      </c>
      <c r="G221">
        <v>4</v>
      </c>
    </row>
    <row r="222" spans="1:7" ht="14.25" customHeight="1" x14ac:dyDescent="0.25">
      <c r="A222">
        <v>327</v>
      </c>
      <c r="B222" t="s">
        <v>88</v>
      </c>
      <c r="C222" t="s">
        <v>249</v>
      </c>
      <c r="D222" t="s">
        <v>30</v>
      </c>
      <c r="E222">
        <v>1</v>
      </c>
      <c r="F222">
        <v>1</v>
      </c>
      <c r="G222">
        <v>4</v>
      </c>
    </row>
    <row r="223" spans="1:7" ht="14.25" customHeight="1" x14ac:dyDescent="0.25">
      <c r="A223">
        <v>7164</v>
      </c>
      <c r="B223" t="s">
        <v>88</v>
      </c>
      <c r="C223" t="s">
        <v>250</v>
      </c>
      <c r="D223" t="s">
        <v>36</v>
      </c>
      <c r="E223">
        <v>1</v>
      </c>
      <c r="F223">
        <v>1</v>
      </c>
      <c r="G223">
        <v>1</v>
      </c>
    </row>
    <row r="224" spans="1:7" ht="14.25" customHeight="1" x14ac:dyDescent="0.25">
      <c r="A224">
        <v>7182</v>
      </c>
      <c r="B224" t="s">
        <v>88</v>
      </c>
      <c r="C224" t="s">
        <v>251</v>
      </c>
      <c r="D224" t="s">
        <v>36</v>
      </c>
      <c r="E224">
        <v>1</v>
      </c>
      <c r="F224">
        <v>1</v>
      </c>
      <c r="G224">
        <v>4</v>
      </c>
    </row>
    <row r="225" spans="1:7" ht="14.25" customHeight="1" x14ac:dyDescent="0.25">
      <c r="A225">
        <v>5399</v>
      </c>
      <c r="B225" t="s">
        <v>88</v>
      </c>
      <c r="C225" t="s">
        <v>252</v>
      </c>
      <c r="D225" t="s">
        <v>46</v>
      </c>
      <c r="E225">
        <v>1</v>
      </c>
      <c r="F225">
        <v>1</v>
      </c>
      <c r="G225">
        <v>2</v>
      </c>
    </row>
    <row r="226" spans="1:7" ht="14.25" customHeight="1" x14ac:dyDescent="0.25">
      <c r="A226">
        <v>7476</v>
      </c>
      <c r="B226" t="s">
        <v>88</v>
      </c>
      <c r="C226" t="s">
        <v>253</v>
      </c>
      <c r="D226" t="s">
        <v>46</v>
      </c>
      <c r="E226">
        <v>1</v>
      </c>
      <c r="F226">
        <v>1</v>
      </c>
      <c r="G226">
        <v>4</v>
      </c>
    </row>
    <row r="227" spans="1:7" ht="14.25" customHeight="1" x14ac:dyDescent="0.25">
      <c r="A227">
        <v>6809</v>
      </c>
      <c r="B227" t="s">
        <v>88</v>
      </c>
      <c r="C227" t="s">
        <v>254</v>
      </c>
      <c r="D227" t="s">
        <v>22</v>
      </c>
      <c r="E227">
        <v>1</v>
      </c>
      <c r="F227">
        <v>1</v>
      </c>
      <c r="G227">
        <v>5</v>
      </c>
    </row>
    <row r="228" spans="1:7" ht="14.25" customHeight="1" x14ac:dyDescent="0.25">
      <c r="A228">
        <v>5481</v>
      </c>
      <c r="B228" t="s">
        <v>88</v>
      </c>
      <c r="C228" t="s">
        <v>255</v>
      </c>
      <c r="D228" t="s">
        <v>22</v>
      </c>
      <c r="E228">
        <v>1</v>
      </c>
      <c r="F228">
        <v>1</v>
      </c>
      <c r="G228">
        <v>3</v>
      </c>
    </row>
    <row r="229" spans="1:7" ht="14.25" customHeight="1" x14ac:dyDescent="0.25">
      <c r="A229">
        <v>7202</v>
      </c>
      <c r="B229" t="s">
        <v>88</v>
      </c>
      <c r="C229" t="s">
        <v>256</v>
      </c>
      <c r="D229" t="s">
        <v>38</v>
      </c>
      <c r="E229">
        <v>1</v>
      </c>
      <c r="F229">
        <v>1</v>
      </c>
      <c r="G229">
        <v>4</v>
      </c>
    </row>
    <row r="230" spans="1:7" ht="14.25" customHeight="1" x14ac:dyDescent="0.25">
      <c r="A230">
        <v>6149</v>
      </c>
      <c r="B230" t="s">
        <v>88</v>
      </c>
      <c r="C230" t="s">
        <v>257</v>
      </c>
      <c r="D230" t="s">
        <v>38</v>
      </c>
      <c r="E230">
        <v>1</v>
      </c>
      <c r="F230">
        <v>1</v>
      </c>
      <c r="G230">
        <v>3</v>
      </c>
    </row>
    <row r="231" spans="1:7" ht="14.25" customHeight="1" x14ac:dyDescent="0.25">
      <c r="A231">
        <v>7260</v>
      </c>
      <c r="B231" t="s">
        <v>88</v>
      </c>
      <c r="C231" t="s">
        <v>258</v>
      </c>
      <c r="D231" t="s">
        <v>10</v>
      </c>
      <c r="E231">
        <v>1</v>
      </c>
      <c r="F231">
        <v>1</v>
      </c>
      <c r="G231">
        <v>2</v>
      </c>
    </row>
    <row r="232" spans="1:7" ht="14.25" customHeight="1" x14ac:dyDescent="0.25">
      <c r="A232">
        <v>6189</v>
      </c>
      <c r="B232" t="s">
        <v>88</v>
      </c>
      <c r="C232" t="s">
        <v>259</v>
      </c>
      <c r="D232" t="s">
        <v>41</v>
      </c>
      <c r="E232">
        <v>1</v>
      </c>
      <c r="F232">
        <v>1</v>
      </c>
      <c r="G232">
        <v>2</v>
      </c>
    </row>
    <row r="233" spans="1:7" ht="14.25" customHeight="1" x14ac:dyDescent="0.25">
      <c r="A233">
        <v>7156</v>
      </c>
      <c r="B233" t="s">
        <v>88</v>
      </c>
      <c r="C233" t="s">
        <v>260</v>
      </c>
      <c r="D233" t="s">
        <v>41</v>
      </c>
      <c r="E233">
        <v>1</v>
      </c>
      <c r="F233">
        <v>1</v>
      </c>
      <c r="G233">
        <v>1</v>
      </c>
    </row>
    <row r="234" spans="1:7" ht="14.25" customHeight="1" x14ac:dyDescent="0.25">
      <c r="A234">
        <v>7356</v>
      </c>
      <c r="B234" t="s">
        <v>88</v>
      </c>
      <c r="C234" t="s">
        <v>261</v>
      </c>
      <c r="D234" t="s">
        <v>32</v>
      </c>
      <c r="E234">
        <v>1</v>
      </c>
      <c r="F234">
        <v>1</v>
      </c>
      <c r="G234">
        <v>3</v>
      </c>
    </row>
    <row r="235" spans="1:7" ht="14.25" customHeight="1" x14ac:dyDescent="0.25">
      <c r="A235">
        <v>6021</v>
      </c>
      <c r="B235" t="s">
        <v>88</v>
      </c>
      <c r="C235" t="s">
        <v>262</v>
      </c>
      <c r="D235" t="s">
        <v>32</v>
      </c>
      <c r="E235">
        <v>1</v>
      </c>
      <c r="F235">
        <v>1</v>
      </c>
      <c r="G235">
        <v>3</v>
      </c>
    </row>
    <row r="236" spans="1:7" ht="14.25" customHeight="1" x14ac:dyDescent="0.25">
      <c r="A236">
        <v>7454</v>
      </c>
      <c r="B236" t="s">
        <v>88</v>
      </c>
      <c r="C236" t="s">
        <v>263</v>
      </c>
      <c r="D236" t="s">
        <v>44</v>
      </c>
      <c r="E236">
        <v>1</v>
      </c>
      <c r="F236">
        <v>1</v>
      </c>
      <c r="G236">
        <v>1</v>
      </c>
    </row>
    <row r="237" spans="1:7" ht="14.25" customHeight="1" x14ac:dyDescent="0.25">
      <c r="A237">
        <v>6875</v>
      </c>
      <c r="B237" t="s">
        <v>264</v>
      </c>
      <c r="C237" t="s">
        <v>265</v>
      </c>
      <c r="D237" t="s">
        <v>16</v>
      </c>
      <c r="E237">
        <v>30</v>
      </c>
      <c r="F237">
        <v>30</v>
      </c>
      <c r="G237">
        <v>250</v>
      </c>
    </row>
    <row r="238" spans="1:7" ht="14.25" customHeight="1" x14ac:dyDescent="0.25">
      <c r="A238">
        <v>4777</v>
      </c>
      <c r="B238" t="s">
        <v>264</v>
      </c>
      <c r="C238" t="s">
        <v>266</v>
      </c>
      <c r="D238" t="s">
        <v>22</v>
      </c>
      <c r="E238">
        <v>28</v>
      </c>
      <c r="F238">
        <v>28</v>
      </c>
      <c r="G238">
        <v>240</v>
      </c>
    </row>
    <row r="239" spans="1:7" ht="14.25" customHeight="1" x14ac:dyDescent="0.25">
      <c r="A239">
        <v>2194</v>
      </c>
      <c r="B239" t="s">
        <v>264</v>
      </c>
      <c r="C239" t="s">
        <v>267</v>
      </c>
      <c r="D239" t="s">
        <v>12</v>
      </c>
      <c r="E239">
        <v>27</v>
      </c>
      <c r="F239">
        <v>27</v>
      </c>
      <c r="G239">
        <v>230</v>
      </c>
    </row>
    <row r="240" spans="1:7" ht="14.25" customHeight="1" x14ac:dyDescent="0.25">
      <c r="A240">
        <v>2167</v>
      </c>
      <c r="B240" t="s">
        <v>264</v>
      </c>
      <c r="C240" t="s">
        <v>268</v>
      </c>
      <c r="D240" t="s">
        <v>24</v>
      </c>
      <c r="E240">
        <v>26</v>
      </c>
      <c r="F240">
        <v>26</v>
      </c>
      <c r="G240">
        <v>200</v>
      </c>
    </row>
    <row r="241" spans="1:7" ht="14.25" customHeight="1" x14ac:dyDescent="0.25">
      <c r="A241">
        <v>2423</v>
      </c>
      <c r="B241" t="s">
        <v>264</v>
      </c>
      <c r="C241" t="s">
        <v>269</v>
      </c>
      <c r="D241" t="s">
        <v>18</v>
      </c>
      <c r="E241">
        <v>25</v>
      </c>
      <c r="F241">
        <v>25</v>
      </c>
      <c r="G241">
        <v>180</v>
      </c>
    </row>
    <row r="242" spans="1:7" ht="14.25" customHeight="1" x14ac:dyDescent="0.25">
      <c r="A242">
        <v>2379</v>
      </c>
      <c r="B242" t="s">
        <v>264</v>
      </c>
      <c r="C242" t="s">
        <v>270</v>
      </c>
      <c r="D242" t="s">
        <v>18</v>
      </c>
      <c r="E242">
        <v>22</v>
      </c>
      <c r="F242">
        <v>22</v>
      </c>
      <c r="G242">
        <v>128</v>
      </c>
    </row>
    <row r="243" spans="1:7" ht="14.25" customHeight="1" x14ac:dyDescent="0.25">
      <c r="A243">
        <v>7126</v>
      </c>
      <c r="B243" t="s">
        <v>264</v>
      </c>
      <c r="C243" t="s">
        <v>271</v>
      </c>
      <c r="D243" t="s">
        <v>16</v>
      </c>
      <c r="E243">
        <v>19</v>
      </c>
      <c r="F243">
        <v>19</v>
      </c>
      <c r="G243">
        <v>102</v>
      </c>
    </row>
    <row r="244" spans="1:7" ht="14.25" customHeight="1" x14ac:dyDescent="0.25">
      <c r="A244">
        <v>5559</v>
      </c>
      <c r="B244" t="s">
        <v>264</v>
      </c>
      <c r="C244" t="s">
        <v>272</v>
      </c>
      <c r="D244" t="s">
        <v>16</v>
      </c>
      <c r="E244">
        <v>18</v>
      </c>
      <c r="F244">
        <v>18</v>
      </c>
      <c r="G244">
        <v>90</v>
      </c>
    </row>
    <row r="245" spans="1:7" ht="14.25" customHeight="1" x14ac:dyDescent="0.25">
      <c r="A245">
        <v>2766</v>
      </c>
      <c r="B245" t="s">
        <v>264</v>
      </c>
      <c r="C245" t="s">
        <v>273</v>
      </c>
      <c r="D245" t="s">
        <v>32</v>
      </c>
      <c r="E245">
        <v>18</v>
      </c>
      <c r="F245">
        <v>18</v>
      </c>
      <c r="G245">
        <v>90</v>
      </c>
    </row>
    <row r="246" spans="1:7" ht="14.25" customHeight="1" x14ac:dyDescent="0.25">
      <c r="A246">
        <v>6908</v>
      </c>
      <c r="B246" t="s">
        <v>264</v>
      </c>
      <c r="C246" t="s">
        <v>274</v>
      </c>
      <c r="D246" t="s">
        <v>20</v>
      </c>
      <c r="E246">
        <v>17</v>
      </c>
      <c r="F246">
        <v>17</v>
      </c>
      <c r="G246">
        <v>87</v>
      </c>
    </row>
    <row r="247" spans="1:7" ht="14.25" customHeight="1" x14ac:dyDescent="0.25">
      <c r="A247">
        <v>1870</v>
      </c>
      <c r="B247" t="s">
        <v>264</v>
      </c>
      <c r="C247" t="s">
        <v>275</v>
      </c>
      <c r="D247" t="s">
        <v>12</v>
      </c>
      <c r="E247">
        <v>17</v>
      </c>
      <c r="F247">
        <v>17</v>
      </c>
      <c r="G247">
        <v>82</v>
      </c>
    </row>
    <row r="248" spans="1:7" ht="14.25" customHeight="1" x14ac:dyDescent="0.25">
      <c r="A248">
        <v>4973</v>
      </c>
      <c r="B248" t="s">
        <v>264</v>
      </c>
      <c r="C248" t="s">
        <v>276</v>
      </c>
      <c r="D248" t="s">
        <v>28</v>
      </c>
      <c r="E248">
        <v>17</v>
      </c>
      <c r="F248">
        <v>17</v>
      </c>
      <c r="G248">
        <v>68</v>
      </c>
    </row>
    <row r="249" spans="1:7" ht="14.25" customHeight="1" x14ac:dyDescent="0.25">
      <c r="A249">
        <v>632</v>
      </c>
      <c r="B249" t="s">
        <v>264</v>
      </c>
      <c r="C249" t="s">
        <v>277</v>
      </c>
      <c r="D249" t="s">
        <v>30</v>
      </c>
      <c r="E249">
        <v>16</v>
      </c>
      <c r="F249">
        <v>16</v>
      </c>
      <c r="G249">
        <v>91</v>
      </c>
    </row>
    <row r="250" spans="1:7" ht="14.25" customHeight="1" x14ac:dyDescent="0.25">
      <c r="A250">
        <v>2517</v>
      </c>
      <c r="B250" t="s">
        <v>264</v>
      </c>
      <c r="C250" t="s">
        <v>278</v>
      </c>
      <c r="D250" t="s">
        <v>22</v>
      </c>
      <c r="E250">
        <v>15</v>
      </c>
      <c r="F250">
        <v>15</v>
      </c>
      <c r="G250">
        <v>100</v>
      </c>
    </row>
    <row r="251" spans="1:7" ht="14.25" customHeight="1" x14ac:dyDescent="0.25">
      <c r="A251">
        <v>5687</v>
      </c>
      <c r="B251" t="s">
        <v>264</v>
      </c>
      <c r="C251" t="s">
        <v>279</v>
      </c>
      <c r="D251" t="s">
        <v>81</v>
      </c>
      <c r="E251">
        <v>14</v>
      </c>
      <c r="F251">
        <v>14</v>
      </c>
      <c r="G251">
        <v>80</v>
      </c>
    </row>
    <row r="252" spans="1:7" ht="14.25" customHeight="1" x14ac:dyDescent="0.25">
      <c r="A252">
        <v>5800</v>
      </c>
      <c r="B252" t="s">
        <v>264</v>
      </c>
      <c r="C252" t="s">
        <v>280</v>
      </c>
      <c r="D252" t="s">
        <v>20</v>
      </c>
      <c r="E252">
        <v>13</v>
      </c>
      <c r="F252">
        <v>13</v>
      </c>
      <c r="G252">
        <v>61</v>
      </c>
    </row>
    <row r="253" spans="1:7" ht="14.25" customHeight="1" x14ac:dyDescent="0.25">
      <c r="A253">
        <v>7314</v>
      </c>
      <c r="B253" t="s">
        <v>264</v>
      </c>
      <c r="C253" t="s">
        <v>281</v>
      </c>
      <c r="D253" t="s">
        <v>30</v>
      </c>
      <c r="E253">
        <v>13</v>
      </c>
      <c r="F253">
        <v>13</v>
      </c>
      <c r="G253">
        <v>64</v>
      </c>
    </row>
    <row r="254" spans="1:7" ht="14.25" customHeight="1" x14ac:dyDescent="0.25">
      <c r="A254">
        <v>5792</v>
      </c>
      <c r="B254" t="s">
        <v>264</v>
      </c>
      <c r="C254" t="s">
        <v>282</v>
      </c>
      <c r="D254" t="s">
        <v>14</v>
      </c>
      <c r="E254">
        <v>12</v>
      </c>
      <c r="F254">
        <v>12</v>
      </c>
      <c r="G254">
        <v>45</v>
      </c>
    </row>
    <row r="255" spans="1:7" ht="14.25" customHeight="1" x14ac:dyDescent="0.25">
      <c r="A255">
        <v>5119</v>
      </c>
      <c r="B255" t="s">
        <v>264</v>
      </c>
      <c r="C255" t="s">
        <v>283</v>
      </c>
      <c r="D255" t="s">
        <v>14</v>
      </c>
      <c r="E255">
        <v>12</v>
      </c>
      <c r="F255">
        <v>12</v>
      </c>
      <c r="G255">
        <v>42</v>
      </c>
    </row>
    <row r="256" spans="1:7" ht="14.25" customHeight="1" x14ac:dyDescent="0.25">
      <c r="A256">
        <v>7129</v>
      </c>
      <c r="B256" t="s">
        <v>264</v>
      </c>
      <c r="C256" t="s">
        <v>284</v>
      </c>
      <c r="D256" t="s">
        <v>16</v>
      </c>
      <c r="E256">
        <v>12</v>
      </c>
      <c r="F256">
        <v>12</v>
      </c>
      <c r="G256">
        <v>32</v>
      </c>
    </row>
    <row r="257" spans="1:7" ht="14.25" customHeight="1" x14ac:dyDescent="0.25">
      <c r="A257">
        <v>7436</v>
      </c>
      <c r="B257" t="s">
        <v>264</v>
      </c>
      <c r="C257" t="s">
        <v>285</v>
      </c>
      <c r="D257" t="s">
        <v>28</v>
      </c>
      <c r="E257">
        <v>12</v>
      </c>
      <c r="F257">
        <v>12</v>
      </c>
      <c r="G257">
        <v>57</v>
      </c>
    </row>
    <row r="258" spans="1:7" ht="14.25" customHeight="1" x14ac:dyDescent="0.25">
      <c r="A258">
        <v>6884</v>
      </c>
      <c r="B258" t="s">
        <v>264</v>
      </c>
      <c r="C258" t="s">
        <v>286</v>
      </c>
      <c r="D258" t="s">
        <v>28</v>
      </c>
      <c r="E258">
        <v>12</v>
      </c>
      <c r="F258">
        <v>12</v>
      </c>
      <c r="G258">
        <v>60</v>
      </c>
    </row>
    <row r="259" spans="1:7" ht="14.25" customHeight="1" x14ac:dyDescent="0.25">
      <c r="A259">
        <v>2606</v>
      </c>
      <c r="B259" t="s">
        <v>264</v>
      </c>
      <c r="C259" t="s">
        <v>287</v>
      </c>
      <c r="D259" t="s">
        <v>18</v>
      </c>
      <c r="E259">
        <v>12</v>
      </c>
      <c r="F259">
        <v>12</v>
      </c>
      <c r="G259">
        <v>50</v>
      </c>
    </row>
    <row r="260" spans="1:7" ht="14.25" customHeight="1" x14ac:dyDescent="0.25">
      <c r="A260">
        <v>6844</v>
      </c>
      <c r="B260" t="s">
        <v>264</v>
      </c>
      <c r="C260" t="s">
        <v>288</v>
      </c>
      <c r="D260" t="s">
        <v>24</v>
      </c>
      <c r="E260">
        <v>11</v>
      </c>
      <c r="F260">
        <v>11</v>
      </c>
      <c r="G260">
        <v>37</v>
      </c>
    </row>
    <row r="261" spans="1:7" ht="14.25" customHeight="1" x14ac:dyDescent="0.25">
      <c r="A261">
        <v>5823</v>
      </c>
      <c r="B261" t="s">
        <v>264</v>
      </c>
      <c r="C261" t="s">
        <v>289</v>
      </c>
      <c r="D261" t="s">
        <v>34</v>
      </c>
      <c r="E261">
        <v>11</v>
      </c>
      <c r="F261">
        <v>11</v>
      </c>
      <c r="G261">
        <v>30</v>
      </c>
    </row>
    <row r="262" spans="1:7" ht="14.25" customHeight="1" x14ac:dyDescent="0.25">
      <c r="A262">
        <v>4220</v>
      </c>
      <c r="B262" t="s">
        <v>264</v>
      </c>
      <c r="C262" t="s">
        <v>290</v>
      </c>
      <c r="D262" t="s">
        <v>22</v>
      </c>
      <c r="E262">
        <v>11</v>
      </c>
      <c r="F262">
        <v>11</v>
      </c>
      <c r="G262">
        <v>55</v>
      </c>
    </row>
    <row r="263" spans="1:7" ht="14.25" customHeight="1" x14ac:dyDescent="0.25">
      <c r="A263">
        <v>6151</v>
      </c>
      <c r="B263" t="s">
        <v>264</v>
      </c>
      <c r="C263" t="s">
        <v>291</v>
      </c>
      <c r="D263" t="s">
        <v>16</v>
      </c>
      <c r="E263">
        <v>10</v>
      </c>
      <c r="F263">
        <v>10</v>
      </c>
      <c r="G263">
        <v>38</v>
      </c>
    </row>
    <row r="264" spans="1:7" ht="14.25" customHeight="1" x14ac:dyDescent="0.25">
      <c r="A264">
        <v>152</v>
      </c>
      <c r="B264" t="s">
        <v>264</v>
      </c>
      <c r="C264" t="s">
        <v>292</v>
      </c>
      <c r="D264" t="s">
        <v>12</v>
      </c>
      <c r="E264">
        <v>10</v>
      </c>
      <c r="F264">
        <v>10</v>
      </c>
      <c r="G264">
        <v>41</v>
      </c>
    </row>
    <row r="265" spans="1:7" ht="14.25" customHeight="1" x14ac:dyDescent="0.25">
      <c r="A265">
        <v>5562</v>
      </c>
      <c r="B265" t="s">
        <v>264</v>
      </c>
      <c r="C265" t="s">
        <v>293</v>
      </c>
      <c r="D265" t="s">
        <v>28</v>
      </c>
      <c r="E265">
        <v>10</v>
      </c>
      <c r="F265">
        <v>10</v>
      </c>
      <c r="G265">
        <v>41</v>
      </c>
    </row>
    <row r="266" spans="1:7" ht="14.25" customHeight="1" x14ac:dyDescent="0.25">
      <c r="A266">
        <v>4892</v>
      </c>
      <c r="B266" t="s">
        <v>264</v>
      </c>
      <c r="C266" t="s">
        <v>294</v>
      </c>
      <c r="D266" t="s">
        <v>18</v>
      </c>
      <c r="E266">
        <v>10</v>
      </c>
      <c r="F266">
        <v>10</v>
      </c>
      <c r="G266">
        <v>43</v>
      </c>
    </row>
    <row r="267" spans="1:7" ht="14.25" customHeight="1" x14ac:dyDescent="0.25">
      <c r="A267">
        <v>536</v>
      </c>
      <c r="B267" t="s">
        <v>264</v>
      </c>
      <c r="C267" t="s">
        <v>295</v>
      </c>
      <c r="D267" t="s">
        <v>22</v>
      </c>
      <c r="E267">
        <v>10</v>
      </c>
      <c r="F267">
        <v>10</v>
      </c>
      <c r="G267">
        <v>47</v>
      </c>
    </row>
    <row r="268" spans="1:7" ht="14.25" customHeight="1" x14ac:dyDescent="0.25">
      <c r="A268">
        <v>5589</v>
      </c>
      <c r="B268" t="s">
        <v>264</v>
      </c>
      <c r="C268" t="s">
        <v>296</v>
      </c>
      <c r="D268" t="s">
        <v>10</v>
      </c>
      <c r="E268">
        <v>10</v>
      </c>
      <c r="F268">
        <v>10</v>
      </c>
      <c r="G268">
        <v>42</v>
      </c>
    </row>
    <row r="269" spans="1:7" ht="14.25" customHeight="1" x14ac:dyDescent="0.25">
      <c r="A269">
        <v>5844</v>
      </c>
      <c r="B269" t="s">
        <v>264</v>
      </c>
      <c r="C269" t="s">
        <v>297</v>
      </c>
      <c r="D269" t="s">
        <v>41</v>
      </c>
      <c r="E269">
        <v>10</v>
      </c>
      <c r="F269">
        <v>10</v>
      </c>
      <c r="G269">
        <v>41</v>
      </c>
    </row>
    <row r="270" spans="1:7" ht="14.25" customHeight="1" x14ac:dyDescent="0.25">
      <c r="A270">
        <v>5888</v>
      </c>
      <c r="B270" t="s">
        <v>264</v>
      </c>
      <c r="C270" t="s">
        <v>298</v>
      </c>
      <c r="D270" t="s">
        <v>81</v>
      </c>
      <c r="E270">
        <v>10</v>
      </c>
      <c r="F270">
        <v>10</v>
      </c>
      <c r="G270">
        <v>37</v>
      </c>
    </row>
    <row r="271" spans="1:7" ht="14.25" customHeight="1" x14ac:dyDescent="0.25">
      <c r="A271">
        <v>6684</v>
      </c>
      <c r="B271" t="s">
        <v>264</v>
      </c>
      <c r="C271" t="s">
        <v>299</v>
      </c>
      <c r="D271" t="s">
        <v>32</v>
      </c>
      <c r="E271">
        <v>10</v>
      </c>
      <c r="F271">
        <v>10</v>
      </c>
      <c r="G271">
        <v>41</v>
      </c>
    </row>
    <row r="272" spans="1:7" ht="14.25" customHeight="1" x14ac:dyDescent="0.25">
      <c r="A272">
        <v>2077</v>
      </c>
      <c r="B272" t="s">
        <v>264</v>
      </c>
      <c r="C272" t="s">
        <v>300</v>
      </c>
      <c r="D272" t="s">
        <v>14</v>
      </c>
      <c r="E272">
        <v>9</v>
      </c>
      <c r="F272">
        <v>9</v>
      </c>
      <c r="G272">
        <v>32</v>
      </c>
    </row>
    <row r="273" spans="1:7" ht="14.25" customHeight="1" x14ac:dyDescent="0.25">
      <c r="A273">
        <v>184</v>
      </c>
      <c r="B273" t="s">
        <v>264</v>
      </c>
      <c r="C273" t="s">
        <v>301</v>
      </c>
      <c r="D273" t="s">
        <v>24</v>
      </c>
      <c r="E273">
        <v>9</v>
      </c>
      <c r="F273">
        <v>9</v>
      </c>
      <c r="G273">
        <v>21</v>
      </c>
    </row>
    <row r="274" spans="1:7" ht="14.25" customHeight="1" x14ac:dyDescent="0.25">
      <c r="A274">
        <v>1933</v>
      </c>
      <c r="B274" t="s">
        <v>264</v>
      </c>
      <c r="C274" t="s">
        <v>302</v>
      </c>
      <c r="D274" t="s">
        <v>20</v>
      </c>
      <c r="E274">
        <v>9</v>
      </c>
      <c r="F274">
        <v>9</v>
      </c>
      <c r="G274">
        <v>28</v>
      </c>
    </row>
    <row r="275" spans="1:7" ht="14.25" customHeight="1" x14ac:dyDescent="0.25">
      <c r="A275">
        <v>5500</v>
      </c>
      <c r="B275" t="s">
        <v>264</v>
      </c>
      <c r="C275" t="s">
        <v>303</v>
      </c>
      <c r="D275" t="s">
        <v>30</v>
      </c>
      <c r="E275">
        <v>9</v>
      </c>
      <c r="F275">
        <v>9</v>
      </c>
      <c r="G275">
        <v>28</v>
      </c>
    </row>
    <row r="276" spans="1:7" ht="14.25" customHeight="1" x14ac:dyDescent="0.25">
      <c r="A276">
        <v>6398</v>
      </c>
      <c r="B276" t="s">
        <v>264</v>
      </c>
      <c r="C276" t="s">
        <v>304</v>
      </c>
      <c r="D276" t="s">
        <v>30</v>
      </c>
      <c r="E276">
        <v>9</v>
      </c>
      <c r="F276">
        <v>9</v>
      </c>
      <c r="G276">
        <v>25</v>
      </c>
    </row>
    <row r="277" spans="1:7" ht="14.25" customHeight="1" x14ac:dyDescent="0.25">
      <c r="A277">
        <v>6717</v>
      </c>
      <c r="B277" t="s">
        <v>264</v>
      </c>
      <c r="C277" t="s">
        <v>305</v>
      </c>
      <c r="D277" t="s">
        <v>41</v>
      </c>
      <c r="E277">
        <v>9</v>
      </c>
      <c r="F277">
        <v>9</v>
      </c>
      <c r="G277">
        <v>20</v>
      </c>
    </row>
    <row r="278" spans="1:7" ht="14.25" customHeight="1" x14ac:dyDescent="0.25">
      <c r="A278">
        <v>2765</v>
      </c>
      <c r="B278" t="s">
        <v>264</v>
      </c>
      <c r="C278" t="s">
        <v>306</v>
      </c>
      <c r="D278" t="s">
        <v>24</v>
      </c>
      <c r="E278">
        <v>8</v>
      </c>
      <c r="F278">
        <v>8</v>
      </c>
      <c r="G278">
        <v>22</v>
      </c>
    </row>
    <row r="279" spans="1:7" ht="14.25" customHeight="1" x14ac:dyDescent="0.25">
      <c r="A279">
        <v>4436</v>
      </c>
      <c r="B279" t="s">
        <v>264</v>
      </c>
      <c r="C279" t="s">
        <v>307</v>
      </c>
      <c r="D279" t="s">
        <v>24</v>
      </c>
      <c r="E279">
        <v>8</v>
      </c>
      <c r="F279">
        <v>8</v>
      </c>
      <c r="G279">
        <v>25</v>
      </c>
    </row>
    <row r="280" spans="1:7" ht="14.25" customHeight="1" x14ac:dyDescent="0.25">
      <c r="A280">
        <v>4465</v>
      </c>
      <c r="B280" t="s">
        <v>264</v>
      </c>
      <c r="C280" t="s">
        <v>308</v>
      </c>
      <c r="D280" t="s">
        <v>20</v>
      </c>
      <c r="E280">
        <v>8</v>
      </c>
      <c r="F280">
        <v>8</v>
      </c>
      <c r="G280">
        <v>23</v>
      </c>
    </row>
    <row r="281" spans="1:7" ht="14.25" customHeight="1" x14ac:dyDescent="0.25">
      <c r="A281">
        <v>6294</v>
      </c>
      <c r="B281" t="s">
        <v>264</v>
      </c>
      <c r="C281" t="s">
        <v>309</v>
      </c>
      <c r="D281" t="s">
        <v>20</v>
      </c>
      <c r="E281">
        <v>8</v>
      </c>
      <c r="F281">
        <v>8</v>
      </c>
      <c r="G281">
        <v>25</v>
      </c>
    </row>
    <row r="282" spans="1:7" ht="14.25" customHeight="1" x14ac:dyDescent="0.25">
      <c r="A282">
        <v>6274</v>
      </c>
      <c r="B282" t="s">
        <v>264</v>
      </c>
      <c r="C282" t="s">
        <v>310</v>
      </c>
      <c r="D282" t="s">
        <v>12</v>
      </c>
      <c r="E282">
        <v>8</v>
      </c>
      <c r="F282">
        <v>8</v>
      </c>
      <c r="G282">
        <v>37</v>
      </c>
    </row>
    <row r="283" spans="1:7" ht="14.25" customHeight="1" x14ac:dyDescent="0.25">
      <c r="A283">
        <v>7070</v>
      </c>
      <c r="B283" t="s">
        <v>264</v>
      </c>
      <c r="C283" t="s">
        <v>311</v>
      </c>
      <c r="D283" t="s">
        <v>12</v>
      </c>
      <c r="E283">
        <v>8</v>
      </c>
      <c r="F283">
        <v>8</v>
      </c>
      <c r="G283">
        <v>26</v>
      </c>
    </row>
    <row r="284" spans="1:7" ht="14.25" customHeight="1" x14ac:dyDescent="0.25">
      <c r="A284">
        <v>827</v>
      </c>
      <c r="B284" t="s">
        <v>264</v>
      </c>
      <c r="C284" t="s">
        <v>312</v>
      </c>
      <c r="D284" t="s">
        <v>28</v>
      </c>
      <c r="E284">
        <v>8</v>
      </c>
      <c r="F284">
        <v>8</v>
      </c>
      <c r="G284">
        <v>32</v>
      </c>
    </row>
    <row r="285" spans="1:7" ht="14.25" customHeight="1" x14ac:dyDescent="0.25">
      <c r="A285">
        <v>5878</v>
      </c>
      <c r="B285" t="s">
        <v>264</v>
      </c>
      <c r="C285" t="s">
        <v>313</v>
      </c>
      <c r="D285" t="s">
        <v>46</v>
      </c>
      <c r="E285">
        <v>8</v>
      </c>
      <c r="F285">
        <v>8</v>
      </c>
      <c r="G285">
        <v>25</v>
      </c>
    </row>
    <row r="286" spans="1:7" ht="14.25" customHeight="1" x14ac:dyDescent="0.25">
      <c r="A286">
        <v>7223</v>
      </c>
      <c r="B286" t="s">
        <v>264</v>
      </c>
      <c r="C286" t="s">
        <v>314</v>
      </c>
      <c r="D286" t="s">
        <v>22</v>
      </c>
      <c r="E286">
        <v>8</v>
      </c>
      <c r="F286">
        <v>8</v>
      </c>
      <c r="G286">
        <v>34</v>
      </c>
    </row>
    <row r="287" spans="1:7" ht="14.25" customHeight="1" x14ac:dyDescent="0.25">
      <c r="A287">
        <v>779</v>
      </c>
      <c r="B287" t="s">
        <v>264</v>
      </c>
      <c r="C287" t="s">
        <v>315</v>
      </c>
      <c r="D287" t="s">
        <v>10</v>
      </c>
      <c r="E287">
        <v>8</v>
      </c>
      <c r="F287">
        <v>8</v>
      </c>
      <c r="G287">
        <v>29</v>
      </c>
    </row>
    <row r="288" spans="1:7" ht="14.25" customHeight="1" x14ac:dyDescent="0.25">
      <c r="A288">
        <v>4364</v>
      </c>
      <c r="B288" t="s">
        <v>264</v>
      </c>
      <c r="C288" t="s">
        <v>316</v>
      </c>
      <c r="D288" t="s">
        <v>14</v>
      </c>
      <c r="E288">
        <v>7</v>
      </c>
      <c r="F288">
        <v>7</v>
      </c>
      <c r="G288">
        <v>24</v>
      </c>
    </row>
    <row r="289" spans="1:7" ht="14.25" customHeight="1" x14ac:dyDescent="0.25">
      <c r="A289">
        <v>5858</v>
      </c>
      <c r="B289" t="s">
        <v>264</v>
      </c>
      <c r="C289" t="s">
        <v>317</v>
      </c>
      <c r="D289" t="s">
        <v>24</v>
      </c>
      <c r="E289">
        <v>7</v>
      </c>
      <c r="F289">
        <v>7</v>
      </c>
      <c r="G289">
        <v>18</v>
      </c>
    </row>
    <row r="290" spans="1:7" ht="14.25" customHeight="1" x14ac:dyDescent="0.25">
      <c r="A290">
        <v>6010</v>
      </c>
      <c r="B290" t="s">
        <v>264</v>
      </c>
      <c r="C290" t="s">
        <v>318</v>
      </c>
      <c r="D290" t="s">
        <v>26</v>
      </c>
      <c r="E290">
        <v>7</v>
      </c>
      <c r="F290">
        <v>7</v>
      </c>
      <c r="G290">
        <v>19</v>
      </c>
    </row>
    <row r="291" spans="1:7" ht="14.25" customHeight="1" x14ac:dyDescent="0.25">
      <c r="A291">
        <v>7472</v>
      </c>
      <c r="B291" t="s">
        <v>264</v>
      </c>
      <c r="C291" t="s">
        <v>319</v>
      </c>
      <c r="D291" t="s">
        <v>49</v>
      </c>
      <c r="E291">
        <v>7</v>
      </c>
      <c r="F291">
        <v>7</v>
      </c>
      <c r="G291">
        <v>25</v>
      </c>
    </row>
    <row r="292" spans="1:7" ht="14.25" customHeight="1" x14ac:dyDescent="0.25">
      <c r="A292">
        <v>5791</v>
      </c>
      <c r="B292" t="s">
        <v>264</v>
      </c>
      <c r="C292" t="s">
        <v>320</v>
      </c>
      <c r="D292" t="s">
        <v>34</v>
      </c>
      <c r="E292">
        <v>7</v>
      </c>
      <c r="F292">
        <v>7</v>
      </c>
      <c r="G292">
        <v>19</v>
      </c>
    </row>
    <row r="293" spans="1:7" ht="14.25" customHeight="1" x14ac:dyDescent="0.25">
      <c r="A293">
        <v>2848</v>
      </c>
      <c r="B293" t="s">
        <v>264</v>
      </c>
      <c r="C293" t="s">
        <v>321</v>
      </c>
      <c r="D293" t="s">
        <v>12</v>
      </c>
      <c r="E293">
        <v>7</v>
      </c>
      <c r="F293">
        <v>7</v>
      </c>
      <c r="G293">
        <v>13</v>
      </c>
    </row>
    <row r="294" spans="1:7" ht="14.25" customHeight="1" x14ac:dyDescent="0.25">
      <c r="A294">
        <v>2741</v>
      </c>
      <c r="B294" t="s">
        <v>264</v>
      </c>
      <c r="C294" t="s">
        <v>322</v>
      </c>
      <c r="D294" t="s">
        <v>46</v>
      </c>
      <c r="E294">
        <v>7</v>
      </c>
      <c r="F294">
        <v>7</v>
      </c>
      <c r="G294">
        <v>20</v>
      </c>
    </row>
    <row r="295" spans="1:7" ht="14.25" customHeight="1" x14ac:dyDescent="0.25">
      <c r="A295">
        <v>4287</v>
      </c>
      <c r="B295" t="s">
        <v>264</v>
      </c>
      <c r="C295" t="s">
        <v>323</v>
      </c>
      <c r="D295" t="s">
        <v>22</v>
      </c>
      <c r="E295">
        <v>7</v>
      </c>
      <c r="F295">
        <v>7</v>
      </c>
      <c r="G295">
        <v>20</v>
      </c>
    </row>
    <row r="296" spans="1:7" ht="14.25" customHeight="1" x14ac:dyDescent="0.25">
      <c r="A296">
        <v>6666</v>
      </c>
      <c r="B296" t="s">
        <v>264</v>
      </c>
      <c r="C296" t="s">
        <v>324</v>
      </c>
      <c r="D296" t="s">
        <v>38</v>
      </c>
      <c r="E296">
        <v>7</v>
      </c>
      <c r="F296">
        <v>7</v>
      </c>
      <c r="G296">
        <v>36</v>
      </c>
    </row>
    <row r="297" spans="1:7" ht="14.25" customHeight="1" x14ac:dyDescent="0.25">
      <c r="A297">
        <v>5735</v>
      </c>
      <c r="B297" t="s">
        <v>264</v>
      </c>
      <c r="C297" t="s">
        <v>325</v>
      </c>
      <c r="D297" t="s">
        <v>41</v>
      </c>
      <c r="E297">
        <v>7</v>
      </c>
      <c r="F297">
        <v>7</v>
      </c>
      <c r="G297">
        <v>23</v>
      </c>
    </row>
    <row r="298" spans="1:7" ht="14.25" customHeight="1" x14ac:dyDescent="0.25">
      <c r="A298">
        <v>6218</v>
      </c>
      <c r="B298" t="s">
        <v>264</v>
      </c>
      <c r="C298" t="s">
        <v>326</v>
      </c>
      <c r="D298" t="s">
        <v>81</v>
      </c>
      <c r="E298">
        <v>7</v>
      </c>
      <c r="F298">
        <v>7</v>
      </c>
      <c r="G298">
        <v>27</v>
      </c>
    </row>
    <row r="299" spans="1:7" ht="14.25" customHeight="1" x14ac:dyDescent="0.25">
      <c r="A299">
        <v>6783</v>
      </c>
      <c r="B299" t="s">
        <v>264</v>
      </c>
      <c r="C299" t="s">
        <v>327</v>
      </c>
      <c r="D299" t="s">
        <v>32</v>
      </c>
      <c r="E299">
        <v>7</v>
      </c>
      <c r="F299">
        <v>7</v>
      </c>
      <c r="G299">
        <v>23</v>
      </c>
    </row>
    <row r="300" spans="1:7" ht="14.25" customHeight="1" x14ac:dyDescent="0.25">
      <c r="A300">
        <v>5422</v>
      </c>
      <c r="B300" t="s">
        <v>264</v>
      </c>
      <c r="C300" t="s">
        <v>328</v>
      </c>
      <c r="D300" t="s">
        <v>14</v>
      </c>
      <c r="E300">
        <v>6</v>
      </c>
      <c r="F300">
        <v>6</v>
      </c>
      <c r="G300">
        <v>21</v>
      </c>
    </row>
    <row r="301" spans="1:7" ht="14.25" customHeight="1" x14ac:dyDescent="0.25">
      <c r="A301">
        <v>5298</v>
      </c>
      <c r="B301" t="s">
        <v>264</v>
      </c>
      <c r="C301" t="s">
        <v>329</v>
      </c>
      <c r="D301" t="s">
        <v>24</v>
      </c>
      <c r="E301">
        <v>6</v>
      </c>
      <c r="F301">
        <v>6</v>
      </c>
      <c r="G301">
        <v>14</v>
      </c>
    </row>
    <row r="302" spans="1:7" ht="14.25" customHeight="1" x14ac:dyDescent="0.25">
      <c r="A302">
        <v>4870</v>
      </c>
      <c r="B302" t="s">
        <v>264</v>
      </c>
      <c r="C302" t="s">
        <v>330</v>
      </c>
      <c r="D302" t="s">
        <v>26</v>
      </c>
      <c r="E302">
        <v>6</v>
      </c>
      <c r="F302">
        <v>6</v>
      </c>
      <c r="G302">
        <v>13</v>
      </c>
    </row>
    <row r="303" spans="1:7" ht="14.25" customHeight="1" x14ac:dyDescent="0.25">
      <c r="A303">
        <v>4260</v>
      </c>
      <c r="B303" t="s">
        <v>264</v>
      </c>
      <c r="C303" t="s">
        <v>331</v>
      </c>
      <c r="D303" t="s">
        <v>26</v>
      </c>
      <c r="E303">
        <v>6</v>
      </c>
      <c r="F303">
        <v>6</v>
      </c>
      <c r="G303">
        <v>14</v>
      </c>
    </row>
    <row r="304" spans="1:7" ht="14.25" customHeight="1" x14ac:dyDescent="0.25">
      <c r="A304">
        <v>5036</v>
      </c>
      <c r="B304" t="s">
        <v>264</v>
      </c>
      <c r="C304" t="s">
        <v>332</v>
      </c>
      <c r="D304" t="s">
        <v>16</v>
      </c>
      <c r="E304">
        <v>6</v>
      </c>
      <c r="F304">
        <v>6</v>
      </c>
      <c r="G304">
        <v>20</v>
      </c>
    </row>
    <row r="305" spans="1:7" ht="14.25" customHeight="1" x14ac:dyDescent="0.25">
      <c r="A305">
        <v>6678</v>
      </c>
      <c r="B305" t="s">
        <v>264</v>
      </c>
      <c r="C305" t="s">
        <v>333</v>
      </c>
      <c r="D305" t="s">
        <v>16</v>
      </c>
      <c r="E305">
        <v>6</v>
      </c>
      <c r="F305">
        <v>6</v>
      </c>
      <c r="G305">
        <v>22</v>
      </c>
    </row>
    <row r="306" spans="1:7" ht="14.25" customHeight="1" x14ac:dyDescent="0.25">
      <c r="A306">
        <v>7464</v>
      </c>
      <c r="B306" t="s">
        <v>264</v>
      </c>
      <c r="C306" t="s">
        <v>334</v>
      </c>
      <c r="D306" t="s">
        <v>20</v>
      </c>
      <c r="E306">
        <v>6</v>
      </c>
      <c r="F306">
        <v>6</v>
      </c>
      <c r="G306">
        <v>20</v>
      </c>
    </row>
    <row r="307" spans="1:7" ht="14.25" customHeight="1" x14ac:dyDescent="0.25">
      <c r="A307">
        <v>6020</v>
      </c>
      <c r="B307" t="s">
        <v>264</v>
      </c>
      <c r="C307" t="s">
        <v>335</v>
      </c>
      <c r="D307" t="s">
        <v>34</v>
      </c>
      <c r="E307">
        <v>6</v>
      </c>
      <c r="F307">
        <v>6</v>
      </c>
      <c r="G307">
        <v>18</v>
      </c>
    </row>
    <row r="308" spans="1:7" ht="14.25" customHeight="1" x14ac:dyDescent="0.25">
      <c r="A308">
        <v>5761</v>
      </c>
      <c r="B308" t="s">
        <v>264</v>
      </c>
      <c r="C308" t="s">
        <v>336</v>
      </c>
      <c r="D308" t="s">
        <v>28</v>
      </c>
      <c r="E308">
        <v>6</v>
      </c>
      <c r="F308">
        <v>6</v>
      </c>
      <c r="G308">
        <v>18</v>
      </c>
    </row>
    <row r="309" spans="1:7" ht="14.25" customHeight="1" x14ac:dyDescent="0.25">
      <c r="A309">
        <v>4459</v>
      </c>
      <c r="B309" t="s">
        <v>264</v>
      </c>
      <c r="C309" t="s">
        <v>337</v>
      </c>
      <c r="D309" t="s">
        <v>30</v>
      </c>
      <c r="E309">
        <v>6</v>
      </c>
      <c r="F309">
        <v>6</v>
      </c>
      <c r="G309">
        <v>16</v>
      </c>
    </row>
    <row r="310" spans="1:7" ht="14.25" customHeight="1" x14ac:dyDescent="0.25">
      <c r="A310">
        <v>5504</v>
      </c>
      <c r="B310" t="s">
        <v>264</v>
      </c>
      <c r="C310" t="s">
        <v>338</v>
      </c>
      <c r="D310" t="s">
        <v>36</v>
      </c>
      <c r="E310">
        <v>6</v>
      </c>
      <c r="F310">
        <v>6</v>
      </c>
      <c r="G310">
        <v>14</v>
      </c>
    </row>
    <row r="311" spans="1:7" ht="14.25" customHeight="1" x14ac:dyDescent="0.25">
      <c r="A311">
        <v>6549</v>
      </c>
      <c r="B311" t="s">
        <v>264</v>
      </c>
      <c r="C311" t="s">
        <v>339</v>
      </c>
      <c r="D311" t="s">
        <v>36</v>
      </c>
      <c r="E311">
        <v>6</v>
      </c>
      <c r="F311">
        <v>6</v>
      </c>
      <c r="G311">
        <v>19</v>
      </c>
    </row>
    <row r="312" spans="1:7" ht="14.25" customHeight="1" x14ac:dyDescent="0.25">
      <c r="A312">
        <v>4856</v>
      </c>
      <c r="B312" t="s">
        <v>264</v>
      </c>
      <c r="C312" t="s">
        <v>340</v>
      </c>
      <c r="D312" t="s">
        <v>18</v>
      </c>
      <c r="E312">
        <v>6</v>
      </c>
      <c r="F312">
        <v>6</v>
      </c>
      <c r="G312">
        <v>11</v>
      </c>
    </row>
    <row r="313" spans="1:7" ht="14.25" customHeight="1" x14ac:dyDescent="0.25">
      <c r="A313">
        <v>6593</v>
      </c>
      <c r="B313" t="s">
        <v>264</v>
      </c>
      <c r="C313" t="s">
        <v>341</v>
      </c>
      <c r="D313" t="s">
        <v>46</v>
      </c>
      <c r="E313">
        <v>6</v>
      </c>
      <c r="F313">
        <v>6</v>
      </c>
      <c r="G313">
        <v>16</v>
      </c>
    </row>
    <row r="314" spans="1:7" ht="14.25" customHeight="1" x14ac:dyDescent="0.25">
      <c r="A314">
        <v>4349</v>
      </c>
      <c r="B314" t="s">
        <v>264</v>
      </c>
      <c r="C314" t="s">
        <v>342</v>
      </c>
      <c r="D314" t="s">
        <v>38</v>
      </c>
      <c r="E314">
        <v>6</v>
      </c>
      <c r="F314">
        <v>6</v>
      </c>
      <c r="G314">
        <v>18</v>
      </c>
    </row>
    <row r="315" spans="1:7" ht="14.25" customHeight="1" x14ac:dyDescent="0.25">
      <c r="A315">
        <v>6680</v>
      </c>
      <c r="B315" t="s">
        <v>264</v>
      </c>
      <c r="C315" t="s">
        <v>343</v>
      </c>
      <c r="D315" t="s">
        <v>32</v>
      </c>
      <c r="E315">
        <v>6</v>
      </c>
      <c r="F315">
        <v>6</v>
      </c>
      <c r="G315">
        <v>20</v>
      </c>
    </row>
    <row r="316" spans="1:7" ht="14.25" customHeight="1" x14ac:dyDescent="0.25">
      <c r="A316">
        <v>5674</v>
      </c>
      <c r="B316" t="s">
        <v>264</v>
      </c>
      <c r="C316" t="s">
        <v>344</v>
      </c>
      <c r="D316" t="s">
        <v>44</v>
      </c>
      <c r="E316">
        <v>6</v>
      </c>
      <c r="F316">
        <v>6</v>
      </c>
      <c r="G316">
        <v>19</v>
      </c>
    </row>
    <row r="317" spans="1:7" ht="14.25" customHeight="1" x14ac:dyDescent="0.25">
      <c r="A317">
        <v>7528</v>
      </c>
      <c r="B317" t="s">
        <v>264</v>
      </c>
      <c r="C317" t="s">
        <v>345</v>
      </c>
      <c r="D317" t="s">
        <v>24</v>
      </c>
      <c r="E317">
        <v>5</v>
      </c>
      <c r="F317">
        <v>5</v>
      </c>
      <c r="G317">
        <v>12</v>
      </c>
    </row>
    <row r="318" spans="1:7" ht="14.25" customHeight="1" x14ac:dyDescent="0.25">
      <c r="A318">
        <v>7311</v>
      </c>
      <c r="B318" t="s">
        <v>264</v>
      </c>
      <c r="C318" t="s">
        <v>346</v>
      </c>
      <c r="D318" t="s">
        <v>26</v>
      </c>
      <c r="E318">
        <v>5</v>
      </c>
      <c r="F318">
        <v>5</v>
      </c>
      <c r="G318">
        <v>12</v>
      </c>
    </row>
    <row r="319" spans="1:7" ht="14.25" customHeight="1" x14ac:dyDescent="0.25">
      <c r="A319">
        <v>6640</v>
      </c>
      <c r="B319" t="s">
        <v>264</v>
      </c>
      <c r="C319" t="s">
        <v>347</v>
      </c>
      <c r="D319" t="s">
        <v>26</v>
      </c>
      <c r="E319">
        <v>5</v>
      </c>
      <c r="F319">
        <v>5</v>
      </c>
      <c r="G319">
        <v>10</v>
      </c>
    </row>
    <row r="320" spans="1:7" ht="14.25" customHeight="1" x14ac:dyDescent="0.25">
      <c r="A320">
        <v>7412</v>
      </c>
      <c r="B320" t="s">
        <v>264</v>
      </c>
      <c r="C320" t="s">
        <v>348</v>
      </c>
      <c r="D320" t="s">
        <v>16</v>
      </c>
      <c r="E320">
        <v>5</v>
      </c>
      <c r="F320">
        <v>5</v>
      </c>
      <c r="G320">
        <v>14</v>
      </c>
    </row>
    <row r="321" spans="1:7" ht="14.25" customHeight="1" x14ac:dyDescent="0.25">
      <c r="A321">
        <v>7127</v>
      </c>
      <c r="B321" t="s">
        <v>264</v>
      </c>
      <c r="C321" t="s">
        <v>349</v>
      </c>
      <c r="D321" t="s">
        <v>16</v>
      </c>
      <c r="E321">
        <v>5</v>
      </c>
      <c r="F321">
        <v>5</v>
      </c>
      <c r="G321">
        <v>10</v>
      </c>
    </row>
    <row r="322" spans="1:7" ht="14.25" customHeight="1" x14ac:dyDescent="0.25">
      <c r="A322">
        <v>5998</v>
      </c>
      <c r="B322" t="s">
        <v>264</v>
      </c>
      <c r="C322" t="s">
        <v>350</v>
      </c>
      <c r="D322" t="s">
        <v>49</v>
      </c>
      <c r="E322">
        <v>5</v>
      </c>
      <c r="F322">
        <v>5</v>
      </c>
      <c r="G322">
        <v>13</v>
      </c>
    </row>
    <row r="323" spans="1:7" ht="14.25" customHeight="1" x14ac:dyDescent="0.25">
      <c r="A323">
        <v>7409</v>
      </c>
      <c r="B323" t="s">
        <v>264</v>
      </c>
      <c r="C323" t="s">
        <v>351</v>
      </c>
      <c r="D323" t="s">
        <v>34</v>
      </c>
      <c r="E323">
        <v>5</v>
      </c>
      <c r="F323">
        <v>5</v>
      </c>
      <c r="G323">
        <v>14</v>
      </c>
    </row>
    <row r="324" spans="1:7" ht="14.25" customHeight="1" x14ac:dyDescent="0.25">
      <c r="A324">
        <v>2857</v>
      </c>
      <c r="B324" t="s">
        <v>264</v>
      </c>
      <c r="C324" t="s">
        <v>352</v>
      </c>
      <c r="D324" t="s">
        <v>34</v>
      </c>
      <c r="E324">
        <v>5</v>
      </c>
      <c r="F324">
        <v>5</v>
      </c>
      <c r="G324">
        <v>11</v>
      </c>
    </row>
    <row r="325" spans="1:7" ht="14.25" customHeight="1" x14ac:dyDescent="0.25">
      <c r="A325">
        <v>2529</v>
      </c>
      <c r="B325" t="s">
        <v>264</v>
      </c>
      <c r="C325" t="s">
        <v>353</v>
      </c>
      <c r="D325" t="s">
        <v>12</v>
      </c>
      <c r="E325">
        <v>5</v>
      </c>
      <c r="F325">
        <v>5</v>
      </c>
      <c r="G325">
        <v>19</v>
      </c>
    </row>
    <row r="326" spans="1:7" ht="14.25" customHeight="1" x14ac:dyDescent="0.25">
      <c r="A326">
        <v>5685</v>
      </c>
      <c r="B326" t="s">
        <v>264</v>
      </c>
      <c r="C326" t="s">
        <v>354</v>
      </c>
      <c r="D326" t="s">
        <v>28</v>
      </c>
      <c r="E326">
        <v>5</v>
      </c>
      <c r="F326">
        <v>5</v>
      </c>
      <c r="G326">
        <v>14</v>
      </c>
    </row>
    <row r="327" spans="1:7" ht="14.25" customHeight="1" x14ac:dyDescent="0.25">
      <c r="A327">
        <v>6629</v>
      </c>
      <c r="B327" t="s">
        <v>264</v>
      </c>
      <c r="C327" t="s">
        <v>355</v>
      </c>
      <c r="D327" t="s">
        <v>30</v>
      </c>
      <c r="E327">
        <v>5</v>
      </c>
      <c r="F327">
        <v>5</v>
      </c>
      <c r="G327">
        <v>13</v>
      </c>
    </row>
    <row r="328" spans="1:7" ht="14.25" customHeight="1" x14ac:dyDescent="0.25">
      <c r="A328">
        <v>6015</v>
      </c>
      <c r="B328" t="s">
        <v>264</v>
      </c>
      <c r="C328" t="s">
        <v>356</v>
      </c>
      <c r="D328" t="s">
        <v>36</v>
      </c>
      <c r="E328">
        <v>5</v>
      </c>
      <c r="F328">
        <v>5</v>
      </c>
      <c r="G328">
        <v>16</v>
      </c>
    </row>
    <row r="329" spans="1:7" ht="14.25" customHeight="1" x14ac:dyDescent="0.25">
      <c r="A329">
        <v>7318</v>
      </c>
      <c r="B329" t="s">
        <v>264</v>
      </c>
      <c r="C329" t="s">
        <v>357</v>
      </c>
      <c r="D329" t="s">
        <v>36</v>
      </c>
      <c r="E329">
        <v>5</v>
      </c>
      <c r="F329">
        <v>5</v>
      </c>
      <c r="G329">
        <v>14</v>
      </c>
    </row>
    <row r="330" spans="1:7" ht="14.25" customHeight="1" x14ac:dyDescent="0.25">
      <c r="A330">
        <v>4686</v>
      </c>
      <c r="B330" t="s">
        <v>264</v>
      </c>
      <c r="C330" t="s">
        <v>358</v>
      </c>
      <c r="D330" t="s">
        <v>18</v>
      </c>
      <c r="E330">
        <v>5</v>
      </c>
      <c r="F330">
        <v>5</v>
      </c>
      <c r="G330">
        <v>23</v>
      </c>
    </row>
    <row r="331" spans="1:7" ht="14.25" customHeight="1" x14ac:dyDescent="0.25">
      <c r="A331">
        <v>6898</v>
      </c>
      <c r="B331" t="s">
        <v>264</v>
      </c>
      <c r="C331" t="s">
        <v>359</v>
      </c>
      <c r="D331" t="s">
        <v>38</v>
      </c>
      <c r="E331">
        <v>5</v>
      </c>
      <c r="F331">
        <v>5</v>
      </c>
      <c r="G331">
        <v>15</v>
      </c>
    </row>
    <row r="332" spans="1:7" ht="14.25" customHeight="1" x14ac:dyDescent="0.25">
      <c r="A332">
        <v>6984</v>
      </c>
      <c r="B332" t="s">
        <v>264</v>
      </c>
      <c r="C332" t="s">
        <v>360</v>
      </c>
      <c r="D332" t="s">
        <v>38</v>
      </c>
      <c r="E332">
        <v>5</v>
      </c>
      <c r="F332">
        <v>5</v>
      </c>
      <c r="G332">
        <v>18</v>
      </c>
    </row>
    <row r="333" spans="1:7" ht="14.25" customHeight="1" x14ac:dyDescent="0.25">
      <c r="A333">
        <v>6190</v>
      </c>
      <c r="B333" t="s">
        <v>264</v>
      </c>
      <c r="C333" t="s">
        <v>361</v>
      </c>
      <c r="D333" t="s">
        <v>10</v>
      </c>
      <c r="E333">
        <v>5</v>
      </c>
      <c r="F333">
        <v>5</v>
      </c>
      <c r="G333">
        <v>17</v>
      </c>
    </row>
    <row r="334" spans="1:7" ht="14.25" customHeight="1" x14ac:dyDescent="0.25">
      <c r="A334">
        <v>2528</v>
      </c>
      <c r="B334" t="s">
        <v>264</v>
      </c>
      <c r="C334" t="s">
        <v>362</v>
      </c>
      <c r="D334" t="s">
        <v>41</v>
      </c>
      <c r="E334">
        <v>5</v>
      </c>
      <c r="F334">
        <v>5</v>
      </c>
      <c r="G334">
        <v>15</v>
      </c>
    </row>
    <row r="335" spans="1:7" ht="14.25" customHeight="1" x14ac:dyDescent="0.25">
      <c r="A335">
        <v>6677</v>
      </c>
      <c r="B335" t="s">
        <v>264</v>
      </c>
      <c r="C335" t="s">
        <v>363</v>
      </c>
      <c r="D335" t="s">
        <v>41</v>
      </c>
      <c r="E335">
        <v>5</v>
      </c>
      <c r="F335">
        <v>5</v>
      </c>
      <c r="G335">
        <v>14</v>
      </c>
    </row>
    <row r="336" spans="1:7" ht="14.25" customHeight="1" x14ac:dyDescent="0.25">
      <c r="A336">
        <v>7036</v>
      </c>
      <c r="B336" t="s">
        <v>264</v>
      </c>
      <c r="C336" t="s">
        <v>364</v>
      </c>
      <c r="D336" t="s">
        <v>41</v>
      </c>
      <c r="E336">
        <v>5</v>
      </c>
      <c r="F336">
        <v>5</v>
      </c>
      <c r="G336">
        <v>16</v>
      </c>
    </row>
    <row r="337" spans="1:7" ht="14.25" customHeight="1" x14ac:dyDescent="0.25">
      <c r="A337">
        <v>7060</v>
      </c>
      <c r="B337" t="s">
        <v>264</v>
      </c>
      <c r="C337" t="s">
        <v>365</v>
      </c>
      <c r="D337" t="s">
        <v>81</v>
      </c>
      <c r="E337">
        <v>5</v>
      </c>
      <c r="F337">
        <v>5</v>
      </c>
      <c r="G337">
        <v>18</v>
      </c>
    </row>
    <row r="338" spans="1:7" ht="14.25" customHeight="1" x14ac:dyDescent="0.25">
      <c r="A338">
        <v>6170</v>
      </c>
      <c r="B338" t="s">
        <v>264</v>
      </c>
      <c r="C338" t="s">
        <v>366</v>
      </c>
      <c r="D338" t="s">
        <v>81</v>
      </c>
      <c r="E338">
        <v>5</v>
      </c>
      <c r="F338">
        <v>5</v>
      </c>
      <c r="G338">
        <v>13</v>
      </c>
    </row>
    <row r="339" spans="1:7" ht="14.25" customHeight="1" x14ac:dyDescent="0.25">
      <c r="A339">
        <v>7198</v>
      </c>
      <c r="B339" t="s">
        <v>264</v>
      </c>
      <c r="C339" t="s">
        <v>367</v>
      </c>
      <c r="D339" t="s">
        <v>32</v>
      </c>
      <c r="E339">
        <v>5</v>
      </c>
      <c r="F339">
        <v>5</v>
      </c>
      <c r="G339">
        <v>15</v>
      </c>
    </row>
    <row r="340" spans="1:7" ht="14.25" customHeight="1" x14ac:dyDescent="0.25">
      <c r="A340">
        <v>5507</v>
      </c>
      <c r="B340" t="s">
        <v>264</v>
      </c>
      <c r="C340" t="s">
        <v>368</v>
      </c>
      <c r="D340" t="s">
        <v>44</v>
      </c>
      <c r="E340">
        <v>5</v>
      </c>
      <c r="F340">
        <v>5</v>
      </c>
      <c r="G340">
        <v>14</v>
      </c>
    </row>
    <row r="341" spans="1:7" ht="14.25" customHeight="1" x14ac:dyDescent="0.25">
      <c r="A341">
        <v>5319</v>
      </c>
      <c r="B341" t="s">
        <v>264</v>
      </c>
      <c r="C341" t="s">
        <v>369</v>
      </c>
      <c r="D341" t="s">
        <v>44</v>
      </c>
      <c r="E341">
        <v>5</v>
      </c>
      <c r="F341">
        <v>5</v>
      </c>
      <c r="G341">
        <v>14</v>
      </c>
    </row>
    <row r="342" spans="1:7" ht="14.25" customHeight="1" x14ac:dyDescent="0.25">
      <c r="A342">
        <v>6994</v>
      </c>
      <c r="B342" t="s">
        <v>264</v>
      </c>
      <c r="C342" t="s">
        <v>370</v>
      </c>
      <c r="D342" t="s">
        <v>44</v>
      </c>
      <c r="E342">
        <v>5</v>
      </c>
      <c r="F342">
        <v>5</v>
      </c>
      <c r="G342">
        <v>14</v>
      </c>
    </row>
    <row r="343" spans="1:7" ht="14.25" customHeight="1" x14ac:dyDescent="0.25">
      <c r="A343">
        <v>22</v>
      </c>
      <c r="B343" t="s">
        <v>264</v>
      </c>
      <c r="C343" t="s">
        <v>371</v>
      </c>
      <c r="D343" t="s">
        <v>14</v>
      </c>
      <c r="E343">
        <v>4</v>
      </c>
      <c r="F343">
        <v>4</v>
      </c>
      <c r="G343">
        <v>12</v>
      </c>
    </row>
    <row r="344" spans="1:7" ht="14.25" customHeight="1" x14ac:dyDescent="0.25">
      <c r="A344">
        <v>6054</v>
      </c>
      <c r="B344" t="s">
        <v>264</v>
      </c>
      <c r="C344" t="s">
        <v>372</v>
      </c>
      <c r="D344" t="s">
        <v>24</v>
      </c>
      <c r="E344">
        <v>4</v>
      </c>
      <c r="F344">
        <v>4</v>
      </c>
      <c r="G344">
        <v>10</v>
      </c>
    </row>
    <row r="345" spans="1:7" ht="14.25" customHeight="1" x14ac:dyDescent="0.25">
      <c r="A345">
        <v>6424</v>
      </c>
      <c r="B345" t="s">
        <v>264</v>
      </c>
      <c r="C345" t="s">
        <v>373</v>
      </c>
      <c r="D345" t="s">
        <v>26</v>
      </c>
      <c r="E345">
        <v>4</v>
      </c>
      <c r="F345">
        <v>4</v>
      </c>
      <c r="G345">
        <v>7</v>
      </c>
    </row>
    <row r="346" spans="1:7" ht="14.25" customHeight="1" x14ac:dyDescent="0.25">
      <c r="A346">
        <v>6206</v>
      </c>
      <c r="B346" t="s">
        <v>264</v>
      </c>
      <c r="C346" t="s">
        <v>374</v>
      </c>
      <c r="D346" t="s">
        <v>20</v>
      </c>
      <c r="E346">
        <v>4</v>
      </c>
      <c r="F346">
        <v>4</v>
      </c>
      <c r="G346">
        <v>8</v>
      </c>
    </row>
    <row r="347" spans="1:7" ht="14.25" customHeight="1" x14ac:dyDescent="0.25">
      <c r="A347">
        <v>7473</v>
      </c>
      <c r="B347" t="s">
        <v>264</v>
      </c>
      <c r="C347" t="s">
        <v>375</v>
      </c>
      <c r="D347" t="s">
        <v>49</v>
      </c>
      <c r="E347">
        <v>4</v>
      </c>
      <c r="F347">
        <v>4</v>
      </c>
      <c r="G347">
        <v>11</v>
      </c>
    </row>
    <row r="348" spans="1:7" ht="14.25" customHeight="1" x14ac:dyDescent="0.25">
      <c r="A348">
        <v>7474</v>
      </c>
      <c r="B348" t="s">
        <v>264</v>
      </c>
      <c r="C348" t="s">
        <v>376</v>
      </c>
      <c r="D348" t="s">
        <v>49</v>
      </c>
      <c r="E348">
        <v>4</v>
      </c>
      <c r="F348">
        <v>4</v>
      </c>
      <c r="G348">
        <v>12</v>
      </c>
    </row>
    <row r="349" spans="1:7" ht="14.25" customHeight="1" x14ac:dyDescent="0.25">
      <c r="A349">
        <v>7341</v>
      </c>
      <c r="B349" t="s">
        <v>264</v>
      </c>
      <c r="C349" t="s">
        <v>377</v>
      </c>
      <c r="D349" t="s">
        <v>34</v>
      </c>
      <c r="E349">
        <v>4</v>
      </c>
      <c r="F349">
        <v>4</v>
      </c>
      <c r="G349">
        <v>11</v>
      </c>
    </row>
    <row r="350" spans="1:7" ht="14.25" customHeight="1" x14ac:dyDescent="0.25">
      <c r="A350">
        <v>5301</v>
      </c>
      <c r="B350" t="s">
        <v>264</v>
      </c>
      <c r="C350" t="s">
        <v>378</v>
      </c>
      <c r="D350" t="s">
        <v>12</v>
      </c>
      <c r="E350">
        <v>4</v>
      </c>
      <c r="F350">
        <v>4</v>
      </c>
      <c r="G350">
        <v>13</v>
      </c>
    </row>
    <row r="351" spans="1:7" ht="14.25" customHeight="1" x14ac:dyDescent="0.25">
      <c r="A351">
        <v>4911</v>
      </c>
      <c r="B351" t="s">
        <v>264</v>
      </c>
      <c r="C351" t="s">
        <v>379</v>
      </c>
      <c r="D351" t="s">
        <v>28</v>
      </c>
      <c r="E351">
        <v>4</v>
      </c>
      <c r="F351">
        <v>4</v>
      </c>
      <c r="G351">
        <v>12</v>
      </c>
    </row>
    <row r="352" spans="1:7" ht="14.25" customHeight="1" x14ac:dyDescent="0.25">
      <c r="A352">
        <v>333</v>
      </c>
      <c r="B352" t="s">
        <v>264</v>
      </c>
      <c r="C352" t="s">
        <v>380</v>
      </c>
      <c r="D352" t="s">
        <v>30</v>
      </c>
      <c r="E352">
        <v>4</v>
      </c>
      <c r="F352">
        <v>4</v>
      </c>
      <c r="G352">
        <v>12</v>
      </c>
    </row>
    <row r="353" spans="1:7" ht="14.25" customHeight="1" x14ac:dyDescent="0.25">
      <c r="A353">
        <v>7322</v>
      </c>
      <c r="B353" t="s">
        <v>264</v>
      </c>
      <c r="C353" t="s">
        <v>381</v>
      </c>
      <c r="D353" t="s">
        <v>36</v>
      </c>
      <c r="E353">
        <v>4</v>
      </c>
      <c r="F353">
        <v>4</v>
      </c>
      <c r="G353">
        <v>11</v>
      </c>
    </row>
    <row r="354" spans="1:7" ht="14.25" customHeight="1" x14ac:dyDescent="0.25">
      <c r="A354">
        <v>5453</v>
      </c>
      <c r="B354" t="s">
        <v>264</v>
      </c>
      <c r="C354" t="s">
        <v>382</v>
      </c>
      <c r="D354" t="s">
        <v>18</v>
      </c>
      <c r="E354">
        <v>4</v>
      </c>
      <c r="F354">
        <v>4</v>
      </c>
      <c r="G354">
        <v>11</v>
      </c>
    </row>
    <row r="355" spans="1:7" ht="14.25" customHeight="1" x14ac:dyDescent="0.25">
      <c r="A355">
        <v>7203</v>
      </c>
      <c r="B355" t="s">
        <v>264</v>
      </c>
      <c r="C355" t="s">
        <v>383</v>
      </c>
      <c r="D355" t="s">
        <v>18</v>
      </c>
      <c r="E355">
        <v>4</v>
      </c>
      <c r="F355">
        <v>4</v>
      </c>
      <c r="G355">
        <v>11</v>
      </c>
    </row>
    <row r="356" spans="1:7" ht="14.25" customHeight="1" x14ac:dyDescent="0.25">
      <c r="A356">
        <v>4199</v>
      </c>
      <c r="B356" t="s">
        <v>264</v>
      </c>
      <c r="C356" t="s">
        <v>384</v>
      </c>
      <c r="D356" t="s">
        <v>18</v>
      </c>
      <c r="E356">
        <v>4</v>
      </c>
      <c r="F356">
        <v>4</v>
      </c>
      <c r="G356">
        <v>11</v>
      </c>
    </row>
    <row r="357" spans="1:7" ht="14.25" customHeight="1" x14ac:dyDescent="0.25">
      <c r="A357">
        <v>6252</v>
      </c>
      <c r="B357" t="s">
        <v>264</v>
      </c>
      <c r="C357" t="s">
        <v>385</v>
      </c>
      <c r="D357" t="s">
        <v>22</v>
      </c>
      <c r="E357">
        <v>4</v>
      </c>
      <c r="F357">
        <v>4</v>
      </c>
      <c r="G357">
        <v>10</v>
      </c>
    </row>
    <row r="358" spans="1:7" ht="14.25" customHeight="1" x14ac:dyDescent="0.25">
      <c r="A358">
        <v>6207</v>
      </c>
      <c r="B358" t="s">
        <v>264</v>
      </c>
      <c r="C358" t="s">
        <v>386</v>
      </c>
      <c r="D358" t="s">
        <v>38</v>
      </c>
      <c r="E358">
        <v>4</v>
      </c>
      <c r="F358">
        <v>4</v>
      </c>
      <c r="G358">
        <v>14</v>
      </c>
    </row>
    <row r="359" spans="1:7" ht="14.25" customHeight="1" x14ac:dyDescent="0.25">
      <c r="A359">
        <v>6271</v>
      </c>
      <c r="B359" t="s">
        <v>264</v>
      </c>
      <c r="C359" t="s">
        <v>387</v>
      </c>
      <c r="D359" t="s">
        <v>10</v>
      </c>
      <c r="E359">
        <v>4</v>
      </c>
      <c r="F359">
        <v>4</v>
      </c>
      <c r="G359">
        <v>18</v>
      </c>
    </row>
    <row r="360" spans="1:7" ht="14.25" customHeight="1" x14ac:dyDescent="0.25">
      <c r="A360">
        <v>7535</v>
      </c>
      <c r="B360" t="s">
        <v>264</v>
      </c>
      <c r="C360" t="s">
        <v>388</v>
      </c>
      <c r="D360" t="s">
        <v>81</v>
      </c>
      <c r="E360">
        <v>4</v>
      </c>
      <c r="F360">
        <v>4</v>
      </c>
      <c r="G360">
        <v>13</v>
      </c>
    </row>
    <row r="361" spans="1:7" ht="14.25" customHeight="1" x14ac:dyDescent="0.25">
      <c r="A361">
        <v>6005</v>
      </c>
      <c r="B361" t="s">
        <v>264</v>
      </c>
      <c r="C361" t="s">
        <v>389</v>
      </c>
      <c r="D361" t="s">
        <v>81</v>
      </c>
      <c r="E361">
        <v>4</v>
      </c>
      <c r="F361">
        <v>4</v>
      </c>
      <c r="G361">
        <v>10</v>
      </c>
    </row>
    <row r="362" spans="1:7" ht="14.25" customHeight="1" x14ac:dyDescent="0.25">
      <c r="A362">
        <v>6827</v>
      </c>
      <c r="B362" t="s">
        <v>264</v>
      </c>
      <c r="C362" t="s">
        <v>390</v>
      </c>
      <c r="D362" t="s">
        <v>81</v>
      </c>
      <c r="E362">
        <v>4</v>
      </c>
      <c r="F362">
        <v>4</v>
      </c>
      <c r="G362">
        <v>12</v>
      </c>
    </row>
    <row r="363" spans="1:7" ht="14.25" customHeight="1" x14ac:dyDescent="0.25">
      <c r="A363">
        <v>6024</v>
      </c>
      <c r="B363" t="s">
        <v>264</v>
      </c>
      <c r="C363" t="s">
        <v>391</v>
      </c>
      <c r="D363" t="s">
        <v>14</v>
      </c>
      <c r="E363">
        <v>3</v>
      </c>
      <c r="F363">
        <v>3</v>
      </c>
      <c r="G363">
        <v>7</v>
      </c>
    </row>
    <row r="364" spans="1:7" ht="14.25" customHeight="1" x14ac:dyDescent="0.25">
      <c r="A364">
        <v>6895</v>
      </c>
      <c r="B364" t="s">
        <v>264</v>
      </c>
      <c r="C364" t="s">
        <v>392</v>
      </c>
      <c r="D364" t="s">
        <v>24</v>
      </c>
      <c r="E364">
        <v>3</v>
      </c>
      <c r="F364">
        <v>3</v>
      </c>
      <c r="G364">
        <v>8</v>
      </c>
    </row>
    <row r="365" spans="1:7" ht="14.25" customHeight="1" x14ac:dyDescent="0.25">
      <c r="A365">
        <v>1871</v>
      </c>
      <c r="B365" t="s">
        <v>264</v>
      </c>
      <c r="C365" t="s">
        <v>393</v>
      </c>
      <c r="D365" t="s">
        <v>26</v>
      </c>
      <c r="E365">
        <v>3</v>
      </c>
      <c r="F365">
        <v>3</v>
      </c>
      <c r="G365">
        <v>8</v>
      </c>
    </row>
    <row r="366" spans="1:7" ht="14.25" customHeight="1" x14ac:dyDescent="0.25">
      <c r="A366">
        <v>4947</v>
      </c>
      <c r="B366" t="s">
        <v>264</v>
      </c>
      <c r="C366" t="s">
        <v>394</v>
      </c>
      <c r="D366" t="s">
        <v>20</v>
      </c>
      <c r="E366">
        <v>3</v>
      </c>
      <c r="F366">
        <v>3</v>
      </c>
      <c r="G366">
        <v>7</v>
      </c>
    </row>
    <row r="367" spans="1:7" ht="14.25" customHeight="1" x14ac:dyDescent="0.25">
      <c r="A367">
        <v>6241</v>
      </c>
      <c r="B367" t="s">
        <v>264</v>
      </c>
      <c r="C367" t="s">
        <v>395</v>
      </c>
      <c r="D367" t="s">
        <v>49</v>
      </c>
      <c r="E367">
        <v>3</v>
      </c>
      <c r="F367">
        <v>3</v>
      </c>
      <c r="G367">
        <v>8</v>
      </c>
    </row>
    <row r="368" spans="1:7" ht="14.25" customHeight="1" x14ac:dyDescent="0.25">
      <c r="A368">
        <v>6506</v>
      </c>
      <c r="B368" t="s">
        <v>264</v>
      </c>
      <c r="C368" t="s">
        <v>396</v>
      </c>
      <c r="D368" t="s">
        <v>49</v>
      </c>
      <c r="E368">
        <v>3</v>
      </c>
      <c r="F368">
        <v>3</v>
      </c>
      <c r="G368">
        <v>9</v>
      </c>
    </row>
    <row r="369" spans="1:7" ht="14.25" customHeight="1" x14ac:dyDescent="0.25">
      <c r="A369">
        <v>4970</v>
      </c>
      <c r="B369" t="s">
        <v>264</v>
      </c>
      <c r="C369" t="s">
        <v>397</v>
      </c>
      <c r="D369" t="s">
        <v>34</v>
      </c>
      <c r="E369">
        <v>3</v>
      </c>
      <c r="F369">
        <v>3</v>
      </c>
      <c r="G369">
        <v>8</v>
      </c>
    </row>
    <row r="370" spans="1:7" ht="14.25" customHeight="1" x14ac:dyDescent="0.25">
      <c r="A370">
        <v>6503</v>
      </c>
      <c r="B370" t="s">
        <v>264</v>
      </c>
      <c r="C370" t="s">
        <v>398</v>
      </c>
      <c r="D370" t="s">
        <v>12</v>
      </c>
      <c r="E370">
        <v>3</v>
      </c>
      <c r="F370">
        <v>3</v>
      </c>
      <c r="G370">
        <v>10</v>
      </c>
    </row>
    <row r="371" spans="1:7" ht="14.25" customHeight="1" x14ac:dyDescent="0.25">
      <c r="A371">
        <v>5813</v>
      </c>
      <c r="B371" t="s">
        <v>264</v>
      </c>
      <c r="C371" t="s">
        <v>399</v>
      </c>
      <c r="D371" t="s">
        <v>28</v>
      </c>
      <c r="E371">
        <v>3</v>
      </c>
      <c r="F371">
        <v>3</v>
      </c>
      <c r="G371">
        <v>11</v>
      </c>
    </row>
    <row r="372" spans="1:7" ht="14.25" customHeight="1" x14ac:dyDescent="0.25">
      <c r="A372">
        <v>7477</v>
      </c>
      <c r="B372" t="s">
        <v>264</v>
      </c>
      <c r="C372" t="s">
        <v>400</v>
      </c>
      <c r="D372" t="s">
        <v>46</v>
      </c>
      <c r="E372">
        <v>3</v>
      </c>
      <c r="F372">
        <v>3</v>
      </c>
      <c r="G372">
        <v>7</v>
      </c>
    </row>
    <row r="373" spans="1:7" ht="14.25" customHeight="1" x14ac:dyDescent="0.25">
      <c r="A373">
        <v>5131</v>
      </c>
      <c r="B373" t="s">
        <v>264</v>
      </c>
      <c r="C373" t="s">
        <v>401</v>
      </c>
      <c r="D373" t="s">
        <v>22</v>
      </c>
      <c r="E373">
        <v>3</v>
      </c>
      <c r="F373">
        <v>3</v>
      </c>
      <c r="G373">
        <v>9</v>
      </c>
    </row>
    <row r="374" spans="1:7" ht="14.25" customHeight="1" x14ac:dyDescent="0.25">
      <c r="A374">
        <v>7209</v>
      </c>
      <c r="B374" t="s">
        <v>264</v>
      </c>
      <c r="C374" t="s">
        <v>402</v>
      </c>
      <c r="D374" t="s">
        <v>38</v>
      </c>
      <c r="E374">
        <v>3</v>
      </c>
      <c r="F374">
        <v>3</v>
      </c>
      <c r="G374">
        <v>12</v>
      </c>
    </row>
    <row r="375" spans="1:7" ht="14.25" customHeight="1" x14ac:dyDescent="0.25">
      <c r="A375">
        <v>7536</v>
      </c>
      <c r="B375" t="s">
        <v>264</v>
      </c>
      <c r="C375" t="s">
        <v>403</v>
      </c>
      <c r="D375" t="s">
        <v>38</v>
      </c>
      <c r="E375">
        <v>3</v>
      </c>
      <c r="F375">
        <v>3</v>
      </c>
      <c r="G375">
        <v>12</v>
      </c>
    </row>
    <row r="376" spans="1:7" ht="14.25" customHeight="1" x14ac:dyDescent="0.25">
      <c r="A376">
        <v>7183</v>
      </c>
      <c r="B376" t="s">
        <v>264</v>
      </c>
      <c r="C376" t="s">
        <v>404</v>
      </c>
      <c r="D376" t="s">
        <v>81</v>
      </c>
      <c r="E376">
        <v>3</v>
      </c>
      <c r="F376">
        <v>3</v>
      </c>
      <c r="G376">
        <v>5</v>
      </c>
    </row>
    <row r="377" spans="1:7" ht="14.25" customHeight="1" x14ac:dyDescent="0.25">
      <c r="A377">
        <v>7208</v>
      </c>
      <c r="B377" t="s">
        <v>264</v>
      </c>
      <c r="C377" t="s">
        <v>405</v>
      </c>
      <c r="D377" t="s">
        <v>32</v>
      </c>
      <c r="E377">
        <v>3</v>
      </c>
      <c r="F377">
        <v>3</v>
      </c>
      <c r="G377">
        <v>12</v>
      </c>
    </row>
    <row r="378" spans="1:7" ht="14.25" customHeight="1" x14ac:dyDescent="0.25">
      <c r="A378">
        <v>5872</v>
      </c>
      <c r="B378" t="s">
        <v>264</v>
      </c>
      <c r="C378" t="s">
        <v>406</v>
      </c>
      <c r="D378" t="s">
        <v>44</v>
      </c>
      <c r="E378">
        <v>3</v>
      </c>
      <c r="F378">
        <v>3</v>
      </c>
      <c r="G378">
        <v>7</v>
      </c>
    </row>
    <row r="379" spans="1:7" ht="14.25" customHeight="1" x14ac:dyDescent="0.25">
      <c r="A379">
        <v>6225</v>
      </c>
      <c r="B379" t="s">
        <v>264</v>
      </c>
      <c r="C379" t="s">
        <v>407</v>
      </c>
      <c r="D379" t="s">
        <v>24</v>
      </c>
      <c r="E379">
        <v>2</v>
      </c>
      <c r="F379">
        <v>2</v>
      </c>
      <c r="G379">
        <v>4</v>
      </c>
    </row>
    <row r="380" spans="1:7" ht="14.25" customHeight="1" x14ac:dyDescent="0.25">
      <c r="A380">
        <v>6815</v>
      </c>
      <c r="B380" t="s">
        <v>264</v>
      </c>
      <c r="C380" t="s">
        <v>408</v>
      </c>
      <c r="D380" t="s">
        <v>16</v>
      </c>
      <c r="E380">
        <v>2</v>
      </c>
      <c r="F380">
        <v>2</v>
      </c>
      <c r="G380">
        <v>3</v>
      </c>
    </row>
    <row r="381" spans="1:7" ht="14.25" customHeight="1" x14ac:dyDescent="0.25">
      <c r="A381">
        <v>6903</v>
      </c>
      <c r="B381" t="s">
        <v>264</v>
      </c>
      <c r="C381" t="s">
        <v>409</v>
      </c>
      <c r="D381" t="s">
        <v>49</v>
      </c>
      <c r="E381">
        <v>2</v>
      </c>
      <c r="F381">
        <v>2</v>
      </c>
      <c r="G381">
        <v>5</v>
      </c>
    </row>
    <row r="382" spans="1:7" ht="14.25" customHeight="1" x14ac:dyDescent="0.25">
      <c r="A382">
        <v>6917</v>
      </c>
      <c r="B382" t="s">
        <v>264</v>
      </c>
      <c r="C382" t="s">
        <v>410</v>
      </c>
      <c r="D382" t="s">
        <v>34</v>
      </c>
      <c r="E382">
        <v>2</v>
      </c>
      <c r="F382">
        <v>2</v>
      </c>
      <c r="G382">
        <v>4</v>
      </c>
    </row>
    <row r="383" spans="1:7" ht="14.25" customHeight="1" x14ac:dyDescent="0.25">
      <c r="A383">
        <v>6980</v>
      </c>
      <c r="B383" t="s">
        <v>264</v>
      </c>
      <c r="C383" t="s">
        <v>411</v>
      </c>
      <c r="D383" t="s">
        <v>34</v>
      </c>
      <c r="E383">
        <v>2</v>
      </c>
      <c r="F383">
        <v>2</v>
      </c>
      <c r="G383">
        <v>6</v>
      </c>
    </row>
    <row r="384" spans="1:7" ht="14.25" customHeight="1" x14ac:dyDescent="0.25">
      <c r="A384">
        <v>5457</v>
      </c>
      <c r="B384" t="s">
        <v>264</v>
      </c>
      <c r="C384" t="s">
        <v>412</v>
      </c>
      <c r="D384" t="s">
        <v>36</v>
      </c>
      <c r="E384">
        <v>2</v>
      </c>
      <c r="F384">
        <v>2</v>
      </c>
      <c r="G384">
        <v>5</v>
      </c>
    </row>
    <row r="385" spans="1:7" ht="14.25" customHeight="1" x14ac:dyDescent="0.25">
      <c r="A385">
        <v>5295</v>
      </c>
      <c r="B385" t="s">
        <v>264</v>
      </c>
      <c r="C385" t="s">
        <v>413</v>
      </c>
      <c r="D385" t="s">
        <v>18</v>
      </c>
      <c r="E385">
        <v>2</v>
      </c>
      <c r="F385">
        <v>2</v>
      </c>
      <c r="G385">
        <v>6</v>
      </c>
    </row>
    <row r="386" spans="1:7" ht="14.25" customHeight="1" x14ac:dyDescent="0.25">
      <c r="A386">
        <v>5880</v>
      </c>
      <c r="B386" t="s">
        <v>264</v>
      </c>
      <c r="C386" t="s">
        <v>414</v>
      </c>
      <c r="D386" t="s">
        <v>46</v>
      </c>
      <c r="E386">
        <v>2</v>
      </c>
      <c r="F386">
        <v>2</v>
      </c>
      <c r="G386">
        <v>6</v>
      </c>
    </row>
    <row r="387" spans="1:7" ht="14.25" customHeight="1" x14ac:dyDescent="0.25">
      <c r="A387">
        <v>7138</v>
      </c>
      <c r="B387" t="s">
        <v>264</v>
      </c>
      <c r="C387" t="s">
        <v>415</v>
      </c>
      <c r="D387" t="s">
        <v>38</v>
      </c>
      <c r="E387">
        <v>2</v>
      </c>
      <c r="F387">
        <v>2</v>
      </c>
      <c r="G387">
        <v>5</v>
      </c>
    </row>
    <row r="388" spans="1:7" ht="14.25" customHeight="1" x14ac:dyDescent="0.25">
      <c r="A388">
        <v>6219</v>
      </c>
      <c r="B388" t="s">
        <v>264</v>
      </c>
      <c r="C388" t="s">
        <v>416</v>
      </c>
      <c r="D388" t="s">
        <v>41</v>
      </c>
      <c r="E388">
        <v>2</v>
      </c>
      <c r="F388">
        <v>2</v>
      </c>
      <c r="G388">
        <v>5</v>
      </c>
    </row>
    <row r="389" spans="1:7" ht="14.25" customHeight="1" x14ac:dyDescent="0.25">
      <c r="A389">
        <v>6246</v>
      </c>
      <c r="B389" t="s">
        <v>264</v>
      </c>
      <c r="C389" t="s">
        <v>417</v>
      </c>
      <c r="D389" t="s">
        <v>41</v>
      </c>
      <c r="E389">
        <v>2</v>
      </c>
      <c r="F389">
        <v>2</v>
      </c>
      <c r="G389">
        <v>5</v>
      </c>
    </row>
    <row r="390" spans="1:7" ht="14.25" customHeight="1" x14ac:dyDescent="0.25">
      <c r="A390">
        <v>7418</v>
      </c>
      <c r="B390" t="s">
        <v>264</v>
      </c>
      <c r="C390" t="s">
        <v>418</v>
      </c>
      <c r="D390" t="s">
        <v>32</v>
      </c>
      <c r="E390">
        <v>2</v>
      </c>
      <c r="F390">
        <v>2</v>
      </c>
      <c r="G390">
        <v>6</v>
      </c>
    </row>
    <row r="391" spans="1:7" ht="14.25" customHeight="1" x14ac:dyDescent="0.25">
      <c r="A391">
        <v>526</v>
      </c>
      <c r="B391" t="s">
        <v>264</v>
      </c>
      <c r="C391" t="s">
        <v>419</v>
      </c>
      <c r="D391" t="s">
        <v>44</v>
      </c>
      <c r="E391">
        <v>2</v>
      </c>
      <c r="F391">
        <v>2</v>
      </c>
      <c r="G391">
        <v>4</v>
      </c>
    </row>
    <row r="392" spans="1:7" ht="14.25" customHeight="1" x14ac:dyDescent="0.25">
      <c r="A392">
        <v>7165</v>
      </c>
      <c r="B392" t="s">
        <v>264</v>
      </c>
      <c r="C392" t="s">
        <v>420</v>
      </c>
      <c r="D392" t="s">
        <v>26</v>
      </c>
      <c r="E392">
        <v>1</v>
      </c>
      <c r="F392">
        <v>1</v>
      </c>
      <c r="G392">
        <v>1</v>
      </c>
    </row>
    <row r="393" spans="1:7" ht="14.25" customHeight="1" x14ac:dyDescent="0.25">
      <c r="A393">
        <v>7357</v>
      </c>
      <c r="B393" t="s">
        <v>264</v>
      </c>
      <c r="C393" t="s">
        <v>421</v>
      </c>
      <c r="D393" t="s">
        <v>16</v>
      </c>
      <c r="E393">
        <v>1</v>
      </c>
      <c r="F393">
        <v>1</v>
      </c>
      <c r="G393">
        <v>1</v>
      </c>
    </row>
    <row r="394" spans="1:7" ht="14.25" customHeight="1" x14ac:dyDescent="0.25">
      <c r="A394">
        <v>7456</v>
      </c>
      <c r="B394" t="s">
        <v>264</v>
      </c>
      <c r="C394" t="s">
        <v>422</v>
      </c>
      <c r="D394" t="s">
        <v>49</v>
      </c>
      <c r="E394">
        <v>1</v>
      </c>
      <c r="F394">
        <v>1</v>
      </c>
      <c r="G394">
        <v>3</v>
      </c>
    </row>
    <row r="395" spans="1:7" ht="14.25" customHeight="1" x14ac:dyDescent="0.25">
      <c r="A395">
        <v>5725</v>
      </c>
      <c r="B395" t="s">
        <v>264</v>
      </c>
      <c r="C395" t="s">
        <v>423</v>
      </c>
      <c r="D395" t="s">
        <v>49</v>
      </c>
      <c r="E395">
        <v>1</v>
      </c>
      <c r="F395">
        <v>1</v>
      </c>
      <c r="G395">
        <v>3</v>
      </c>
    </row>
    <row r="396" spans="1:7" ht="14.25" customHeight="1" x14ac:dyDescent="0.25">
      <c r="A396">
        <v>6191</v>
      </c>
      <c r="B396" t="s">
        <v>264</v>
      </c>
      <c r="C396" t="s">
        <v>424</v>
      </c>
      <c r="D396" t="s">
        <v>30</v>
      </c>
      <c r="E396">
        <v>1</v>
      </c>
      <c r="F396">
        <v>1</v>
      </c>
      <c r="G396">
        <v>5</v>
      </c>
    </row>
    <row r="397" spans="1:7" ht="14.25" customHeight="1" x14ac:dyDescent="0.25">
      <c r="A397">
        <v>7345</v>
      </c>
      <c r="B397" t="s">
        <v>264</v>
      </c>
      <c r="C397" t="s">
        <v>425</v>
      </c>
      <c r="D397" t="s">
        <v>30</v>
      </c>
      <c r="E397">
        <v>1</v>
      </c>
      <c r="F397">
        <v>1</v>
      </c>
      <c r="G397">
        <v>5</v>
      </c>
    </row>
    <row r="398" spans="1:7" ht="14.25" customHeight="1" x14ac:dyDescent="0.25">
      <c r="A398">
        <v>7248</v>
      </c>
      <c r="B398" t="s">
        <v>264</v>
      </c>
      <c r="C398" t="s">
        <v>426</v>
      </c>
      <c r="D398" t="s">
        <v>36</v>
      </c>
      <c r="E398">
        <v>1</v>
      </c>
      <c r="F398">
        <v>1</v>
      </c>
      <c r="G398">
        <v>3</v>
      </c>
    </row>
    <row r="399" spans="1:7" ht="14.25" customHeight="1" x14ac:dyDescent="0.25">
      <c r="A399">
        <v>6410</v>
      </c>
      <c r="B399" t="s">
        <v>264</v>
      </c>
      <c r="C399" t="s">
        <v>427</v>
      </c>
      <c r="D399" t="s">
        <v>36</v>
      </c>
      <c r="E399">
        <v>1</v>
      </c>
      <c r="F399">
        <v>1</v>
      </c>
      <c r="G399">
        <v>2</v>
      </c>
    </row>
    <row r="400" spans="1:7" ht="14.25" customHeight="1" x14ac:dyDescent="0.25">
      <c r="A400">
        <v>7319</v>
      </c>
      <c r="B400" t="s">
        <v>264</v>
      </c>
      <c r="C400" t="s">
        <v>428</v>
      </c>
      <c r="D400" t="s">
        <v>36</v>
      </c>
      <c r="E400">
        <v>1</v>
      </c>
      <c r="F400">
        <v>1</v>
      </c>
      <c r="G400">
        <v>1</v>
      </c>
    </row>
    <row r="401" spans="1:7" ht="14.25" customHeight="1" x14ac:dyDescent="0.25">
      <c r="A401">
        <v>7276</v>
      </c>
      <c r="B401" t="s">
        <v>264</v>
      </c>
      <c r="C401" t="s">
        <v>429</v>
      </c>
      <c r="D401" t="s">
        <v>38</v>
      </c>
      <c r="E401">
        <v>1</v>
      </c>
      <c r="F401">
        <v>1</v>
      </c>
      <c r="G401">
        <v>3</v>
      </c>
    </row>
    <row r="402" spans="1:7" ht="14.25" customHeight="1" x14ac:dyDescent="0.25">
      <c r="A402">
        <v>7157</v>
      </c>
      <c r="B402" t="s">
        <v>264</v>
      </c>
      <c r="C402" t="s">
        <v>430</v>
      </c>
      <c r="D402" t="s">
        <v>41</v>
      </c>
      <c r="E402">
        <v>1</v>
      </c>
      <c r="F402">
        <v>1</v>
      </c>
      <c r="G402">
        <v>1</v>
      </c>
    </row>
    <row r="403" spans="1:7" ht="14.25" customHeight="1" x14ac:dyDescent="0.25">
      <c r="A403">
        <v>5007</v>
      </c>
      <c r="B403" t="s">
        <v>264</v>
      </c>
      <c r="C403" t="s">
        <v>431</v>
      </c>
      <c r="D403" t="s">
        <v>81</v>
      </c>
      <c r="E403">
        <v>1</v>
      </c>
      <c r="F403">
        <v>1</v>
      </c>
      <c r="G403">
        <v>4</v>
      </c>
    </row>
    <row r="404" spans="1:7" ht="14.25" customHeight="1" x14ac:dyDescent="0.25">
      <c r="A404">
        <v>6889</v>
      </c>
      <c r="B404" t="s">
        <v>264</v>
      </c>
      <c r="C404" t="s">
        <v>432</v>
      </c>
      <c r="D404" t="s">
        <v>81</v>
      </c>
      <c r="E404">
        <v>1</v>
      </c>
      <c r="F404">
        <v>1</v>
      </c>
      <c r="G404">
        <v>4</v>
      </c>
    </row>
    <row r="405" spans="1:7" ht="14.25" customHeight="1" x14ac:dyDescent="0.25">
      <c r="A405">
        <v>7392</v>
      </c>
      <c r="B405" t="s">
        <v>264</v>
      </c>
      <c r="C405" t="s">
        <v>433</v>
      </c>
      <c r="D405" t="s">
        <v>32</v>
      </c>
      <c r="E405">
        <v>1</v>
      </c>
      <c r="F405">
        <v>1</v>
      </c>
      <c r="G405">
        <v>3</v>
      </c>
    </row>
    <row r="406" spans="1:7" ht="14.25" customHeight="1" x14ac:dyDescent="0.25">
      <c r="A406">
        <v>6212</v>
      </c>
      <c r="B406" t="s">
        <v>264</v>
      </c>
      <c r="C406" t="s">
        <v>434</v>
      </c>
      <c r="D406" t="s">
        <v>32</v>
      </c>
      <c r="E406">
        <v>1</v>
      </c>
      <c r="F406">
        <v>1</v>
      </c>
      <c r="G406">
        <v>4</v>
      </c>
    </row>
    <row r="407" spans="1:7" ht="14.25" customHeight="1" x14ac:dyDescent="0.25">
      <c r="A407">
        <v>5485</v>
      </c>
      <c r="B407" t="s">
        <v>264</v>
      </c>
      <c r="C407" t="s">
        <v>435</v>
      </c>
      <c r="D407" t="s">
        <v>44</v>
      </c>
      <c r="E407">
        <v>1</v>
      </c>
      <c r="F407">
        <v>1</v>
      </c>
      <c r="G407">
        <v>3</v>
      </c>
    </row>
    <row r="408" spans="1:7" ht="14.25" customHeight="1" x14ac:dyDescent="0.25">
      <c r="A408">
        <v>7481</v>
      </c>
      <c r="B408" t="s">
        <v>264</v>
      </c>
      <c r="C408" t="s">
        <v>436</v>
      </c>
      <c r="D408" t="s">
        <v>44</v>
      </c>
      <c r="E408">
        <v>1</v>
      </c>
      <c r="F408">
        <v>1</v>
      </c>
      <c r="G408">
        <v>1</v>
      </c>
    </row>
    <row r="409" spans="1:7" ht="14.25" customHeight="1" x14ac:dyDescent="0.25">
      <c r="A409">
        <v>2764</v>
      </c>
      <c r="B409" t="s">
        <v>437</v>
      </c>
      <c r="C409" t="s">
        <v>438</v>
      </c>
      <c r="D409" t="s">
        <v>12</v>
      </c>
      <c r="E409">
        <v>35</v>
      </c>
      <c r="F409">
        <v>35</v>
      </c>
      <c r="G409">
        <v>370</v>
      </c>
    </row>
    <row r="410" spans="1:7" ht="14.25" customHeight="1" x14ac:dyDescent="0.25">
      <c r="A410">
        <v>5585</v>
      </c>
      <c r="B410" t="s">
        <v>437</v>
      </c>
      <c r="C410" t="s">
        <v>439</v>
      </c>
      <c r="D410" t="s">
        <v>10</v>
      </c>
      <c r="E410">
        <v>34</v>
      </c>
      <c r="F410">
        <v>34</v>
      </c>
      <c r="G410">
        <v>365</v>
      </c>
    </row>
    <row r="411" spans="1:7" ht="14.25" customHeight="1" x14ac:dyDescent="0.25">
      <c r="A411">
        <v>4871</v>
      </c>
      <c r="B411" t="s">
        <v>437</v>
      </c>
      <c r="C411" t="s">
        <v>440</v>
      </c>
      <c r="D411" t="s">
        <v>12</v>
      </c>
      <c r="E411">
        <v>29</v>
      </c>
      <c r="F411">
        <v>29</v>
      </c>
      <c r="G411">
        <v>280</v>
      </c>
    </row>
    <row r="412" spans="1:7" ht="14.25" customHeight="1" x14ac:dyDescent="0.25">
      <c r="A412">
        <v>6052</v>
      </c>
      <c r="B412" t="s">
        <v>437</v>
      </c>
      <c r="C412" t="s">
        <v>441</v>
      </c>
      <c r="D412" t="s">
        <v>22</v>
      </c>
      <c r="E412">
        <v>28</v>
      </c>
      <c r="F412">
        <v>28</v>
      </c>
      <c r="G412">
        <v>271</v>
      </c>
    </row>
    <row r="413" spans="1:7" ht="14.25" customHeight="1" x14ac:dyDescent="0.25">
      <c r="A413">
        <v>6397</v>
      </c>
      <c r="B413" t="s">
        <v>437</v>
      </c>
      <c r="C413" t="s">
        <v>442</v>
      </c>
      <c r="D413" t="s">
        <v>18</v>
      </c>
      <c r="E413">
        <v>27</v>
      </c>
      <c r="F413">
        <v>27</v>
      </c>
      <c r="G413">
        <v>240</v>
      </c>
    </row>
    <row r="414" spans="1:7" ht="14.25" customHeight="1" x14ac:dyDescent="0.25">
      <c r="A414">
        <v>5951</v>
      </c>
      <c r="B414" t="s">
        <v>437</v>
      </c>
      <c r="C414" t="s">
        <v>443</v>
      </c>
      <c r="D414" t="s">
        <v>28</v>
      </c>
      <c r="E414">
        <v>26</v>
      </c>
      <c r="F414">
        <v>26</v>
      </c>
      <c r="G414">
        <v>225</v>
      </c>
    </row>
    <row r="415" spans="1:7" ht="14.25" customHeight="1" x14ac:dyDescent="0.25">
      <c r="A415">
        <v>2097</v>
      </c>
      <c r="B415" t="s">
        <v>437</v>
      </c>
      <c r="C415" t="s">
        <v>444</v>
      </c>
      <c r="D415" t="s">
        <v>20</v>
      </c>
      <c r="E415">
        <v>25</v>
      </c>
      <c r="F415">
        <v>25</v>
      </c>
      <c r="G415">
        <v>212</v>
      </c>
    </row>
    <row r="416" spans="1:7" ht="14.25" customHeight="1" x14ac:dyDescent="0.25">
      <c r="A416">
        <v>6434</v>
      </c>
      <c r="B416" t="s">
        <v>437</v>
      </c>
      <c r="C416" t="s">
        <v>445</v>
      </c>
      <c r="D416" t="s">
        <v>28</v>
      </c>
      <c r="E416">
        <v>23</v>
      </c>
      <c r="F416">
        <v>23</v>
      </c>
      <c r="G416">
        <v>200</v>
      </c>
    </row>
    <row r="417" spans="1:7" ht="14.25" customHeight="1" x14ac:dyDescent="0.25">
      <c r="A417">
        <v>7017</v>
      </c>
      <c r="B417" t="s">
        <v>437</v>
      </c>
      <c r="C417" t="s">
        <v>446</v>
      </c>
      <c r="D417" t="s">
        <v>16</v>
      </c>
      <c r="E417">
        <v>20</v>
      </c>
      <c r="F417">
        <v>20</v>
      </c>
      <c r="G417">
        <v>157</v>
      </c>
    </row>
    <row r="418" spans="1:7" ht="14.25" customHeight="1" x14ac:dyDescent="0.25">
      <c r="A418">
        <v>2137</v>
      </c>
      <c r="B418" t="s">
        <v>437</v>
      </c>
      <c r="C418" t="s">
        <v>447</v>
      </c>
      <c r="D418" t="s">
        <v>14</v>
      </c>
      <c r="E418">
        <v>19</v>
      </c>
      <c r="F418">
        <v>19</v>
      </c>
      <c r="G418">
        <v>128</v>
      </c>
    </row>
    <row r="419" spans="1:7" ht="14.25" customHeight="1" x14ac:dyDescent="0.25">
      <c r="A419">
        <v>5637</v>
      </c>
      <c r="B419" t="s">
        <v>437</v>
      </c>
      <c r="C419" t="s">
        <v>448</v>
      </c>
      <c r="D419" t="s">
        <v>32</v>
      </c>
      <c r="E419">
        <v>19</v>
      </c>
      <c r="F419">
        <v>19</v>
      </c>
      <c r="G419">
        <v>121</v>
      </c>
    </row>
    <row r="420" spans="1:7" ht="14.25" customHeight="1" x14ac:dyDescent="0.25">
      <c r="A420">
        <v>6435</v>
      </c>
      <c r="B420" t="s">
        <v>437</v>
      </c>
      <c r="C420" t="s">
        <v>449</v>
      </c>
      <c r="D420" t="s">
        <v>14</v>
      </c>
      <c r="E420">
        <v>18</v>
      </c>
      <c r="F420">
        <v>18</v>
      </c>
      <c r="G420">
        <v>100</v>
      </c>
    </row>
    <row r="421" spans="1:7" ht="14.25" customHeight="1" x14ac:dyDescent="0.25">
      <c r="A421">
        <v>4510</v>
      </c>
      <c r="B421" t="s">
        <v>437</v>
      </c>
      <c r="C421" t="s">
        <v>450</v>
      </c>
      <c r="D421" t="s">
        <v>18</v>
      </c>
      <c r="E421">
        <v>18</v>
      </c>
      <c r="F421">
        <v>18</v>
      </c>
      <c r="G421">
        <v>120</v>
      </c>
    </row>
    <row r="422" spans="1:7" ht="14.25" customHeight="1" x14ac:dyDescent="0.25">
      <c r="A422">
        <v>531</v>
      </c>
      <c r="B422" t="s">
        <v>437</v>
      </c>
      <c r="C422" t="s">
        <v>451</v>
      </c>
      <c r="D422" t="s">
        <v>41</v>
      </c>
      <c r="E422">
        <v>18</v>
      </c>
      <c r="F422">
        <v>18</v>
      </c>
      <c r="G422">
        <v>115</v>
      </c>
    </row>
    <row r="423" spans="1:7" ht="14.25" customHeight="1" x14ac:dyDescent="0.25">
      <c r="A423">
        <v>5995</v>
      </c>
      <c r="B423" t="s">
        <v>437</v>
      </c>
      <c r="C423" t="s">
        <v>452</v>
      </c>
      <c r="D423" t="s">
        <v>14</v>
      </c>
      <c r="E423">
        <v>17</v>
      </c>
      <c r="F423">
        <v>17</v>
      </c>
      <c r="G423">
        <v>106</v>
      </c>
    </row>
    <row r="424" spans="1:7" ht="14.25" customHeight="1" x14ac:dyDescent="0.25">
      <c r="A424">
        <v>6675</v>
      </c>
      <c r="B424" t="s">
        <v>437</v>
      </c>
      <c r="C424" t="s">
        <v>453</v>
      </c>
      <c r="D424" t="s">
        <v>24</v>
      </c>
      <c r="E424">
        <v>16</v>
      </c>
      <c r="F424">
        <v>16</v>
      </c>
      <c r="G424">
        <v>84</v>
      </c>
    </row>
    <row r="425" spans="1:7" ht="14.25" customHeight="1" x14ac:dyDescent="0.25">
      <c r="A425">
        <v>7071</v>
      </c>
      <c r="B425" t="s">
        <v>437</v>
      </c>
      <c r="C425" t="s">
        <v>454</v>
      </c>
      <c r="D425" t="s">
        <v>12</v>
      </c>
      <c r="E425">
        <v>16</v>
      </c>
      <c r="F425">
        <v>16</v>
      </c>
      <c r="G425">
        <v>93</v>
      </c>
    </row>
    <row r="426" spans="1:7" ht="14.25" customHeight="1" x14ac:dyDescent="0.25">
      <c r="A426">
        <v>7023</v>
      </c>
      <c r="B426" t="s">
        <v>437</v>
      </c>
      <c r="C426" t="s">
        <v>455</v>
      </c>
      <c r="D426" t="s">
        <v>38</v>
      </c>
      <c r="E426">
        <v>15</v>
      </c>
      <c r="F426">
        <v>15</v>
      </c>
      <c r="G426">
        <v>81</v>
      </c>
    </row>
    <row r="427" spans="1:7" ht="14.25" customHeight="1" x14ac:dyDescent="0.25">
      <c r="A427">
        <v>6060</v>
      </c>
      <c r="B427" t="s">
        <v>437</v>
      </c>
      <c r="C427" t="s">
        <v>456</v>
      </c>
      <c r="D427" t="s">
        <v>41</v>
      </c>
      <c r="E427">
        <v>15</v>
      </c>
      <c r="F427">
        <v>15</v>
      </c>
      <c r="G427">
        <v>88</v>
      </c>
    </row>
    <row r="428" spans="1:7" ht="14.25" customHeight="1" x14ac:dyDescent="0.25">
      <c r="A428">
        <v>2061</v>
      </c>
      <c r="B428" t="s">
        <v>437</v>
      </c>
      <c r="C428" t="s">
        <v>457</v>
      </c>
      <c r="D428" t="s">
        <v>81</v>
      </c>
      <c r="E428">
        <v>15</v>
      </c>
      <c r="F428">
        <v>15</v>
      </c>
      <c r="G428">
        <v>82</v>
      </c>
    </row>
    <row r="429" spans="1:7" ht="14.25" customHeight="1" x14ac:dyDescent="0.25">
      <c r="A429">
        <v>7351</v>
      </c>
      <c r="B429" t="s">
        <v>437</v>
      </c>
      <c r="C429" t="s">
        <v>458</v>
      </c>
      <c r="D429" t="s">
        <v>22</v>
      </c>
      <c r="E429">
        <v>14</v>
      </c>
      <c r="F429">
        <v>14</v>
      </c>
      <c r="G429">
        <v>60</v>
      </c>
    </row>
    <row r="430" spans="1:7" ht="14.25" customHeight="1" x14ac:dyDescent="0.25">
      <c r="A430">
        <v>309</v>
      </c>
      <c r="B430" t="s">
        <v>437</v>
      </c>
      <c r="C430" t="s">
        <v>459</v>
      </c>
      <c r="D430" t="s">
        <v>10</v>
      </c>
      <c r="E430">
        <v>14</v>
      </c>
      <c r="F430">
        <v>14</v>
      </c>
      <c r="G430">
        <v>67</v>
      </c>
    </row>
    <row r="431" spans="1:7" ht="14.25" customHeight="1" x14ac:dyDescent="0.25">
      <c r="A431">
        <v>6572</v>
      </c>
      <c r="B431" t="s">
        <v>437</v>
      </c>
      <c r="C431" t="s">
        <v>460</v>
      </c>
      <c r="D431" t="s">
        <v>10</v>
      </c>
      <c r="E431">
        <v>14</v>
      </c>
      <c r="F431">
        <v>14</v>
      </c>
      <c r="G431">
        <v>83</v>
      </c>
    </row>
    <row r="432" spans="1:7" ht="14.25" customHeight="1" x14ac:dyDescent="0.25">
      <c r="A432">
        <v>4371</v>
      </c>
      <c r="B432" t="s">
        <v>437</v>
      </c>
      <c r="C432" t="s">
        <v>461</v>
      </c>
      <c r="D432" t="s">
        <v>14</v>
      </c>
      <c r="E432">
        <v>13</v>
      </c>
      <c r="F432">
        <v>13</v>
      </c>
      <c r="G432">
        <v>62</v>
      </c>
    </row>
    <row r="433" spans="1:7" ht="14.25" customHeight="1" x14ac:dyDescent="0.25">
      <c r="A433">
        <v>4463</v>
      </c>
      <c r="B433" t="s">
        <v>437</v>
      </c>
      <c r="C433" t="s">
        <v>462</v>
      </c>
      <c r="D433" t="s">
        <v>26</v>
      </c>
      <c r="E433">
        <v>13</v>
      </c>
      <c r="F433">
        <v>13</v>
      </c>
      <c r="G433">
        <v>50</v>
      </c>
    </row>
    <row r="434" spans="1:7" ht="14.25" customHeight="1" x14ac:dyDescent="0.25">
      <c r="A434">
        <v>4728</v>
      </c>
      <c r="B434" t="s">
        <v>437</v>
      </c>
      <c r="C434" t="s">
        <v>463</v>
      </c>
      <c r="D434" t="s">
        <v>18</v>
      </c>
      <c r="E434">
        <v>13</v>
      </c>
      <c r="F434">
        <v>13</v>
      </c>
      <c r="G434">
        <v>52</v>
      </c>
    </row>
    <row r="435" spans="1:7" ht="14.25" customHeight="1" x14ac:dyDescent="0.25">
      <c r="A435">
        <v>2038</v>
      </c>
      <c r="B435" t="s">
        <v>437</v>
      </c>
      <c r="C435" t="s">
        <v>464</v>
      </c>
      <c r="D435" t="s">
        <v>41</v>
      </c>
      <c r="E435">
        <v>13</v>
      </c>
      <c r="F435">
        <v>13</v>
      </c>
      <c r="G435">
        <v>58</v>
      </c>
    </row>
    <row r="436" spans="1:7" ht="14.25" customHeight="1" x14ac:dyDescent="0.25">
      <c r="A436">
        <v>5734</v>
      </c>
      <c r="B436" t="s">
        <v>437</v>
      </c>
      <c r="C436" t="s">
        <v>465</v>
      </c>
      <c r="D436" t="s">
        <v>10</v>
      </c>
      <c r="E436">
        <v>12</v>
      </c>
      <c r="F436">
        <v>12</v>
      </c>
      <c r="G436">
        <v>55</v>
      </c>
    </row>
    <row r="437" spans="1:7" ht="14.25" customHeight="1" x14ac:dyDescent="0.25">
      <c r="A437">
        <v>7484</v>
      </c>
      <c r="B437" t="s">
        <v>437</v>
      </c>
      <c r="C437" t="s">
        <v>466</v>
      </c>
      <c r="D437" t="s">
        <v>44</v>
      </c>
      <c r="E437">
        <v>12</v>
      </c>
      <c r="F437">
        <v>12</v>
      </c>
      <c r="G437">
        <v>52</v>
      </c>
    </row>
    <row r="438" spans="1:7" ht="14.25" customHeight="1" x14ac:dyDescent="0.25">
      <c r="A438">
        <v>6967</v>
      </c>
      <c r="B438" t="s">
        <v>437</v>
      </c>
      <c r="C438" t="s">
        <v>467</v>
      </c>
      <c r="D438" t="s">
        <v>16</v>
      </c>
      <c r="E438">
        <v>11</v>
      </c>
      <c r="F438">
        <v>11</v>
      </c>
      <c r="G438">
        <v>50</v>
      </c>
    </row>
    <row r="439" spans="1:7" ht="14.25" customHeight="1" x14ac:dyDescent="0.25">
      <c r="A439">
        <v>4923</v>
      </c>
      <c r="B439" t="s">
        <v>437</v>
      </c>
      <c r="C439" t="s">
        <v>468</v>
      </c>
      <c r="D439" t="s">
        <v>34</v>
      </c>
      <c r="E439">
        <v>11</v>
      </c>
      <c r="F439">
        <v>11</v>
      </c>
      <c r="G439">
        <v>63</v>
      </c>
    </row>
    <row r="440" spans="1:7" ht="14.25" customHeight="1" x14ac:dyDescent="0.25">
      <c r="A440">
        <v>5672</v>
      </c>
      <c r="B440" t="s">
        <v>437</v>
      </c>
      <c r="C440" t="s">
        <v>469</v>
      </c>
      <c r="D440" t="s">
        <v>30</v>
      </c>
      <c r="E440">
        <v>10</v>
      </c>
      <c r="F440">
        <v>10</v>
      </c>
      <c r="G440">
        <v>31</v>
      </c>
    </row>
    <row r="441" spans="1:7" ht="14.25" customHeight="1" x14ac:dyDescent="0.25">
      <c r="A441">
        <v>7313</v>
      </c>
      <c r="B441" t="s">
        <v>437</v>
      </c>
      <c r="C441" t="s">
        <v>470</v>
      </c>
      <c r="D441" t="s">
        <v>30</v>
      </c>
      <c r="E441">
        <v>10</v>
      </c>
      <c r="F441">
        <v>10</v>
      </c>
      <c r="G441">
        <v>32</v>
      </c>
    </row>
    <row r="442" spans="1:7" ht="14.25" customHeight="1" x14ac:dyDescent="0.25">
      <c r="A442">
        <v>2531</v>
      </c>
      <c r="B442" t="s">
        <v>437</v>
      </c>
      <c r="C442" t="s">
        <v>471</v>
      </c>
      <c r="D442" t="s">
        <v>22</v>
      </c>
      <c r="E442">
        <v>10</v>
      </c>
      <c r="F442">
        <v>10</v>
      </c>
      <c r="G442">
        <v>45</v>
      </c>
    </row>
    <row r="443" spans="1:7" ht="14.25" customHeight="1" x14ac:dyDescent="0.25">
      <c r="A443">
        <v>7347</v>
      </c>
      <c r="B443" t="s">
        <v>437</v>
      </c>
      <c r="C443" t="s">
        <v>472</v>
      </c>
      <c r="D443" t="s">
        <v>41</v>
      </c>
      <c r="E443">
        <v>10</v>
      </c>
      <c r="F443">
        <v>10</v>
      </c>
      <c r="G443">
        <v>39</v>
      </c>
    </row>
    <row r="444" spans="1:7" ht="14.25" customHeight="1" x14ac:dyDescent="0.25">
      <c r="A444">
        <v>6530</v>
      </c>
      <c r="B444" t="s">
        <v>437</v>
      </c>
      <c r="C444" t="s">
        <v>473</v>
      </c>
      <c r="D444" t="s">
        <v>49</v>
      </c>
      <c r="E444">
        <v>9</v>
      </c>
      <c r="F444">
        <v>9</v>
      </c>
      <c r="G444">
        <v>30</v>
      </c>
    </row>
    <row r="445" spans="1:7" ht="14.25" customHeight="1" x14ac:dyDescent="0.25">
      <c r="A445">
        <v>5544</v>
      </c>
      <c r="B445" t="s">
        <v>437</v>
      </c>
      <c r="C445" t="s">
        <v>474</v>
      </c>
      <c r="D445" t="s">
        <v>28</v>
      </c>
      <c r="E445">
        <v>9</v>
      </c>
      <c r="F445">
        <v>9</v>
      </c>
      <c r="G445">
        <v>40</v>
      </c>
    </row>
    <row r="446" spans="1:7" ht="14.25" customHeight="1" x14ac:dyDescent="0.25">
      <c r="A446">
        <v>5029</v>
      </c>
      <c r="B446" t="s">
        <v>437</v>
      </c>
      <c r="C446" t="s">
        <v>475</v>
      </c>
      <c r="D446" t="s">
        <v>36</v>
      </c>
      <c r="E446">
        <v>9</v>
      </c>
      <c r="F446">
        <v>9</v>
      </c>
      <c r="G446">
        <v>25</v>
      </c>
    </row>
    <row r="447" spans="1:7" ht="14.25" customHeight="1" x14ac:dyDescent="0.25">
      <c r="A447">
        <v>2155</v>
      </c>
      <c r="B447" t="s">
        <v>437</v>
      </c>
      <c r="C447" t="s">
        <v>476</v>
      </c>
      <c r="D447" t="s">
        <v>46</v>
      </c>
      <c r="E447">
        <v>9</v>
      </c>
      <c r="F447">
        <v>9</v>
      </c>
      <c r="G447">
        <v>33</v>
      </c>
    </row>
    <row r="448" spans="1:7" ht="14.25" customHeight="1" x14ac:dyDescent="0.25">
      <c r="A448">
        <v>6646</v>
      </c>
      <c r="B448" t="s">
        <v>437</v>
      </c>
      <c r="C448" t="s">
        <v>477</v>
      </c>
      <c r="D448" t="s">
        <v>81</v>
      </c>
      <c r="E448">
        <v>9</v>
      </c>
      <c r="F448">
        <v>9</v>
      </c>
      <c r="G448">
        <v>32</v>
      </c>
    </row>
    <row r="449" spans="1:7" ht="14.25" customHeight="1" x14ac:dyDescent="0.25">
      <c r="A449">
        <v>6643</v>
      </c>
      <c r="B449" t="s">
        <v>437</v>
      </c>
      <c r="C449" t="s">
        <v>478</v>
      </c>
      <c r="D449" t="s">
        <v>24</v>
      </c>
      <c r="E449">
        <v>8</v>
      </c>
      <c r="F449">
        <v>8</v>
      </c>
      <c r="G449">
        <v>23</v>
      </c>
    </row>
    <row r="450" spans="1:7" ht="14.25" customHeight="1" x14ac:dyDescent="0.25">
      <c r="A450">
        <v>4359</v>
      </c>
      <c r="B450" t="s">
        <v>437</v>
      </c>
      <c r="C450" t="s">
        <v>479</v>
      </c>
      <c r="D450" t="s">
        <v>20</v>
      </c>
      <c r="E450">
        <v>8</v>
      </c>
      <c r="F450">
        <v>8</v>
      </c>
      <c r="G450">
        <v>24</v>
      </c>
    </row>
    <row r="451" spans="1:7" ht="14.25" customHeight="1" x14ac:dyDescent="0.25">
      <c r="A451">
        <v>6164</v>
      </c>
      <c r="B451" t="s">
        <v>437</v>
      </c>
      <c r="C451" t="s">
        <v>480</v>
      </c>
      <c r="D451" t="s">
        <v>34</v>
      </c>
      <c r="E451">
        <v>8</v>
      </c>
      <c r="F451">
        <v>8</v>
      </c>
      <c r="G451">
        <v>20</v>
      </c>
    </row>
    <row r="452" spans="1:7" ht="14.25" customHeight="1" x14ac:dyDescent="0.25">
      <c r="A452">
        <v>6904</v>
      </c>
      <c r="B452" t="s">
        <v>437</v>
      </c>
      <c r="C452" t="s">
        <v>481</v>
      </c>
      <c r="D452" t="s">
        <v>44</v>
      </c>
      <c r="E452">
        <v>8</v>
      </c>
      <c r="F452">
        <v>8</v>
      </c>
      <c r="G452">
        <v>28</v>
      </c>
    </row>
    <row r="453" spans="1:7" ht="14.25" customHeight="1" x14ac:dyDescent="0.25">
      <c r="A453">
        <v>7449</v>
      </c>
      <c r="B453" t="s">
        <v>437</v>
      </c>
      <c r="C453" t="s">
        <v>482</v>
      </c>
      <c r="D453" t="s">
        <v>44</v>
      </c>
      <c r="E453">
        <v>8</v>
      </c>
      <c r="F453">
        <v>8</v>
      </c>
      <c r="G453">
        <v>20</v>
      </c>
    </row>
    <row r="454" spans="1:7" ht="14.25" customHeight="1" x14ac:dyDescent="0.25">
      <c r="A454">
        <v>5436</v>
      </c>
      <c r="B454" t="s">
        <v>437</v>
      </c>
      <c r="C454" t="s">
        <v>483</v>
      </c>
      <c r="D454" t="s">
        <v>49</v>
      </c>
      <c r="E454">
        <v>7</v>
      </c>
      <c r="F454">
        <v>7</v>
      </c>
      <c r="G454">
        <v>24</v>
      </c>
    </row>
    <row r="455" spans="1:7" ht="14.25" customHeight="1" x14ac:dyDescent="0.25">
      <c r="A455">
        <v>6669</v>
      </c>
      <c r="B455" t="s">
        <v>437</v>
      </c>
      <c r="C455" t="s">
        <v>484</v>
      </c>
      <c r="D455" t="s">
        <v>12</v>
      </c>
      <c r="E455">
        <v>7</v>
      </c>
      <c r="F455">
        <v>7</v>
      </c>
      <c r="G455">
        <v>21</v>
      </c>
    </row>
    <row r="456" spans="1:7" ht="14.25" customHeight="1" x14ac:dyDescent="0.25">
      <c r="A456">
        <v>7252</v>
      </c>
      <c r="B456" t="s">
        <v>437</v>
      </c>
      <c r="C456" t="s">
        <v>485</v>
      </c>
      <c r="D456" t="s">
        <v>36</v>
      </c>
      <c r="E456">
        <v>7</v>
      </c>
      <c r="F456">
        <v>7</v>
      </c>
      <c r="G456">
        <v>18</v>
      </c>
    </row>
    <row r="457" spans="1:7" ht="14.25" customHeight="1" x14ac:dyDescent="0.25">
      <c r="A457">
        <v>608</v>
      </c>
      <c r="B457" t="s">
        <v>437</v>
      </c>
      <c r="C457" t="s">
        <v>486</v>
      </c>
      <c r="D457" t="s">
        <v>81</v>
      </c>
      <c r="E457">
        <v>7</v>
      </c>
      <c r="F457">
        <v>7</v>
      </c>
      <c r="G457">
        <v>18</v>
      </c>
    </row>
    <row r="458" spans="1:7" ht="14.25" customHeight="1" x14ac:dyDescent="0.25">
      <c r="A458">
        <v>5918</v>
      </c>
      <c r="B458" t="s">
        <v>437</v>
      </c>
      <c r="C458" t="s">
        <v>487</v>
      </c>
      <c r="D458" t="s">
        <v>14</v>
      </c>
      <c r="E458">
        <v>6</v>
      </c>
      <c r="F458">
        <v>6</v>
      </c>
      <c r="G458">
        <v>16</v>
      </c>
    </row>
    <row r="459" spans="1:7" ht="14.25" customHeight="1" x14ac:dyDescent="0.25">
      <c r="A459">
        <v>6598</v>
      </c>
      <c r="B459" t="s">
        <v>437</v>
      </c>
      <c r="C459" t="s">
        <v>488</v>
      </c>
      <c r="D459" t="s">
        <v>26</v>
      </c>
      <c r="E459">
        <v>6</v>
      </c>
      <c r="F459">
        <v>6</v>
      </c>
      <c r="G459">
        <v>19</v>
      </c>
    </row>
    <row r="460" spans="1:7" ht="14.25" customHeight="1" x14ac:dyDescent="0.25">
      <c r="A460">
        <v>2832</v>
      </c>
      <c r="B460" t="s">
        <v>437</v>
      </c>
      <c r="C460" t="s">
        <v>489</v>
      </c>
      <c r="D460" t="s">
        <v>28</v>
      </c>
      <c r="E460">
        <v>6</v>
      </c>
      <c r="F460">
        <v>6</v>
      </c>
      <c r="G460">
        <v>25</v>
      </c>
    </row>
    <row r="461" spans="1:7" ht="14.25" customHeight="1" x14ac:dyDescent="0.25">
      <c r="A461">
        <v>6556</v>
      </c>
      <c r="B461" t="s">
        <v>437</v>
      </c>
      <c r="C461" t="s">
        <v>490</v>
      </c>
      <c r="D461" t="s">
        <v>30</v>
      </c>
      <c r="E461">
        <v>6</v>
      </c>
      <c r="F461">
        <v>6</v>
      </c>
      <c r="G461">
        <v>17</v>
      </c>
    </row>
    <row r="462" spans="1:7" ht="14.25" customHeight="1" x14ac:dyDescent="0.25">
      <c r="A462">
        <v>7008</v>
      </c>
      <c r="B462" t="s">
        <v>437</v>
      </c>
      <c r="C462" t="s">
        <v>491</v>
      </c>
      <c r="D462" t="s">
        <v>18</v>
      </c>
      <c r="E462">
        <v>6</v>
      </c>
      <c r="F462">
        <v>6</v>
      </c>
      <c r="G462">
        <v>14</v>
      </c>
    </row>
    <row r="463" spans="1:7" ht="14.25" customHeight="1" x14ac:dyDescent="0.25">
      <c r="A463">
        <v>6831</v>
      </c>
      <c r="B463" t="s">
        <v>437</v>
      </c>
      <c r="C463" t="s">
        <v>492</v>
      </c>
      <c r="D463" t="s">
        <v>22</v>
      </c>
      <c r="E463">
        <v>6</v>
      </c>
      <c r="F463">
        <v>6</v>
      </c>
      <c r="G463">
        <v>22</v>
      </c>
    </row>
    <row r="464" spans="1:7" ht="14.25" customHeight="1" x14ac:dyDescent="0.25">
      <c r="A464">
        <v>4896</v>
      </c>
      <c r="B464" t="s">
        <v>437</v>
      </c>
      <c r="C464" t="s">
        <v>493</v>
      </c>
      <c r="D464" t="s">
        <v>14</v>
      </c>
      <c r="E464">
        <v>5</v>
      </c>
      <c r="F464">
        <v>5</v>
      </c>
      <c r="G464">
        <v>14</v>
      </c>
    </row>
    <row r="465" spans="1:7" ht="14.25" customHeight="1" x14ac:dyDescent="0.25">
      <c r="A465">
        <v>6519</v>
      </c>
      <c r="B465" t="s">
        <v>437</v>
      </c>
      <c r="C465" t="s">
        <v>494</v>
      </c>
      <c r="D465" t="s">
        <v>18</v>
      </c>
      <c r="E465">
        <v>5</v>
      </c>
      <c r="F465">
        <v>5</v>
      </c>
      <c r="G465">
        <v>18</v>
      </c>
    </row>
    <row r="466" spans="1:7" ht="14.25" customHeight="1" x14ac:dyDescent="0.25">
      <c r="A466">
        <v>5882</v>
      </c>
      <c r="B466" t="s">
        <v>437</v>
      </c>
      <c r="C466" t="s">
        <v>495</v>
      </c>
      <c r="D466" t="s">
        <v>46</v>
      </c>
      <c r="E466">
        <v>5</v>
      </c>
      <c r="F466">
        <v>5</v>
      </c>
      <c r="G466">
        <v>18</v>
      </c>
    </row>
    <row r="467" spans="1:7" ht="14.25" customHeight="1" x14ac:dyDescent="0.25">
      <c r="A467">
        <v>7213</v>
      </c>
      <c r="B467" t="s">
        <v>437</v>
      </c>
      <c r="C467" t="s">
        <v>496</v>
      </c>
      <c r="D467" t="s">
        <v>38</v>
      </c>
      <c r="E467">
        <v>5</v>
      </c>
      <c r="F467">
        <v>5</v>
      </c>
      <c r="G467">
        <v>13</v>
      </c>
    </row>
    <row r="468" spans="1:7" ht="14.25" customHeight="1" x14ac:dyDescent="0.25">
      <c r="A468">
        <v>4387</v>
      </c>
      <c r="B468" t="s">
        <v>437</v>
      </c>
      <c r="C468" t="s">
        <v>497</v>
      </c>
      <c r="D468" t="s">
        <v>44</v>
      </c>
      <c r="E468">
        <v>5</v>
      </c>
      <c r="F468">
        <v>5</v>
      </c>
      <c r="G468">
        <v>14</v>
      </c>
    </row>
    <row r="469" spans="1:7" ht="14.25" customHeight="1" x14ac:dyDescent="0.25">
      <c r="A469">
        <v>6243</v>
      </c>
      <c r="B469" t="s">
        <v>437</v>
      </c>
      <c r="C469" t="s">
        <v>498</v>
      </c>
      <c r="D469" t="s">
        <v>26</v>
      </c>
      <c r="E469">
        <v>4</v>
      </c>
      <c r="F469">
        <v>4</v>
      </c>
      <c r="G469">
        <v>9</v>
      </c>
    </row>
    <row r="470" spans="1:7" ht="14.25" customHeight="1" x14ac:dyDescent="0.25">
      <c r="A470">
        <v>7374</v>
      </c>
      <c r="B470" t="s">
        <v>437</v>
      </c>
      <c r="C470" t="s">
        <v>499</v>
      </c>
      <c r="D470" t="s">
        <v>26</v>
      </c>
      <c r="E470">
        <v>4</v>
      </c>
      <c r="F470">
        <v>4</v>
      </c>
      <c r="G470">
        <v>9</v>
      </c>
    </row>
    <row r="471" spans="1:7" ht="14.25" customHeight="1" x14ac:dyDescent="0.25">
      <c r="A471">
        <v>313</v>
      </c>
      <c r="B471" t="s">
        <v>437</v>
      </c>
      <c r="C471" t="s">
        <v>500</v>
      </c>
      <c r="D471" t="s">
        <v>16</v>
      </c>
      <c r="E471">
        <v>4</v>
      </c>
      <c r="F471">
        <v>4</v>
      </c>
      <c r="G471">
        <v>10</v>
      </c>
    </row>
    <row r="472" spans="1:7" ht="14.25" customHeight="1" x14ac:dyDescent="0.25">
      <c r="A472">
        <v>6204</v>
      </c>
      <c r="B472" t="s">
        <v>437</v>
      </c>
      <c r="C472" t="s">
        <v>501</v>
      </c>
      <c r="D472" t="s">
        <v>49</v>
      </c>
      <c r="E472">
        <v>4</v>
      </c>
      <c r="F472">
        <v>4</v>
      </c>
      <c r="G472">
        <v>15</v>
      </c>
    </row>
    <row r="473" spans="1:7" ht="14.25" customHeight="1" x14ac:dyDescent="0.25">
      <c r="A473">
        <v>7453</v>
      </c>
      <c r="B473" t="s">
        <v>437</v>
      </c>
      <c r="C473" t="s">
        <v>502</v>
      </c>
      <c r="D473" t="s">
        <v>34</v>
      </c>
      <c r="E473">
        <v>4</v>
      </c>
      <c r="F473">
        <v>4</v>
      </c>
      <c r="G473">
        <v>9</v>
      </c>
    </row>
    <row r="474" spans="1:7" ht="14.25" customHeight="1" x14ac:dyDescent="0.25">
      <c r="A474">
        <v>7162</v>
      </c>
      <c r="B474" t="s">
        <v>437</v>
      </c>
      <c r="C474" t="s">
        <v>503</v>
      </c>
      <c r="D474" t="s">
        <v>22</v>
      </c>
      <c r="E474">
        <v>4</v>
      </c>
      <c r="F474">
        <v>4</v>
      </c>
      <c r="G474">
        <v>10</v>
      </c>
    </row>
    <row r="475" spans="1:7" ht="14.25" customHeight="1" x14ac:dyDescent="0.25">
      <c r="A475">
        <v>7349</v>
      </c>
      <c r="B475" t="s">
        <v>437</v>
      </c>
      <c r="C475" t="s">
        <v>504</v>
      </c>
      <c r="D475" t="s">
        <v>81</v>
      </c>
      <c r="E475">
        <v>4</v>
      </c>
      <c r="F475">
        <v>4</v>
      </c>
      <c r="G475">
        <v>9</v>
      </c>
    </row>
    <row r="476" spans="1:7" ht="14.25" customHeight="1" x14ac:dyDescent="0.25">
      <c r="A476">
        <v>7272</v>
      </c>
      <c r="B476" t="s">
        <v>437</v>
      </c>
      <c r="C476" t="s">
        <v>505</v>
      </c>
      <c r="D476" t="s">
        <v>32</v>
      </c>
      <c r="E476">
        <v>4</v>
      </c>
      <c r="F476">
        <v>4</v>
      </c>
      <c r="G476">
        <v>7</v>
      </c>
    </row>
    <row r="477" spans="1:7" ht="14.25" customHeight="1" x14ac:dyDescent="0.25">
      <c r="A477">
        <v>7128</v>
      </c>
      <c r="B477" t="s">
        <v>437</v>
      </c>
      <c r="C477" t="s">
        <v>506</v>
      </c>
      <c r="D477" t="s">
        <v>16</v>
      </c>
      <c r="E477">
        <v>3</v>
      </c>
      <c r="F477">
        <v>3</v>
      </c>
      <c r="G477">
        <v>5</v>
      </c>
    </row>
    <row r="478" spans="1:7" ht="14.25" customHeight="1" x14ac:dyDescent="0.25">
      <c r="A478">
        <v>6822</v>
      </c>
      <c r="B478" t="s">
        <v>437</v>
      </c>
      <c r="C478" t="s">
        <v>507</v>
      </c>
      <c r="D478" t="s">
        <v>28</v>
      </c>
      <c r="E478">
        <v>3</v>
      </c>
      <c r="F478">
        <v>3</v>
      </c>
      <c r="G478">
        <v>10</v>
      </c>
    </row>
    <row r="479" spans="1:7" ht="14.25" customHeight="1" x14ac:dyDescent="0.25">
      <c r="A479">
        <v>7001</v>
      </c>
      <c r="B479" t="s">
        <v>437</v>
      </c>
      <c r="C479" t="s">
        <v>508</v>
      </c>
      <c r="D479" t="s">
        <v>36</v>
      </c>
      <c r="E479">
        <v>3</v>
      </c>
      <c r="F479">
        <v>3</v>
      </c>
      <c r="G479">
        <v>9</v>
      </c>
    </row>
    <row r="480" spans="1:7" ht="14.25" customHeight="1" x14ac:dyDescent="0.25">
      <c r="A480">
        <v>7523</v>
      </c>
      <c r="B480" t="s">
        <v>437</v>
      </c>
      <c r="C480" t="s">
        <v>509</v>
      </c>
      <c r="D480" t="s">
        <v>46</v>
      </c>
      <c r="E480">
        <v>3</v>
      </c>
      <c r="F480">
        <v>3</v>
      </c>
      <c r="G480">
        <v>7</v>
      </c>
    </row>
    <row r="481" spans="1:7" ht="14.25" customHeight="1" x14ac:dyDescent="0.25">
      <c r="A481">
        <v>7120</v>
      </c>
      <c r="B481" t="s">
        <v>437</v>
      </c>
      <c r="C481" t="s">
        <v>510</v>
      </c>
      <c r="D481" t="s">
        <v>22</v>
      </c>
      <c r="E481">
        <v>3</v>
      </c>
      <c r="F481">
        <v>3</v>
      </c>
      <c r="G481">
        <v>10</v>
      </c>
    </row>
    <row r="482" spans="1:7" ht="14.25" customHeight="1" x14ac:dyDescent="0.25">
      <c r="A482">
        <v>6215</v>
      </c>
      <c r="B482" t="s">
        <v>437</v>
      </c>
      <c r="C482" t="s">
        <v>511</v>
      </c>
      <c r="D482" t="s">
        <v>22</v>
      </c>
      <c r="E482">
        <v>3</v>
      </c>
      <c r="F482">
        <v>3</v>
      </c>
      <c r="G482">
        <v>10</v>
      </c>
    </row>
    <row r="483" spans="1:7" ht="14.25" customHeight="1" x14ac:dyDescent="0.25">
      <c r="A483">
        <v>7342</v>
      </c>
      <c r="B483" t="s">
        <v>437</v>
      </c>
      <c r="C483" t="s">
        <v>512</v>
      </c>
      <c r="D483" t="s">
        <v>38</v>
      </c>
      <c r="E483">
        <v>3</v>
      </c>
      <c r="F483">
        <v>3</v>
      </c>
      <c r="G483">
        <v>11</v>
      </c>
    </row>
    <row r="484" spans="1:7" ht="14.25" customHeight="1" x14ac:dyDescent="0.25">
      <c r="A484">
        <v>383</v>
      </c>
      <c r="B484" t="s">
        <v>437</v>
      </c>
      <c r="C484" t="s">
        <v>513</v>
      </c>
      <c r="D484" t="s">
        <v>46</v>
      </c>
      <c r="E484">
        <v>2</v>
      </c>
      <c r="F484">
        <v>2</v>
      </c>
      <c r="G484">
        <v>5</v>
      </c>
    </row>
    <row r="485" spans="1:7" ht="14.25" customHeight="1" x14ac:dyDescent="0.25">
      <c r="A485">
        <v>7249</v>
      </c>
      <c r="B485" t="s">
        <v>437</v>
      </c>
      <c r="C485" t="s">
        <v>514</v>
      </c>
      <c r="D485" t="s">
        <v>32</v>
      </c>
      <c r="E485">
        <v>2</v>
      </c>
      <c r="F485">
        <v>2</v>
      </c>
      <c r="G485">
        <v>4</v>
      </c>
    </row>
    <row r="486" spans="1:7" ht="14.25" customHeight="1" x14ac:dyDescent="0.25">
      <c r="A486">
        <v>7338</v>
      </c>
      <c r="B486" t="s">
        <v>437</v>
      </c>
      <c r="C486" t="s">
        <v>515</v>
      </c>
      <c r="D486" t="s">
        <v>26</v>
      </c>
      <c r="E486">
        <v>1</v>
      </c>
      <c r="F486">
        <v>1</v>
      </c>
      <c r="G486">
        <v>1</v>
      </c>
    </row>
    <row r="487" spans="1:7" ht="14.25" customHeight="1" x14ac:dyDescent="0.25">
      <c r="A487">
        <v>7317</v>
      </c>
      <c r="B487" t="s">
        <v>437</v>
      </c>
      <c r="C487" t="s">
        <v>516</v>
      </c>
      <c r="D487" t="s">
        <v>26</v>
      </c>
      <c r="E487">
        <v>1</v>
      </c>
      <c r="F487">
        <v>1</v>
      </c>
      <c r="G487">
        <v>2</v>
      </c>
    </row>
    <row r="488" spans="1:7" ht="14.25" customHeight="1" x14ac:dyDescent="0.25">
      <c r="A488">
        <v>7027</v>
      </c>
      <c r="B488" t="s">
        <v>437</v>
      </c>
      <c r="C488" t="s">
        <v>517</v>
      </c>
      <c r="D488" t="s">
        <v>16</v>
      </c>
      <c r="E488">
        <v>1</v>
      </c>
      <c r="F488">
        <v>1</v>
      </c>
      <c r="G488">
        <v>1</v>
      </c>
    </row>
    <row r="489" spans="1:7" ht="14.25" customHeight="1" x14ac:dyDescent="0.25">
      <c r="A489">
        <v>6981</v>
      </c>
      <c r="B489" t="s">
        <v>437</v>
      </c>
      <c r="C489" t="s">
        <v>518</v>
      </c>
      <c r="D489" t="s">
        <v>10</v>
      </c>
      <c r="E489">
        <v>1</v>
      </c>
      <c r="F489">
        <v>1</v>
      </c>
      <c r="G489">
        <v>4</v>
      </c>
    </row>
    <row r="490" spans="1:7" ht="14.25" customHeight="1" x14ac:dyDescent="0.25">
      <c r="A490">
        <v>7158</v>
      </c>
      <c r="B490" t="s">
        <v>437</v>
      </c>
      <c r="C490" t="s">
        <v>519</v>
      </c>
      <c r="D490" t="s">
        <v>41</v>
      </c>
      <c r="E490">
        <v>1</v>
      </c>
      <c r="F490">
        <v>1</v>
      </c>
      <c r="G490">
        <v>1</v>
      </c>
    </row>
    <row r="491" spans="1:7" ht="14.25" customHeight="1" x14ac:dyDescent="0.25">
      <c r="A491">
        <v>7161</v>
      </c>
      <c r="B491" t="s">
        <v>437</v>
      </c>
      <c r="C491" t="s">
        <v>520</v>
      </c>
      <c r="D491" t="s">
        <v>32</v>
      </c>
      <c r="E491">
        <v>1</v>
      </c>
      <c r="F491">
        <v>1</v>
      </c>
      <c r="G491">
        <v>3</v>
      </c>
    </row>
    <row r="492" spans="1:7" ht="14.25" customHeight="1" x14ac:dyDescent="0.25">
      <c r="A492">
        <v>7408</v>
      </c>
      <c r="B492" t="s">
        <v>437</v>
      </c>
      <c r="C492" t="s">
        <v>521</v>
      </c>
      <c r="D492" t="s">
        <v>44</v>
      </c>
      <c r="E492">
        <v>1</v>
      </c>
      <c r="F492">
        <v>1</v>
      </c>
      <c r="G492">
        <v>1</v>
      </c>
    </row>
    <row r="493" spans="1:7" ht="14.25" customHeight="1" x14ac:dyDescent="0.25">
      <c r="A493">
        <v>7482</v>
      </c>
      <c r="B493" t="s">
        <v>437</v>
      </c>
      <c r="C493" t="s">
        <v>522</v>
      </c>
      <c r="D493" t="s">
        <v>44</v>
      </c>
      <c r="E493">
        <v>1</v>
      </c>
      <c r="F493">
        <v>1</v>
      </c>
      <c r="G493">
        <v>1</v>
      </c>
    </row>
  </sheetData>
  <mergeCells count="1">
    <mergeCell ref="A1:G1"/>
  </mergeCells>
  <pageMargins left="0.7" right="0.7" top="0.75" bottom="0.75" header="0.511811023622047" footer="0.511811023622047"/>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665"/>
  <sheetViews>
    <sheetView showGridLines="0" topLeftCell="A88" zoomScaleNormal="100" workbookViewId="0">
      <selection sqref="A1:R1"/>
    </sheetView>
  </sheetViews>
  <sheetFormatPr defaultColWidth="8.5703125" defaultRowHeight="15" x14ac:dyDescent="0.25"/>
  <cols>
    <col min="1" max="1" width="7" customWidth="1"/>
    <col min="2" max="2" width="4" customWidth="1"/>
    <col min="3" max="3" width="5" customWidth="1"/>
    <col min="4" max="4" width="20" customWidth="1"/>
    <col min="5" max="5" width="14" customWidth="1"/>
    <col min="6" max="6" width="5" customWidth="1"/>
    <col min="7" max="8" width="6" customWidth="1"/>
    <col min="9" max="15" width="5" customWidth="1"/>
    <col min="16" max="16" width="6" customWidth="1"/>
    <col min="17" max="18" width="5" customWidth="1"/>
  </cols>
  <sheetData>
    <row r="1" spans="1:18" ht="15.75" customHeight="1" x14ac:dyDescent="0.25">
      <c r="A1" s="79" t="s">
        <v>860</v>
      </c>
      <c r="B1" s="66"/>
      <c r="C1" s="66"/>
      <c r="D1" s="66"/>
      <c r="E1" s="66"/>
      <c r="F1" s="66"/>
      <c r="G1" s="66"/>
      <c r="H1" s="66"/>
      <c r="I1" s="66"/>
      <c r="J1" s="66"/>
      <c r="K1" s="66"/>
      <c r="L1" s="66"/>
      <c r="M1" s="66"/>
      <c r="N1" s="66"/>
      <c r="O1" s="66"/>
      <c r="P1" s="66"/>
      <c r="Q1" s="66"/>
      <c r="R1" s="66"/>
    </row>
    <row r="2" spans="1:18" ht="15" customHeight="1" x14ac:dyDescent="0.25">
      <c r="A2" s="10" t="s">
        <v>1</v>
      </c>
      <c r="B2" s="10" t="s">
        <v>2</v>
      </c>
      <c r="C2" s="10" t="s">
        <v>861</v>
      </c>
      <c r="D2" s="10" t="s">
        <v>3</v>
      </c>
      <c r="E2" s="10" t="s">
        <v>4</v>
      </c>
      <c r="F2" s="10" t="s">
        <v>862</v>
      </c>
      <c r="G2" s="10" t="s">
        <v>863</v>
      </c>
      <c r="H2" s="10" t="s">
        <v>864</v>
      </c>
      <c r="I2" s="10" t="s">
        <v>865</v>
      </c>
      <c r="J2" s="10" t="s">
        <v>866</v>
      </c>
      <c r="K2" s="10" t="s">
        <v>867</v>
      </c>
      <c r="L2" s="10" t="s">
        <v>868</v>
      </c>
      <c r="M2" s="10" t="s">
        <v>869</v>
      </c>
      <c r="N2" s="10" t="s">
        <v>870</v>
      </c>
      <c r="O2" s="10" t="s">
        <v>871</v>
      </c>
      <c r="P2" s="10" t="s">
        <v>872</v>
      </c>
      <c r="Q2" s="10" t="s">
        <v>873</v>
      </c>
      <c r="R2" s="10" t="s">
        <v>874</v>
      </c>
    </row>
    <row r="3" spans="1:18" ht="15" customHeight="1" x14ac:dyDescent="0.25">
      <c r="A3" s="5">
        <v>4431</v>
      </c>
      <c r="B3" s="5" t="s">
        <v>8</v>
      </c>
      <c r="C3" s="5" t="s">
        <v>875</v>
      </c>
      <c r="D3" s="5" t="s">
        <v>13</v>
      </c>
      <c r="E3" s="5" t="s">
        <v>14</v>
      </c>
      <c r="F3" s="5">
        <v>37</v>
      </c>
      <c r="G3" s="5">
        <v>6.36</v>
      </c>
      <c r="H3" s="5">
        <v>5.58</v>
      </c>
      <c r="I3" s="5">
        <v>0</v>
      </c>
      <c r="J3" s="5">
        <v>35</v>
      </c>
      <c r="K3" s="5">
        <v>2</v>
      </c>
      <c r="L3" s="5">
        <v>0</v>
      </c>
      <c r="M3" s="5">
        <v>0</v>
      </c>
      <c r="N3" s="5">
        <v>0</v>
      </c>
      <c r="O3" s="5">
        <v>0</v>
      </c>
      <c r="P3" s="5">
        <v>0</v>
      </c>
      <c r="Q3" s="5">
        <v>0</v>
      </c>
      <c r="R3" s="5">
        <v>0</v>
      </c>
    </row>
    <row r="4" spans="1:18" ht="15" customHeight="1" x14ac:dyDescent="0.25">
      <c r="A4" s="5">
        <v>2170</v>
      </c>
      <c r="B4" s="5" t="s">
        <v>8</v>
      </c>
      <c r="C4" s="5" t="s">
        <v>875</v>
      </c>
      <c r="D4" s="5" t="s">
        <v>47</v>
      </c>
      <c r="E4" s="5" t="s">
        <v>22</v>
      </c>
      <c r="F4" s="5">
        <v>27</v>
      </c>
      <c r="G4" s="5">
        <v>6.2</v>
      </c>
      <c r="H4" s="5">
        <v>5.65</v>
      </c>
      <c r="I4" s="5">
        <v>0</v>
      </c>
      <c r="J4" s="5">
        <v>24</v>
      </c>
      <c r="K4" s="5">
        <v>3</v>
      </c>
      <c r="L4" s="5">
        <v>0</v>
      </c>
      <c r="M4" s="5">
        <v>0</v>
      </c>
      <c r="N4" s="5">
        <v>0</v>
      </c>
      <c r="O4" s="5">
        <v>0</v>
      </c>
      <c r="P4" s="5">
        <v>0</v>
      </c>
      <c r="Q4" s="5">
        <v>0</v>
      </c>
      <c r="R4" s="5">
        <v>0</v>
      </c>
    </row>
    <row r="5" spans="1:18" ht="15" customHeight="1" x14ac:dyDescent="0.25">
      <c r="A5" s="5">
        <v>5841</v>
      </c>
      <c r="B5" s="5" t="s">
        <v>8</v>
      </c>
      <c r="C5" s="5" t="s">
        <v>875</v>
      </c>
      <c r="D5" s="5" t="s">
        <v>9</v>
      </c>
      <c r="E5" s="5" t="s">
        <v>10</v>
      </c>
      <c r="F5" s="5">
        <v>38</v>
      </c>
      <c r="G5" s="5">
        <v>6.26</v>
      </c>
      <c r="H5" s="5">
        <v>5.45</v>
      </c>
      <c r="I5" s="5">
        <v>0</v>
      </c>
      <c r="J5" s="5">
        <v>31</v>
      </c>
      <c r="K5" s="5">
        <v>0</v>
      </c>
      <c r="L5" s="5">
        <v>0</v>
      </c>
      <c r="M5" s="5">
        <v>0</v>
      </c>
      <c r="N5" s="5">
        <v>0</v>
      </c>
      <c r="O5" s="5">
        <v>0</v>
      </c>
      <c r="P5" s="5">
        <v>0</v>
      </c>
      <c r="Q5" s="5">
        <v>0</v>
      </c>
      <c r="R5" s="5">
        <v>0</v>
      </c>
    </row>
    <row r="6" spans="1:18" ht="15" customHeight="1" x14ac:dyDescent="0.25">
      <c r="A6" s="5">
        <v>6966</v>
      </c>
      <c r="B6" s="5" t="s">
        <v>8</v>
      </c>
      <c r="C6" s="5" t="s">
        <v>875</v>
      </c>
      <c r="D6" s="5" t="s">
        <v>15</v>
      </c>
      <c r="E6" s="5" t="s">
        <v>16</v>
      </c>
      <c r="F6" s="5">
        <v>38</v>
      </c>
      <c r="G6" s="5">
        <v>6.07</v>
      </c>
      <c r="H6" s="5">
        <v>5.37</v>
      </c>
      <c r="I6" s="5">
        <v>0</v>
      </c>
      <c r="J6" s="5">
        <v>29</v>
      </c>
      <c r="K6" s="5">
        <v>1</v>
      </c>
      <c r="L6" s="5">
        <v>0</v>
      </c>
      <c r="M6" s="5">
        <v>0</v>
      </c>
      <c r="N6" s="5">
        <v>0</v>
      </c>
      <c r="O6" s="5">
        <v>1</v>
      </c>
      <c r="P6" s="5">
        <v>3</v>
      </c>
      <c r="Q6" s="5">
        <v>0</v>
      </c>
      <c r="R6" s="5">
        <v>0</v>
      </c>
    </row>
    <row r="7" spans="1:18" ht="15" customHeight="1" x14ac:dyDescent="0.25">
      <c r="A7" s="5">
        <v>4312</v>
      </c>
      <c r="B7" s="5" t="s">
        <v>8</v>
      </c>
      <c r="C7" s="5" t="s">
        <v>875</v>
      </c>
      <c r="D7" s="5" t="s">
        <v>17</v>
      </c>
      <c r="E7" s="5" t="s">
        <v>18</v>
      </c>
      <c r="F7" s="5">
        <v>37</v>
      </c>
      <c r="G7" s="5">
        <v>6.26</v>
      </c>
      <c r="H7" s="5">
        <v>5.42</v>
      </c>
      <c r="I7" s="5">
        <v>0</v>
      </c>
      <c r="J7" s="5">
        <v>35</v>
      </c>
      <c r="K7" s="5">
        <v>2</v>
      </c>
      <c r="L7" s="5">
        <v>0</v>
      </c>
      <c r="M7" s="5">
        <v>0</v>
      </c>
      <c r="N7" s="5">
        <v>0</v>
      </c>
      <c r="O7" s="5">
        <v>0</v>
      </c>
      <c r="P7" s="5">
        <v>4</v>
      </c>
      <c r="Q7" s="5">
        <v>0</v>
      </c>
      <c r="R7" s="5">
        <v>0</v>
      </c>
    </row>
    <row r="8" spans="1:18" ht="15" customHeight="1" x14ac:dyDescent="0.25">
      <c r="A8" s="5">
        <v>5876</v>
      </c>
      <c r="B8" s="5" t="s">
        <v>8</v>
      </c>
      <c r="C8" s="5" t="s">
        <v>875</v>
      </c>
      <c r="D8" s="5" t="s">
        <v>27</v>
      </c>
      <c r="E8" s="5" t="s">
        <v>28</v>
      </c>
      <c r="F8" s="5">
        <v>30</v>
      </c>
      <c r="G8" s="5">
        <v>6.08</v>
      </c>
      <c r="H8" s="5">
        <v>5.33</v>
      </c>
      <c r="I8" s="5">
        <v>0</v>
      </c>
      <c r="J8" s="5">
        <v>25</v>
      </c>
      <c r="K8" s="5">
        <v>1</v>
      </c>
      <c r="L8" s="5">
        <v>0</v>
      </c>
      <c r="M8" s="5">
        <v>0</v>
      </c>
      <c r="N8" s="5">
        <v>0</v>
      </c>
      <c r="O8" s="5">
        <v>0</v>
      </c>
      <c r="P8" s="5">
        <v>1</v>
      </c>
      <c r="Q8" s="5">
        <v>0</v>
      </c>
      <c r="R8" s="5">
        <v>0</v>
      </c>
    </row>
    <row r="9" spans="1:18" ht="15" customHeight="1" x14ac:dyDescent="0.25">
      <c r="A9" s="5">
        <v>2134</v>
      </c>
      <c r="B9" s="5" t="s">
        <v>8</v>
      </c>
      <c r="C9" s="5" t="s">
        <v>875</v>
      </c>
      <c r="D9" s="5" t="s">
        <v>35</v>
      </c>
      <c r="E9" s="5" t="s">
        <v>36</v>
      </c>
      <c r="F9" s="5">
        <v>38</v>
      </c>
      <c r="G9" s="5">
        <v>6.41</v>
      </c>
      <c r="H9" s="5">
        <v>5.22</v>
      </c>
      <c r="I9" s="5">
        <v>0</v>
      </c>
      <c r="J9" s="5">
        <v>50</v>
      </c>
      <c r="K9" s="5">
        <v>2</v>
      </c>
      <c r="L9" s="5">
        <v>0</v>
      </c>
      <c r="M9" s="5">
        <v>0</v>
      </c>
      <c r="N9" s="5">
        <v>0</v>
      </c>
      <c r="O9" s="5">
        <v>0</v>
      </c>
      <c r="P9" s="5">
        <v>2</v>
      </c>
      <c r="Q9" s="5">
        <v>0</v>
      </c>
      <c r="R9" s="5">
        <v>0</v>
      </c>
    </row>
    <row r="10" spans="1:18" ht="15" customHeight="1" x14ac:dyDescent="0.25">
      <c r="A10" s="5">
        <v>6462</v>
      </c>
      <c r="B10" s="5" t="s">
        <v>8</v>
      </c>
      <c r="C10" s="5" t="s">
        <v>875</v>
      </c>
      <c r="D10" s="5" t="s">
        <v>31</v>
      </c>
      <c r="E10" s="5" t="s">
        <v>32</v>
      </c>
      <c r="F10" s="5">
        <v>30</v>
      </c>
      <c r="G10" s="5">
        <v>6.07</v>
      </c>
      <c r="H10" s="5">
        <v>5.08</v>
      </c>
      <c r="I10" s="5">
        <v>0</v>
      </c>
      <c r="J10" s="5">
        <v>32</v>
      </c>
      <c r="K10" s="5">
        <v>1</v>
      </c>
      <c r="L10" s="5">
        <v>0</v>
      </c>
      <c r="M10" s="5">
        <v>0</v>
      </c>
      <c r="N10" s="5">
        <v>0</v>
      </c>
      <c r="O10" s="5">
        <v>1</v>
      </c>
      <c r="P10" s="5">
        <v>1</v>
      </c>
      <c r="Q10" s="5">
        <v>1</v>
      </c>
      <c r="R10" s="5">
        <v>0</v>
      </c>
    </row>
    <row r="11" spans="1:18" ht="15" customHeight="1" x14ac:dyDescent="0.25">
      <c r="A11" s="5">
        <v>2428</v>
      </c>
      <c r="B11" s="5" t="s">
        <v>8</v>
      </c>
      <c r="C11" s="5" t="s">
        <v>875</v>
      </c>
      <c r="D11" s="5" t="s">
        <v>876</v>
      </c>
      <c r="E11" s="5" t="s">
        <v>12</v>
      </c>
      <c r="F11" s="5">
        <v>33</v>
      </c>
      <c r="G11" s="5">
        <v>5.92</v>
      </c>
      <c r="H11" s="5">
        <v>5.0199999999999996</v>
      </c>
      <c r="I11" s="5">
        <v>0</v>
      </c>
      <c r="J11" s="5">
        <v>30</v>
      </c>
      <c r="K11" s="5">
        <v>0</v>
      </c>
      <c r="L11" s="5">
        <v>0</v>
      </c>
      <c r="M11" s="5">
        <v>0</v>
      </c>
      <c r="N11" s="5">
        <v>0</v>
      </c>
      <c r="O11" s="5">
        <v>0</v>
      </c>
      <c r="P11" s="5">
        <v>0</v>
      </c>
      <c r="Q11" s="5">
        <v>0</v>
      </c>
      <c r="R11" s="5">
        <v>0</v>
      </c>
    </row>
    <row r="12" spans="1:18" ht="15" customHeight="1" x14ac:dyDescent="0.25">
      <c r="A12" s="5">
        <v>4360</v>
      </c>
      <c r="B12" s="5" t="s">
        <v>8</v>
      </c>
      <c r="C12" s="5" t="s">
        <v>875</v>
      </c>
      <c r="D12" s="5" t="s">
        <v>25</v>
      </c>
      <c r="E12" s="5" t="s">
        <v>26</v>
      </c>
      <c r="F12" s="5">
        <v>38</v>
      </c>
      <c r="G12" s="5">
        <v>6.29</v>
      </c>
      <c r="H12" s="5">
        <v>4.87</v>
      </c>
      <c r="I12" s="5">
        <v>0</v>
      </c>
      <c r="J12" s="5">
        <v>53</v>
      </c>
      <c r="K12" s="5">
        <v>0</v>
      </c>
      <c r="L12" s="5">
        <v>0</v>
      </c>
      <c r="M12" s="5">
        <v>0</v>
      </c>
      <c r="N12" s="5">
        <v>0</v>
      </c>
      <c r="O12" s="5">
        <v>0</v>
      </c>
      <c r="P12" s="5">
        <v>2</v>
      </c>
      <c r="Q12" s="5">
        <v>0</v>
      </c>
      <c r="R12" s="5">
        <v>0</v>
      </c>
    </row>
    <row r="13" spans="1:18" ht="15" customHeight="1" x14ac:dyDescent="0.25">
      <c r="A13" s="5">
        <v>761</v>
      </c>
      <c r="B13" s="5" t="s">
        <v>8</v>
      </c>
      <c r="C13" s="5" t="s">
        <v>875</v>
      </c>
      <c r="D13" s="5" t="s">
        <v>877</v>
      </c>
      <c r="E13" s="5" t="s">
        <v>878</v>
      </c>
      <c r="F13" s="5">
        <v>34</v>
      </c>
      <c r="G13" s="5">
        <v>6.21</v>
      </c>
      <c r="H13" s="5">
        <v>4.91</v>
      </c>
      <c r="I13" s="5">
        <v>0</v>
      </c>
      <c r="J13" s="5">
        <v>50</v>
      </c>
      <c r="K13" s="5">
        <v>2</v>
      </c>
      <c r="L13" s="5">
        <v>0</v>
      </c>
      <c r="M13" s="5">
        <v>0</v>
      </c>
      <c r="N13" s="5">
        <v>0</v>
      </c>
      <c r="O13" s="5">
        <v>0</v>
      </c>
      <c r="P13" s="5">
        <v>0</v>
      </c>
      <c r="Q13" s="5">
        <v>0</v>
      </c>
      <c r="R13" s="5">
        <v>0</v>
      </c>
    </row>
    <row r="14" spans="1:18" ht="15" customHeight="1" x14ac:dyDescent="0.25">
      <c r="A14" s="5">
        <v>2521</v>
      </c>
      <c r="B14" s="5" t="s">
        <v>8</v>
      </c>
      <c r="C14" s="5" t="s">
        <v>875</v>
      </c>
      <c r="D14" s="5" t="s">
        <v>19</v>
      </c>
      <c r="E14" s="5" t="s">
        <v>20</v>
      </c>
      <c r="F14" s="5">
        <v>37</v>
      </c>
      <c r="G14" s="5">
        <v>6.24</v>
      </c>
      <c r="H14" s="5">
        <v>5</v>
      </c>
      <c r="I14" s="5">
        <v>0</v>
      </c>
      <c r="J14" s="5">
        <v>49</v>
      </c>
      <c r="K14" s="5">
        <v>1</v>
      </c>
      <c r="L14" s="5">
        <v>0</v>
      </c>
      <c r="M14" s="5">
        <v>0</v>
      </c>
      <c r="N14" s="5">
        <v>0</v>
      </c>
      <c r="O14" s="5">
        <v>0</v>
      </c>
      <c r="P14" s="5">
        <v>0</v>
      </c>
      <c r="Q14" s="5">
        <v>0</v>
      </c>
      <c r="R14" s="5">
        <v>0</v>
      </c>
    </row>
    <row r="15" spans="1:18" ht="15" customHeight="1" x14ac:dyDescent="0.25">
      <c r="A15" s="5">
        <v>4957</v>
      </c>
      <c r="B15" s="5" t="s">
        <v>8</v>
      </c>
      <c r="C15" s="5" t="s">
        <v>875</v>
      </c>
      <c r="D15" s="5" t="s">
        <v>879</v>
      </c>
      <c r="E15" s="5" t="s">
        <v>880</v>
      </c>
      <c r="F15" s="5">
        <v>35</v>
      </c>
      <c r="G15" s="5">
        <v>6.2</v>
      </c>
      <c r="H15" s="5">
        <v>4.9400000000000004</v>
      </c>
      <c r="I15" s="5">
        <v>0</v>
      </c>
      <c r="J15" s="5">
        <v>54</v>
      </c>
      <c r="K15" s="5">
        <v>3</v>
      </c>
      <c r="L15" s="5">
        <v>0</v>
      </c>
      <c r="M15" s="5">
        <v>0</v>
      </c>
      <c r="N15" s="5">
        <v>0</v>
      </c>
      <c r="O15" s="5">
        <v>1</v>
      </c>
      <c r="P15" s="5">
        <v>0</v>
      </c>
      <c r="Q15" s="5">
        <v>0</v>
      </c>
      <c r="R15" s="5">
        <v>0</v>
      </c>
    </row>
    <row r="16" spans="1:18" ht="15" customHeight="1" x14ac:dyDescent="0.25">
      <c r="A16" s="5">
        <v>133</v>
      </c>
      <c r="B16" s="5" t="s">
        <v>8</v>
      </c>
      <c r="C16" s="5" t="s">
        <v>875</v>
      </c>
      <c r="D16" s="5" t="s">
        <v>23</v>
      </c>
      <c r="E16" s="5" t="s">
        <v>24</v>
      </c>
      <c r="F16" s="5">
        <v>18</v>
      </c>
      <c r="G16" s="5">
        <v>6.19</v>
      </c>
      <c r="H16" s="5">
        <v>5.28</v>
      </c>
      <c r="I16" s="5">
        <v>0</v>
      </c>
      <c r="J16" s="5">
        <v>15</v>
      </c>
      <c r="K16" s="5">
        <v>0</v>
      </c>
      <c r="L16" s="5">
        <v>0</v>
      </c>
      <c r="M16" s="5">
        <v>0</v>
      </c>
      <c r="N16" s="5">
        <v>0</v>
      </c>
      <c r="O16" s="5">
        <v>0</v>
      </c>
      <c r="P16" s="5">
        <v>1</v>
      </c>
      <c r="Q16" s="5">
        <v>1</v>
      </c>
      <c r="R16" s="5">
        <v>0</v>
      </c>
    </row>
    <row r="17" spans="1:18" ht="15" customHeight="1" x14ac:dyDescent="0.25">
      <c r="A17" s="5">
        <v>2814</v>
      </c>
      <c r="B17" s="5" t="s">
        <v>8</v>
      </c>
      <c r="C17" s="5" t="s">
        <v>875</v>
      </c>
      <c r="D17" s="5" t="s">
        <v>51</v>
      </c>
      <c r="E17" s="5" t="s">
        <v>30</v>
      </c>
      <c r="F17" s="5">
        <v>27</v>
      </c>
      <c r="G17" s="5">
        <v>6.26</v>
      </c>
      <c r="H17" s="5">
        <v>5.35</v>
      </c>
      <c r="I17" s="5">
        <v>0</v>
      </c>
      <c r="J17" s="5">
        <v>27</v>
      </c>
      <c r="K17" s="5">
        <v>1</v>
      </c>
      <c r="L17" s="5">
        <v>0</v>
      </c>
      <c r="M17" s="5">
        <v>0</v>
      </c>
      <c r="N17" s="5">
        <v>0</v>
      </c>
      <c r="O17" s="5">
        <v>0</v>
      </c>
      <c r="P17" s="5">
        <v>1</v>
      </c>
      <c r="Q17" s="5">
        <v>0</v>
      </c>
      <c r="R17" s="5">
        <v>0</v>
      </c>
    </row>
    <row r="18" spans="1:18" ht="15" customHeight="1" x14ac:dyDescent="0.25">
      <c r="A18" s="5">
        <v>6641</v>
      </c>
      <c r="B18" s="5" t="s">
        <v>8</v>
      </c>
      <c r="C18" s="5" t="s">
        <v>875</v>
      </c>
      <c r="D18" s="5" t="s">
        <v>39</v>
      </c>
      <c r="E18" s="5" t="s">
        <v>38</v>
      </c>
      <c r="F18" s="5">
        <v>20</v>
      </c>
      <c r="G18" s="5">
        <v>6.02</v>
      </c>
      <c r="H18" s="5">
        <v>4.75</v>
      </c>
      <c r="I18" s="5">
        <v>0</v>
      </c>
      <c r="J18" s="5">
        <v>28</v>
      </c>
      <c r="K18" s="5">
        <v>1</v>
      </c>
      <c r="L18" s="5">
        <v>0</v>
      </c>
      <c r="M18" s="5">
        <v>0</v>
      </c>
      <c r="N18" s="5">
        <v>0</v>
      </c>
      <c r="O18" s="5">
        <v>0</v>
      </c>
      <c r="P18" s="5">
        <v>1</v>
      </c>
      <c r="Q18" s="5">
        <v>0</v>
      </c>
      <c r="R18" s="5">
        <v>0</v>
      </c>
    </row>
    <row r="19" spans="1:18" ht="15" customHeight="1" x14ac:dyDescent="0.25">
      <c r="A19" s="5">
        <v>4236</v>
      </c>
      <c r="B19" s="5" t="s">
        <v>8</v>
      </c>
      <c r="C19" s="5" t="s">
        <v>875</v>
      </c>
      <c r="D19" s="5" t="s">
        <v>40</v>
      </c>
      <c r="E19" s="5" t="s">
        <v>41</v>
      </c>
      <c r="F19" s="5">
        <v>32</v>
      </c>
      <c r="G19" s="5">
        <v>6.08</v>
      </c>
      <c r="H19" s="5">
        <v>4.7699999999999996</v>
      </c>
      <c r="I19" s="5">
        <v>0</v>
      </c>
      <c r="J19" s="5">
        <v>43</v>
      </c>
      <c r="K19" s="5">
        <v>1</v>
      </c>
      <c r="L19" s="5">
        <v>0</v>
      </c>
      <c r="M19" s="5">
        <v>0</v>
      </c>
      <c r="N19" s="5">
        <v>0</v>
      </c>
      <c r="O19" s="5">
        <v>0</v>
      </c>
      <c r="P19" s="5">
        <v>4</v>
      </c>
      <c r="Q19" s="5">
        <v>0</v>
      </c>
      <c r="R19" s="5">
        <v>0</v>
      </c>
    </row>
    <row r="20" spans="1:18" ht="15" customHeight="1" x14ac:dyDescent="0.25">
      <c r="A20" s="5">
        <v>7332</v>
      </c>
      <c r="B20" s="5" t="s">
        <v>8</v>
      </c>
      <c r="C20" s="5" t="s">
        <v>875</v>
      </c>
      <c r="D20" s="5" t="s">
        <v>33</v>
      </c>
      <c r="E20" s="5" t="s">
        <v>34</v>
      </c>
      <c r="F20" s="5">
        <v>16</v>
      </c>
      <c r="G20" s="5">
        <v>6.06</v>
      </c>
      <c r="H20" s="5">
        <v>4.78</v>
      </c>
      <c r="I20" s="5">
        <v>0</v>
      </c>
      <c r="J20" s="5">
        <v>20</v>
      </c>
      <c r="K20" s="5">
        <v>0</v>
      </c>
      <c r="L20" s="5">
        <v>0</v>
      </c>
      <c r="M20" s="5">
        <v>0</v>
      </c>
      <c r="N20" s="5">
        <v>0</v>
      </c>
      <c r="O20" s="5">
        <v>0</v>
      </c>
      <c r="P20" s="5">
        <v>1</v>
      </c>
      <c r="Q20" s="5">
        <v>0</v>
      </c>
      <c r="R20" s="5">
        <v>0</v>
      </c>
    </row>
    <row r="21" spans="1:18" ht="15" customHeight="1" x14ac:dyDescent="0.25">
      <c r="A21" s="5">
        <v>188</v>
      </c>
      <c r="B21" s="5" t="s">
        <v>8</v>
      </c>
      <c r="C21" s="5" t="s">
        <v>875</v>
      </c>
      <c r="D21" s="5" t="s">
        <v>881</v>
      </c>
      <c r="E21" s="5" t="s">
        <v>34</v>
      </c>
      <c r="F21" s="5">
        <v>22</v>
      </c>
      <c r="G21" s="5">
        <v>6.16</v>
      </c>
      <c r="H21" s="5">
        <v>4.84</v>
      </c>
      <c r="I21" s="5">
        <v>0</v>
      </c>
      <c r="J21" s="5">
        <v>27</v>
      </c>
      <c r="K21" s="5">
        <v>0</v>
      </c>
      <c r="L21" s="5">
        <v>0</v>
      </c>
      <c r="M21" s="5">
        <v>0</v>
      </c>
      <c r="N21" s="5">
        <v>0</v>
      </c>
      <c r="O21" s="5">
        <v>0</v>
      </c>
      <c r="P21" s="5">
        <v>2</v>
      </c>
      <c r="Q21" s="5">
        <v>1</v>
      </c>
      <c r="R21" s="5">
        <v>0</v>
      </c>
    </row>
    <row r="22" spans="1:18" ht="15" customHeight="1" x14ac:dyDescent="0.25">
      <c r="A22" s="5">
        <v>6662</v>
      </c>
      <c r="B22" s="5" t="s">
        <v>8</v>
      </c>
      <c r="C22" s="5" t="s">
        <v>875</v>
      </c>
      <c r="D22" s="5" t="s">
        <v>75</v>
      </c>
      <c r="E22" s="5" t="s">
        <v>38</v>
      </c>
      <c r="F22" s="5">
        <v>17</v>
      </c>
      <c r="G22" s="5">
        <v>6.18</v>
      </c>
      <c r="H22" s="5">
        <v>5.09</v>
      </c>
      <c r="I22" s="5">
        <v>0</v>
      </c>
      <c r="J22" s="5">
        <v>18</v>
      </c>
      <c r="K22" s="5">
        <v>0</v>
      </c>
      <c r="L22" s="5">
        <v>0</v>
      </c>
      <c r="M22" s="5">
        <v>0</v>
      </c>
      <c r="N22" s="5">
        <v>0</v>
      </c>
      <c r="O22" s="5">
        <v>0</v>
      </c>
      <c r="P22" s="5">
        <v>1</v>
      </c>
      <c r="Q22" s="5">
        <v>0</v>
      </c>
      <c r="R22" s="5">
        <v>0</v>
      </c>
    </row>
    <row r="23" spans="1:18" ht="15" customHeight="1" x14ac:dyDescent="0.25">
      <c r="A23" s="5">
        <v>5320</v>
      </c>
      <c r="B23" s="5" t="s">
        <v>8</v>
      </c>
      <c r="C23" s="5" t="s">
        <v>875</v>
      </c>
      <c r="D23" s="5" t="s">
        <v>82</v>
      </c>
      <c r="E23" s="5" t="s">
        <v>81</v>
      </c>
      <c r="F23" s="5">
        <v>29</v>
      </c>
      <c r="G23" s="5">
        <v>6.09</v>
      </c>
      <c r="H23" s="5">
        <v>4.5199999999999996</v>
      </c>
      <c r="I23" s="5">
        <v>0</v>
      </c>
      <c r="J23" s="5">
        <v>45</v>
      </c>
      <c r="K23" s="5">
        <v>0</v>
      </c>
      <c r="L23" s="5">
        <v>0</v>
      </c>
      <c r="M23" s="5">
        <v>0</v>
      </c>
      <c r="N23" s="5">
        <v>0</v>
      </c>
      <c r="O23" s="5">
        <v>0</v>
      </c>
      <c r="P23" s="5">
        <v>1</v>
      </c>
      <c r="Q23" s="5">
        <v>0</v>
      </c>
      <c r="R23" s="5">
        <v>0</v>
      </c>
    </row>
    <row r="24" spans="1:18" ht="15" customHeight="1" x14ac:dyDescent="0.25">
      <c r="A24" s="5">
        <v>218</v>
      </c>
      <c r="B24" s="5" t="s">
        <v>8</v>
      </c>
      <c r="C24" s="5" t="s">
        <v>875</v>
      </c>
      <c r="D24" s="5" t="s">
        <v>42</v>
      </c>
      <c r="E24" s="5" t="s">
        <v>28</v>
      </c>
      <c r="F24" s="5">
        <v>9</v>
      </c>
      <c r="G24" s="5">
        <v>6.11</v>
      </c>
      <c r="H24" s="5">
        <v>5.1100000000000003</v>
      </c>
      <c r="I24" s="5">
        <v>0</v>
      </c>
      <c r="J24" s="5">
        <v>9</v>
      </c>
      <c r="K24" s="5">
        <v>0</v>
      </c>
      <c r="L24" s="5">
        <v>0</v>
      </c>
      <c r="M24" s="5">
        <v>0</v>
      </c>
      <c r="N24" s="5">
        <v>0</v>
      </c>
      <c r="O24" s="5">
        <v>0</v>
      </c>
      <c r="P24" s="5">
        <v>0</v>
      </c>
      <c r="Q24" s="5">
        <v>0</v>
      </c>
      <c r="R24" s="5">
        <v>0</v>
      </c>
    </row>
    <row r="25" spans="1:18" ht="15" customHeight="1" x14ac:dyDescent="0.25">
      <c r="A25" s="5">
        <v>572</v>
      </c>
      <c r="B25" s="5" t="s">
        <v>8</v>
      </c>
      <c r="C25" s="5" t="s">
        <v>875</v>
      </c>
      <c r="D25" s="5" t="s">
        <v>21</v>
      </c>
      <c r="E25" s="5" t="s">
        <v>22</v>
      </c>
      <c r="F25" s="5">
        <v>11</v>
      </c>
      <c r="G25" s="5">
        <v>6.23</v>
      </c>
      <c r="H25" s="5">
        <v>5.18</v>
      </c>
      <c r="I25" s="5">
        <v>0</v>
      </c>
      <c r="J25" s="5">
        <v>12</v>
      </c>
      <c r="K25" s="5">
        <v>0</v>
      </c>
      <c r="L25" s="5">
        <v>0</v>
      </c>
      <c r="M25" s="5">
        <v>0</v>
      </c>
      <c r="N25" s="5">
        <v>0</v>
      </c>
      <c r="O25" s="5">
        <v>1</v>
      </c>
      <c r="P25" s="5">
        <v>1</v>
      </c>
      <c r="Q25" s="5">
        <v>0</v>
      </c>
      <c r="R25" s="5">
        <v>0</v>
      </c>
    </row>
    <row r="26" spans="1:18" ht="15" customHeight="1" x14ac:dyDescent="0.25">
      <c r="A26" s="5">
        <v>4867</v>
      </c>
      <c r="B26" s="5" t="s">
        <v>8</v>
      </c>
      <c r="C26" s="5" t="s">
        <v>875</v>
      </c>
      <c r="D26" s="5" t="s">
        <v>79</v>
      </c>
      <c r="E26" s="5" t="s">
        <v>41</v>
      </c>
      <c r="F26" s="5">
        <v>6</v>
      </c>
      <c r="G26" s="5">
        <v>6.17</v>
      </c>
      <c r="H26" s="5">
        <v>5</v>
      </c>
      <c r="I26" s="5">
        <v>0</v>
      </c>
      <c r="J26" s="5">
        <v>7</v>
      </c>
      <c r="K26" s="5">
        <v>0</v>
      </c>
      <c r="L26" s="5">
        <v>0</v>
      </c>
      <c r="M26" s="5">
        <v>0</v>
      </c>
      <c r="N26" s="5">
        <v>0</v>
      </c>
      <c r="O26" s="5">
        <v>0</v>
      </c>
      <c r="P26" s="5">
        <v>0</v>
      </c>
      <c r="Q26" s="5">
        <v>0</v>
      </c>
      <c r="R26" s="5">
        <v>0</v>
      </c>
    </row>
    <row r="27" spans="1:18" ht="15" customHeight="1" x14ac:dyDescent="0.25">
      <c r="A27" s="5">
        <v>2861</v>
      </c>
      <c r="B27" s="5" t="s">
        <v>8</v>
      </c>
      <c r="C27" s="5" t="s">
        <v>875</v>
      </c>
      <c r="D27" s="5" t="s">
        <v>882</v>
      </c>
      <c r="E27" s="5" t="s">
        <v>883</v>
      </c>
      <c r="F27" s="5">
        <v>25</v>
      </c>
      <c r="G27" s="5">
        <v>6.06</v>
      </c>
      <c r="H27" s="5">
        <v>4.38</v>
      </c>
      <c r="I27" s="5">
        <v>0</v>
      </c>
      <c r="J27" s="5">
        <v>42</v>
      </c>
      <c r="K27" s="5">
        <v>0</v>
      </c>
      <c r="L27" s="5">
        <v>0</v>
      </c>
      <c r="M27" s="5">
        <v>0</v>
      </c>
      <c r="N27" s="5">
        <v>0</v>
      </c>
      <c r="O27" s="5">
        <v>0</v>
      </c>
      <c r="P27" s="5">
        <v>0</v>
      </c>
      <c r="Q27" s="5">
        <v>0</v>
      </c>
      <c r="R27" s="5">
        <v>0</v>
      </c>
    </row>
    <row r="28" spans="1:18" ht="15" customHeight="1" x14ac:dyDescent="0.25">
      <c r="A28" s="5">
        <v>7172</v>
      </c>
      <c r="B28" s="5" t="s">
        <v>8</v>
      </c>
      <c r="C28" s="5" t="s">
        <v>875</v>
      </c>
      <c r="D28" s="5" t="s">
        <v>55</v>
      </c>
      <c r="E28" s="5" t="s">
        <v>24</v>
      </c>
      <c r="F28" s="5">
        <v>4</v>
      </c>
      <c r="G28" s="5">
        <v>6.12</v>
      </c>
      <c r="H28" s="5">
        <v>5.62</v>
      </c>
      <c r="I28" s="5">
        <v>0</v>
      </c>
      <c r="J28" s="5">
        <v>2</v>
      </c>
      <c r="K28" s="5">
        <v>0</v>
      </c>
      <c r="L28" s="5">
        <v>0</v>
      </c>
      <c r="M28" s="5">
        <v>0</v>
      </c>
      <c r="N28" s="5">
        <v>0</v>
      </c>
      <c r="O28" s="5">
        <v>0</v>
      </c>
      <c r="P28" s="5">
        <v>0</v>
      </c>
      <c r="Q28" s="5">
        <v>0</v>
      </c>
      <c r="R28" s="5">
        <v>0</v>
      </c>
    </row>
    <row r="29" spans="1:18" ht="15" customHeight="1" x14ac:dyDescent="0.25">
      <c r="A29" s="5">
        <v>5116</v>
      </c>
      <c r="B29" s="5" t="s">
        <v>8</v>
      </c>
      <c r="C29" s="5" t="s">
        <v>875</v>
      </c>
      <c r="D29" s="5" t="s">
        <v>11</v>
      </c>
      <c r="E29" s="5" t="s">
        <v>12</v>
      </c>
      <c r="F29" s="5">
        <v>5</v>
      </c>
      <c r="G29" s="5">
        <v>6</v>
      </c>
      <c r="H29" s="5">
        <v>5.2</v>
      </c>
      <c r="I29" s="5">
        <v>0</v>
      </c>
      <c r="J29" s="5">
        <v>4</v>
      </c>
      <c r="K29" s="5">
        <v>0</v>
      </c>
      <c r="L29" s="5">
        <v>0</v>
      </c>
      <c r="M29" s="5">
        <v>0</v>
      </c>
      <c r="N29" s="5">
        <v>0</v>
      </c>
      <c r="O29" s="5">
        <v>0</v>
      </c>
      <c r="P29" s="5">
        <v>0</v>
      </c>
      <c r="Q29" s="5">
        <v>0</v>
      </c>
      <c r="R29" s="5">
        <v>0</v>
      </c>
    </row>
    <row r="30" spans="1:18" ht="15" customHeight="1" x14ac:dyDescent="0.25">
      <c r="A30" s="5">
        <v>7337</v>
      </c>
      <c r="B30" s="5" t="s">
        <v>8</v>
      </c>
      <c r="C30" s="5" t="s">
        <v>875</v>
      </c>
      <c r="D30" s="5" t="s">
        <v>67</v>
      </c>
      <c r="E30" s="5" t="s">
        <v>30</v>
      </c>
      <c r="F30" s="5">
        <v>9</v>
      </c>
      <c r="G30" s="5">
        <v>6</v>
      </c>
      <c r="H30" s="5">
        <v>5.17</v>
      </c>
      <c r="I30" s="5">
        <v>0</v>
      </c>
      <c r="J30" s="5">
        <v>10</v>
      </c>
      <c r="K30" s="5">
        <v>1</v>
      </c>
      <c r="L30" s="5">
        <v>0</v>
      </c>
      <c r="M30" s="5">
        <v>0</v>
      </c>
      <c r="N30" s="5">
        <v>0</v>
      </c>
      <c r="O30" s="5">
        <v>0</v>
      </c>
      <c r="P30" s="5">
        <v>1</v>
      </c>
      <c r="Q30" s="5">
        <v>0</v>
      </c>
      <c r="R30" s="5">
        <v>0</v>
      </c>
    </row>
    <row r="31" spans="1:18" ht="15" customHeight="1" x14ac:dyDescent="0.25">
      <c r="A31" s="5">
        <v>2722</v>
      </c>
      <c r="B31" s="5" t="s">
        <v>8</v>
      </c>
      <c r="C31" s="5" t="s">
        <v>875</v>
      </c>
      <c r="D31" s="5" t="s">
        <v>884</v>
      </c>
      <c r="E31" s="5" t="s">
        <v>24</v>
      </c>
      <c r="F31" s="5">
        <v>17</v>
      </c>
      <c r="G31" s="5">
        <v>6.21</v>
      </c>
      <c r="H31" s="5">
        <v>4.38</v>
      </c>
      <c r="I31" s="5">
        <v>0</v>
      </c>
      <c r="J31" s="5">
        <v>29</v>
      </c>
      <c r="K31" s="5">
        <v>0</v>
      </c>
      <c r="L31" s="5">
        <v>0</v>
      </c>
      <c r="M31" s="5">
        <v>0</v>
      </c>
      <c r="N31" s="5">
        <v>0</v>
      </c>
      <c r="O31" s="5">
        <v>0</v>
      </c>
      <c r="P31" s="5">
        <v>4</v>
      </c>
      <c r="Q31" s="5">
        <v>0</v>
      </c>
      <c r="R31" s="5">
        <v>0</v>
      </c>
    </row>
    <row r="32" spans="1:18" ht="15" customHeight="1" x14ac:dyDescent="0.25">
      <c r="A32" s="5">
        <v>6417</v>
      </c>
      <c r="B32" s="5" t="s">
        <v>8</v>
      </c>
      <c r="C32" s="5" t="s">
        <v>875</v>
      </c>
      <c r="D32" s="5" t="s">
        <v>885</v>
      </c>
      <c r="E32" s="5" t="s">
        <v>30</v>
      </c>
      <c r="F32" s="5">
        <v>2</v>
      </c>
      <c r="G32" s="5">
        <v>6.5</v>
      </c>
      <c r="H32" s="5">
        <v>5</v>
      </c>
      <c r="I32" s="5">
        <v>0</v>
      </c>
      <c r="J32" s="5">
        <v>3</v>
      </c>
      <c r="K32" s="5">
        <v>0</v>
      </c>
      <c r="L32" s="5">
        <v>0</v>
      </c>
      <c r="M32" s="5">
        <v>0</v>
      </c>
      <c r="N32" s="5">
        <v>0</v>
      </c>
      <c r="O32" s="5">
        <v>0</v>
      </c>
      <c r="P32" s="5">
        <v>0</v>
      </c>
      <c r="Q32" s="5">
        <v>0</v>
      </c>
      <c r="R32" s="5">
        <v>0</v>
      </c>
    </row>
    <row r="33" spans="1:18" ht="15" customHeight="1" x14ac:dyDescent="0.25">
      <c r="A33" s="5">
        <v>5135</v>
      </c>
      <c r="B33" s="5" t="s">
        <v>8</v>
      </c>
      <c r="C33" s="5" t="s">
        <v>875</v>
      </c>
      <c r="D33" s="5" t="s">
        <v>886</v>
      </c>
      <c r="E33" s="5" t="s">
        <v>38</v>
      </c>
      <c r="F33" s="5">
        <v>0</v>
      </c>
      <c r="G33" s="5">
        <v>0</v>
      </c>
      <c r="H33" s="5">
        <v>0</v>
      </c>
      <c r="I33" s="5">
        <v>0</v>
      </c>
      <c r="J33" s="5">
        <v>0</v>
      </c>
      <c r="K33" s="5">
        <v>0</v>
      </c>
      <c r="L33" s="5">
        <v>0</v>
      </c>
      <c r="M33" s="5">
        <v>0</v>
      </c>
      <c r="N33" s="5">
        <v>0</v>
      </c>
      <c r="O33" s="5">
        <v>0</v>
      </c>
      <c r="P33" s="5">
        <v>0</v>
      </c>
      <c r="Q33" s="5">
        <v>0</v>
      </c>
      <c r="R33" s="5">
        <v>0</v>
      </c>
    </row>
    <row r="34" spans="1:18" ht="15" customHeight="1" x14ac:dyDescent="0.25">
      <c r="A34" s="5">
        <v>6403</v>
      </c>
      <c r="B34" s="5" t="s">
        <v>8</v>
      </c>
      <c r="C34" s="5" t="s">
        <v>875</v>
      </c>
      <c r="D34" s="5" t="s">
        <v>60</v>
      </c>
      <c r="E34" s="5" t="s">
        <v>20</v>
      </c>
      <c r="F34" s="5">
        <v>1</v>
      </c>
      <c r="G34" s="5">
        <v>7.5</v>
      </c>
      <c r="H34" s="5">
        <v>6.5</v>
      </c>
      <c r="I34" s="5">
        <v>0</v>
      </c>
      <c r="J34" s="5">
        <v>1</v>
      </c>
      <c r="K34" s="5">
        <v>0</v>
      </c>
      <c r="L34" s="5">
        <v>0</v>
      </c>
      <c r="M34" s="5">
        <v>0</v>
      </c>
      <c r="N34" s="5">
        <v>0</v>
      </c>
      <c r="O34" s="5">
        <v>0</v>
      </c>
      <c r="P34" s="5">
        <v>0</v>
      </c>
      <c r="Q34" s="5">
        <v>0</v>
      </c>
      <c r="R34" s="5">
        <v>0</v>
      </c>
    </row>
    <row r="35" spans="1:18" ht="15" customHeight="1" x14ac:dyDescent="0.25">
      <c r="A35" s="5">
        <v>2297</v>
      </c>
      <c r="B35" s="5" t="s">
        <v>8</v>
      </c>
      <c r="C35" s="5" t="s">
        <v>875</v>
      </c>
      <c r="D35" s="5" t="s">
        <v>52</v>
      </c>
      <c r="E35" s="5" t="s">
        <v>14</v>
      </c>
      <c r="F35" s="5">
        <v>0</v>
      </c>
      <c r="G35" s="5">
        <v>0</v>
      </c>
      <c r="H35" s="5">
        <v>0</v>
      </c>
      <c r="I35" s="5">
        <v>0</v>
      </c>
      <c r="J35" s="5">
        <v>0</v>
      </c>
      <c r="K35" s="5">
        <v>0</v>
      </c>
      <c r="L35" s="5">
        <v>0</v>
      </c>
      <c r="M35" s="5">
        <v>0</v>
      </c>
      <c r="N35" s="5">
        <v>0</v>
      </c>
      <c r="O35" s="5">
        <v>0</v>
      </c>
      <c r="P35" s="5">
        <v>0</v>
      </c>
      <c r="Q35" s="5">
        <v>0</v>
      </c>
      <c r="R35" s="5">
        <v>0</v>
      </c>
    </row>
    <row r="36" spans="1:18" ht="15" customHeight="1" x14ac:dyDescent="0.25">
      <c r="A36" s="5">
        <v>4</v>
      </c>
      <c r="B36" s="5" t="s">
        <v>8</v>
      </c>
      <c r="C36" s="5" t="s">
        <v>875</v>
      </c>
      <c r="D36" s="5" t="s">
        <v>53</v>
      </c>
      <c r="E36" s="5" t="s">
        <v>14</v>
      </c>
      <c r="F36" s="5">
        <v>1</v>
      </c>
      <c r="G36" s="5">
        <v>5.5</v>
      </c>
      <c r="H36" s="5">
        <v>4.5</v>
      </c>
      <c r="I36" s="5">
        <v>0</v>
      </c>
      <c r="J36" s="5">
        <v>1</v>
      </c>
      <c r="K36" s="5">
        <v>0</v>
      </c>
      <c r="L36" s="5">
        <v>0</v>
      </c>
      <c r="M36" s="5">
        <v>0</v>
      </c>
      <c r="N36" s="5">
        <v>0</v>
      </c>
      <c r="O36" s="5">
        <v>0</v>
      </c>
      <c r="P36" s="5">
        <v>0</v>
      </c>
      <c r="Q36" s="5">
        <v>0</v>
      </c>
      <c r="R36" s="5">
        <v>0</v>
      </c>
    </row>
    <row r="37" spans="1:18" ht="15" customHeight="1" x14ac:dyDescent="0.25">
      <c r="A37" s="5">
        <v>4929</v>
      </c>
      <c r="B37" s="5" t="s">
        <v>8</v>
      </c>
      <c r="C37" s="5" t="s">
        <v>875</v>
      </c>
      <c r="D37" s="5" t="s">
        <v>56</v>
      </c>
      <c r="E37" s="5" t="s">
        <v>26</v>
      </c>
      <c r="F37" s="5">
        <v>0</v>
      </c>
      <c r="G37" s="5">
        <v>0</v>
      </c>
      <c r="H37" s="5">
        <v>0</v>
      </c>
      <c r="I37" s="5">
        <v>0</v>
      </c>
      <c r="J37" s="5">
        <v>0</v>
      </c>
      <c r="K37" s="5">
        <v>0</v>
      </c>
      <c r="L37" s="5">
        <v>0</v>
      </c>
      <c r="M37" s="5">
        <v>0</v>
      </c>
      <c r="N37" s="5">
        <v>0</v>
      </c>
      <c r="O37" s="5">
        <v>0</v>
      </c>
      <c r="P37" s="5">
        <v>0</v>
      </c>
      <c r="Q37" s="5">
        <v>0</v>
      </c>
      <c r="R37" s="5">
        <v>0</v>
      </c>
    </row>
    <row r="38" spans="1:18" ht="15" customHeight="1" x14ac:dyDescent="0.25">
      <c r="A38" s="5">
        <v>3</v>
      </c>
      <c r="B38" s="5" t="s">
        <v>8</v>
      </c>
      <c r="C38" s="5" t="s">
        <v>875</v>
      </c>
      <c r="D38" s="5" t="s">
        <v>887</v>
      </c>
      <c r="E38" s="5" t="s">
        <v>26</v>
      </c>
      <c r="F38" s="5">
        <v>0</v>
      </c>
      <c r="G38" s="5">
        <v>0</v>
      </c>
      <c r="H38" s="5">
        <v>0</v>
      </c>
      <c r="I38" s="5">
        <v>0</v>
      </c>
      <c r="J38" s="5">
        <v>0</v>
      </c>
      <c r="K38" s="5">
        <v>0</v>
      </c>
      <c r="L38" s="5">
        <v>0</v>
      </c>
      <c r="M38" s="5">
        <v>0</v>
      </c>
      <c r="N38" s="5">
        <v>0</v>
      </c>
      <c r="O38" s="5">
        <v>0</v>
      </c>
      <c r="P38" s="5">
        <v>0</v>
      </c>
      <c r="Q38" s="5">
        <v>0</v>
      </c>
      <c r="R38" s="5">
        <v>0</v>
      </c>
    </row>
    <row r="39" spans="1:18" ht="15" customHeight="1" x14ac:dyDescent="0.25">
      <c r="A39" s="5">
        <v>2809</v>
      </c>
      <c r="B39" s="5" t="s">
        <v>8</v>
      </c>
      <c r="C39" s="5" t="s">
        <v>875</v>
      </c>
      <c r="D39" s="5" t="s">
        <v>59</v>
      </c>
      <c r="E39" s="5" t="s">
        <v>16</v>
      </c>
      <c r="F39" s="5">
        <v>0</v>
      </c>
      <c r="G39" s="5">
        <v>0</v>
      </c>
      <c r="H39" s="5">
        <v>0</v>
      </c>
      <c r="I39" s="5">
        <v>0</v>
      </c>
      <c r="J39" s="5">
        <v>0</v>
      </c>
      <c r="K39" s="5">
        <v>0</v>
      </c>
      <c r="L39" s="5">
        <v>0</v>
      </c>
      <c r="M39" s="5">
        <v>0</v>
      </c>
      <c r="N39" s="5">
        <v>0</v>
      </c>
      <c r="O39" s="5">
        <v>0</v>
      </c>
      <c r="P39" s="5">
        <v>0</v>
      </c>
      <c r="Q39" s="5">
        <v>0</v>
      </c>
      <c r="R39" s="5">
        <v>0</v>
      </c>
    </row>
    <row r="40" spans="1:18" ht="15" customHeight="1" x14ac:dyDescent="0.25">
      <c r="A40" s="5">
        <v>6505</v>
      </c>
      <c r="B40" s="5" t="s">
        <v>8</v>
      </c>
      <c r="C40" s="5" t="s">
        <v>875</v>
      </c>
      <c r="D40" s="5" t="s">
        <v>888</v>
      </c>
      <c r="E40" s="5" t="s">
        <v>878</v>
      </c>
      <c r="F40" s="5">
        <v>0</v>
      </c>
      <c r="G40" s="5">
        <v>0</v>
      </c>
      <c r="H40" s="5">
        <v>0</v>
      </c>
      <c r="I40" s="5">
        <v>0</v>
      </c>
      <c r="J40" s="5">
        <v>0</v>
      </c>
      <c r="K40" s="5">
        <v>0</v>
      </c>
      <c r="L40" s="5">
        <v>0</v>
      </c>
      <c r="M40" s="5">
        <v>0</v>
      </c>
      <c r="N40" s="5">
        <v>0</v>
      </c>
      <c r="O40" s="5">
        <v>0</v>
      </c>
      <c r="P40" s="5">
        <v>0</v>
      </c>
      <c r="Q40" s="5">
        <v>0</v>
      </c>
      <c r="R40" s="5">
        <v>0</v>
      </c>
    </row>
    <row r="41" spans="1:18" ht="15" customHeight="1" x14ac:dyDescent="0.25">
      <c r="A41" s="5">
        <v>6184</v>
      </c>
      <c r="B41" s="5" t="s">
        <v>8</v>
      </c>
      <c r="C41" s="5" t="s">
        <v>875</v>
      </c>
      <c r="D41" s="5" t="s">
        <v>889</v>
      </c>
      <c r="E41" s="5" t="s">
        <v>20</v>
      </c>
      <c r="F41" s="5">
        <v>0</v>
      </c>
      <c r="G41" s="5">
        <v>0</v>
      </c>
      <c r="H41" s="5">
        <v>0</v>
      </c>
      <c r="I41" s="5">
        <v>0</v>
      </c>
      <c r="J41" s="5">
        <v>0</v>
      </c>
      <c r="K41" s="5">
        <v>0</v>
      </c>
      <c r="L41" s="5">
        <v>0</v>
      </c>
      <c r="M41" s="5">
        <v>0</v>
      </c>
      <c r="N41" s="5">
        <v>0</v>
      </c>
      <c r="O41" s="5">
        <v>0</v>
      </c>
      <c r="P41" s="5">
        <v>0</v>
      </c>
      <c r="Q41" s="5">
        <v>0</v>
      </c>
      <c r="R41" s="5">
        <v>0</v>
      </c>
    </row>
    <row r="42" spans="1:18" ht="15" customHeight="1" x14ac:dyDescent="0.25">
      <c r="A42" s="5">
        <v>6991</v>
      </c>
      <c r="B42" s="5" t="s">
        <v>8</v>
      </c>
      <c r="C42" s="5" t="s">
        <v>875</v>
      </c>
      <c r="D42" s="5" t="s">
        <v>890</v>
      </c>
      <c r="E42" s="5" t="s">
        <v>34</v>
      </c>
      <c r="F42" s="5">
        <v>0</v>
      </c>
      <c r="G42" s="5">
        <v>0</v>
      </c>
      <c r="H42" s="5">
        <v>0</v>
      </c>
      <c r="I42" s="5">
        <v>0</v>
      </c>
      <c r="J42" s="5">
        <v>0</v>
      </c>
      <c r="K42" s="5">
        <v>0</v>
      </c>
      <c r="L42" s="5">
        <v>0</v>
      </c>
      <c r="M42" s="5">
        <v>0</v>
      </c>
      <c r="N42" s="5">
        <v>0</v>
      </c>
      <c r="O42" s="5">
        <v>0</v>
      </c>
      <c r="P42" s="5">
        <v>0</v>
      </c>
      <c r="Q42" s="5">
        <v>0</v>
      </c>
      <c r="R42" s="5">
        <v>0</v>
      </c>
    </row>
    <row r="43" spans="1:18" ht="15" customHeight="1" x14ac:dyDescent="0.25">
      <c r="A43" s="5">
        <v>219</v>
      </c>
      <c r="B43" s="5" t="s">
        <v>8</v>
      </c>
      <c r="C43" s="5" t="s">
        <v>875</v>
      </c>
      <c r="D43" s="5" t="s">
        <v>63</v>
      </c>
      <c r="E43" s="5" t="s">
        <v>34</v>
      </c>
      <c r="F43" s="5">
        <v>2</v>
      </c>
      <c r="G43" s="5">
        <v>5.75</v>
      </c>
      <c r="H43" s="5">
        <v>3.75</v>
      </c>
      <c r="I43" s="5">
        <v>0</v>
      </c>
      <c r="J43" s="5">
        <v>4</v>
      </c>
      <c r="K43" s="5">
        <v>0</v>
      </c>
      <c r="L43" s="5">
        <v>0</v>
      </c>
      <c r="M43" s="5">
        <v>0</v>
      </c>
      <c r="N43" s="5">
        <v>0</v>
      </c>
      <c r="O43" s="5">
        <v>0</v>
      </c>
      <c r="P43" s="5">
        <v>0</v>
      </c>
      <c r="Q43" s="5">
        <v>0</v>
      </c>
      <c r="R43" s="5">
        <v>0</v>
      </c>
    </row>
    <row r="44" spans="1:18" ht="15" customHeight="1" x14ac:dyDescent="0.25">
      <c r="A44" s="5">
        <v>1926</v>
      </c>
      <c r="B44" s="5" t="s">
        <v>8</v>
      </c>
      <c r="C44" s="5" t="s">
        <v>875</v>
      </c>
      <c r="D44" s="5" t="s">
        <v>65</v>
      </c>
      <c r="E44" s="5" t="s">
        <v>12</v>
      </c>
      <c r="F44" s="5">
        <v>1</v>
      </c>
      <c r="G44" s="5">
        <v>6</v>
      </c>
      <c r="H44" s="5">
        <v>5</v>
      </c>
      <c r="I44" s="5">
        <v>0</v>
      </c>
      <c r="J44" s="5">
        <v>1</v>
      </c>
      <c r="K44" s="5">
        <v>0</v>
      </c>
      <c r="L44" s="5">
        <v>0</v>
      </c>
      <c r="M44" s="5">
        <v>0</v>
      </c>
      <c r="N44" s="5">
        <v>0</v>
      </c>
      <c r="O44" s="5">
        <v>0</v>
      </c>
      <c r="P44" s="5">
        <v>0</v>
      </c>
      <c r="Q44" s="5">
        <v>0</v>
      </c>
      <c r="R44" s="5">
        <v>0</v>
      </c>
    </row>
    <row r="45" spans="1:18" ht="15" customHeight="1" x14ac:dyDescent="0.25">
      <c r="A45" s="5">
        <v>1930</v>
      </c>
      <c r="B45" s="5" t="s">
        <v>8</v>
      </c>
      <c r="C45" s="5" t="s">
        <v>875</v>
      </c>
      <c r="D45" s="5" t="s">
        <v>66</v>
      </c>
      <c r="E45" s="5" t="s">
        <v>28</v>
      </c>
      <c r="F45" s="5">
        <v>0</v>
      </c>
      <c r="G45" s="5">
        <v>0</v>
      </c>
      <c r="H45" s="5">
        <v>0</v>
      </c>
      <c r="I45" s="5">
        <v>0</v>
      </c>
      <c r="J45" s="5">
        <v>0</v>
      </c>
      <c r="K45" s="5">
        <v>0</v>
      </c>
      <c r="L45" s="5">
        <v>0</v>
      </c>
      <c r="M45" s="5">
        <v>0</v>
      </c>
      <c r="N45" s="5">
        <v>0</v>
      </c>
      <c r="O45" s="5">
        <v>0</v>
      </c>
      <c r="P45" s="5">
        <v>0</v>
      </c>
      <c r="Q45" s="5">
        <v>0</v>
      </c>
      <c r="R45" s="5">
        <v>0</v>
      </c>
    </row>
    <row r="46" spans="1:18" ht="15" customHeight="1" x14ac:dyDescent="0.25">
      <c r="A46" s="5">
        <v>6482</v>
      </c>
      <c r="B46" s="5" t="s">
        <v>8</v>
      </c>
      <c r="C46" s="5" t="s">
        <v>875</v>
      </c>
      <c r="D46" s="5" t="s">
        <v>29</v>
      </c>
      <c r="E46" s="5" t="s">
        <v>30</v>
      </c>
      <c r="F46" s="5">
        <v>0</v>
      </c>
      <c r="G46" s="5">
        <v>0</v>
      </c>
      <c r="H46" s="5">
        <v>0</v>
      </c>
      <c r="I46" s="5">
        <v>0</v>
      </c>
      <c r="J46" s="5">
        <v>0</v>
      </c>
      <c r="K46" s="5">
        <v>0</v>
      </c>
      <c r="L46" s="5">
        <v>0</v>
      </c>
      <c r="M46" s="5">
        <v>0</v>
      </c>
      <c r="N46" s="5">
        <v>0</v>
      </c>
      <c r="O46" s="5">
        <v>0</v>
      </c>
      <c r="P46" s="5">
        <v>0</v>
      </c>
      <c r="Q46" s="5">
        <v>0</v>
      </c>
      <c r="R46" s="5">
        <v>0</v>
      </c>
    </row>
    <row r="47" spans="1:18" ht="15" customHeight="1" x14ac:dyDescent="0.25">
      <c r="A47" s="5">
        <v>2401</v>
      </c>
      <c r="B47" s="5" t="s">
        <v>8</v>
      </c>
      <c r="C47" s="5" t="s">
        <v>875</v>
      </c>
      <c r="D47" s="5" t="s">
        <v>891</v>
      </c>
      <c r="E47" s="5" t="s">
        <v>36</v>
      </c>
      <c r="F47" s="5">
        <v>0</v>
      </c>
      <c r="G47" s="5">
        <v>0</v>
      </c>
      <c r="H47" s="5">
        <v>0</v>
      </c>
      <c r="I47" s="5">
        <v>0</v>
      </c>
      <c r="J47" s="5">
        <v>0</v>
      </c>
      <c r="K47" s="5">
        <v>0</v>
      </c>
      <c r="L47" s="5">
        <v>0</v>
      </c>
      <c r="M47" s="5">
        <v>0</v>
      </c>
      <c r="N47" s="5">
        <v>0</v>
      </c>
      <c r="O47" s="5">
        <v>0</v>
      </c>
      <c r="P47" s="5">
        <v>0</v>
      </c>
      <c r="Q47" s="5">
        <v>0</v>
      </c>
      <c r="R47" s="5">
        <v>0</v>
      </c>
    </row>
    <row r="48" spans="1:18" ht="15" customHeight="1" x14ac:dyDescent="0.25">
      <c r="A48" s="5">
        <v>6523</v>
      </c>
      <c r="B48" s="5" t="s">
        <v>8</v>
      </c>
      <c r="C48" s="5" t="s">
        <v>875</v>
      </c>
      <c r="D48" s="5" t="s">
        <v>69</v>
      </c>
      <c r="E48" s="5" t="s">
        <v>36</v>
      </c>
      <c r="F48" s="5">
        <v>0</v>
      </c>
      <c r="G48" s="5">
        <v>0</v>
      </c>
      <c r="H48" s="5">
        <v>0</v>
      </c>
      <c r="I48" s="5">
        <v>0</v>
      </c>
      <c r="J48" s="5">
        <v>0</v>
      </c>
      <c r="K48" s="5">
        <v>0</v>
      </c>
      <c r="L48" s="5">
        <v>0</v>
      </c>
      <c r="M48" s="5">
        <v>0</v>
      </c>
      <c r="N48" s="5">
        <v>0</v>
      </c>
      <c r="O48" s="5">
        <v>0</v>
      </c>
      <c r="P48" s="5">
        <v>0</v>
      </c>
      <c r="Q48" s="5">
        <v>0</v>
      </c>
      <c r="R48" s="5">
        <v>0</v>
      </c>
    </row>
    <row r="49" spans="1:18" ht="15" customHeight="1" x14ac:dyDescent="0.25">
      <c r="A49" s="5">
        <v>2815</v>
      </c>
      <c r="B49" s="5" t="s">
        <v>8</v>
      </c>
      <c r="C49" s="5" t="s">
        <v>875</v>
      </c>
      <c r="D49" s="5" t="s">
        <v>70</v>
      </c>
      <c r="E49" s="5" t="s">
        <v>18</v>
      </c>
      <c r="F49" s="5">
        <v>2</v>
      </c>
      <c r="G49" s="5">
        <v>6</v>
      </c>
      <c r="H49" s="5">
        <v>6</v>
      </c>
      <c r="I49" s="5">
        <v>0</v>
      </c>
      <c r="J49" s="5">
        <v>0</v>
      </c>
      <c r="K49" s="5">
        <v>0</v>
      </c>
      <c r="L49" s="5">
        <v>0</v>
      </c>
      <c r="M49" s="5">
        <v>0</v>
      </c>
      <c r="N49" s="5">
        <v>0</v>
      </c>
      <c r="O49" s="5">
        <v>0</v>
      </c>
      <c r="P49" s="5">
        <v>0</v>
      </c>
      <c r="Q49" s="5">
        <v>0</v>
      </c>
      <c r="R49" s="5">
        <v>0</v>
      </c>
    </row>
    <row r="50" spans="1:18" ht="15" customHeight="1" x14ac:dyDescent="0.25">
      <c r="A50" s="5">
        <v>6813</v>
      </c>
      <c r="B50" s="5" t="s">
        <v>8</v>
      </c>
      <c r="C50" s="5" t="s">
        <v>875</v>
      </c>
      <c r="D50" s="5" t="s">
        <v>71</v>
      </c>
      <c r="E50" s="5" t="s">
        <v>18</v>
      </c>
      <c r="F50" s="5">
        <v>0</v>
      </c>
      <c r="G50" s="5">
        <v>0</v>
      </c>
      <c r="H50" s="5">
        <v>0</v>
      </c>
      <c r="I50" s="5">
        <v>0</v>
      </c>
      <c r="J50" s="5">
        <v>0</v>
      </c>
      <c r="K50" s="5">
        <v>0</v>
      </c>
      <c r="L50" s="5">
        <v>0</v>
      </c>
      <c r="M50" s="5">
        <v>0</v>
      </c>
      <c r="N50" s="5">
        <v>0</v>
      </c>
      <c r="O50" s="5">
        <v>0</v>
      </c>
      <c r="P50" s="5">
        <v>0</v>
      </c>
      <c r="Q50" s="5">
        <v>0</v>
      </c>
      <c r="R50" s="5">
        <v>0</v>
      </c>
    </row>
    <row r="51" spans="1:18" ht="15" customHeight="1" x14ac:dyDescent="0.25">
      <c r="A51" s="5">
        <v>2845</v>
      </c>
      <c r="B51" s="5" t="s">
        <v>8</v>
      </c>
      <c r="C51" s="5" t="s">
        <v>875</v>
      </c>
      <c r="D51" s="5" t="s">
        <v>74</v>
      </c>
      <c r="E51" s="5" t="s">
        <v>22</v>
      </c>
      <c r="F51" s="5">
        <v>0</v>
      </c>
      <c r="G51" s="5">
        <v>0</v>
      </c>
      <c r="H51" s="5">
        <v>0</v>
      </c>
      <c r="I51" s="5">
        <v>0</v>
      </c>
      <c r="J51" s="5">
        <v>0</v>
      </c>
      <c r="K51" s="5">
        <v>0</v>
      </c>
      <c r="L51" s="5">
        <v>0</v>
      </c>
      <c r="M51" s="5">
        <v>0</v>
      </c>
      <c r="N51" s="5">
        <v>0</v>
      </c>
      <c r="O51" s="5">
        <v>0</v>
      </c>
      <c r="P51" s="5">
        <v>0</v>
      </c>
      <c r="Q51" s="5">
        <v>0</v>
      </c>
      <c r="R51" s="5">
        <v>0</v>
      </c>
    </row>
    <row r="52" spans="1:18" ht="15" customHeight="1" x14ac:dyDescent="0.25">
      <c r="A52" s="5">
        <v>5338</v>
      </c>
      <c r="B52" s="5" t="s">
        <v>8</v>
      </c>
      <c r="C52" s="5" t="s">
        <v>875</v>
      </c>
      <c r="D52" s="5" t="s">
        <v>892</v>
      </c>
      <c r="E52" s="5" t="s">
        <v>38</v>
      </c>
      <c r="F52" s="5">
        <v>1</v>
      </c>
      <c r="G52" s="5">
        <v>7</v>
      </c>
      <c r="H52" s="5">
        <v>6.5</v>
      </c>
      <c r="I52" s="5">
        <v>0</v>
      </c>
      <c r="J52" s="5">
        <v>0</v>
      </c>
      <c r="K52" s="5">
        <v>0</v>
      </c>
      <c r="L52" s="5">
        <v>0</v>
      </c>
      <c r="M52" s="5">
        <v>0</v>
      </c>
      <c r="N52" s="5">
        <v>0</v>
      </c>
      <c r="O52" s="5">
        <v>0</v>
      </c>
      <c r="P52" s="5">
        <v>1</v>
      </c>
      <c r="Q52" s="5">
        <v>0</v>
      </c>
      <c r="R52" s="5">
        <v>0</v>
      </c>
    </row>
    <row r="53" spans="1:18" ht="15" customHeight="1" x14ac:dyDescent="0.25">
      <c r="A53" s="5">
        <v>2271</v>
      </c>
      <c r="B53" s="5" t="s">
        <v>8</v>
      </c>
      <c r="C53" s="5" t="s">
        <v>875</v>
      </c>
      <c r="D53" s="5" t="s">
        <v>893</v>
      </c>
      <c r="E53" s="5" t="s">
        <v>883</v>
      </c>
      <c r="F53" s="5">
        <v>6</v>
      </c>
      <c r="G53" s="5">
        <v>5.92</v>
      </c>
      <c r="H53" s="5">
        <v>3.58</v>
      </c>
      <c r="I53" s="5">
        <v>0</v>
      </c>
      <c r="J53" s="5">
        <v>14</v>
      </c>
      <c r="K53" s="5">
        <v>0</v>
      </c>
      <c r="L53" s="5">
        <v>0</v>
      </c>
      <c r="M53" s="5">
        <v>0</v>
      </c>
      <c r="N53" s="5">
        <v>0</v>
      </c>
      <c r="O53" s="5">
        <v>0</v>
      </c>
      <c r="P53" s="5">
        <v>0</v>
      </c>
      <c r="Q53" s="5">
        <v>0</v>
      </c>
      <c r="R53" s="5">
        <v>0</v>
      </c>
    </row>
    <row r="54" spans="1:18" ht="15" customHeight="1" x14ac:dyDescent="0.25">
      <c r="A54" s="5">
        <v>574</v>
      </c>
      <c r="B54" s="5" t="s">
        <v>8</v>
      </c>
      <c r="C54" s="5" t="s">
        <v>875</v>
      </c>
      <c r="D54" s="5" t="s">
        <v>894</v>
      </c>
      <c r="E54" s="5" t="s">
        <v>883</v>
      </c>
      <c r="F54" s="5">
        <v>7</v>
      </c>
      <c r="G54" s="5">
        <v>6.21</v>
      </c>
      <c r="H54" s="5">
        <v>4.07</v>
      </c>
      <c r="I54" s="5">
        <v>0</v>
      </c>
      <c r="J54" s="5">
        <v>15</v>
      </c>
      <c r="K54" s="5">
        <v>0</v>
      </c>
      <c r="L54" s="5">
        <v>0</v>
      </c>
      <c r="M54" s="5">
        <v>0</v>
      </c>
      <c r="N54" s="5">
        <v>0</v>
      </c>
      <c r="O54" s="5">
        <v>0</v>
      </c>
      <c r="P54" s="5">
        <v>0</v>
      </c>
      <c r="Q54" s="5">
        <v>0</v>
      </c>
      <c r="R54" s="5">
        <v>0</v>
      </c>
    </row>
    <row r="55" spans="1:18" ht="15" customHeight="1" x14ac:dyDescent="0.25">
      <c r="A55" s="5">
        <v>7169</v>
      </c>
      <c r="B55" s="5" t="s">
        <v>8</v>
      </c>
      <c r="C55" s="5" t="s">
        <v>875</v>
      </c>
      <c r="D55" s="5" t="s">
        <v>895</v>
      </c>
      <c r="E55" s="5" t="s">
        <v>10</v>
      </c>
      <c r="F55" s="5">
        <v>0</v>
      </c>
      <c r="G55" s="5">
        <v>0</v>
      </c>
      <c r="H55" s="5">
        <v>0</v>
      </c>
      <c r="I55" s="5">
        <v>0</v>
      </c>
      <c r="J55" s="5">
        <v>0</v>
      </c>
      <c r="K55" s="5">
        <v>0</v>
      </c>
      <c r="L55" s="5">
        <v>0</v>
      </c>
      <c r="M55" s="5">
        <v>0</v>
      </c>
      <c r="N55" s="5">
        <v>0</v>
      </c>
      <c r="O55" s="5">
        <v>0</v>
      </c>
      <c r="P55" s="5">
        <v>0</v>
      </c>
      <c r="Q55" s="5">
        <v>0</v>
      </c>
      <c r="R55" s="5">
        <v>0</v>
      </c>
    </row>
    <row r="56" spans="1:18" ht="15" customHeight="1" x14ac:dyDescent="0.25">
      <c r="A56" s="5">
        <v>610</v>
      </c>
      <c r="B56" s="5" t="s">
        <v>8</v>
      </c>
      <c r="C56" s="5" t="s">
        <v>875</v>
      </c>
      <c r="D56" s="5" t="s">
        <v>77</v>
      </c>
      <c r="E56" s="5" t="s">
        <v>10</v>
      </c>
      <c r="F56" s="5">
        <v>0</v>
      </c>
      <c r="G56" s="5">
        <v>0</v>
      </c>
      <c r="H56" s="5">
        <v>0</v>
      </c>
      <c r="I56" s="5">
        <v>0</v>
      </c>
      <c r="J56" s="5">
        <v>0</v>
      </c>
      <c r="K56" s="5">
        <v>0</v>
      </c>
      <c r="L56" s="5">
        <v>0</v>
      </c>
      <c r="M56" s="5">
        <v>0</v>
      </c>
      <c r="N56" s="5">
        <v>0</v>
      </c>
      <c r="O56" s="5">
        <v>0</v>
      </c>
      <c r="P56" s="5">
        <v>0</v>
      </c>
      <c r="Q56" s="5">
        <v>0</v>
      </c>
      <c r="R56" s="5">
        <v>0</v>
      </c>
    </row>
    <row r="57" spans="1:18" ht="15" customHeight="1" x14ac:dyDescent="0.25">
      <c r="A57" s="5">
        <v>4518</v>
      </c>
      <c r="B57" s="5" t="s">
        <v>8</v>
      </c>
      <c r="C57" s="5" t="s">
        <v>875</v>
      </c>
      <c r="D57" s="5" t="s">
        <v>78</v>
      </c>
      <c r="E57" s="5" t="s">
        <v>41</v>
      </c>
      <c r="F57" s="5">
        <v>0</v>
      </c>
      <c r="G57" s="5">
        <v>0</v>
      </c>
      <c r="H57" s="5">
        <v>0</v>
      </c>
      <c r="I57" s="5">
        <v>0</v>
      </c>
      <c r="J57" s="5">
        <v>0</v>
      </c>
      <c r="K57" s="5">
        <v>0</v>
      </c>
      <c r="L57" s="5">
        <v>0</v>
      </c>
      <c r="M57" s="5">
        <v>0</v>
      </c>
      <c r="N57" s="5">
        <v>0</v>
      </c>
      <c r="O57" s="5">
        <v>0</v>
      </c>
      <c r="P57" s="5">
        <v>0</v>
      </c>
      <c r="Q57" s="5">
        <v>0</v>
      </c>
      <c r="R57" s="5">
        <v>0</v>
      </c>
    </row>
    <row r="58" spans="1:18" ht="15" customHeight="1" x14ac:dyDescent="0.25">
      <c r="A58" s="5">
        <v>2127</v>
      </c>
      <c r="B58" s="5" t="s">
        <v>8</v>
      </c>
      <c r="C58" s="5" t="s">
        <v>875</v>
      </c>
      <c r="D58" s="5" t="s">
        <v>896</v>
      </c>
      <c r="E58" s="5" t="s">
        <v>41</v>
      </c>
      <c r="F58" s="5">
        <v>0</v>
      </c>
      <c r="G58" s="5">
        <v>0</v>
      </c>
      <c r="H58" s="5">
        <v>0</v>
      </c>
      <c r="I58" s="5">
        <v>0</v>
      </c>
      <c r="J58" s="5">
        <v>0</v>
      </c>
      <c r="K58" s="5">
        <v>0</v>
      </c>
      <c r="L58" s="5">
        <v>0</v>
      </c>
      <c r="M58" s="5">
        <v>0</v>
      </c>
      <c r="N58" s="5">
        <v>0</v>
      </c>
      <c r="O58" s="5">
        <v>0</v>
      </c>
      <c r="P58" s="5">
        <v>0</v>
      </c>
      <c r="Q58" s="5">
        <v>0</v>
      </c>
      <c r="R58" s="5">
        <v>0</v>
      </c>
    </row>
    <row r="59" spans="1:18" ht="15" customHeight="1" x14ac:dyDescent="0.25">
      <c r="A59" s="5">
        <v>216</v>
      </c>
      <c r="B59" s="5" t="s">
        <v>8</v>
      </c>
      <c r="C59" s="5" t="s">
        <v>875</v>
      </c>
      <c r="D59" s="5" t="s">
        <v>897</v>
      </c>
      <c r="E59" s="5" t="s">
        <v>81</v>
      </c>
      <c r="F59" s="5">
        <v>0</v>
      </c>
      <c r="G59" s="5">
        <v>0</v>
      </c>
      <c r="H59" s="5">
        <v>0</v>
      </c>
      <c r="I59" s="5">
        <v>0</v>
      </c>
      <c r="J59" s="5">
        <v>0</v>
      </c>
      <c r="K59" s="5">
        <v>0</v>
      </c>
      <c r="L59" s="5">
        <v>0</v>
      </c>
      <c r="M59" s="5">
        <v>0</v>
      </c>
      <c r="N59" s="5">
        <v>0</v>
      </c>
      <c r="O59" s="5">
        <v>0</v>
      </c>
      <c r="P59" s="5">
        <v>0</v>
      </c>
      <c r="Q59" s="5">
        <v>0</v>
      </c>
      <c r="R59" s="5">
        <v>0</v>
      </c>
    </row>
    <row r="60" spans="1:18" ht="15" customHeight="1" x14ac:dyDescent="0.25">
      <c r="A60" s="5">
        <v>7179</v>
      </c>
      <c r="B60" s="5" t="s">
        <v>8</v>
      </c>
      <c r="C60" s="5" t="s">
        <v>875</v>
      </c>
      <c r="D60" s="5" t="s">
        <v>898</v>
      </c>
      <c r="E60" s="5" t="s">
        <v>81</v>
      </c>
      <c r="F60" s="5">
        <v>9</v>
      </c>
      <c r="G60" s="5">
        <v>5.89</v>
      </c>
      <c r="H60" s="5">
        <v>3.83</v>
      </c>
      <c r="I60" s="5">
        <v>0</v>
      </c>
      <c r="J60" s="5">
        <v>18</v>
      </c>
      <c r="K60" s="5">
        <v>0</v>
      </c>
      <c r="L60" s="5">
        <v>0</v>
      </c>
      <c r="M60" s="5">
        <v>0</v>
      </c>
      <c r="N60" s="5">
        <v>0</v>
      </c>
      <c r="O60" s="5">
        <v>0</v>
      </c>
      <c r="P60" s="5">
        <v>1</v>
      </c>
      <c r="Q60" s="5">
        <v>0</v>
      </c>
      <c r="R60" s="5">
        <v>0</v>
      </c>
    </row>
    <row r="61" spans="1:18" ht="15" customHeight="1" x14ac:dyDescent="0.25">
      <c r="A61" s="5">
        <v>6210</v>
      </c>
      <c r="B61" s="5" t="s">
        <v>8</v>
      </c>
      <c r="C61" s="5" t="s">
        <v>875</v>
      </c>
      <c r="D61" s="5" t="s">
        <v>899</v>
      </c>
      <c r="E61" s="5" t="s">
        <v>81</v>
      </c>
      <c r="F61" s="5">
        <v>0</v>
      </c>
      <c r="G61" s="5">
        <v>0</v>
      </c>
      <c r="H61" s="5">
        <v>0</v>
      </c>
      <c r="I61" s="5">
        <v>0</v>
      </c>
      <c r="J61" s="5">
        <v>0</v>
      </c>
      <c r="K61" s="5">
        <v>0</v>
      </c>
      <c r="L61" s="5">
        <v>0</v>
      </c>
      <c r="M61" s="5">
        <v>0</v>
      </c>
      <c r="N61" s="5">
        <v>0</v>
      </c>
      <c r="O61" s="5">
        <v>0</v>
      </c>
      <c r="P61" s="5">
        <v>0</v>
      </c>
      <c r="Q61" s="5">
        <v>0</v>
      </c>
      <c r="R61" s="5">
        <v>0</v>
      </c>
    </row>
    <row r="62" spans="1:18" ht="15" customHeight="1" x14ac:dyDescent="0.25">
      <c r="A62" s="5">
        <v>543</v>
      </c>
      <c r="B62" s="5" t="s">
        <v>8</v>
      </c>
      <c r="C62" s="5" t="s">
        <v>875</v>
      </c>
      <c r="D62" s="5" t="s">
        <v>84</v>
      </c>
      <c r="E62" s="5" t="s">
        <v>32</v>
      </c>
      <c r="F62" s="5">
        <v>2</v>
      </c>
      <c r="G62" s="5">
        <v>6.25</v>
      </c>
      <c r="H62" s="5">
        <v>5.25</v>
      </c>
      <c r="I62" s="5">
        <v>0</v>
      </c>
      <c r="J62" s="5">
        <v>2</v>
      </c>
      <c r="K62" s="5">
        <v>0</v>
      </c>
      <c r="L62" s="5">
        <v>0</v>
      </c>
      <c r="M62" s="5">
        <v>0</v>
      </c>
      <c r="N62" s="5">
        <v>0</v>
      </c>
      <c r="O62" s="5">
        <v>0</v>
      </c>
      <c r="P62" s="5">
        <v>0</v>
      </c>
      <c r="Q62" s="5">
        <v>0</v>
      </c>
      <c r="R62" s="5">
        <v>0</v>
      </c>
    </row>
    <row r="63" spans="1:18" ht="15" customHeight="1" x14ac:dyDescent="0.25">
      <c r="A63" s="5">
        <v>6842</v>
      </c>
      <c r="B63" s="5" t="s">
        <v>8</v>
      </c>
      <c r="C63" s="5" t="s">
        <v>875</v>
      </c>
      <c r="D63" s="5" t="s">
        <v>900</v>
      </c>
      <c r="E63" s="5" t="s">
        <v>32</v>
      </c>
      <c r="F63" s="5">
        <v>7</v>
      </c>
      <c r="G63" s="5">
        <v>5.57</v>
      </c>
      <c r="H63" s="5">
        <v>3.5</v>
      </c>
      <c r="I63" s="5">
        <v>0</v>
      </c>
      <c r="J63" s="5">
        <v>14</v>
      </c>
      <c r="K63" s="5">
        <v>0</v>
      </c>
      <c r="L63" s="5">
        <v>0</v>
      </c>
      <c r="M63" s="5">
        <v>0</v>
      </c>
      <c r="N63" s="5">
        <v>0</v>
      </c>
      <c r="O63" s="5">
        <v>0</v>
      </c>
      <c r="P63" s="5">
        <v>1</v>
      </c>
      <c r="Q63" s="5">
        <v>0</v>
      </c>
      <c r="R63" s="5">
        <v>0</v>
      </c>
    </row>
    <row r="64" spans="1:18" ht="15" customHeight="1" x14ac:dyDescent="0.25">
      <c r="A64" s="5">
        <v>511</v>
      </c>
      <c r="B64" s="5" t="s">
        <v>8</v>
      </c>
      <c r="C64" s="5" t="s">
        <v>875</v>
      </c>
      <c r="D64" s="5" t="s">
        <v>901</v>
      </c>
      <c r="E64" s="5" t="s">
        <v>880</v>
      </c>
      <c r="F64" s="5">
        <v>3</v>
      </c>
      <c r="G64" s="5">
        <v>6.17</v>
      </c>
      <c r="H64" s="5">
        <v>3.83</v>
      </c>
      <c r="I64" s="5">
        <v>0</v>
      </c>
      <c r="J64" s="5">
        <v>7</v>
      </c>
      <c r="K64" s="5">
        <v>0</v>
      </c>
      <c r="L64" s="5">
        <v>0</v>
      </c>
      <c r="M64" s="5">
        <v>0</v>
      </c>
      <c r="N64" s="5">
        <v>0</v>
      </c>
      <c r="O64" s="5">
        <v>0</v>
      </c>
      <c r="P64" s="5">
        <v>0</v>
      </c>
      <c r="Q64" s="5">
        <v>0</v>
      </c>
      <c r="R64" s="5">
        <v>0</v>
      </c>
    </row>
    <row r="65" spans="1:18" ht="15" customHeight="1" x14ac:dyDescent="0.25">
      <c r="A65" s="5">
        <v>6125</v>
      </c>
      <c r="B65" s="5" t="s">
        <v>8</v>
      </c>
      <c r="C65" s="5" t="s">
        <v>875</v>
      </c>
      <c r="D65" s="5" t="s">
        <v>902</v>
      </c>
      <c r="E65" s="5" t="s">
        <v>10</v>
      </c>
      <c r="F65" s="5">
        <v>0</v>
      </c>
      <c r="G65" s="5">
        <v>0</v>
      </c>
      <c r="H65" s="5">
        <v>0</v>
      </c>
      <c r="I65" s="5">
        <v>0</v>
      </c>
      <c r="J65" s="5">
        <v>0</v>
      </c>
      <c r="K65" s="5">
        <v>0</v>
      </c>
      <c r="L65" s="5">
        <v>0</v>
      </c>
      <c r="M65" s="5">
        <v>0</v>
      </c>
      <c r="N65" s="5">
        <v>0</v>
      </c>
      <c r="O65" s="5">
        <v>0</v>
      </c>
      <c r="P65" s="5">
        <v>0</v>
      </c>
      <c r="Q65" s="5">
        <v>0</v>
      </c>
      <c r="R65" s="5">
        <v>0</v>
      </c>
    </row>
    <row r="66" spans="1:18" ht="15" customHeight="1" x14ac:dyDescent="0.25">
      <c r="A66" s="5">
        <v>7185</v>
      </c>
      <c r="B66" s="5" t="s">
        <v>8</v>
      </c>
      <c r="C66" s="5" t="s">
        <v>875</v>
      </c>
      <c r="D66" s="5" t="s">
        <v>903</v>
      </c>
      <c r="E66" s="5" t="s">
        <v>32</v>
      </c>
      <c r="F66" s="5">
        <v>0</v>
      </c>
      <c r="G66" s="5">
        <v>0</v>
      </c>
      <c r="H66" s="5">
        <v>0</v>
      </c>
      <c r="I66" s="5">
        <v>0</v>
      </c>
      <c r="J66" s="5">
        <v>0</v>
      </c>
      <c r="K66" s="5">
        <v>0</v>
      </c>
      <c r="L66" s="5">
        <v>0</v>
      </c>
      <c r="M66" s="5">
        <v>0</v>
      </c>
      <c r="N66" s="5">
        <v>0</v>
      </c>
      <c r="O66" s="5">
        <v>0</v>
      </c>
      <c r="P66" s="5">
        <v>0</v>
      </c>
      <c r="Q66" s="5">
        <v>0</v>
      </c>
      <c r="R66" s="5">
        <v>0</v>
      </c>
    </row>
    <row r="67" spans="1:18" ht="15" customHeight="1" x14ac:dyDescent="0.25">
      <c r="A67" s="5">
        <v>158</v>
      </c>
      <c r="B67" s="5" t="s">
        <v>8</v>
      </c>
      <c r="C67" s="5" t="s">
        <v>875</v>
      </c>
      <c r="D67" s="5" t="s">
        <v>61</v>
      </c>
      <c r="E67" s="5" t="s">
        <v>20</v>
      </c>
      <c r="F67" s="5">
        <v>0</v>
      </c>
      <c r="G67" s="5">
        <v>0</v>
      </c>
      <c r="H67" s="5">
        <v>0</v>
      </c>
      <c r="I67" s="5">
        <v>0</v>
      </c>
      <c r="J67" s="5">
        <v>0</v>
      </c>
      <c r="K67" s="5">
        <v>0</v>
      </c>
      <c r="L67" s="5">
        <v>0</v>
      </c>
      <c r="M67" s="5">
        <v>0</v>
      </c>
      <c r="N67" s="5">
        <v>0</v>
      </c>
      <c r="O67" s="5">
        <v>0</v>
      </c>
      <c r="P67" s="5">
        <v>0</v>
      </c>
      <c r="Q67" s="5">
        <v>0</v>
      </c>
      <c r="R67" s="5">
        <v>0</v>
      </c>
    </row>
    <row r="68" spans="1:18" ht="15" customHeight="1" x14ac:dyDescent="0.25">
      <c r="A68" s="5">
        <v>2211</v>
      </c>
      <c r="B68" s="5" t="s">
        <v>8</v>
      </c>
      <c r="C68" s="5" t="s">
        <v>875</v>
      </c>
      <c r="D68" s="5" t="s">
        <v>904</v>
      </c>
      <c r="E68" s="5" t="s">
        <v>878</v>
      </c>
      <c r="F68" s="5">
        <v>4</v>
      </c>
      <c r="G68" s="5">
        <v>6.38</v>
      </c>
      <c r="H68" s="5">
        <v>4.62</v>
      </c>
      <c r="I68" s="5">
        <v>0</v>
      </c>
      <c r="J68" s="5">
        <v>7</v>
      </c>
      <c r="K68" s="5">
        <v>0</v>
      </c>
      <c r="L68" s="5">
        <v>0</v>
      </c>
      <c r="M68" s="5">
        <v>0</v>
      </c>
      <c r="N68" s="5">
        <v>0</v>
      </c>
      <c r="O68" s="5">
        <v>0</v>
      </c>
      <c r="P68" s="5">
        <v>0</v>
      </c>
      <c r="Q68" s="5">
        <v>0</v>
      </c>
      <c r="R68" s="5">
        <v>0</v>
      </c>
    </row>
    <row r="69" spans="1:18" ht="15" customHeight="1" x14ac:dyDescent="0.25">
      <c r="A69" s="5">
        <v>7236</v>
      </c>
      <c r="B69" s="5" t="s">
        <v>8</v>
      </c>
      <c r="C69" s="5" t="s">
        <v>875</v>
      </c>
      <c r="D69" s="5" t="s">
        <v>905</v>
      </c>
      <c r="E69" s="5" t="s">
        <v>880</v>
      </c>
      <c r="F69" s="5">
        <v>0</v>
      </c>
      <c r="G69" s="5">
        <v>0</v>
      </c>
      <c r="H69" s="5">
        <v>0</v>
      </c>
      <c r="I69" s="5">
        <v>0</v>
      </c>
      <c r="J69" s="5">
        <v>0</v>
      </c>
      <c r="K69" s="5">
        <v>0</v>
      </c>
      <c r="L69" s="5">
        <v>0</v>
      </c>
      <c r="M69" s="5">
        <v>0</v>
      </c>
      <c r="N69" s="5">
        <v>0</v>
      </c>
      <c r="O69" s="5">
        <v>0</v>
      </c>
      <c r="P69" s="5">
        <v>0</v>
      </c>
      <c r="Q69" s="5">
        <v>0</v>
      </c>
      <c r="R69" s="5">
        <v>0</v>
      </c>
    </row>
    <row r="70" spans="1:18" ht="15" customHeight="1" x14ac:dyDescent="0.25">
      <c r="A70" s="5">
        <v>7261</v>
      </c>
      <c r="B70" s="5" t="s">
        <v>8</v>
      </c>
      <c r="C70" s="5" t="s">
        <v>875</v>
      </c>
      <c r="D70" s="5" t="s">
        <v>906</v>
      </c>
      <c r="E70" s="5" t="s">
        <v>16</v>
      </c>
      <c r="F70" s="5">
        <v>0</v>
      </c>
      <c r="G70" s="5">
        <v>0</v>
      </c>
      <c r="H70" s="5">
        <v>0</v>
      </c>
      <c r="I70" s="5">
        <v>0</v>
      </c>
      <c r="J70" s="5">
        <v>0</v>
      </c>
      <c r="K70" s="5">
        <v>0</v>
      </c>
      <c r="L70" s="5">
        <v>0</v>
      </c>
      <c r="M70" s="5">
        <v>0</v>
      </c>
      <c r="N70" s="5">
        <v>0</v>
      </c>
      <c r="O70" s="5">
        <v>0</v>
      </c>
      <c r="P70" s="5">
        <v>0</v>
      </c>
      <c r="Q70" s="5">
        <v>0</v>
      </c>
      <c r="R70" s="5">
        <v>0</v>
      </c>
    </row>
    <row r="71" spans="1:18" ht="15" customHeight="1" x14ac:dyDescent="0.25">
      <c r="A71" s="5">
        <v>7285</v>
      </c>
      <c r="B71" s="5" t="s">
        <v>8</v>
      </c>
      <c r="C71" s="5" t="s">
        <v>875</v>
      </c>
      <c r="D71" s="5" t="s">
        <v>907</v>
      </c>
      <c r="E71" s="5" t="s">
        <v>22</v>
      </c>
      <c r="F71" s="5">
        <v>0</v>
      </c>
      <c r="G71" s="5">
        <v>0</v>
      </c>
      <c r="H71" s="5">
        <v>0</v>
      </c>
      <c r="I71" s="5">
        <v>0</v>
      </c>
      <c r="J71" s="5">
        <v>0</v>
      </c>
      <c r="K71" s="5">
        <v>0</v>
      </c>
      <c r="L71" s="5">
        <v>0</v>
      </c>
      <c r="M71" s="5">
        <v>0</v>
      </c>
      <c r="N71" s="5">
        <v>0</v>
      </c>
      <c r="O71" s="5">
        <v>0</v>
      </c>
      <c r="P71" s="5">
        <v>0</v>
      </c>
      <c r="Q71" s="5">
        <v>0</v>
      </c>
      <c r="R71" s="5">
        <v>0</v>
      </c>
    </row>
    <row r="72" spans="1:18" ht="15" customHeight="1" x14ac:dyDescent="0.25">
      <c r="A72" s="5">
        <v>7042</v>
      </c>
      <c r="B72" s="5" t="s">
        <v>8</v>
      </c>
      <c r="C72" s="5" t="s">
        <v>875</v>
      </c>
      <c r="D72" s="5" t="s">
        <v>908</v>
      </c>
      <c r="E72" s="5" t="s">
        <v>12</v>
      </c>
      <c r="F72" s="5">
        <v>0</v>
      </c>
      <c r="G72" s="5">
        <v>0</v>
      </c>
      <c r="H72" s="5">
        <v>0</v>
      </c>
      <c r="I72" s="5">
        <v>0</v>
      </c>
      <c r="J72" s="5">
        <v>0</v>
      </c>
      <c r="K72" s="5">
        <v>0</v>
      </c>
      <c r="L72" s="5">
        <v>0</v>
      </c>
      <c r="M72" s="5">
        <v>0</v>
      </c>
      <c r="N72" s="5">
        <v>0</v>
      </c>
      <c r="O72" s="5">
        <v>0</v>
      </c>
      <c r="P72" s="5">
        <v>0</v>
      </c>
      <c r="Q72" s="5">
        <v>0</v>
      </c>
      <c r="R72" s="5">
        <v>0</v>
      </c>
    </row>
    <row r="73" spans="1:18" ht="15" customHeight="1" x14ac:dyDescent="0.25">
      <c r="A73" s="5">
        <v>7301</v>
      </c>
      <c r="B73" s="5" t="s">
        <v>8</v>
      </c>
      <c r="C73" s="5" t="s">
        <v>875</v>
      </c>
      <c r="D73" s="5" t="s">
        <v>58</v>
      </c>
      <c r="E73" s="5" t="s">
        <v>16</v>
      </c>
      <c r="F73" s="5">
        <v>0</v>
      </c>
      <c r="G73" s="5">
        <v>0</v>
      </c>
      <c r="H73" s="5">
        <v>0</v>
      </c>
      <c r="I73" s="5">
        <v>0</v>
      </c>
      <c r="J73" s="5">
        <v>0</v>
      </c>
      <c r="K73" s="5">
        <v>0</v>
      </c>
      <c r="L73" s="5">
        <v>0</v>
      </c>
      <c r="M73" s="5">
        <v>0</v>
      </c>
      <c r="N73" s="5">
        <v>0</v>
      </c>
      <c r="O73" s="5">
        <v>0</v>
      </c>
      <c r="P73" s="5">
        <v>0</v>
      </c>
      <c r="Q73" s="5">
        <v>0</v>
      </c>
      <c r="R73" s="5">
        <v>0</v>
      </c>
    </row>
    <row r="74" spans="1:18" ht="15" customHeight="1" x14ac:dyDescent="0.25">
      <c r="A74" s="5">
        <v>6650</v>
      </c>
      <c r="B74" s="5" t="s">
        <v>8</v>
      </c>
      <c r="C74" s="5" t="s">
        <v>875</v>
      </c>
      <c r="D74" s="5" t="s">
        <v>57</v>
      </c>
      <c r="E74" s="5" t="s">
        <v>26</v>
      </c>
      <c r="F74" s="5">
        <v>0</v>
      </c>
      <c r="G74" s="5">
        <v>0</v>
      </c>
      <c r="H74" s="5">
        <v>0</v>
      </c>
      <c r="I74" s="5">
        <v>0</v>
      </c>
      <c r="J74" s="5">
        <v>0</v>
      </c>
      <c r="K74" s="5">
        <v>0</v>
      </c>
      <c r="L74" s="5">
        <v>0</v>
      </c>
      <c r="M74" s="5">
        <v>0</v>
      </c>
      <c r="N74" s="5">
        <v>0</v>
      </c>
      <c r="O74" s="5">
        <v>0</v>
      </c>
      <c r="P74" s="5">
        <v>0</v>
      </c>
      <c r="Q74" s="5">
        <v>0</v>
      </c>
      <c r="R74" s="5">
        <v>0</v>
      </c>
    </row>
    <row r="75" spans="1:18" ht="15" customHeight="1" x14ac:dyDescent="0.25">
      <c r="A75" s="5">
        <v>7363</v>
      </c>
      <c r="B75" s="5" t="s">
        <v>8</v>
      </c>
      <c r="C75" s="5" t="s">
        <v>875</v>
      </c>
      <c r="D75" s="5" t="s">
        <v>83</v>
      </c>
      <c r="E75" s="5" t="s">
        <v>81</v>
      </c>
      <c r="F75" s="5">
        <v>0</v>
      </c>
      <c r="G75" s="5">
        <v>0</v>
      </c>
      <c r="H75" s="5">
        <v>0</v>
      </c>
      <c r="I75" s="5">
        <v>0</v>
      </c>
      <c r="J75" s="5">
        <v>0</v>
      </c>
      <c r="K75" s="5">
        <v>0</v>
      </c>
      <c r="L75" s="5">
        <v>0</v>
      </c>
      <c r="M75" s="5">
        <v>0</v>
      </c>
      <c r="N75" s="5">
        <v>0</v>
      </c>
      <c r="O75" s="5">
        <v>0</v>
      </c>
      <c r="P75" s="5">
        <v>0</v>
      </c>
      <c r="Q75" s="5">
        <v>0</v>
      </c>
      <c r="R75" s="5">
        <v>0</v>
      </c>
    </row>
    <row r="76" spans="1:18" ht="15" customHeight="1" x14ac:dyDescent="0.25">
      <c r="A76" s="5">
        <v>7382</v>
      </c>
      <c r="B76" s="5" t="s">
        <v>8</v>
      </c>
      <c r="C76" s="5" t="s">
        <v>875</v>
      </c>
      <c r="D76" s="5" t="s">
        <v>909</v>
      </c>
      <c r="E76" s="5" t="s">
        <v>30</v>
      </c>
      <c r="F76" s="5">
        <v>0</v>
      </c>
      <c r="G76" s="5">
        <v>0</v>
      </c>
      <c r="H76" s="5">
        <v>0</v>
      </c>
      <c r="I76" s="5">
        <v>0</v>
      </c>
      <c r="J76" s="5">
        <v>0</v>
      </c>
      <c r="K76" s="5">
        <v>0</v>
      </c>
      <c r="L76" s="5">
        <v>0</v>
      </c>
      <c r="M76" s="5">
        <v>0</v>
      </c>
      <c r="N76" s="5">
        <v>0</v>
      </c>
      <c r="O76" s="5">
        <v>0</v>
      </c>
      <c r="P76" s="5">
        <v>0</v>
      </c>
      <c r="Q76" s="5">
        <v>0</v>
      </c>
      <c r="R76" s="5">
        <v>0</v>
      </c>
    </row>
    <row r="77" spans="1:18" ht="15" customHeight="1" x14ac:dyDescent="0.25">
      <c r="A77" s="5">
        <v>7383</v>
      </c>
      <c r="B77" s="5" t="s">
        <v>8</v>
      </c>
      <c r="C77" s="5" t="s">
        <v>875</v>
      </c>
      <c r="D77" s="5" t="s">
        <v>910</v>
      </c>
      <c r="E77" s="5" t="s">
        <v>30</v>
      </c>
      <c r="F77" s="5">
        <v>0</v>
      </c>
      <c r="G77" s="5">
        <v>0</v>
      </c>
      <c r="H77" s="5">
        <v>0</v>
      </c>
      <c r="I77" s="5">
        <v>0</v>
      </c>
      <c r="J77" s="5">
        <v>0</v>
      </c>
      <c r="K77" s="5">
        <v>0</v>
      </c>
      <c r="L77" s="5">
        <v>0</v>
      </c>
      <c r="M77" s="5">
        <v>0</v>
      </c>
      <c r="N77" s="5">
        <v>0</v>
      </c>
      <c r="O77" s="5">
        <v>0</v>
      </c>
      <c r="P77" s="5">
        <v>0</v>
      </c>
      <c r="Q77" s="5">
        <v>0</v>
      </c>
      <c r="R77" s="5">
        <v>0</v>
      </c>
    </row>
    <row r="78" spans="1:18" ht="15" customHeight="1" x14ac:dyDescent="0.25">
      <c r="A78" s="5">
        <v>254</v>
      </c>
      <c r="B78" s="5" t="s">
        <v>88</v>
      </c>
      <c r="C78" s="5" t="s">
        <v>911</v>
      </c>
      <c r="D78" s="5" t="s">
        <v>89</v>
      </c>
      <c r="E78" s="5" t="s">
        <v>12</v>
      </c>
      <c r="F78" s="5">
        <v>35</v>
      </c>
      <c r="G78" s="5">
        <v>6.6</v>
      </c>
      <c r="H78" s="5">
        <v>7.64</v>
      </c>
      <c r="I78" s="5">
        <v>7</v>
      </c>
      <c r="J78" s="5">
        <v>0</v>
      </c>
      <c r="K78" s="5">
        <v>0</v>
      </c>
      <c r="L78" s="5">
        <v>0</v>
      </c>
      <c r="M78" s="5">
        <v>0</v>
      </c>
      <c r="N78" s="5">
        <v>0</v>
      </c>
      <c r="O78" s="5">
        <v>17</v>
      </c>
      <c r="P78" s="5">
        <v>3</v>
      </c>
      <c r="Q78" s="5">
        <v>0</v>
      </c>
      <c r="R78" s="5">
        <v>0</v>
      </c>
    </row>
    <row r="79" spans="1:18" ht="15" customHeight="1" x14ac:dyDescent="0.25">
      <c r="A79" s="5">
        <v>2788</v>
      </c>
      <c r="B79" s="5" t="s">
        <v>88</v>
      </c>
      <c r="C79" s="5" t="s">
        <v>912</v>
      </c>
      <c r="D79" s="5" t="s">
        <v>92</v>
      </c>
      <c r="E79" s="5" t="s">
        <v>28</v>
      </c>
      <c r="F79" s="5">
        <v>26</v>
      </c>
      <c r="G79" s="5">
        <v>6.33</v>
      </c>
      <c r="H79" s="5">
        <v>6.81</v>
      </c>
      <c r="I79" s="5">
        <v>4</v>
      </c>
      <c r="J79" s="5">
        <v>0</v>
      </c>
      <c r="K79" s="5">
        <v>0</v>
      </c>
      <c r="L79" s="5">
        <v>0</v>
      </c>
      <c r="M79" s="5">
        <v>0</v>
      </c>
      <c r="N79" s="5">
        <v>0</v>
      </c>
      <c r="O79" s="5">
        <v>3</v>
      </c>
      <c r="P79" s="5">
        <v>5</v>
      </c>
      <c r="Q79" s="5">
        <v>0</v>
      </c>
      <c r="R79" s="5">
        <v>0</v>
      </c>
    </row>
    <row r="80" spans="1:18" ht="15" customHeight="1" x14ac:dyDescent="0.25">
      <c r="A80" s="5">
        <v>5022</v>
      </c>
      <c r="B80" s="5" t="s">
        <v>88</v>
      </c>
      <c r="C80" s="5" t="s">
        <v>912</v>
      </c>
      <c r="D80" s="5" t="s">
        <v>95</v>
      </c>
      <c r="E80" s="5" t="s">
        <v>18</v>
      </c>
      <c r="F80" s="5">
        <v>34</v>
      </c>
      <c r="G80" s="5">
        <v>6.24</v>
      </c>
      <c r="H80" s="5">
        <v>6.62</v>
      </c>
      <c r="I80" s="5">
        <v>5</v>
      </c>
      <c r="J80" s="5">
        <v>0</v>
      </c>
      <c r="K80" s="5">
        <v>0</v>
      </c>
      <c r="L80" s="5">
        <v>0</v>
      </c>
      <c r="M80" s="5">
        <v>0</v>
      </c>
      <c r="N80" s="5">
        <v>0</v>
      </c>
      <c r="O80" s="5">
        <v>0</v>
      </c>
      <c r="P80" s="5">
        <v>4</v>
      </c>
      <c r="Q80" s="5">
        <v>0</v>
      </c>
      <c r="R80" s="5">
        <v>0</v>
      </c>
    </row>
    <row r="81" spans="1:18" ht="15" customHeight="1" x14ac:dyDescent="0.25">
      <c r="A81" s="5">
        <v>6832</v>
      </c>
      <c r="B81" s="5" t="s">
        <v>88</v>
      </c>
      <c r="C81" s="5" t="s">
        <v>911</v>
      </c>
      <c r="D81" s="5" t="s">
        <v>913</v>
      </c>
      <c r="E81" s="5" t="s">
        <v>26</v>
      </c>
      <c r="F81" s="5">
        <v>37</v>
      </c>
      <c r="G81" s="5">
        <v>6.27</v>
      </c>
      <c r="H81" s="5">
        <v>6.42</v>
      </c>
      <c r="I81" s="5">
        <v>1</v>
      </c>
      <c r="J81" s="5">
        <v>0</v>
      </c>
      <c r="K81" s="5">
        <v>0</v>
      </c>
      <c r="L81" s="5">
        <v>0</v>
      </c>
      <c r="M81" s="5">
        <v>0</v>
      </c>
      <c r="N81" s="5">
        <v>0</v>
      </c>
      <c r="O81" s="5">
        <v>4</v>
      </c>
      <c r="P81" s="5">
        <v>3</v>
      </c>
      <c r="Q81" s="5">
        <v>0</v>
      </c>
      <c r="R81" s="5">
        <v>0</v>
      </c>
    </row>
    <row r="82" spans="1:18" ht="15" customHeight="1" x14ac:dyDescent="0.25">
      <c r="A82" s="5">
        <v>6893</v>
      </c>
      <c r="B82" s="5" t="s">
        <v>88</v>
      </c>
      <c r="C82" s="5" t="s">
        <v>912</v>
      </c>
      <c r="D82" s="5" t="s">
        <v>165</v>
      </c>
      <c r="E82" s="5" t="s">
        <v>16</v>
      </c>
      <c r="F82" s="5">
        <v>29</v>
      </c>
      <c r="G82" s="5">
        <v>6.12</v>
      </c>
      <c r="H82" s="5">
        <v>6.52</v>
      </c>
      <c r="I82" s="5">
        <v>4</v>
      </c>
      <c r="J82" s="5">
        <v>0</v>
      </c>
      <c r="K82" s="5">
        <v>0</v>
      </c>
      <c r="L82" s="5">
        <v>0</v>
      </c>
      <c r="M82" s="5">
        <v>0</v>
      </c>
      <c r="N82" s="5">
        <v>0</v>
      </c>
      <c r="O82" s="5">
        <v>1</v>
      </c>
      <c r="P82" s="5">
        <v>3</v>
      </c>
      <c r="Q82" s="5">
        <v>0</v>
      </c>
      <c r="R82" s="5">
        <v>0</v>
      </c>
    </row>
    <row r="83" spans="1:18" ht="15" customHeight="1" x14ac:dyDescent="0.25">
      <c r="A83" s="5">
        <v>1852</v>
      </c>
      <c r="B83" s="5" t="s">
        <v>88</v>
      </c>
      <c r="C83" s="5" t="s">
        <v>914</v>
      </c>
      <c r="D83" s="5" t="s">
        <v>121</v>
      </c>
      <c r="E83" s="5" t="s">
        <v>22</v>
      </c>
      <c r="F83" s="5">
        <v>30</v>
      </c>
      <c r="G83" s="5">
        <v>6.17</v>
      </c>
      <c r="H83" s="5">
        <v>6.55</v>
      </c>
      <c r="I83" s="5">
        <v>3</v>
      </c>
      <c r="J83" s="5">
        <v>0</v>
      </c>
      <c r="K83" s="5">
        <v>0</v>
      </c>
      <c r="L83" s="5">
        <v>0</v>
      </c>
      <c r="M83" s="5">
        <v>0</v>
      </c>
      <c r="N83" s="5">
        <v>0</v>
      </c>
      <c r="O83" s="5">
        <v>3</v>
      </c>
      <c r="P83" s="5">
        <v>1</v>
      </c>
      <c r="Q83" s="5">
        <v>0</v>
      </c>
      <c r="R83" s="5">
        <v>0</v>
      </c>
    </row>
    <row r="84" spans="1:18" ht="15" customHeight="1" x14ac:dyDescent="0.25">
      <c r="A84" s="5">
        <v>5526</v>
      </c>
      <c r="B84" s="5" t="s">
        <v>88</v>
      </c>
      <c r="C84" s="5" t="s">
        <v>912</v>
      </c>
      <c r="D84" s="5" t="s">
        <v>105</v>
      </c>
      <c r="E84" s="5" t="s">
        <v>14</v>
      </c>
      <c r="F84" s="5">
        <v>24</v>
      </c>
      <c r="G84" s="5">
        <v>6.06</v>
      </c>
      <c r="H84" s="5">
        <v>6.44</v>
      </c>
      <c r="I84" s="5">
        <v>3</v>
      </c>
      <c r="J84" s="5">
        <v>0</v>
      </c>
      <c r="K84" s="5">
        <v>0</v>
      </c>
      <c r="L84" s="5">
        <v>0</v>
      </c>
      <c r="M84" s="5">
        <v>0</v>
      </c>
      <c r="N84" s="5">
        <v>0</v>
      </c>
      <c r="O84" s="5">
        <v>1</v>
      </c>
      <c r="P84" s="5">
        <v>2</v>
      </c>
      <c r="Q84" s="5">
        <v>0</v>
      </c>
      <c r="R84" s="5">
        <v>0</v>
      </c>
    </row>
    <row r="85" spans="1:18" ht="15" customHeight="1" x14ac:dyDescent="0.25">
      <c r="A85" s="5">
        <v>6217</v>
      </c>
      <c r="B85" s="5" t="s">
        <v>88</v>
      </c>
      <c r="C85" s="5" t="s">
        <v>912</v>
      </c>
      <c r="D85" s="5" t="s">
        <v>104</v>
      </c>
      <c r="E85" s="5" t="s">
        <v>12</v>
      </c>
      <c r="F85" s="5">
        <v>23</v>
      </c>
      <c r="G85" s="5">
        <v>6.22</v>
      </c>
      <c r="H85" s="5">
        <v>6.65</v>
      </c>
      <c r="I85" s="5">
        <v>3</v>
      </c>
      <c r="J85" s="5">
        <v>0</v>
      </c>
      <c r="K85" s="5">
        <v>0</v>
      </c>
      <c r="L85" s="5">
        <v>0</v>
      </c>
      <c r="M85" s="5">
        <v>0</v>
      </c>
      <c r="N85" s="5">
        <v>0</v>
      </c>
      <c r="O85" s="5">
        <v>2</v>
      </c>
      <c r="P85" s="5">
        <v>2</v>
      </c>
      <c r="Q85" s="5">
        <v>0</v>
      </c>
      <c r="R85" s="5">
        <v>0</v>
      </c>
    </row>
    <row r="86" spans="1:18" ht="15" customHeight="1" x14ac:dyDescent="0.25">
      <c r="A86" s="5">
        <v>2296</v>
      </c>
      <c r="B86" s="5" t="s">
        <v>88</v>
      </c>
      <c r="C86" s="5" t="s">
        <v>912</v>
      </c>
      <c r="D86" s="5" t="s">
        <v>93</v>
      </c>
      <c r="E86" s="5" t="s">
        <v>10</v>
      </c>
      <c r="F86" s="5">
        <v>36</v>
      </c>
      <c r="G86" s="5">
        <v>6.25</v>
      </c>
      <c r="H86" s="5">
        <v>6.51</v>
      </c>
      <c r="I86" s="5">
        <v>4</v>
      </c>
      <c r="J86" s="5">
        <v>0</v>
      </c>
      <c r="K86" s="5">
        <v>0</v>
      </c>
      <c r="L86" s="5">
        <v>0</v>
      </c>
      <c r="M86" s="5">
        <v>0</v>
      </c>
      <c r="N86" s="5">
        <v>0</v>
      </c>
      <c r="O86" s="5">
        <v>2</v>
      </c>
      <c r="P86" s="5">
        <v>9</v>
      </c>
      <c r="Q86" s="5">
        <v>0</v>
      </c>
      <c r="R86" s="5">
        <v>0</v>
      </c>
    </row>
    <row r="87" spans="1:18" ht="15" customHeight="1" x14ac:dyDescent="0.25">
      <c r="A87" s="5">
        <v>5750</v>
      </c>
      <c r="B87" s="5" t="s">
        <v>88</v>
      </c>
      <c r="C87" s="5" t="s">
        <v>912</v>
      </c>
      <c r="D87" s="5" t="s">
        <v>103</v>
      </c>
      <c r="E87" s="5" t="s">
        <v>34</v>
      </c>
      <c r="F87" s="5">
        <v>30</v>
      </c>
      <c r="G87" s="5">
        <v>6.13</v>
      </c>
      <c r="H87" s="5">
        <v>6.52</v>
      </c>
      <c r="I87" s="5">
        <v>5</v>
      </c>
      <c r="J87" s="5">
        <v>0</v>
      </c>
      <c r="K87" s="5">
        <v>0</v>
      </c>
      <c r="L87" s="5">
        <v>0</v>
      </c>
      <c r="M87" s="5">
        <v>0</v>
      </c>
      <c r="N87" s="5">
        <v>0</v>
      </c>
      <c r="O87" s="5">
        <v>0</v>
      </c>
      <c r="P87" s="5">
        <v>7</v>
      </c>
      <c r="Q87" s="5">
        <v>0</v>
      </c>
      <c r="R87" s="5">
        <v>0</v>
      </c>
    </row>
    <row r="88" spans="1:18" ht="15" customHeight="1" x14ac:dyDescent="0.25">
      <c r="A88" s="5">
        <v>4976</v>
      </c>
      <c r="B88" s="5" t="s">
        <v>88</v>
      </c>
      <c r="C88" s="5" t="s">
        <v>915</v>
      </c>
      <c r="D88" s="5" t="s">
        <v>97</v>
      </c>
      <c r="E88" s="5" t="s">
        <v>28</v>
      </c>
      <c r="F88" s="5">
        <v>37</v>
      </c>
      <c r="G88" s="5">
        <v>6.14</v>
      </c>
      <c r="H88" s="5">
        <v>6.35</v>
      </c>
      <c r="I88" s="5">
        <v>2</v>
      </c>
      <c r="J88" s="5">
        <v>0</v>
      </c>
      <c r="K88" s="5">
        <v>0</v>
      </c>
      <c r="L88" s="5">
        <v>0</v>
      </c>
      <c r="M88" s="5">
        <v>0</v>
      </c>
      <c r="N88" s="5">
        <v>0</v>
      </c>
      <c r="O88" s="5">
        <v>4</v>
      </c>
      <c r="P88" s="5">
        <v>2</v>
      </c>
      <c r="Q88" s="5">
        <v>1</v>
      </c>
      <c r="R88" s="5">
        <v>0</v>
      </c>
    </row>
    <row r="89" spans="1:18" ht="15" customHeight="1" x14ac:dyDescent="0.25">
      <c r="A89" s="5">
        <v>4657</v>
      </c>
      <c r="B89" s="5" t="s">
        <v>88</v>
      </c>
      <c r="C89" s="5" t="s">
        <v>916</v>
      </c>
      <c r="D89" s="5" t="s">
        <v>119</v>
      </c>
      <c r="E89" s="5" t="s">
        <v>10</v>
      </c>
      <c r="F89" s="5">
        <v>32</v>
      </c>
      <c r="G89" s="5">
        <v>6.17</v>
      </c>
      <c r="H89" s="5">
        <v>6.27</v>
      </c>
      <c r="I89" s="5">
        <v>1</v>
      </c>
      <c r="J89" s="5">
        <v>0</v>
      </c>
      <c r="K89" s="5">
        <v>0</v>
      </c>
      <c r="L89" s="5">
        <v>0</v>
      </c>
      <c r="M89" s="5">
        <v>0</v>
      </c>
      <c r="N89" s="5">
        <v>0</v>
      </c>
      <c r="O89" s="5">
        <v>2</v>
      </c>
      <c r="P89" s="5">
        <v>2</v>
      </c>
      <c r="Q89" s="5">
        <v>1</v>
      </c>
      <c r="R89" s="5">
        <v>0</v>
      </c>
    </row>
    <row r="90" spans="1:18" ht="15" customHeight="1" x14ac:dyDescent="0.25">
      <c r="A90" s="5">
        <v>7181</v>
      </c>
      <c r="B90" s="5" t="s">
        <v>88</v>
      </c>
      <c r="C90" s="5" t="s">
        <v>911</v>
      </c>
      <c r="D90" s="5" t="s">
        <v>90</v>
      </c>
      <c r="E90" s="5" t="s">
        <v>10</v>
      </c>
      <c r="F90" s="5">
        <v>30</v>
      </c>
      <c r="G90" s="5">
        <v>6.12</v>
      </c>
      <c r="H90" s="5">
        <v>6.47</v>
      </c>
      <c r="I90" s="5">
        <v>5</v>
      </c>
      <c r="J90" s="5">
        <v>0</v>
      </c>
      <c r="K90" s="5">
        <v>0</v>
      </c>
      <c r="L90" s="5">
        <v>0</v>
      </c>
      <c r="M90" s="5">
        <v>0</v>
      </c>
      <c r="N90" s="5">
        <v>0</v>
      </c>
      <c r="O90" s="5">
        <v>0</v>
      </c>
      <c r="P90" s="5">
        <v>5</v>
      </c>
      <c r="Q90" s="5">
        <v>2</v>
      </c>
      <c r="R90" s="5">
        <v>0</v>
      </c>
    </row>
    <row r="91" spans="1:18" ht="15" customHeight="1" x14ac:dyDescent="0.25">
      <c r="A91" s="5">
        <v>6956</v>
      </c>
      <c r="B91" s="5" t="s">
        <v>88</v>
      </c>
      <c r="C91" s="5" t="s">
        <v>912</v>
      </c>
      <c r="D91" s="5" t="s">
        <v>99</v>
      </c>
      <c r="E91" s="5" t="s">
        <v>32</v>
      </c>
      <c r="F91" s="5">
        <v>34</v>
      </c>
      <c r="G91" s="5">
        <v>6.18</v>
      </c>
      <c r="H91" s="5">
        <v>6.4</v>
      </c>
      <c r="I91" s="5">
        <v>3</v>
      </c>
      <c r="J91" s="5">
        <v>0</v>
      </c>
      <c r="K91" s="5">
        <v>0</v>
      </c>
      <c r="L91" s="5">
        <v>1</v>
      </c>
      <c r="M91" s="5">
        <v>1</v>
      </c>
      <c r="N91" s="5">
        <v>0</v>
      </c>
      <c r="O91" s="5">
        <v>1</v>
      </c>
      <c r="P91" s="5">
        <v>1</v>
      </c>
      <c r="Q91" s="5">
        <v>0</v>
      </c>
      <c r="R91" s="5">
        <v>1</v>
      </c>
    </row>
    <row r="92" spans="1:18" ht="15" customHeight="1" x14ac:dyDescent="0.25">
      <c r="A92" s="5">
        <v>2120</v>
      </c>
      <c r="B92" s="5" t="s">
        <v>88</v>
      </c>
      <c r="C92" s="5" t="s">
        <v>912</v>
      </c>
      <c r="D92" s="5" t="s">
        <v>94</v>
      </c>
      <c r="E92" s="5" t="s">
        <v>12</v>
      </c>
      <c r="F92" s="5">
        <v>28</v>
      </c>
      <c r="G92" s="5">
        <v>6.2</v>
      </c>
      <c r="H92" s="5">
        <v>6.34</v>
      </c>
      <c r="I92" s="5">
        <v>1</v>
      </c>
      <c r="J92" s="5">
        <v>0</v>
      </c>
      <c r="K92" s="5">
        <v>0</v>
      </c>
      <c r="L92" s="5">
        <v>0</v>
      </c>
      <c r="M92" s="5">
        <v>0</v>
      </c>
      <c r="N92" s="5">
        <v>0</v>
      </c>
      <c r="O92" s="5">
        <v>4</v>
      </c>
      <c r="P92" s="5">
        <v>6</v>
      </c>
      <c r="Q92" s="5">
        <v>0</v>
      </c>
      <c r="R92" s="5">
        <v>0</v>
      </c>
    </row>
    <row r="93" spans="1:18" ht="15" customHeight="1" x14ac:dyDescent="0.25">
      <c r="A93" s="5">
        <v>4807</v>
      </c>
      <c r="B93" s="5" t="s">
        <v>88</v>
      </c>
      <c r="C93" s="5" t="s">
        <v>912</v>
      </c>
      <c r="D93" s="5" t="s">
        <v>108</v>
      </c>
      <c r="E93" s="5" t="s">
        <v>10</v>
      </c>
      <c r="F93" s="5">
        <v>27</v>
      </c>
      <c r="G93" s="5">
        <v>6.17</v>
      </c>
      <c r="H93" s="5">
        <v>6.41</v>
      </c>
      <c r="I93" s="5">
        <v>3</v>
      </c>
      <c r="J93" s="5">
        <v>0</v>
      </c>
      <c r="K93" s="5">
        <v>0</v>
      </c>
      <c r="L93" s="5">
        <v>0</v>
      </c>
      <c r="M93" s="5">
        <v>0</v>
      </c>
      <c r="N93" s="5">
        <v>0</v>
      </c>
      <c r="O93" s="5">
        <v>2</v>
      </c>
      <c r="P93" s="5">
        <v>9</v>
      </c>
      <c r="Q93" s="5">
        <v>0</v>
      </c>
      <c r="R93" s="5">
        <v>0</v>
      </c>
    </row>
    <row r="94" spans="1:18" ht="15" customHeight="1" x14ac:dyDescent="0.25">
      <c r="A94" s="5">
        <v>6986</v>
      </c>
      <c r="B94" s="5" t="s">
        <v>88</v>
      </c>
      <c r="C94" s="5" t="s">
        <v>916</v>
      </c>
      <c r="D94" s="5" t="s">
        <v>175</v>
      </c>
      <c r="E94" s="5" t="s">
        <v>10</v>
      </c>
      <c r="F94" s="5">
        <v>19</v>
      </c>
      <c r="G94" s="5">
        <v>6.16</v>
      </c>
      <c r="H94" s="5">
        <v>6.5</v>
      </c>
      <c r="I94" s="5">
        <v>1</v>
      </c>
      <c r="J94" s="5">
        <v>0</v>
      </c>
      <c r="K94" s="5">
        <v>0</v>
      </c>
      <c r="L94" s="5">
        <v>0</v>
      </c>
      <c r="M94" s="5">
        <v>0</v>
      </c>
      <c r="N94" s="5">
        <v>0</v>
      </c>
      <c r="O94" s="5">
        <v>4</v>
      </c>
      <c r="P94" s="5">
        <v>1</v>
      </c>
      <c r="Q94" s="5">
        <v>0</v>
      </c>
      <c r="R94" s="5">
        <v>0</v>
      </c>
    </row>
    <row r="95" spans="1:18" ht="15" customHeight="1" x14ac:dyDescent="0.25">
      <c r="A95" s="5">
        <v>4159</v>
      </c>
      <c r="B95" s="5" t="s">
        <v>88</v>
      </c>
      <c r="C95" s="5" t="s">
        <v>912</v>
      </c>
      <c r="D95" s="5" t="s">
        <v>91</v>
      </c>
      <c r="E95" s="5" t="s">
        <v>12</v>
      </c>
      <c r="F95" s="5">
        <v>32</v>
      </c>
      <c r="G95" s="5">
        <v>6.28</v>
      </c>
      <c r="H95" s="5">
        <v>6.41</v>
      </c>
      <c r="I95" s="5">
        <v>2</v>
      </c>
      <c r="J95" s="5">
        <v>0</v>
      </c>
      <c r="K95" s="5">
        <v>0</v>
      </c>
      <c r="L95" s="5">
        <v>0</v>
      </c>
      <c r="M95" s="5">
        <v>0</v>
      </c>
      <c r="N95" s="5">
        <v>0</v>
      </c>
      <c r="O95" s="5">
        <v>0</v>
      </c>
      <c r="P95" s="5">
        <v>4</v>
      </c>
      <c r="Q95" s="5">
        <v>0</v>
      </c>
      <c r="R95" s="5">
        <v>0</v>
      </c>
    </row>
    <row r="96" spans="1:18" ht="15" customHeight="1" x14ac:dyDescent="0.25">
      <c r="A96" s="5">
        <v>554</v>
      </c>
      <c r="B96" s="5" t="s">
        <v>88</v>
      </c>
      <c r="C96" s="5" t="s">
        <v>911</v>
      </c>
      <c r="D96" s="5" t="s">
        <v>112</v>
      </c>
      <c r="E96" s="5" t="s">
        <v>14</v>
      </c>
      <c r="F96" s="5">
        <v>35</v>
      </c>
      <c r="G96" s="5">
        <v>6.06</v>
      </c>
      <c r="H96" s="5">
        <v>6.3</v>
      </c>
      <c r="I96" s="5">
        <v>3</v>
      </c>
      <c r="J96" s="5">
        <v>0</v>
      </c>
      <c r="K96" s="5">
        <v>0</v>
      </c>
      <c r="L96" s="5">
        <v>0</v>
      </c>
      <c r="M96" s="5">
        <v>0</v>
      </c>
      <c r="N96" s="5">
        <v>0</v>
      </c>
      <c r="O96" s="5">
        <v>1</v>
      </c>
      <c r="P96" s="5">
        <v>3</v>
      </c>
      <c r="Q96" s="5">
        <v>0</v>
      </c>
      <c r="R96" s="5">
        <v>0</v>
      </c>
    </row>
    <row r="97" spans="1:18" ht="15" customHeight="1" x14ac:dyDescent="0.25">
      <c r="A97" s="5">
        <v>5513</v>
      </c>
      <c r="B97" s="5" t="s">
        <v>88</v>
      </c>
      <c r="C97" s="5" t="s">
        <v>911</v>
      </c>
      <c r="D97" s="5" t="s">
        <v>917</v>
      </c>
      <c r="E97" s="5" t="s">
        <v>12</v>
      </c>
      <c r="F97" s="5">
        <v>19</v>
      </c>
      <c r="G97" s="5">
        <v>6.11</v>
      </c>
      <c r="H97" s="5">
        <v>6.58</v>
      </c>
      <c r="I97" s="5">
        <v>3</v>
      </c>
      <c r="J97" s="5">
        <v>0</v>
      </c>
      <c r="K97" s="5">
        <v>0</v>
      </c>
      <c r="L97" s="5">
        <v>0</v>
      </c>
      <c r="M97" s="5">
        <v>0</v>
      </c>
      <c r="N97" s="5">
        <v>0</v>
      </c>
      <c r="O97" s="5">
        <v>1</v>
      </c>
      <c r="P97" s="5">
        <v>2</v>
      </c>
      <c r="Q97" s="5">
        <v>0</v>
      </c>
      <c r="R97" s="5">
        <v>0</v>
      </c>
    </row>
    <row r="98" spans="1:18" ht="15" customHeight="1" x14ac:dyDescent="0.25">
      <c r="A98" s="5">
        <v>4317</v>
      </c>
      <c r="B98" s="5" t="s">
        <v>88</v>
      </c>
      <c r="C98" s="5" t="s">
        <v>912</v>
      </c>
      <c r="D98" s="5" t="s">
        <v>98</v>
      </c>
      <c r="E98" s="5" t="s">
        <v>10</v>
      </c>
      <c r="F98" s="5">
        <v>31</v>
      </c>
      <c r="G98" s="5">
        <v>6.08</v>
      </c>
      <c r="H98" s="5">
        <v>6.32</v>
      </c>
      <c r="I98" s="5">
        <v>3</v>
      </c>
      <c r="J98" s="5">
        <v>0</v>
      </c>
      <c r="K98" s="5">
        <v>0</v>
      </c>
      <c r="L98" s="5">
        <v>0</v>
      </c>
      <c r="M98" s="5">
        <v>0</v>
      </c>
      <c r="N98" s="5">
        <v>0</v>
      </c>
      <c r="O98" s="5">
        <v>1</v>
      </c>
      <c r="P98" s="5">
        <v>5</v>
      </c>
      <c r="Q98" s="5">
        <v>0</v>
      </c>
      <c r="R98" s="5">
        <v>0</v>
      </c>
    </row>
    <row r="99" spans="1:18" ht="15" customHeight="1" x14ac:dyDescent="0.25">
      <c r="A99" s="5">
        <v>2160</v>
      </c>
      <c r="B99" s="5" t="s">
        <v>88</v>
      </c>
      <c r="C99" s="5" t="s">
        <v>911</v>
      </c>
      <c r="D99" s="5" t="s">
        <v>918</v>
      </c>
      <c r="E99" s="5" t="s">
        <v>20</v>
      </c>
      <c r="F99" s="5">
        <v>25</v>
      </c>
      <c r="G99" s="5">
        <v>5.92</v>
      </c>
      <c r="H99" s="5">
        <v>6.28</v>
      </c>
      <c r="I99" s="5">
        <v>3</v>
      </c>
      <c r="J99" s="5">
        <v>0</v>
      </c>
      <c r="K99" s="5">
        <v>0</v>
      </c>
      <c r="L99" s="5">
        <v>0</v>
      </c>
      <c r="M99" s="5">
        <v>0</v>
      </c>
      <c r="N99" s="5">
        <v>0</v>
      </c>
      <c r="O99" s="5">
        <v>1</v>
      </c>
      <c r="P99" s="5">
        <v>2</v>
      </c>
      <c r="Q99" s="5">
        <v>0</v>
      </c>
      <c r="R99" s="5">
        <v>0</v>
      </c>
    </row>
    <row r="100" spans="1:18" ht="15" customHeight="1" x14ac:dyDescent="0.25">
      <c r="A100" s="5">
        <v>5514</v>
      </c>
      <c r="B100" s="5" t="s">
        <v>88</v>
      </c>
      <c r="C100" s="5" t="s">
        <v>919</v>
      </c>
      <c r="D100" s="5" t="s">
        <v>109</v>
      </c>
      <c r="E100" s="5" t="s">
        <v>34</v>
      </c>
      <c r="F100" s="5">
        <v>36</v>
      </c>
      <c r="G100" s="5">
        <v>6.08</v>
      </c>
      <c r="H100" s="5">
        <v>6.14</v>
      </c>
      <c r="I100" s="5">
        <v>1</v>
      </c>
      <c r="J100" s="5">
        <v>0</v>
      </c>
      <c r="K100" s="5">
        <v>0</v>
      </c>
      <c r="L100" s="5">
        <v>0</v>
      </c>
      <c r="M100" s="5">
        <v>0</v>
      </c>
      <c r="N100" s="5">
        <v>0</v>
      </c>
      <c r="O100" s="5">
        <v>0</v>
      </c>
      <c r="P100" s="5">
        <v>2</v>
      </c>
      <c r="Q100" s="5">
        <v>0</v>
      </c>
      <c r="R100" s="5">
        <v>0</v>
      </c>
    </row>
    <row r="101" spans="1:18" ht="15" customHeight="1" x14ac:dyDescent="0.25">
      <c r="A101" s="5">
        <v>6766</v>
      </c>
      <c r="B101" s="5" t="s">
        <v>88</v>
      </c>
      <c r="C101" s="5" t="s">
        <v>919</v>
      </c>
      <c r="D101" s="5" t="s">
        <v>170</v>
      </c>
      <c r="E101" s="5" t="s">
        <v>28</v>
      </c>
      <c r="F101" s="5">
        <v>35</v>
      </c>
      <c r="G101" s="5">
        <v>6.01</v>
      </c>
      <c r="H101" s="5">
        <v>6.07</v>
      </c>
      <c r="I101" s="5">
        <v>1</v>
      </c>
      <c r="J101" s="5">
        <v>0</v>
      </c>
      <c r="K101" s="5">
        <v>0</v>
      </c>
      <c r="L101" s="5">
        <v>0</v>
      </c>
      <c r="M101" s="5">
        <v>0</v>
      </c>
      <c r="N101" s="5">
        <v>0</v>
      </c>
      <c r="O101" s="5">
        <v>1</v>
      </c>
      <c r="P101" s="5">
        <v>4</v>
      </c>
      <c r="Q101" s="5">
        <v>0</v>
      </c>
      <c r="R101" s="5">
        <v>0</v>
      </c>
    </row>
    <row r="102" spans="1:18" ht="15" customHeight="1" x14ac:dyDescent="0.25">
      <c r="A102" s="5">
        <v>4409</v>
      </c>
      <c r="B102" s="5" t="s">
        <v>88</v>
      </c>
      <c r="C102" s="5" t="s">
        <v>912</v>
      </c>
      <c r="D102" s="5" t="s">
        <v>96</v>
      </c>
      <c r="E102" s="5" t="s">
        <v>22</v>
      </c>
      <c r="F102" s="5">
        <v>21</v>
      </c>
      <c r="G102" s="5">
        <v>6.24</v>
      </c>
      <c r="H102" s="5">
        <v>6.45</v>
      </c>
      <c r="I102" s="5">
        <v>2</v>
      </c>
      <c r="J102" s="5">
        <v>0</v>
      </c>
      <c r="K102" s="5">
        <v>0</v>
      </c>
      <c r="L102" s="5">
        <v>0</v>
      </c>
      <c r="M102" s="5">
        <v>0</v>
      </c>
      <c r="N102" s="5">
        <v>0</v>
      </c>
      <c r="O102" s="5">
        <v>0</v>
      </c>
      <c r="P102" s="5">
        <v>3</v>
      </c>
      <c r="Q102" s="5">
        <v>0</v>
      </c>
      <c r="R102" s="5">
        <v>0</v>
      </c>
    </row>
    <row r="103" spans="1:18" ht="15" customHeight="1" x14ac:dyDescent="0.25">
      <c r="A103" s="5">
        <v>5862</v>
      </c>
      <c r="B103" s="5" t="s">
        <v>88</v>
      </c>
      <c r="C103" s="5" t="s">
        <v>914</v>
      </c>
      <c r="D103" s="5" t="s">
        <v>123</v>
      </c>
      <c r="E103" s="5" t="s">
        <v>38</v>
      </c>
      <c r="F103" s="5">
        <v>34</v>
      </c>
      <c r="G103" s="5">
        <v>6.06</v>
      </c>
      <c r="H103" s="5">
        <v>6.09</v>
      </c>
      <c r="I103" s="5">
        <v>0</v>
      </c>
      <c r="J103" s="5">
        <v>0</v>
      </c>
      <c r="K103" s="5">
        <v>0</v>
      </c>
      <c r="L103" s="5">
        <v>0</v>
      </c>
      <c r="M103" s="5">
        <v>0</v>
      </c>
      <c r="N103" s="5">
        <v>0</v>
      </c>
      <c r="O103" s="5">
        <v>2</v>
      </c>
      <c r="P103" s="5">
        <v>2</v>
      </c>
      <c r="Q103" s="5">
        <v>0</v>
      </c>
      <c r="R103" s="5">
        <v>0</v>
      </c>
    </row>
    <row r="104" spans="1:18" ht="15" customHeight="1" x14ac:dyDescent="0.25">
      <c r="A104" s="5">
        <v>6485</v>
      </c>
      <c r="B104" s="5" t="s">
        <v>88</v>
      </c>
      <c r="C104" s="5" t="s">
        <v>915</v>
      </c>
      <c r="D104" s="5" t="s">
        <v>139</v>
      </c>
      <c r="E104" s="5" t="s">
        <v>32</v>
      </c>
      <c r="F104" s="5">
        <v>28</v>
      </c>
      <c r="G104" s="5">
        <v>5.98</v>
      </c>
      <c r="H104" s="5">
        <v>6.23</v>
      </c>
      <c r="I104" s="5">
        <v>3</v>
      </c>
      <c r="J104" s="5">
        <v>0</v>
      </c>
      <c r="K104" s="5">
        <v>0</v>
      </c>
      <c r="L104" s="5">
        <v>0</v>
      </c>
      <c r="M104" s="5">
        <v>0</v>
      </c>
      <c r="N104" s="5">
        <v>0</v>
      </c>
      <c r="O104" s="5">
        <v>0</v>
      </c>
      <c r="P104" s="5">
        <v>4</v>
      </c>
      <c r="Q104" s="5">
        <v>0</v>
      </c>
      <c r="R104" s="5">
        <v>0</v>
      </c>
    </row>
    <row r="105" spans="1:18" ht="15" customHeight="1" x14ac:dyDescent="0.25">
      <c r="A105" s="5">
        <v>7211</v>
      </c>
      <c r="B105" s="5" t="s">
        <v>88</v>
      </c>
      <c r="C105" s="5" t="s">
        <v>920</v>
      </c>
      <c r="D105" s="5" t="s">
        <v>211</v>
      </c>
      <c r="E105" s="5" t="s">
        <v>18</v>
      </c>
      <c r="F105" s="5">
        <v>17</v>
      </c>
      <c r="G105" s="5">
        <v>5.94</v>
      </c>
      <c r="H105" s="5">
        <v>6.32</v>
      </c>
      <c r="I105" s="5">
        <v>2</v>
      </c>
      <c r="J105" s="5">
        <v>0</v>
      </c>
      <c r="K105" s="5">
        <v>0</v>
      </c>
      <c r="L105" s="5">
        <v>0</v>
      </c>
      <c r="M105" s="5">
        <v>0</v>
      </c>
      <c r="N105" s="5">
        <v>0</v>
      </c>
      <c r="O105" s="5">
        <v>2</v>
      </c>
      <c r="P105" s="5">
        <v>3</v>
      </c>
      <c r="Q105" s="5">
        <v>0</v>
      </c>
      <c r="R105" s="5">
        <v>0</v>
      </c>
    </row>
    <row r="106" spans="1:18" ht="15" customHeight="1" x14ac:dyDescent="0.25">
      <c r="A106" s="5">
        <v>5678</v>
      </c>
      <c r="B106" s="5" t="s">
        <v>88</v>
      </c>
      <c r="C106" s="5" t="s">
        <v>920</v>
      </c>
      <c r="D106" s="5" t="s">
        <v>162</v>
      </c>
      <c r="E106" s="5" t="s">
        <v>28</v>
      </c>
      <c r="F106" s="5">
        <v>16</v>
      </c>
      <c r="G106" s="5">
        <v>6.09</v>
      </c>
      <c r="H106" s="5">
        <v>6.44</v>
      </c>
      <c r="I106" s="5">
        <v>1</v>
      </c>
      <c r="J106" s="5">
        <v>0</v>
      </c>
      <c r="K106" s="5">
        <v>0</v>
      </c>
      <c r="L106" s="5">
        <v>0</v>
      </c>
      <c r="M106" s="5">
        <v>0</v>
      </c>
      <c r="N106" s="5">
        <v>0</v>
      </c>
      <c r="O106" s="5">
        <v>4</v>
      </c>
      <c r="P106" s="5">
        <v>1</v>
      </c>
      <c r="Q106" s="5">
        <v>1</v>
      </c>
      <c r="R106" s="5">
        <v>0</v>
      </c>
    </row>
    <row r="107" spans="1:18" ht="15" customHeight="1" x14ac:dyDescent="0.25">
      <c r="A107" s="5">
        <v>4734</v>
      </c>
      <c r="B107" s="5" t="s">
        <v>88</v>
      </c>
      <c r="C107" s="5" t="s">
        <v>914</v>
      </c>
      <c r="D107" s="5" t="s">
        <v>114</v>
      </c>
      <c r="E107" s="5" t="s">
        <v>24</v>
      </c>
      <c r="F107" s="5">
        <v>31</v>
      </c>
      <c r="G107" s="5">
        <v>6</v>
      </c>
      <c r="H107" s="5">
        <v>6.1</v>
      </c>
      <c r="I107" s="5">
        <v>1</v>
      </c>
      <c r="J107" s="5">
        <v>0</v>
      </c>
      <c r="K107" s="5">
        <v>0</v>
      </c>
      <c r="L107" s="5">
        <v>0</v>
      </c>
      <c r="M107" s="5">
        <v>0</v>
      </c>
      <c r="N107" s="5">
        <v>0</v>
      </c>
      <c r="O107" s="5">
        <v>3</v>
      </c>
      <c r="P107" s="5">
        <v>6</v>
      </c>
      <c r="Q107" s="5">
        <v>0</v>
      </c>
      <c r="R107" s="5">
        <v>0</v>
      </c>
    </row>
    <row r="108" spans="1:18" ht="15" customHeight="1" x14ac:dyDescent="0.25">
      <c r="A108" s="5">
        <v>4994</v>
      </c>
      <c r="B108" s="5" t="s">
        <v>88</v>
      </c>
      <c r="C108" s="5" t="s">
        <v>920</v>
      </c>
      <c r="D108" s="5" t="s">
        <v>125</v>
      </c>
      <c r="E108" s="5" t="s">
        <v>16</v>
      </c>
      <c r="F108" s="5">
        <v>27</v>
      </c>
      <c r="G108" s="5">
        <v>6.02</v>
      </c>
      <c r="H108" s="5">
        <v>6.24</v>
      </c>
      <c r="I108" s="5">
        <v>2</v>
      </c>
      <c r="J108" s="5">
        <v>0</v>
      </c>
      <c r="K108" s="5">
        <v>0</v>
      </c>
      <c r="L108" s="5">
        <v>0</v>
      </c>
      <c r="M108" s="5">
        <v>0</v>
      </c>
      <c r="N108" s="5">
        <v>0</v>
      </c>
      <c r="O108" s="5">
        <v>1</v>
      </c>
      <c r="P108" s="5">
        <v>2</v>
      </c>
      <c r="Q108" s="5">
        <v>0</v>
      </c>
      <c r="R108" s="5">
        <v>0</v>
      </c>
    </row>
    <row r="109" spans="1:18" ht="15" customHeight="1" x14ac:dyDescent="0.25">
      <c r="A109" s="5">
        <v>6867</v>
      </c>
      <c r="B109" s="5" t="s">
        <v>88</v>
      </c>
      <c r="C109" s="5" t="s">
        <v>914</v>
      </c>
      <c r="D109" s="5" t="s">
        <v>145</v>
      </c>
      <c r="E109" s="5" t="s">
        <v>16</v>
      </c>
      <c r="F109" s="5">
        <v>26</v>
      </c>
      <c r="G109" s="5">
        <v>6.06</v>
      </c>
      <c r="H109" s="5">
        <v>6.23</v>
      </c>
      <c r="I109" s="5">
        <v>1</v>
      </c>
      <c r="J109" s="5">
        <v>0</v>
      </c>
      <c r="K109" s="5">
        <v>0</v>
      </c>
      <c r="L109" s="5">
        <v>0</v>
      </c>
      <c r="M109" s="5">
        <v>0</v>
      </c>
      <c r="N109" s="5">
        <v>0</v>
      </c>
      <c r="O109" s="5">
        <v>3</v>
      </c>
      <c r="P109" s="5">
        <v>3</v>
      </c>
      <c r="Q109" s="5">
        <v>0</v>
      </c>
      <c r="R109" s="5">
        <v>0</v>
      </c>
    </row>
    <row r="110" spans="1:18" ht="15" customHeight="1" x14ac:dyDescent="0.25">
      <c r="A110" s="5">
        <v>5885</v>
      </c>
      <c r="B110" s="5" t="s">
        <v>88</v>
      </c>
      <c r="C110" s="5" t="s">
        <v>911</v>
      </c>
      <c r="D110" s="5" t="s">
        <v>107</v>
      </c>
      <c r="E110" s="5" t="s">
        <v>20</v>
      </c>
      <c r="F110" s="5">
        <v>36</v>
      </c>
      <c r="G110" s="5">
        <v>5.99</v>
      </c>
      <c r="H110" s="5">
        <v>6.03</v>
      </c>
      <c r="I110" s="5">
        <v>1</v>
      </c>
      <c r="J110" s="5">
        <v>0</v>
      </c>
      <c r="K110" s="5">
        <v>0</v>
      </c>
      <c r="L110" s="5">
        <v>0</v>
      </c>
      <c r="M110" s="5">
        <v>0</v>
      </c>
      <c r="N110" s="5">
        <v>0</v>
      </c>
      <c r="O110" s="5">
        <v>2</v>
      </c>
      <c r="P110" s="5">
        <v>7</v>
      </c>
      <c r="Q110" s="5">
        <v>0</v>
      </c>
      <c r="R110" s="5">
        <v>0</v>
      </c>
    </row>
    <row r="111" spans="1:18" ht="15" customHeight="1" x14ac:dyDescent="0.25">
      <c r="A111" s="5">
        <v>2593</v>
      </c>
      <c r="B111" s="5" t="s">
        <v>88</v>
      </c>
      <c r="C111" s="5" t="s">
        <v>914</v>
      </c>
      <c r="D111" s="5" t="s">
        <v>169</v>
      </c>
      <c r="E111" s="5" t="s">
        <v>34</v>
      </c>
      <c r="F111" s="5">
        <v>29</v>
      </c>
      <c r="G111" s="5">
        <v>5.97</v>
      </c>
      <c r="H111" s="5">
        <v>6.1</v>
      </c>
      <c r="I111" s="5">
        <v>1</v>
      </c>
      <c r="J111" s="5">
        <v>0</v>
      </c>
      <c r="K111" s="5">
        <v>0</v>
      </c>
      <c r="L111" s="5">
        <v>1</v>
      </c>
      <c r="M111" s="5">
        <v>0</v>
      </c>
      <c r="N111" s="5">
        <v>1</v>
      </c>
      <c r="O111" s="5">
        <v>5</v>
      </c>
      <c r="P111" s="5">
        <v>2</v>
      </c>
      <c r="Q111" s="5">
        <v>0</v>
      </c>
      <c r="R111" s="5">
        <v>0</v>
      </c>
    </row>
    <row r="112" spans="1:18" ht="15" customHeight="1" x14ac:dyDescent="0.25">
      <c r="A112" s="5">
        <v>5877</v>
      </c>
      <c r="B112" s="5" t="s">
        <v>88</v>
      </c>
      <c r="C112" s="5" t="s">
        <v>921</v>
      </c>
      <c r="D112" s="5" t="s">
        <v>129</v>
      </c>
      <c r="E112" s="5" t="s">
        <v>12</v>
      </c>
      <c r="F112" s="5">
        <v>28</v>
      </c>
      <c r="G112" s="5">
        <v>6.12</v>
      </c>
      <c r="H112" s="5">
        <v>6.16</v>
      </c>
      <c r="I112" s="5">
        <v>1</v>
      </c>
      <c r="J112" s="5">
        <v>0</v>
      </c>
      <c r="K112" s="5">
        <v>0</v>
      </c>
      <c r="L112" s="5">
        <v>0</v>
      </c>
      <c r="M112" s="5">
        <v>0</v>
      </c>
      <c r="N112" s="5">
        <v>0</v>
      </c>
      <c r="O112" s="5">
        <v>1</v>
      </c>
      <c r="P112" s="5">
        <v>6</v>
      </c>
      <c r="Q112" s="5">
        <v>0</v>
      </c>
      <c r="R112" s="5">
        <v>0</v>
      </c>
    </row>
    <row r="113" spans="1:18" ht="15" customHeight="1" x14ac:dyDescent="0.25">
      <c r="A113" s="5">
        <v>6989</v>
      </c>
      <c r="B113" s="5" t="s">
        <v>88</v>
      </c>
      <c r="C113" s="5" t="s">
        <v>912</v>
      </c>
      <c r="D113" s="5" t="s">
        <v>132</v>
      </c>
      <c r="E113" s="5" t="s">
        <v>36</v>
      </c>
      <c r="F113" s="5">
        <v>36</v>
      </c>
      <c r="G113" s="5">
        <v>6</v>
      </c>
      <c r="H113" s="5">
        <v>6.01</v>
      </c>
      <c r="I113" s="5">
        <v>2</v>
      </c>
      <c r="J113" s="5">
        <v>0</v>
      </c>
      <c r="K113" s="5">
        <v>0</v>
      </c>
      <c r="L113" s="5">
        <v>0</v>
      </c>
      <c r="M113" s="5">
        <v>0</v>
      </c>
      <c r="N113" s="5">
        <v>0</v>
      </c>
      <c r="O113" s="5">
        <v>0</v>
      </c>
      <c r="P113" s="5">
        <v>7</v>
      </c>
      <c r="Q113" s="5">
        <v>0</v>
      </c>
      <c r="R113" s="5">
        <v>1</v>
      </c>
    </row>
    <row r="114" spans="1:18" ht="15" customHeight="1" x14ac:dyDescent="0.25">
      <c r="A114" s="5">
        <v>4502</v>
      </c>
      <c r="B114" s="5" t="s">
        <v>88</v>
      </c>
      <c r="C114" s="5" t="s">
        <v>914</v>
      </c>
      <c r="D114" s="5" t="s">
        <v>153</v>
      </c>
      <c r="E114" s="5" t="s">
        <v>36</v>
      </c>
      <c r="F114" s="5">
        <v>37</v>
      </c>
      <c r="G114" s="5">
        <v>5.95</v>
      </c>
      <c r="H114" s="5">
        <v>5.99</v>
      </c>
      <c r="I114" s="5">
        <v>0</v>
      </c>
      <c r="J114" s="5">
        <v>0</v>
      </c>
      <c r="K114" s="5">
        <v>0</v>
      </c>
      <c r="L114" s="5">
        <v>0</v>
      </c>
      <c r="M114" s="5">
        <v>0</v>
      </c>
      <c r="N114" s="5">
        <v>0</v>
      </c>
      <c r="O114" s="5">
        <v>3</v>
      </c>
      <c r="P114" s="5">
        <v>3</v>
      </c>
      <c r="Q114" s="5">
        <v>0</v>
      </c>
      <c r="R114" s="5">
        <v>0</v>
      </c>
    </row>
    <row r="115" spans="1:18" ht="15" customHeight="1" x14ac:dyDescent="0.25">
      <c r="A115" s="5">
        <v>6496</v>
      </c>
      <c r="B115" s="5" t="s">
        <v>88</v>
      </c>
      <c r="C115" s="5" t="s">
        <v>914</v>
      </c>
      <c r="D115" s="5" t="s">
        <v>120</v>
      </c>
      <c r="E115" s="5" t="s">
        <v>18</v>
      </c>
      <c r="F115" s="5">
        <v>31</v>
      </c>
      <c r="G115" s="5">
        <v>5.97</v>
      </c>
      <c r="H115" s="5">
        <v>6.05</v>
      </c>
      <c r="I115" s="5">
        <v>2</v>
      </c>
      <c r="J115" s="5">
        <v>0</v>
      </c>
      <c r="K115" s="5">
        <v>0</v>
      </c>
      <c r="L115" s="5">
        <v>0</v>
      </c>
      <c r="M115" s="5">
        <v>0</v>
      </c>
      <c r="N115" s="5">
        <v>0</v>
      </c>
      <c r="O115" s="5">
        <v>0</v>
      </c>
      <c r="P115" s="5">
        <v>3</v>
      </c>
      <c r="Q115" s="5">
        <v>0</v>
      </c>
      <c r="R115" s="5">
        <v>1</v>
      </c>
    </row>
    <row r="116" spans="1:18" ht="15" customHeight="1" x14ac:dyDescent="0.25">
      <c r="A116" s="5">
        <v>6202</v>
      </c>
      <c r="B116" s="5" t="s">
        <v>88</v>
      </c>
      <c r="C116" s="5" t="s">
        <v>912</v>
      </c>
      <c r="D116" s="5" t="s">
        <v>155</v>
      </c>
      <c r="E116" s="5" t="s">
        <v>22</v>
      </c>
      <c r="F116" s="5">
        <v>22</v>
      </c>
      <c r="G116" s="5">
        <v>5.93</v>
      </c>
      <c r="H116" s="5">
        <v>6.16</v>
      </c>
      <c r="I116" s="5">
        <v>2</v>
      </c>
      <c r="J116" s="5">
        <v>0</v>
      </c>
      <c r="K116" s="5">
        <v>0</v>
      </c>
      <c r="L116" s="5">
        <v>0</v>
      </c>
      <c r="M116" s="5">
        <v>0</v>
      </c>
      <c r="N116" s="5">
        <v>0</v>
      </c>
      <c r="O116" s="5">
        <v>0</v>
      </c>
      <c r="P116" s="5">
        <v>2</v>
      </c>
      <c r="Q116" s="5">
        <v>0</v>
      </c>
      <c r="R116" s="5">
        <v>0</v>
      </c>
    </row>
    <row r="117" spans="1:18" ht="15" customHeight="1" x14ac:dyDescent="0.25">
      <c r="A117" s="5">
        <v>2816</v>
      </c>
      <c r="B117" s="5" t="s">
        <v>88</v>
      </c>
      <c r="C117" s="5" t="s">
        <v>920</v>
      </c>
      <c r="D117" s="5" t="s">
        <v>102</v>
      </c>
      <c r="E117" s="5" t="s">
        <v>22</v>
      </c>
      <c r="F117" s="5">
        <v>26</v>
      </c>
      <c r="G117" s="5">
        <v>6.08</v>
      </c>
      <c r="H117" s="5">
        <v>6.33</v>
      </c>
      <c r="I117" s="5">
        <v>2</v>
      </c>
      <c r="J117" s="5">
        <v>0</v>
      </c>
      <c r="K117" s="5">
        <v>0</v>
      </c>
      <c r="L117" s="5">
        <v>0</v>
      </c>
      <c r="M117" s="5">
        <v>0</v>
      </c>
      <c r="N117" s="5">
        <v>0</v>
      </c>
      <c r="O117" s="5">
        <v>1</v>
      </c>
      <c r="P117" s="5">
        <v>1</v>
      </c>
      <c r="Q117" s="5">
        <v>0</v>
      </c>
      <c r="R117" s="5">
        <v>0</v>
      </c>
    </row>
    <row r="118" spans="1:18" ht="15" customHeight="1" x14ac:dyDescent="0.25">
      <c r="A118" s="5">
        <v>6664</v>
      </c>
      <c r="B118" s="5" t="s">
        <v>88</v>
      </c>
      <c r="C118" s="5" t="s">
        <v>916</v>
      </c>
      <c r="D118" s="5" t="s">
        <v>122</v>
      </c>
      <c r="E118" s="5" t="s">
        <v>38</v>
      </c>
      <c r="F118" s="5">
        <v>35</v>
      </c>
      <c r="G118" s="5">
        <v>5.91</v>
      </c>
      <c r="H118" s="5">
        <v>6.01</v>
      </c>
      <c r="I118" s="5">
        <v>2</v>
      </c>
      <c r="J118" s="5">
        <v>0</v>
      </c>
      <c r="K118" s="5">
        <v>0</v>
      </c>
      <c r="L118" s="5">
        <v>0</v>
      </c>
      <c r="M118" s="5">
        <v>0</v>
      </c>
      <c r="N118" s="5">
        <v>0</v>
      </c>
      <c r="O118" s="5">
        <v>0</v>
      </c>
      <c r="P118" s="5">
        <v>5</v>
      </c>
      <c r="Q118" s="5">
        <v>0</v>
      </c>
      <c r="R118" s="5">
        <v>0</v>
      </c>
    </row>
    <row r="119" spans="1:18" ht="15" customHeight="1" x14ac:dyDescent="0.25">
      <c r="A119" s="5">
        <v>4263</v>
      </c>
      <c r="B119" s="5" t="s">
        <v>88</v>
      </c>
      <c r="C119" s="5" t="s">
        <v>912</v>
      </c>
      <c r="D119" s="5" t="s">
        <v>194</v>
      </c>
      <c r="E119" s="5" t="s">
        <v>32</v>
      </c>
      <c r="F119" s="5">
        <v>28</v>
      </c>
      <c r="G119" s="5">
        <v>5.98</v>
      </c>
      <c r="H119" s="5">
        <v>6.18</v>
      </c>
      <c r="I119" s="5">
        <v>3</v>
      </c>
      <c r="J119" s="5">
        <v>0</v>
      </c>
      <c r="K119" s="5">
        <v>0</v>
      </c>
      <c r="L119" s="5">
        <v>0</v>
      </c>
      <c r="M119" s="5">
        <v>0</v>
      </c>
      <c r="N119" s="5">
        <v>0</v>
      </c>
      <c r="O119" s="5">
        <v>0</v>
      </c>
      <c r="P119" s="5">
        <v>5</v>
      </c>
      <c r="Q119" s="5">
        <v>1</v>
      </c>
      <c r="R119" s="5">
        <v>0</v>
      </c>
    </row>
    <row r="120" spans="1:18" ht="15" customHeight="1" x14ac:dyDescent="0.25">
      <c r="A120" s="5">
        <v>6869</v>
      </c>
      <c r="B120" s="5" t="s">
        <v>88</v>
      </c>
      <c r="C120" s="5" t="s">
        <v>912</v>
      </c>
      <c r="D120" s="5" t="s">
        <v>106</v>
      </c>
      <c r="E120" s="5" t="s">
        <v>16</v>
      </c>
      <c r="F120" s="5">
        <v>32</v>
      </c>
      <c r="G120" s="5">
        <v>6.16</v>
      </c>
      <c r="H120" s="5">
        <v>6.14</v>
      </c>
      <c r="I120" s="5">
        <v>2</v>
      </c>
      <c r="J120" s="5">
        <v>0</v>
      </c>
      <c r="K120" s="5">
        <v>0</v>
      </c>
      <c r="L120" s="5">
        <v>0</v>
      </c>
      <c r="M120" s="5">
        <v>0</v>
      </c>
      <c r="N120" s="5">
        <v>0</v>
      </c>
      <c r="O120" s="5">
        <v>0</v>
      </c>
      <c r="P120" s="5">
        <v>11</v>
      </c>
      <c r="Q120" s="5">
        <v>1</v>
      </c>
      <c r="R120" s="5">
        <v>0</v>
      </c>
    </row>
    <row r="121" spans="1:18" ht="15" customHeight="1" x14ac:dyDescent="0.25">
      <c r="A121" s="5">
        <v>7220</v>
      </c>
      <c r="B121" s="5" t="s">
        <v>88</v>
      </c>
      <c r="C121" s="5" t="s">
        <v>920</v>
      </c>
      <c r="D121" s="5" t="s">
        <v>922</v>
      </c>
      <c r="E121" s="5" t="s">
        <v>880</v>
      </c>
      <c r="F121" s="5">
        <v>26</v>
      </c>
      <c r="G121" s="5">
        <v>6.1</v>
      </c>
      <c r="H121" s="5">
        <v>6.21</v>
      </c>
      <c r="I121" s="5">
        <v>2</v>
      </c>
      <c r="J121" s="5">
        <v>0</v>
      </c>
      <c r="K121" s="5">
        <v>0</v>
      </c>
      <c r="L121" s="5">
        <v>0</v>
      </c>
      <c r="M121" s="5">
        <v>0</v>
      </c>
      <c r="N121" s="5">
        <v>0</v>
      </c>
      <c r="O121" s="5">
        <v>0</v>
      </c>
      <c r="P121" s="5">
        <v>6</v>
      </c>
      <c r="Q121" s="5">
        <v>0</v>
      </c>
      <c r="R121" s="5">
        <v>0</v>
      </c>
    </row>
    <row r="122" spans="1:18" ht="15" customHeight="1" x14ac:dyDescent="0.25">
      <c r="A122" s="5">
        <v>5427</v>
      </c>
      <c r="B122" s="5" t="s">
        <v>88</v>
      </c>
      <c r="C122" s="5" t="s">
        <v>914</v>
      </c>
      <c r="D122" s="5" t="s">
        <v>923</v>
      </c>
      <c r="E122" s="5" t="s">
        <v>22</v>
      </c>
      <c r="F122" s="5">
        <v>21</v>
      </c>
      <c r="G122" s="5">
        <v>5.98</v>
      </c>
      <c r="H122" s="5">
        <v>6.17</v>
      </c>
      <c r="I122" s="5">
        <v>1</v>
      </c>
      <c r="J122" s="5">
        <v>0</v>
      </c>
      <c r="K122" s="5">
        <v>0</v>
      </c>
      <c r="L122" s="5">
        <v>0</v>
      </c>
      <c r="M122" s="5">
        <v>0</v>
      </c>
      <c r="N122" s="5">
        <v>0</v>
      </c>
      <c r="O122" s="5">
        <v>1</v>
      </c>
      <c r="P122" s="5">
        <v>0</v>
      </c>
      <c r="Q122" s="5">
        <v>0</v>
      </c>
      <c r="R122" s="5">
        <v>0</v>
      </c>
    </row>
    <row r="123" spans="1:18" ht="15" customHeight="1" x14ac:dyDescent="0.25">
      <c r="A123" s="5">
        <v>7329</v>
      </c>
      <c r="B123" s="5" t="s">
        <v>88</v>
      </c>
      <c r="C123" s="5" t="s">
        <v>914</v>
      </c>
      <c r="D123" s="5" t="s">
        <v>924</v>
      </c>
      <c r="E123" s="5" t="s">
        <v>81</v>
      </c>
      <c r="F123" s="5">
        <v>16</v>
      </c>
      <c r="G123" s="5">
        <v>6.06</v>
      </c>
      <c r="H123" s="5">
        <v>6.41</v>
      </c>
      <c r="I123" s="5">
        <v>1</v>
      </c>
      <c r="J123" s="5">
        <v>0</v>
      </c>
      <c r="K123" s="5">
        <v>0</v>
      </c>
      <c r="L123" s="5">
        <v>0</v>
      </c>
      <c r="M123" s="5">
        <v>0</v>
      </c>
      <c r="N123" s="5">
        <v>0</v>
      </c>
      <c r="O123" s="5">
        <v>3</v>
      </c>
      <c r="P123" s="5">
        <v>1</v>
      </c>
      <c r="Q123" s="5">
        <v>0</v>
      </c>
      <c r="R123" s="5">
        <v>0</v>
      </c>
    </row>
    <row r="124" spans="1:18" ht="15" customHeight="1" x14ac:dyDescent="0.25">
      <c r="A124" s="5">
        <v>6066</v>
      </c>
      <c r="B124" s="5" t="s">
        <v>88</v>
      </c>
      <c r="C124" s="5" t="s">
        <v>915</v>
      </c>
      <c r="D124" s="5" t="s">
        <v>925</v>
      </c>
      <c r="E124" s="5" t="s">
        <v>16</v>
      </c>
      <c r="F124" s="5">
        <v>8</v>
      </c>
      <c r="G124" s="5">
        <v>6.06</v>
      </c>
      <c r="H124" s="5">
        <v>6.38</v>
      </c>
      <c r="I124" s="5">
        <v>1</v>
      </c>
      <c r="J124" s="5">
        <v>0</v>
      </c>
      <c r="K124" s="5">
        <v>0</v>
      </c>
      <c r="L124" s="5">
        <v>0</v>
      </c>
      <c r="M124" s="5">
        <v>0</v>
      </c>
      <c r="N124" s="5">
        <v>0</v>
      </c>
      <c r="O124" s="5">
        <v>0</v>
      </c>
      <c r="P124" s="5">
        <v>1</v>
      </c>
      <c r="Q124" s="5">
        <v>0</v>
      </c>
      <c r="R124" s="5">
        <v>0</v>
      </c>
    </row>
    <row r="125" spans="1:18" ht="15" customHeight="1" x14ac:dyDescent="0.25">
      <c r="A125" s="5">
        <v>4210</v>
      </c>
      <c r="B125" s="5" t="s">
        <v>88</v>
      </c>
      <c r="C125" s="5" t="s">
        <v>912</v>
      </c>
      <c r="D125" s="5" t="s">
        <v>115</v>
      </c>
      <c r="E125" s="5" t="s">
        <v>26</v>
      </c>
      <c r="F125" s="5">
        <v>26</v>
      </c>
      <c r="G125" s="5">
        <v>6</v>
      </c>
      <c r="H125" s="5">
        <v>6.17</v>
      </c>
      <c r="I125" s="5">
        <v>2</v>
      </c>
      <c r="J125" s="5">
        <v>0</v>
      </c>
      <c r="K125" s="5">
        <v>0</v>
      </c>
      <c r="L125" s="5">
        <v>0</v>
      </c>
      <c r="M125" s="5">
        <v>0</v>
      </c>
      <c r="N125" s="5">
        <v>0</v>
      </c>
      <c r="O125" s="5">
        <v>1</v>
      </c>
      <c r="P125" s="5">
        <v>3</v>
      </c>
      <c r="Q125" s="5">
        <v>1</v>
      </c>
      <c r="R125" s="5">
        <v>0</v>
      </c>
    </row>
    <row r="126" spans="1:18" ht="15" customHeight="1" x14ac:dyDescent="0.25">
      <c r="A126" s="5">
        <v>5435</v>
      </c>
      <c r="B126" s="5" t="s">
        <v>88</v>
      </c>
      <c r="C126" s="5" t="s">
        <v>914</v>
      </c>
      <c r="D126" s="5" t="s">
        <v>926</v>
      </c>
      <c r="E126" s="5" t="s">
        <v>16</v>
      </c>
      <c r="F126" s="5">
        <v>16</v>
      </c>
      <c r="G126" s="5">
        <v>6.06</v>
      </c>
      <c r="H126" s="5">
        <v>6.38</v>
      </c>
      <c r="I126" s="5">
        <v>2</v>
      </c>
      <c r="J126" s="5">
        <v>0</v>
      </c>
      <c r="K126" s="5">
        <v>0</v>
      </c>
      <c r="L126" s="5">
        <v>0</v>
      </c>
      <c r="M126" s="5">
        <v>0</v>
      </c>
      <c r="N126" s="5">
        <v>0</v>
      </c>
      <c r="O126" s="5">
        <v>1</v>
      </c>
      <c r="P126" s="5">
        <v>4</v>
      </c>
      <c r="Q126" s="5">
        <v>0</v>
      </c>
      <c r="R126" s="5">
        <v>0</v>
      </c>
    </row>
    <row r="127" spans="1:18" ht="15" customHeight="1" x14ac:dyDescent="0.25">
      <c r="A127" s="5">
        <v>5520</v>
      </c>
      <c r="B127" s="5" t="s">
        <v>88</v>
      </c>
      <c r="C127" s="5" t="s">
        <v>911</v>
      </c>
      <c r="D127" s="5" t="s">
        <v>110</v>
      </c>
      <c r="E127" s="5" t="s">
        <v>28</v>
      </c>
      <c r="F127" s="5">
        <v>36</v>
      </c>
      <c r="G127" s="5">
        <v>5.81</v>
      </c>
      <c r="H127" s="5">
        <v>5.99</v>
      </c>
      <c r="I127" s="5">
        <v>3</v>
      </c>
      <c r="J127" s="5">
        <v>0</v>
      </c>
      <c r="K127" s="5">
        <v>0</v>
      </c>
      <c r="L127" s="5">
        <v>0</v>
      </c>
      <c r="M127" s="5">
        <v>0</v>
      </c>
      <c r="N127" s="5">
        <v>0</v>
      </c>
      <c r="O127" s="5">
        <v>4</v>
      </c>
      <c r="P127" s="5">
        <v>3</v>
      </c>
      <c r="Q127" s="5">
        <v>1</v>
      </c>
      <c r="R127" s="5">
        <v>2</v>
      </c>
    </row>
    <row r="128" spans="1:18" ht="15" customHeight="1" x14ac:dyDescent="0.25">
      <c r="A128" s="5">
        <v>5835</v>
      </c>
      <c r="B128" s="5" t="s">
        <v>88</v>
      </c>
      <c r="C128" s="5" t="s">
        <v>912</v>
      </c>
      <c r="D128" s="5" t="s">
        <v>927</v>
      </c>
      <c r="E128" s="5" t="s">
        <v>878</v>
      </c>
      <c r="F128" s="5">
        <v>29</v>
      </c>
      <c r="G128" s="5">
        <v>5.95</v>
      </c>
      <c r="H128" s="5">
        <v>6.12</v>
      </c>
      <c r="I128" s="5">
        <v>2</v>
      </c>
      <c r="J128" s="5">
        <v>0</v>
      </c>
      <c r="K128" s="5">
        <v>0</v>
      </c>
      <c r="L128" s="5">
        <v>0</v>
      </c>
      <c r="M128" s="5">
        <v>0</v>
      </c>
      <c r="N128" s="5">
        <v>0</v>
      </c>
      <c r="O128" s="5">
        <v>0</v>
      </c>
      <c r="P128" s="5">
        <v>2</v>
      </c>
      <c r="Q128" s="5">
        <v>0</v>
      </c>
      <c r="R128" s="5">
        <v>0</v>
      </c>
    </row>
    <row r="129" spans="1:18" ht="15" customHeight="1" x14ac:dyDescent="0.25">
      <c r="A129" s="5">
        <v>7143</v>
      </c>
      <c r="B129" s="5" t="s">
        <v>88</v>
      </c>
      <c r="C129" s="5" t="s">
        <v>914</v>
      </c>
      <c r="D129" s="5" t="s">
        <v>928</v>
      </c>
      <c r="E129" s="5" t="s">
        <v>883</v>
      </c>
      <c r="F129" s="5">
        <v>35</v>
      </c>
      <c r="G129" s="5">
        <v>5.91</v>
      </c>
      <c r="H129" s="5">
        <v>5.94</v>
      </c>
      <c r="I129" s="5">
        <v>0</v>
      </c>
      <c r="J129" s="5">
        <v>0</v>
      </c>
      <c r="K129" s="5">
        <v>0</v>
      </c>
      <c r="L129" s="5">
        <v>0</v>
      </c>
      <c r="M129" s="5">
        <v>0</v>
      </c>
      <c r="N129" s="5">
        <v>0</v>
      </c>
      <c r="O129" s="5">
        <v>2</v>
      </c>
      <c r="P129" s="5">
        <v>2</v>
      </c>
      <c r="Q129" s="5">
        <v>0</v>
      </c>
      <c r="R129" s="5">
        <v>0</v>
      </c>
    </row>
    <row r="130" spans="1:18" ht="15" customHeight="1" x14ac:dyDescent="0.25">
      <c r="A130" s="5">
        <v>6642</v>
      </c>
      <c r="B130" s="5" t="s">
        <v>88</v>
      </c>
      <c r="C130" s="5" t="s">
        <v>912</v>
      </c>
      <c r="D130" s="5" t="s">
        <v>137</v>
      </c>
      <c r="E130" s="5" t="s">
        <v>81</v>
      </c>
      <c r="F130" s="5">
        <v>35</v>
      </c>
      <c r="G130" s="5">
        <v>5.84</v>
      </c>
      <c r="H130" s="5">
        <v>5.91</v>
      </c>
      <c r="I130" s="5">
        <v>1</v>
      </c>
      <c r="J130" s="5">
        <v>0</v>
      </c>
      <c r="K130" s="5">
        <v>0</v>
      </c>
      <c r="L130" s="5">
        <v>0</v>
      </c>
      <c r="M130" s="5">
        <v>0</v>
      </c>
      <c r="N130" s="5">
        <v>0</v>
      </c>
      <c r="O130" s="5">
        <v>1</v>
      </c>
      <c r="P130" s="5">
        <v>3</v>
      </c>
      <c r="Q130" s="5">
        <v>0</v>
      </c>
      <c r="R130" s="5">
        <v>0</v>
      </c>
    </row>
    <row r="131" spans="1:18" ht="15" customHeight="1" x14ac:dyDescent="0.25">
      <c r="A131" s="5">
        <v>7219</v>
      </c>
      <c r="B131" s="5" t="s">
        <v>88</v>
      </c>
      <c r="C131" s="5" t="s">
        <v>911</v>
      </c>
      <c r="D131" s="5" t="s">
        <v>142</v>
      </c>
      <c r="E131" s="5" t="s">
        <v>14</v>
      </c>
      <c r="F131" s="5">
        <v>22</v>
      </c>
      <c r="G131" s="5">
        <v>6.09</v>
      </c>
      <c r="H131" s="5">
        <v>6.16</v>
      </c>
      <c r="I131" s="5">
        <v>0</v>
      </c>
      <c r="J131" s="5">
        <v>0</v>
      </c>
      <c r="K131" s="5">
        <v>0</v>
      </c>
      <c r="L131" s="5">
        <v>0</v>
      </c>
      <c r="M131" s="5">
        <v>0</v>
      </c>
      <c r="N131" s="5">
        <v>0</v>
      </c>
      <c r="O131" s="5">
        <v>3</v>
      </c>
      <c r="P131" s="5">
        <v>3</v>
      </c>
      <c r="Q131" s="5">
        <v>0</v>
      </c>
      <c r="R131" s="5">
        <v>0</v>
      </c>
    </row>
    <row r="132" spans="1:18" ht="15" customHeight="1" x14ac:dyDescent="0.25">
      <c r="A132" s="5">
        <v>393</v>
      </c>
      <c r="B132" s="5" t="s">
        <v>88</v>
      </c>
      <c r="C132" s="5" t="s">
        <v>912</v>
      </c>
      <c r="D132" s="5" t="s">
        <v>929</v>
      </c>
      <c r="E132" s="5" t="s">
        <v>878</v>
      </c>
      <c r="F132" s="5">
        <v>34</v>
      </c>
      <c r="G132" s="5">
        <v>5.84</v>
      </c>
      <c r="H132" s="5">
        <v>5.9</v>
      </c>
      <c r="I132" s="5">
        <v>1</v>
      </c>
      <c r="J132" s="5">
        <v>0</v>
      </c>
      <c r="K132" s="5">
        <v>0</v>
      </c>
      <c r="L132" s="5">
        <v>0</v>
      </c>
      <c r="M132" s="5">
        <v>0</v>
      </c>
      <c r="N132" s="5">
        <v>0</v>
      </c>
      <c r="O132" s="5">
        <v>1</v>
      </c>
      <c r="P132" s="5">
        <v>4</v>
      </c>
      <c r="Q132" s="5">
        <v>0</v>
      </c>
      <c r="R132" s="5">
        <v>0</v>
      </c>
    </row>
    <row r="133" spans="1:18" ht="15" customHeight="1" x14ac:dyDescent="0.25">
      <c r="A133" s="5">
        <v>4433</v>
      </c>
      <c r="B133" s="5" t="s">
        <v>88</v>
      </c>
      <c r="C133" s="5" t="s">
        <v>911</v>
      </c>
      <c r="D133" s="5" t="s">
        <v>144</v>
      </c>
      <c r="E133" s="5" t="s">
        <v>24</v>
      </c>
      <c r="F133" s="5">
        <v>28</v>
      </c>
      <c r="G133" s="5">
        <v>5.86</v>
      </c>
      <c r="H133" s="5">
        <v>5.89</v>
      </c>
      <c r="I133" s="5">
        <v>0</v>
      </c>
      <c r="J133" s="5">
        <v>0</v>
      </c>
      <c r="K133" s="5">
        <v>0</v>
      </c>
      <c r="L133" s="5">
        <v>0</v>
      </c>
      <c r="M133" s="5">
        <v>0</v>
      </c>
      <c r="N133" s="5">
        <v>0</v>
      </c>
      <c r="O133" s="5">
        <v>2</v>
      </c>
      <c r="P133" s="5">
        <v>2</v>
      </c>
      <c r="Q133" s="5">
        <v>0</v>
      </c>
      <c r="R133" s="5">
        <v>0</v>
      </c>
    </row>
    <row r="134" spans="1:18" ht="15" customHeight="1" x14ac:dyDescent="0.25">
      <c r="A134" s="5">
        <v>4177</v>
      </c>
      <c r="B134" s="5" t="s">
        <v>88</v>
      </c>
      <c r="C134" s="5" t="s">
        <v>915</v>
      </c>
      <c r="D134" s="5" t="s">
        <v>150</v>
      </c>
      <c r="E134" s="5" t="s">
        <v>12</v>
      </c>
      <c r="F134" s="5">
        <v>1</v>
      </c>
      <c r="G134" s="5">
        <v>6.5</v>
      </c>
      <c r="H134" s="5">
        <v>6.5</v>
      </c>
      <c r="I134" s="5">
        <v>0</v>
      </c>
      <c r="J134" s="5">
        <v>0</v>
      </c>
      <c r="K134" s="5">
        <v>0</v>
      </c>
      <c r="L134" s="5">
        <v>0</v>
      </c>
      <c r="M134" s="5">
        <v>0</v>
      </c>
      <c r="N134" s="5">
        <v>0</v>
      </c>
      <c r="O134" s="5">
        <v>0</v>
      </c>
      <c r="P134" s="5">
        <v>0</v>
      </c>
      <c r="Q134" s="5">
        <v>0</v>
      </c>
      <c r="R134" s="5">
        <v>0</v>
      </c>
    </row>
    <row r="135" spans="1:18" ht="15" customHeight="1" x14ac:dyDescent="0.25">
      <c r="A135" s="5">
        <v>5833</v>
      </c>
      <c r="B135" s="5" t="s">
        <v>88</v>
      </c>
      <c r="C135" s="5" t="s">
        <v>912</v>
      </c>
      <c r="D135" s="5" t="s">
        <v>101</v>
      </c>
      <c r="E135" s="5" t="s">
        <v>30</v>
      </c>
      <c r="F135" s="5">
        <v>31</v>
      </c>
      <c r="G135" s="5">
        <v>6.03</v>
      </c>
      <c r="H135" s="5">
        <v>5.95</v>
      </c>
      <c r="I135" s="5">
        <v>0</v>
      </c>
      <c r="J135" s="5">
        <v>0</v>
      </c>
      <c r="K135" s="5">
        <v>0</v>
      </c>
      <c r="L135" s="5">
        <v>0</v>
      </c>
      <c r="M135" s="5">
        <v>0</v>
      </c>
      <c r="N135" s="5">
        <v>0</v>
      </c>
      <c r="O135" s="5">
        <v>0</v>
      </c>
      <c r="P135" s="5">
        <v>3</v>
      </c>
      <c r="Q135" s="5">
        <v>1</v>
      </c>
      <c r="R135" s="5">
        <v>0</v>
      </c>
    </row>
    <row r="136" spans="1:18" ht="15" customHeight="1" x14ac:dyDescent="0.25">
      <c r="A136" s="5">
        <v>460</v>
      </c>
      <c r="B136" s="5" t="s">
        <v>88</v>
      </c>
      <c r="C136" s="5" t="s">
        <v>912</v>
      </c>
      <c r="D136" s="5" t="s">
        <v>131</v>
      </c>
      <c r="E136" s="5" t="s">
        <v>30</v>
      </c>
      <c r="F136" s="5">
        <v>32</v>
      </c>
      <c r="G136" s="5">
        <v>6.03</v>
      </c>
      <c r="H136" s="5">
        <v>5.92</v>
      </c>
      <c r="I136" s="5">
        <v>0</v>
      </c>
      <c r="J136" s="5">
        <v>0</v>
      </c>
      <c r="K136" s="5">
        <v>0</v>
      </c>
      <c r="L136" s="5">
        <v>0</v>
      </c>
      <c r="M136" s="5">
        <v>0</v>
      </c>
      <c r="N136" s="5">
        <v>0</v>
      </c>
      <c r="O136" s="5">
        <v>0</v>
      </c>
      <c r="P136" s="5">
        <v>5</v>
      </c>
      <c r="Q136" s="5">
        <v>1</v>
      </c>
      <c r="R136" s="5">
        <v>0</v>
      </c>
    </row>
    <row r="137" spans="1:18" ht="15" customHeight="1" x14ac:dyDescent="0.25">
      <c r="A137" s="5">
        <v>2188</v>
      </c>
      <c r="B137" s="5" t="s">
        <v>88</v>
      </c>
      <c r="C137" s="5" t="s">
        <v>930</v>
      </c>
      <c r="D137" s="5" t="s">
        <v>152</v>
      </c>
      <c r="E137" s="5" t="s">
        <v>30</v>
      </c>
      <c r="F137" s="5">
        <v>33</v>
      </c>
      <c r="G137" s="5">
        <v>5.86</v>
      </c>
      <c r="H137" s="5">
        <v>5.97</v>
      </c>
      <c r="I137" s="5">
        <v>1</v>
      </c>
      <c r="J137" s="5">
        <v>0</v>
      </c>
      <c r="K137" s="5">
        <v>0</v>
      </c>
      <c r="L137" s="5">
        <v>0</v>
      </c>
      <c r="M137" s="5">
        <v>0</v>
      </c>
      <c r="N137" s="5">
        <v>0</v>
      </c>
      <c r="O137" s="5">
        <v>2</v>
      </c>
      <c r="P137" s="5">
        <v>1</v>
      </c>
      <c r="Q137" s="5">
        <v>1</v>
      </c>
      <c r="R137" s="5">
        <v>0</v>
      </c>
    </row>
    <row r="138" spans="1:18" ht="15" customHeight="1" x14ac:dyDescent="0.25">
      <c r="A138" s="5">
        <v>4751</v>
      </c>
      <c r="B138" s="5" t="s">
        <v>88</v>
      </c>
      <c r="C138" s="5" t="s">
        <v>912</v>
      </c>
      <c r="D138" s="5" t="s">
        <v>134</v>
      </c>
      <c r="E138" s="5" t="s">
        <v>18</v>
      </c>
      <c r="F138" s="5">
        <v>32</v>
      </c>
      <c r="G138" s="5">
        <v>5.97</v>
      </c>
      <c r="H138" s="5">
        <v>5.88</v>
      </c>
      <c r="I138" s="5">
        <v>0</v>
      </c>
      <c r="J138" s="5">
        <v>0</v>
      </c>
      <c r="K138" s="5">
        <v>0</v>
      </c>
      <c r="L138" s="5">
        <v>0</v>
      </c>
      <c r="M138" s="5">
        <v>0</v>
      </c>
      <c r="N138" s="5">
        <v>0</v>
      </c>
      <c r="O138" s="5">
        <v>1</v>
      </c>
      <c r="P138" s="5">
        <v>6</v>
      </c>
      <c r="Q138" s="5">
        <v>1</v>
      </c>
      <c r="R138" s="5">
        <v>0</v>
      </c>
    </row>
    <row r="139" spans="1:18" ht="15" customHeight="1" x14ac:dyDescent="0.25">
      <c r="A139" s="5">
        <v>2724</v>
      </c>
      <c r="B139" s="5" t="s">
        <v>88</v>
      </c>
      <c r="C139" s="5" t="s">
        <v>912</v>
      </c>
      <c r="D139" s="5" t="s">
        <v>135</v>
      </c>
      <c r="E139" s="5" t="s">
        <v>22</v>
      </c>
      <c r="F139" s="5">
        <v>32</v>
      </c>
      <c r="G139" s="5">
        <v>5.89</v>
      </c>
      <c r="H139" s="5">
        <v>5.88</v>
      </c>
      <c r="I139" s="5">
        <v>0</v>
      </c>
      <c r="J139" s="5">
        <v>0</v>
      </c>
      <c r="K139" s="5">
        <v>0</v>
      </c>
      <c r="L139" s="5">
        <v>0</v>
      </c>
      <c r="M139" s="5">
        <v>0</v>
      </c>
      <c r="N139" s="5">
        <v>0</v>
      </c>
      <c r="O139" s="5">
        <v>1</v>
      </c>
      <c r="P139" s="5">
        <v>3</v>
      </c>
      <c r="Q139" s="5">
        <v>0</v>
      </c>
      <c r="R139" s="5">
        <v>0</v>
      </c>
    </row>
    <row r="140" spans="1:18" ht="15" customHeight="1" x14ac:dyDescent="0.25">
      <c r="A140" s="5">
        <v>6663</v>
      </c>
      <c r="B140" s="5" t="s">
        <v>88</v>
      </c>
      <c r="C140" s="5" t="s">
        <v>912</v>
      </c>
      <c r="D140" s="5" t="s">
        <v>156</v>
      </c>
      <c r="E140" s="5" t="s">
        <v>38</v>
      </c>
      <c r="F140" s="5">
        <v>31</v>
      </c>
      <c r="G140" s="5">
        <v>5.92</v>
      </c>
      <c r="H140" s="5">
        <v>5.92</v>
      </c>
      <c r="I140" s="5">
        <v>1</v>
      </c>
      <c r="J140" s="5">
        <v>0</v>
      </c>
      <c r="K140" s="5">
        <v>0</v>
      </c>
      <c r="L140" s="5">
        <v>0</v>
      </c>
      <c r="M140" s="5">
        <v>0</v>
      </c>
      <c r="N140" s="5">
        <v>0</v>
      </c>
      <c r="O140" s="5">
        <v>0</v>
      </c>
      <c r="P140" s="5">
        <v>6</v>
      </c>
      <c r="Q140" s="5">
        <v>0</v>
      </c>
      <c r="R140" s="5">
        <v>0</v>
      </c>
    </row>
    <row r="141" spans="1:18" ht="15" customHeight="1" x14ac:dyDescent="0.25">
      <c r="A141" s="5">
        <v>7155</v>
      </c>
      <c r="B141" s="5" t="s">
        <v>88</v>
      </c>
      <c r="C141" s="5" t="s">
        <v>912</v>
      </c>
      <c r="D141" s="5" t="s">
        <v>931</v>
      </c>
      <c r="E141" s="5" t="s">
        <v>41</v>
      </c>
      <c r="F141" s="5">
        <v>32</v>
      </c>
      <c r="G141" s="5">
        <v>5.91</v>
      </c>
      <c r="H141" s="5">
        <v>5.89</v>
      </c>
      <c r="I141" s="5">
        <v>2</v>
      </c>
      <c r="J141" s="5">
        <v>0</v>
      </c>
      <c r="K141" s="5">
        <v>0</v>
      </c>
      <c r="L141" s="5">
        <v>0</v>
      </c>
      <c r="M141" s="5">
        <v>0</v>
      </c>
      <c r="N141" s="5">
        <v>0</v>
      </c>
      <c r="O141" s="5">
        <v>1</v>
      </c>
      <c r="P141" s="5">
        <v>7</v>
      </c>
      <c r="Q141" s="5">
        <v>0</v>
      </c>
      <c r="R141" s="5">
        <v>2</v>
      </c>
    </row>
    <row r="142" spans="1:18" ht="15" customHeight="1" x14ac:dyDescent="0.25">
      <c r="A142" s="5">
        <v>4665</v>
      </c>
      <c r="B142" s="5" t="s">
        <v>88</v>
      </c>
      <c r="C142" s="5" t="s">
        <v>912</v>
      </c>
      <c r="D142" s="5" t="s">
        <v>932</v>
      </c>
      <c r="E142" s="5" t="s">
        <v>81</v>
      </c>
      <c r="F142" s="5">
        <v>26</v>
      </c>
      <c r="G142" s="5">
        <v>5.94</v>
      </c>
      <c r="H142" s="5">
        <v>6.1</v>
      </c>
      <c r="I142" s="5">
        <v>2</v>
      </c>
      <c r="J142" s="5">
        <v>0</v>
      </c>
      <c r="K142" s="5">
        <v>0</v>
      </c>
      <c r="L142" s="5">
        <v>0</v>
      </c>
      <c r="M142" s="5">
        <v>0</v>
      </c>
      <c r="N142" s="5">
        <v>0</v>
      </c>
      <c r="O142" s="5">
        <v>0</v>
      </c>
      <c r="P142" s="5">
        <v>4</v>
      </c>
      <c r="Q142" s="5">
        <v>0</v>
      </c>
      <c r="R142" s="5">
        <v>0</v>
      </c>
    </row>
    <row r="143" spans="1:18" ht="15" customHeight="1" x14ac:dyDescent="0.25">
      <c r="A143" s="5">
        <v>6631</v>
      </c>
      <c r="B143" s="5" t="s">
        <v>88</v>
      </c>
      <c r="C143" s="5" t="s">
        <v>912</v>
      </c>
      <c r="D143" s="5" t="s">
        <v>190</v>
      </c>
      <c r="E143" s="5" t="s">
        <v>10</v>
      </c>
      <c r="F143" s="5">
        <v>21</v>
      </c>
      <c r="G143" s="5">
        <v>5.98</v>
      </c>
      <c r="H143" s="5">
        <v>5.95</v>
      </c>
      <c r="I143" s="5">
        <v>0</v>
      </c>
      <c r="J143" s="5">
        <v>0</v>
      </c>
      <c r="K143" s="5">
        <v>0</v>
      </c>
      <c r="L143" s="5">
        <v>0</v>
      </c>
      <c r="M143" s="5">
        <v>0</v>
      </c>
      <c r="N143" s="5">
        <v>0</v>
      </c>
      <c r="O143" s="5">
        <v>0</v>
      </c>
      <c r="P143" s="5">
        <v>1</v>
      </c>
      <c r="Q143" s="5">
        <v>0</v>
      </c>
      <c r="R143" s="5">
        <v>0</v>
      </c>
    </row>
    <row r="144" spans="1:18" ht="15" customHeight="1" x14ac:dyDescent="0.25">
      <c r="A144" s="5">
        <v>6480</v>
      </c>
      <c r="B144" s="5" t="s">
        <v>88</v>
      </c>
      <c r="C144" s="5" t="s">
        <v>920</v>
      </c>
      <c r="D144" s="5" t="s">
        <v>933</v>
      </c>
      <c r="E144" s="5" t="s">
        <v>880</v>
      </c>
      <c r="F144" s="5">
        <v>0</v>
      </c>
      <c r="G144" s="5">
        <v>0</v>
      </c>
      <c r="H144" s="5">
        <v>0</v>
      </c>
      <c r="I144" s="5">
        <v>0</v>
      </c>
      <c r="J144" s="5">
        <v>0</v>
      </c>
      <c r="K144" s="5">
        <v>0</v>
      </c>
      <c r="L144" s="5">
        <v>0</v>
      </c>
      <c r="M144" s="5">
        <v>0</v>
      </c>
      <c r="N144" s="5">
        <v>0</v>
      </c>
      <c r="O144" s="5">
        <v>0</v>
      </c>
      <c r="P144" s="5">
        <v>0</v>
      </c>
      <c r="Q144" s="5">
        <v>0</v>
      </c>
      <c r="R144" s="5">
        <v>0</v>
      </c>
    </row>
    <row r="145" spans="1:18" ht="15" customHeight="1" x14ac:dyDescent="0.25">
      <c r="A145" s="5">
        <v>6672</v>
      </c>
      <c r="B145" s="5" t="s">
        <v>88</v>
      </c>
      <c r="C145" s="5" t="s">
        <v>912</v>
      </c>
      <c r="D145" s="5" t="s">
        <v>136</v>
      </c>
      <c r="E145" s="5" t="s">
        <v>41</v>
      </c>
      <c r="F145" s="5">
        <v>35</v>
      </c>
      <c r="G145" s="5">
        <v>5.94</v>
      </c>
      <c r="H145" s="5">
        <v>5.9</v>
      </c>
      <c r="I145" s="5">
        <v>0</v>
      </c>
      <c r="J145" s="5">
        <v>0</v>
      </c>
      <c r="K145" s="5">
        <v>0</v>
      </c>
      <c r="L145" s="5">
        <v>0</v>
      </c>
      <c r="M145" s="5">
        <v>0</v>
      </c>
      <c r="N145" s="5">
        <v>0</v>
      </c>
      <c r="O145" s="5">
        <v>0</v>
      </c>
      <c r="P145" s="5">
        <v>3</v>
      </c>
      <c r="Q145" s="5">
        <v>0</v>
      </c>
      <c r="R145" s="5">
        <v>0</v>
      </c>
    </row>
    <row r="146" spans="1:18" ht="15" customHeight="1" x14ac:dyDescent="0.25">
      <c r="A146" s="5">
        <v>4137</v>
      </c>
      <c r="B146" s="5" t="s">
        <v>88</v>
      </c>
      <c r="C146" s="5" t="s">
        <v>912</v>
      </c>
      <c r="D146" s="5" t="s">
        <v>934</v>
      </c>
      <c r="E146" s="5" t="s">
        <v>16</v>
      </c>
      <c r="F146" s="5">
        <v>25</v>
      </c>
      <c r="G146" s="5">
        <v>6.14</v>
      </c>
      <c r="H146" s="5">
        <v>6.1</v>
      </c>
      <c r="I146" s="5">
        <v>1</v>
      </c>
      <c r="J146" s="5">
        <v>0</v>
      </c>
      <c r="K146" s="5">
        <v>0</v>
      </c>
      <c r="L146" s="5">
        <v>0</v>
      </c>
      <c r="M146" s="5">
        <v>0</v>
      </c>
      <c r="N146" s="5">
        <v>0</v>
      </c>
      <c r="O146" s="5">
        <v>0</v>
      </c>
      <c r="P146" s="5">
        <v>8</v>
      </c>
      <c r="Q146" s="5">
        <v>0</v>
      </c>
      <c r="R146" s="5">
        <v>0</v>
      </c>
    </row>
    <row r="147" spans="1:18" ht="15" customHeight="1" x14ac:dyDescent="0.25">
      <c r="A147" s="5">
        <v>6550</v>
      </c>
      <c r="B147" s="5" t="s">
        <v>88</v>
      </c>
      <c r="C147" s="5" t="s">
        <v>921</v>
      </c>
      <c r="D147" s="5" t="s">
        <v>935</v>
      </c>
      <c r="E147" s="5" t="s">
        <v>41</v>
      </c>
      <c r="F147" s="5">
        <v>12</v>
      </c>
      <c r="G147" s="5">
        <v>6.17</v>
      </c>
      <c r="H147" s="5">
        <v>6.46</v>
      </c>
      <c r="I147" s="5">
        <v>1</v>
      </c>
      <c r="J147" s="5">
        <v>0</v>
      </c>
      <c r="K147" s="5">
        <v>0</v>
      </c>
      <c r="L147" s="5">
        <v>0</v>
      </c>
      <c r="M147" s="5">
        <v>0</v>
      </c>
      <c r="N147" s="5">
        <v>0</v>
      </c>
      <c r="O147" s="5">
        <v>2</v>
      </c>
      <c r="P147" s="5">
        <v>3</v>
      </c>
      <c r="Q147" s="5">
        <v>0</v>
      </c>
      <c r="R147" s="5">
        <v>0</v>
      </c>
    </row>
    <row r="148" spans="1:18" ht="15" customHeight="1" x14ac:dyDescent="0.25">
      <c r="A148" s="5">
        <v>787</v>
      </c>
      <c r="B148" s="5" t="s">
        <v>88</v>
      </c>
      <c r="C148" s="5" t="s">
        <v>912</v>
      </c>
      <c r="D148" s="5" t="s">
        <v>126</v>
      </c>
      <c r="E148" s="5" t="s">
        <v>14</v>
      </c>
      <c r="F148" s="5">
        <v>33</v>
      </c>
      <c r="G148" s="5">
        <v>5.86</v>
      </c>
      <c r="H148" s="5">
        <v>5.8</v>
      </c>
      <c r="I148" s="5">
        <v>0</v>
      </c>
      <c r="J148" s="5">
        <v>0</v>
      </c>
      <c r="K148" s="5">
        <v>0</v>
      </c>
      <c r="L148" s="5">
        <v>0</v>
      </c>
      <c r="M148" s="5">
        <v>0</v>
      </c>
      <c r="N148" s="5">
        <v>0</v>
      </c>
      <c r="O148" s="5">
        <v>0</v>
      </c>
      <c r="P148" s="5">
        <v>4</v>
      </c>
      <c r="Q148" s="5">
        <v>0</v>
      </c>
      <c r="R148" s="5">
        <v>0</v>
      </c>
    </row>
    <row r="149" spans="1:18" ht="15" customHeight="1" x14ac:dyDescent="0.25">
      <c r="A149" s="5">
        <v>2640</v>
      </c>
      <c r="B149" s="5" t="s">
        <v>88</v>
      </c>
      <c r="C149" s="5" t="s">
        <v>921</v>
      </c>
      <c r="D149" s="5" t="s">
        <v>160</v>
      </c>
      <c r="E149" s="5" t="s">
        <v>14</v>
      </c>
      <c r="F149" s="5">
        <v>17</v>
      </c>
      <c r="G149" s="5">
        <v>6.03</v>
      </c>
      <c r="H149" s="5">
        <v>5.94</v>
      </c>
      <c r="I149" s="5">
        <v>0</v>
      </c>
      <c r="J149" s="5">
        <v>0</v>
      </c>
      <c r="K149" s="5">
        <v>0</v>
      </c>
      <c r="L149" s="5">
        <v>0</v>
      </c>
      <c r="M149" s="5">
        <v>0</v>
      </c>
      <c r="N149" s="5">
        <v>0</v>
      </c>
      <c r="O149" s="5">
        <v>0</v>
      </c>
      <c r="P149" s="5">
        <v>3</v>
      </c>
      <c r="Q149" s="5">
        <v>0</v>
      </c>
      <c r="R149" s="5">
        <v>0</v>
      </c>
    </row>
    <row r="150" spans="1:18" ht="15" customHeight="1" x14ac:dyDescent="0.25">
      <c r="A150" s="5">
        <v>6042</v>
      </c>
      <c r="B150" s="5" t="s">
        <v>88</v>
      </c>
      <c r="C150" s="5" t="s">
        <v>912</v>
      </c>
      <c r="D150" s="5" t="s">
        <v>113</v>
      </c>
      <c r="E150" s="5" t="s">
        <v>24</v>
      </c>
      <c r="F150" s="5">
        <v>28</v>
      </c>
      <c r="G150" s="5">
        <v>5.88</v>
      </c>
      <c r="H150" s="5">
        <v>5.89</v>
      </c>
      <c r="I150" s="5">
        <v>1</v>
      </c>
      <c r="J150" s="5">
        <v>0</v>
      </c>
      <c r="K150" s="5">
        <v>0</v>
      </c>
      <c r="L150" s="5">
        <v>0</v>
      </c>
      <c r="M150" s="5">
        <v>0</v>
      </c>
      <c r="N150" s="5">
        <v>0</v>
      </c>
      <c r="O150" s="5">
        <v>0</v>
      </c>
      <c r="P150" s="5">
        <v>5</v>
      </c>
      <c r="Q150" s="5">
        <v>0</v>
      </c>
      <c r="R150" s="5">
        <v>0</v>
      </c>
    </row>
    <row r="151" spans="1:18" ht="15" customHeight="1" x14ac:dyDescent="0.25">
      <c r="A151" s="5">
        <v>5701</v>
      </c>
      <c r="B151" s="5" t="s">
        <v>88</v>
      </c>
      <c r="C151" s="5" t="s">
        <v>919</v>
      </c>
      <c r="D151" s="5" t="s">
        <v>127</v>
      </c>
      <c r="E151" s="5" t="s">
        <v>26</v>
      </c>
      <c r="F151" s="5">
        <v>34</v>
      </c>
      <c r="G151" s="5">
        <v>5.88</v>
      </c>
      <c r="H151" s="5">
        <v>5.82</v>
      </c>
      <c r="I151" s="5">
        <v>0</v>
      </c>
      <c r="J151" s="5">
        <v>0</v>
      </c>
      <c r="K151" s="5">
        <v>0</v>
      </c>
      <c r="L151" s="5">
        <v>0</v>
      </c>
      <c r="M151" s="5">
        <v>0</v>
      </c>
      <c r="N151" s="5">
        <v>0</v>
      </c>
      <c r="O151" s="5">
        <v>3</v>
      </c>
      <c r="P151" s="5">
        <v>8</v>
      </c>
      <c r="Q151" s="5">
        <v>1</v>
      </c>
      <c r="R151" s="5">
        <v>0</v>
      </c>
    </row>
    <row r="152" spans="1:18" ht="15" customHeight="1" x14ac:dyDescent="0.25">
      <c r="A152" s="5">
        <v>6660</v>
      </c>
      <c r="B152" s="5" t="s">
        <v>88</v>
      </c>
      <c r="C152" s="5" t="s">
        <v>912</v>
      </c>
      <c r="D152" s="5" t="s">
        <v>149</v>
      </c>
      <c r="E152" s="5" t="s">
        <v>34</v>
      </c>
      <c r="F152" s="5">
        <v>31</v>
      </c>
      <c r="G152" s="5">
        <v>5.87</v>
      </c>
      <c r="H152" s="5">
        <v>5.84</v>
      </c>
      <c r="I152" s="5">
        <v>0</v>
      </c>
      <c r="J152" s="5">
        <v>0</v>
      </c>
      <c r="K152" s="5">
        <v>0</v>
      </c>
      <c r="L152" s="5">
        <v>0</v>
      </c>
      <c r="M152" s="5">
        <v>0</v>
      </c>
      <c r="N152" s="5">
        <v>0</v>
      </c>
      <c r="O152" s="5">
        <v>1</v>
      </c>
      <c r="P152" s="5">
        <v>4</v>
      </c>
      <c r="Q152" s="5">
        <v>0</v>
      </c>
      <c r="R152" s="5">
        <v>0</v>
      </c>
    </row>
    <row r="153" spans="1:18" ht="15" customHeight="1" x14ac:dyDescent="0.25">
      <c r="A153" s="5">
        <v>6814</v>
      </c>
      <c r="B153" s="5" t="s">
        <v>88</v>
      </c>
      <c r="C153" s="5" t="s">
        <v>920</v>
      </c>
      <c r="D153" s="5" t="s">
        <v>118</v>
      </c>
      <c r="E153" s="5" t="s">
        <v>34</v>
      </c>
      <c r="F153" s="5">
        <v>27</v>
      </c>
      <c r="G153" s="5">
        <v>5.93</v>
      </c>
      <c r="H153" s="5">
        <v>6.09</v>
      </c>
      <c r="I153" s="5">
        <v>2</v>
      </c>
      <c r="J153" s="5">
        <v>0</v>
      </c>
      <c r="K153" s="5">
        <v>0</v>
      </c>
      <c r="L153" s="5">
        <v>0</v>
      </c>
      <c r="M153" s="5">
        <v>0</v>
      </c>
      <c r="N153" s="5">
        <v>0</v>
      </c>
      <c r="O153" s="5">
        <v>1</v>
      </c>
      <c r="P153" s="5">
        <v>3</v>
      </c>
      <c r="Q153" s="5">
        <v>1</v>
      </c>
      <c r="R153" s="5">
        <v>0</v>
      </c>
    </row>
    <row r="154" spans="1:18" ht="15" customHeight="1" x14ac:dyDescent="0.25">
      <c r="A154" s="5">
        <v>7012</v>
      </c>
      <c r="B154" s="5" t="s">
        <v>88</v>
      </c>
      <c r="C154" s="5" t="s">
        <v>912</v>
      </c>
      <c r="D154" s="5" t="s">
        <v>208</v>
      </c>
      <c r="E154" s="5" t="s">
        <v>30</v>
      </c>
      <c r="F154" s="5">
        <v>23</v>
      </c>
      <c r="G154" s="5">
        <v>5.91</v>
      </c>
      <c r="H154" s="5">
        <v>5.85</v>
      </c>
      <c r="I154" s="5">
        <v>0</v>
      </c>
      <c r="J154" s="5">
        <v>0</v>
      </c>
      <c r="K154" s="5">
        <v>0</v>
      </c>
      <c r="L154" s="5">
        <v>0</v>
      </c>
      <c r="M154" s="5">
        <v>0</v>
      </c>
      <c r="N154" s="5">
        <v>0</v>
      </c>
      <c r="O154" s="5">
        <v>0</v>
      </c>
      <c r="P154" s="5">
        <v>3</v>
      </c>
      <c r="Q154" s="5">
        <v>0</v>
      </c>
      <c r="R154" s="5">
        <v>0</v>
      </c>
    </row>
    <row r="155" spans="1:18" ht="15" customHeight="1" x14ac:dyDescent="0.25">
      <c r="A155" s="5">
        <v>5812</v>
      </c>
      <c r="B155" s="5" t="s">
        <v>88</v>
      </c>
      <c r="C155" s="5" t="s">
        <v>930</v>
      </c>
      <c r="D155" s="5" t="s">
        <v>936</v>
      </c>
      <c r="E155" s="5" t="s">
        <v>878</v>
      </c>
      <c r="F155" s="5">
        <v>35</v>
      </c>
      <c r="G155" s="5">
        <v>5.86</v>
      </c>
      <c r="H155" s="5">
        <v>5.83</v>
      </c>
      <c r="I155" s="5">
        <v>2</v>
      </c>
      <c r="J155" s="5">
        <v>0</v>
      </c>
      <c r="K155" s="5">
        <v>0</v>
      </c>
      <c r="L155" s="5">
        <v>0</v>
      </c>
      <c r="M155" s="5">
        <v>0</v>
      </c>
      <c r="N155" s="5">
        <v>0</v>
      </c>
      <c r="O155" s="5">
        <v>0</v>
      </c>
      <c r="P155" s="5">
        <v>6</v>
      </c>
      <c r="Q155" s="5">
        <v>0</v>
      </c>
      <c r="R155" s="5">
        <v>2</v>
      </c>
    </row>
    <row r="156" spans="1:18" ht="15" customHeight="1" x14ac:dyDescent="0.25">
      <c r="A156" s="5">
        <v>6887</v>
      </c>
      <c r="B156" s="5" t="s">
        <v>88</v>
      </c>
      <c r="C156" s="5" t="s">
        <v>912</v>
      </c>
      <c r="D156" s="5" t="s">
        <v>937</v>
      </c>
      <c r="E156" s="5" t="s">
        <v>38</v>
      </c>
      <c r="F156" s="5">
        <v>0</v>
      </c>
      <c r="G156" s="5">
        <v>0</v>
      </c>
      <c r="H156" s="5">
        <v>0</v>
      </c>
      <c r="I156" s="5">
        <v>0</v>
      </c>
      <c r="J156" s="5">
        <v>0</v>
      </c>
      <c r="K156" s="5">
        <v>0</v>
      </c>
      <c r="L156" s="5">
        <v>0</v>
      </c>
      <c r="M156" s="5">
        <v>0</v>
      </c>
      <c r="N156" s="5">
        <v>0</v>
      </c>
      <c r="O156" s="5">
        <v>0</v>
      </c>
      <c r="P156" s="5">
        <v>0</v>
      </c>
      <c r="Q156" s="5">
        <v>0</v>
      </c>
      <c r="R156" s="5">
        <v>0</v>
      </c>
    </row>
    <row r="157" spans="1:18" ht="15" customHeight="1" x14ac:dyDescent="0.25">
      <c r="A157" s="5">
        <v>4772</v>
      </c>
      <c r="B157" s="5" t="s">
        <v>88</v>
      </c>
      <c r="C157" s="5" t="s">
        <v>911</v>
      </c>
      <c r="D157" s="5" t="s">
        <v>938</v>
      </c>
      <c r="E157" s="5" t="s">
        <v>10</v>
      </c>
      <c r="F157" s="5">
        <v>6</v>
      </c>
      <c r="G157" s="5">
        <v>5.83</v>
      </c>
      <c r="H157" s="5">
        <v>5.67</v>
      </c>
      <c r="I157" s="5">
        <v>0</v>
      </c>
      <c r="J157" s="5">
        <v>0</v>
      </c>
      <c r="K157" s="5">
        <v>0</v>
      </c>
      <c r="L157" s="5">
        <v>0</v>
      </c>
      <c r="M157" s="5">
        <v>0</v>
      </c>
      <c r="N157" s="5">
        <v>0</v>
      </c>
      <c r="O157" s="5">
        <v>0</v>
      </c>
      <c r="P157" s="5">
        <v>2</v>
      </c>
      <c r="Q157" s="5">
        <v>0</v>
      </c>
      <c r="R157" s="5">
        <v>0</v>
      </c>
    </row>
    <row r="158" spans="1:18" ht="15" customHeight="1" x14ac:dyDescent="0.25">
      <c r="A158" s="5">
        <v>6426</v>
      </c>
      <c r="B158" s="5" t="s">
        <v>88</v>
      </c>
      <c r="C158" s="5" t="s">
        <v>920</v>
      </c>
      <c r="D158" s="5" t="s">
        <v>176</v>
      </c>
      <c r="E158" s="5" t="s">
        <v>81</v>
      </c>
      <c r="F158" s="5">
        <v>28</v>
      </c>
      <c r="G158" s="5">
        <v>5.84</v>
      </c>
      <c r="H158" s="5">
        <v>5.96</v>
      </c>
      <c r="I158" s="5">
        <v>1</v>
      </c>
      <c r="J158" s="5">
        <v>0</v>
      </c>
      <c r="K158" s="5">
        <v>0</v>
      </c>
      <c r="L158" s="5">
        <v>0</v>
      </c>
      <c r="M158" s="5">
        <v>0</v>
      </c>
      <c r="N158" s="5">
        <v>0</v>
      </c>
      <c r="O158" s="5">
        <v>2</v>
      </c>
      <c r="P158" s="5">
        <v>3</v>
      </c>
      <c r="Q158" s="5">
        <v>0</v>
      </c>
      <c r="R158" s="5">
        <v>0</v>
      </c>
    </row>
    <row r="159" spans="1:18" ht="15" customHeight="1" x14ac:dyDescent="0.25">
      <c r="A159" s="5">
        <v>6047</v>
      </c>
      <c r="B159" s="5" t="s">
        <v>88</v>
      </c>
      <c r="C159" s="5" t="s">
        <v>920</v>
      </c>
      <c r="D159" s="5" t="s">
        <v>939</v>
      </c>
      <c r="E159" s="5" t="s">
        <v>32</v>
      </c>
      <c r="F159" s="5">
        <v>26</v>
      </c>
      <c r="G159" s="5">
        <v>5.83</v>
      </c>
      <c r="H159" s="5">
        <v>5.96</v>
      </c>
      <c r="I159" s="5">
        <v>2</v>
      </c>
      <c r="J159" s="5">
        <v>0</v>
      </c>
      <c r="K159" s="5">
        <v>0</v>
      </c>
      <c r="L159" s="5">
        <v>0</v>
      </c>
      <c r="M159" s="5">
        <v>0</v>
      </c>
      <c r="N159" s="5">
        <v>0</v>
      </c>
      <c r="O159" s="5">
        <v>0</v>
      </c>
      <c r="P159" s="5">
        <v>5</v>
      </c>
      <c r="Q159" s="5">
        <v>0</v>
      </c>
      <c r="R159" s="5">
        <v>0</v>
      </c>
    </row>
    <row r="160" spans="1:18" ht="15" customHeight="1" x14ac:dyDescent="0.25">
      <c r="A160" s="5">
        <v>6639</v>
      </c>
      <c r="B160" s="5" t="s">
        <v>88</v>
      </c>
      <c r="C160" s="5" t="s">
        <v>914</v>
      </c>
      <c r="D160" s="5" t="s">
        <v>940</v>
      </c>
      <c r="E160" s="5" t="s">
        <v>880</v>
      </c>
      <c r="F160" s="5">
        <v>31</v>
      </c>
      <c r="G160" s="5">
        <v>5.84</v>
      </c>
      <c r="H160" s="5">
        <v>5.84</v>
      </c>
      <c r="I160" s="5">
        <v>2</v>
      </c>
      <c r="J160" s="5">
        <v>0</v>
      </c>
      <c r="K160" s="5">
        <v>0</v>
      </c>
      <c r="L160" s="5">
        <v>0</v>
      </c>
      <c r="M160" s="5">
        <v>0</v>
      </c>
      <c r="N160" s="5">
        <v>0</v>
      </c>
      <c r="O160" s="5">
        <v>0</v>
      </c>
      <c r="P160" s="5">
        <v>8</v>
      </c>
      <c r="Q160" s="5">
        <v>0</v>
      </c>
      <c r="R160" s="5">
        <v>1</v>
      </c>
    </row>
    <row r="161" spans="1:18" ht="15" customHeight="1" x14ac:dyDescent="0.25">
      <c r="A161" s="5">
        <v>6046</v>
      </c>
      <c r="B161" s="5" t="s">
        <v>88</v>
      </c>
      <c r="C161" s="5" t="s">
        <v>912</v>
      </c>
      <c r="D161" s="5" t="s">
        <v>111</v>
      </c>
      <c r="E161" s="5" t="s">
        <v>14</v>
      </c>
      <c r="F161" s="5">
        <v>28</v>
      </c>
      <c r="G161" s="5">
        <v>5.91</v>
      </c>
      <c r="H161" s="5">
        <v>5.86</v>
      </c>
      <c r="I161" s="5">
        <v>1</v>
      </c>
      <c r="J161" s="5">
        <v>0</v>
      </c>
      <c r="K161" s="5">
        <v>0</v>
      </c>
      <c r="L161" s="5">
        <v>0</v>
      </c>
      <c r="M161" s="5">
        <v>0</v>
      </c>
      <c r="N161" s="5">
        <v>0</v>
      </c>
      <c r="O161" s="5">
        <v>0</v>
      </c>
      <c r="P161" s="5">
        <v>5</v>
      </c>
      <c r="Q161" s="5">
        <v>0</v>
      </c>
      <c r="R161" s="5">
        <v>1</v>
      </c>
    </row>
    <row r="162" spans="1:18" ht="15" customHeight="1" x14ac:dyDescent="0.25">
      <c r="A162" s="5">
        <v>5578</v>
      </c>
      <c r="B162" s="5" t="s">
        <v>88</v>
      </c>
      <c r="C162" s="5" t="s">
        <v>915</v>
      </c>
      <c r="D162" s="5" t="s">
        <v>200</v>
      </c>
      <c r="E162" s="5" t="s">
        <v>14</v>
      </c>
      <c r="F162" s="5">
        <v>16</v>
      </c>
      <c r="G162" s="5">
        <v>5.94</v>
      </c>
      <c r="H162" s="5">
        <v>6.09</v>
      </c>
      <c r="I162" s="5">
        <v>1</v>
      </c>
      <c r="J162" s="5">
        <v>0</v>
      </c>
      <c r="K162" s="5">
        <v>0</v>
      </c>
      <c r="L162" s="5">
        <v>0</v>
      </c>
      <c r="M162" s="5">
        <v>0</v>
      </c>
      <c r="N162" s="5">
        <v>0</v>
      </c>
      <c r="O162" s="5">
        <v>0</v>
      </c>
      <c r="P162" s="5">
        <v>1</v>
      </c>
      <c r="Q162" s="5">
        <v>0</v>
      </c>
      <c r="R162" s="5">
        <v>0</v>
      </c>
    </row>
    <row r="163" spans="1:18" ht="15" customHeight="1" x14ac:dyDescent="0.25">
      <c r="A163" s="5">
        <v>4887</v>
      </c>
      <c r="B163" s="5" t="s">
        <v>88</v>
      </c>
      <c r="C163" s="5" t="s">
        <v>911</v>
      </c>
      <c r="D163" s="5" t="s">
        <v>141</v>
      </c>
      <c r="E163" s="5" t="s">
        <v>14</v>
      </c>
      <c r="F163" s="5">
        <v>22</v>
      </c>
      <c r="G163" s="5">
        <v>5.82</v>
      </c>
      <c r="H163" s="5">
        <v>5.82</v>
      </c>
      <c r="I163" s="5">
        <v>0</v>
      </c>
      <c r="J163" s="5">
        <v>0</v>
      </c>
      <c r="K163" s="5">
        <v>0</v>
      </c>
      <c r="L163" s="5">
        <v>0</v>
      </c>
      <c r="M163" s="5">
        <v>0</v>
      </c>
      <c r="N163" s="5">
        <v>0</v>
      </c>
      <c r="O163" s="5">
        <v>1</v>
      </c>
      <c r="P163" s="5">
        <v>2</v>
      </c>
      <c r="Q163" s="5">
        <v>0</v>
      </c>
      <c r="R163" s="5">
        <v>0</v>
      </c>
    </row>
    <row r="164" spans="1:18" ht="15" customHeight="1" x14ac:dyDescent="0.25">
      <c r="A164" s="5">
        <v>4461</v>
      </c>
      <c r="B164" s="5" t="s">
        <v>88</v>
      </c>
      <c r="C164" s="5" t="s">
        <v>916</v>
      </c>
      <c r="D164" s="5" t="s">
        <v>179</v>
      </c>
      <c r="E164" s="5" t="s">
        <v>26</v>
      </c>
      <c r="F164" s="5">
        <v>25</v>
      </c>
      <c r="G164" s="5">
        <v>5.9</v>
      </c>
      <c r="H164" s="5">
        <v>5.98</v>
      </c>
      <c r="I164" s="5">
        <v>0</v>
      </c>
      <c r="J164" s="5">
        <v>0</v>
      </c>
      <c r="K164" s="5">
        <v>0</v>
      </c>
      <c r="L164" s="5">
        <v>0</v>
      </c>
      <c r="M164" s="5">
        <v>0</v>
      </c>
      <c r="N164" s="5">
        <v>0</v>
      </c>
      <c r="O164" s="5">
        <v>3</v>
      </c>
      <c r="P164" s="5">
        <v>2</v>
      </c>
      <c r="Q164" s="5">
        <v>0</v>
      </c>
      <c r="R164" s="5">
        <v>0</v>
      </c>
    </row>
    <row r="165" spans="1:18" ht="15" customHeight="1" x14ac:dyDescent="0.25">
      <c r="A165" s="5">
        <v>7014</v>
      </c>
      <c r="B165" s="5" t="s">
        <v>88</v>
      </c>
      <c r="C165" s="5" t="s">
        <v>915</v>
      </c>
      <c r="D165" s="5" t="s">
        <v>180</v>
      </c>
      <c r="E165" s="5" t="s">
        <v>16</v>
      </c>
      <c r="F165" s="5">
        <v>25</v>
      </c>
      <c r="G165" s="5">
        <v>5.96</v>
      </c>
      <c r="H165" s="5">
        <v>5.84</v>
      </c>
      <c r="I165" s="5">
        <v>0</v>
      </c>
      <c r="J165" s="5">
        <v>0</v>
      </c>
      <c r="K165" s="5">
        <v>0</v>
      </c>
      <c r="L165" s="5">
        <v>0</v>
      </c>
      <c r="M165" s="5">
        <v>0</v>
      </c>
      <c r="N165" s="5">
        <v>0</v>
      </c>
      <c r="O165" s="5">
        <v>1</v>
      </c>
      <c r="P165" s="5">
        <v>8</v>
      </c>
      <c r="Q165" s="5">
        <v>0</v>
      </c>
      <c r="R165" s="5">
        <v>0</v>
      </c>
    </row>
    <row r="166" spans="1:18" ht="15" customHeight="1" x14ac:dyDescent="0.25">
      <c r="A166" s="5">
        <v>6013</v>
      </c>
      <c r="B166" s="5" t="s">
        <v>88</v>
      </c>
      <c r="C166" s="5" t="s">
        <v>930</v>
      </c>
      <c r="D166" s="5" t="s">
        <v>941</v>
      </c>
      <c r="E166" s="5" t="s">
        <v>878</v>
      </c>
      <c r="F166" s="5">
        <v>26</v>
      </c>
      <c r="G166" s="5">
        <v>5.98</v>
      </c>
      <c r="H166" s="5">
        <v>5.87</v>
      </c>
      <c r="I166" s="5">
        <v>0</v>
      </c>
      <c r="J166" s="5">
        <v>0</v>
      </c>
      <c r="K166" s="5">
        <v>0</v>
      </c>
      <c r="L166" s="5">
        <v>0</v>
      </c>
      <c r="M166" s="5">
        <v>0</v>
      </c>
      <c r="N166" s="5">
        <v>0</v>
      </c>
      <c r="O166" s="5">
        <v>1</v>
      </c>
      <c r="P166" s="5">
        <v>8</v>
      </c>
      <c r="Q166" s="5">
        <v>0</v>
      </c>
      <c r="R166" s="5">
        <v>0</v>
      </c>
    </row>
    <row r="167" spans="1:18" ht="15" customHeight="1" x14ac:dyDescent="0.25">
      <c r="A167" s="5">
        <v>4378</v>
      </c>
      <c r="B167" s="5" t="s">
        <v>88</v>
      </c>
      <c r="C167" s="5" t="s">
        <v>919</v>
      </c>
      <c r="D167" s="5" t="s">
        <v>204</v>
      </c>
      <c r="E167" s="5" t="s">
        <v>20</v>
      </c>
      <c r="F167" s="5">
        <v>31</v>
      </c>
      <c r="G167" s="5">
        <v>5.85</v>
      </c>
      <c r="H167" s="5">
        <v>5.79</v>
      </c>
      <c r="I167" s="5">
        <v>1</v>
      </c>
      <c r="J167" s="5">
        <v>0</v>
      </c>
      <c r="K167" s="5">
        <v>0</v>
      </c>
      <c r="L167" s="5">
        <v>0</v>
      </c>
      <c r="M167" s="5">
        <v>0</v>
      </c>
      <c r="N167" s="5">
        <v>0</v>
      </c>
      <c r="O167" s="5">
        <v>0</v>
      </c>
      <c r="P167" s="5">
        <v>8</v>
      </c>
      <c r="Q167" s="5">
        <v>1</v>
      </c>
      <c r="R167" s="5">
        <v>0</v>
      </c>
    </row>
    <row r="168" spans="1:18" ht="15" customHeight="1" x14ac:dyDescent="0.25">
      <c r="A168" s="5">
        <v>5449</v>
      </c>
      <c r="B168" s="5" t="s">
        <v>88</v>
      </c>
      <c r="C168" s="5" t="s">
        <v>911</v>
      </c>
      <c r="D168" s="5" t="s">
        <v>166</v>
      </c>
      <c r="E168" s="5" t="s">
        <v>20</v>
      </c>
      <c r="F168" s="5">
        <v>23</v>
      </c>
      <c r="G168" s="5">
        <v>6.02</v>
      </c>
      <c r="H168" s="5">
        <v>5.98</v>
      </c>
      <c r="I168" s="5">
        <v>1</v>
      </c>
      <c r="J168" s="5">
        <v>0</v>
      </c>
      <c r="K168" s="5">
        <v>0</v>
      </c>
      <c r="L168" s="5">
        <v>0</v>
      </c>
      <c r="M168" s="5">
        <v>0</v>
      </c>
      <c r="N168" s="5">
        <v>0</v>
      </c>
      <c r="O168" s="5">
        <v>1</v>
      </c>
      <c r="P168" s="5">
        <v>6</v>
      </c>
      <c r="Q168" s="5">
        <v>0</v>
      </c>
      <c r="R168" s="5">
        <v>1</v>
      </c>
    </row>
    <row r="169" spans="1:18" ht="15" customHeight="1" x14ac:dyDescent="0.25">
      <c r="A169" s="5">
        <v>5739</v>
      </c>
      <c r="B169" s="5" t="s">
        <v>88</v>
      </c>
      <c r="C169" s="5" t="s">
        <v>915</v>
      </c>
      <c r="D169" s="5" t="s">
        <v>210</v>
      </c>
      <c r="E169" s="5" t="s">
        <v>18</v>
      </c>
      <c r="F169" s="5">
        <v>24</v>
      </c>
      <c r="G169" s="5">
        <v>5.75</v>
      </c>
      <c r="H169" s="5">
        <v>5.9</v>
      </c>
      <c r="I169" s="5">
        <v>1</v>
      </c>
      <c r="J169" s="5">
        <v>0</v>
      </c>
      <c r="K169" s="5">
        <v>0</v>
      </c>
      <c r="L169" s="5">
        <v>0</v>
      </c>
      <c r="M169" s="5">
        <v>0</v>
      </c>
      <c r="N169" s="5">
        <v>0</v>
      </c>
      <c r="O169" s="5">
        <v>1</v>
      </c>
      <c r="P169" s="5">
        <v>1</v>
      </c>
      <c r="Q169" s="5">
        <v>0</v>
      </c>
      <c r="R169" s="5">
        <v>0</v>
      </c>
    </row>
    <row r="170" spans="1:18" ht="15" customHeight="1" x14ac:dyDescent="0.25">
      <c r="A170" s="5">
        <v>6039</v>
      </c>
      <c r="B170" s="5" t="s">
        <v>88</v>
      </c>
      <c r="C170" s="5" t="s">
        <v>921</v>
      </c>
      <c r="D170" s="5" t="s">
        <v>248</v>
      </c>
      <c r="E170" s="5" t="s">
        <v>28</v>
      </c>
      <c r="F170" s="5">
        <v>9</v>
      </c>
      <c r="G170" s="5">
        <v>5.94</v>
      </c>
      <c r="H170" s="5">
        <v>6.56</v>
      </c>
      <c r="I170" s="5">
        <v>2</v>
      </c>
      <c r="J170" s="5">
        <v>0</v>
      </c>
      <c r="K170" s="5">
        <v>0</v>
      </c>
      <c r="L170" s="5">
        <v>0</v>
      </c>
      <c r="M170" s="5">
        <v>0</v>
      </c>
      <c r="N170" s="5">
        <v>0</v>
      </c>
      <c r="O170" s="5">
        <v>0</v>
      </c>
      <c r="P170" s="5">
        <v>1</v>
      </c>
      <c r="Q170" s="5">
        <v>0</v>
      </c>
      <c r="R170" s="5">
        <v>0</v>
      </c>
    </row>
    <row r="171" spans="1:18" ht="15" customHeight="1" x14ac:dyDescent="0.25">
      <c r="A171" s="5">
        <v>7175</v>
      </c>
      <c r="B171" s="5" t="s">
        <v>88</v>
      </c>
      <c r="C171" s="5" t="s">
        <v>911</v>
      </c>
      <c r="D171" s="5" t="s">
        <v>205</v>
      </c>
      <c r="E171" s="5" t="s">
        <v>24</v>
      </c>
      <c r="F171" s="5">
        <v>14</v>
      </c>
      <c r="G171" s="5">
        <v>5.79</v>
      </c>
      <c r="H171" s="5">
        <v>6</v>
      </c>
      <c r="I171" s="5">
        <v>1</v>
      </c>
      <c r="J171" s="5">
        <v>0</v>
      </c>
      <c r="K171" s="5">
        <v>0</v>
      </c>
      <c r="L171" s="5">
        <v>0</v>
      </c>
      <c r="M171" s="5">
        <v>0</v>
      </c>
      <c r="N171" s="5">
        <v>0</v>
      </c>
      <c r="O171" s="5">
        <v>1</v>
      </c>
      <c r="P171" s="5">
        <v>2</v>
      </c>
      <c r="Q171" s="5">
        <v>0</v>
      </c>
      <c r="R171" s="5">
        <v>0</v>
      </c>
    </row>
    <row r="172" spans="1:18" ht="15" customHeight="1" x14ac:dyDescent="0.25">
      <c r="A172" s="5">
        <v>5620</v>
      </c>
      <c r="B172" s="5" t="s">
        <v>88</v>
      </c>
      <c r="C172" s="5" t="s">
        <v>914</v>
      </c>
      <c r="D172" s="5" t="s">
        <v>151</v>
      </c>
      <c r="E172" s="5" t="s">
        <v>30</v>
      </c>
      <c r="F172" s="5">
        <v>22</v>
      </c>
      <c r="G172" s="5">
        <v>5.91</v>
      </c>
      <c r="H172" s="5">
        <v>5.8</v>
      </c>
      <c r="I172" s="5">
        <v>0</v>
      </c>
      <c r="J172" s="5">
        <v>0</v>
      </c>
      <c r="K172" s="5">
        <v>0</v>
      </c>
      <c r="L172" s="5">
        <v>0</v>
      </c>
      <c r="M172" s="5">
        <v>0</v>
      </c>
      <c r="N172" s="5">
        <v>0</v>
      </c>
      <c r="O172" s="5">
        <v>0</v>
      </c>
      <c r="P172" s="5">
        <v>5</v>
      </c>
      <c r="Q172" s="5">
        <v>0</v>
      </c>
      <c r="R172" s="5">
        <v>0</v>
      </c>
    </row>
    <row r="173" spans="1:18" ht="15" customHeight="1" x14ac:dyDescent="0.25">
      <c r="A173" s="5">
        <v>5527</v>
      </c>
      <c r="B173" s="5" t="s">
        <v>88</v>
      </c>
      <c r="C173" s="5" t="s">
        <v>920</v>
      </c>
      <c r="D173" s="5" t="s">
        <v>196</v>
      </c>
      <c r="E173" s="5" t="s">
        <v>32</v>
      </c>
      <c r="F173" s="5">
        <v>19</v>
      </c>
      <c r="G173" s="5">
        <v>6.05</v>
      </c>
      <c r="H173" s="5">
        <v>6.29</v>
      </c>
      <c r="I173" s="5">
        <v>1</v>
      </c>
      <c r="J173" s="5">
        <v>0</v>
      </c>
      <c r="K173" s="5">
        <v>0</v>
      </c>
      <c r="L173" s="5">
        <v>0</v>
      </c>
      <c r="M173" s="5">
        <v>0</v>
      </c>
      <c r="N173" s="5">
        <v>0</v>
      </c>
      <c r="O173" s="5">
        <v>2</v>
      </c>
      <c r="P173" s="5">
        <v>1</v>
      </c>
      <c r="Q173" s="5">
        <v>0</v>
      </c>
      <c r="R173" s="5">
        <v>0</v>
      </c>
    </row>
    <row r="174" spans="1:18" ht="15" customHeight="1" x14ac:dyDescent="0.25">
      <c r="A174" s="5">
        <v>2273</v>
      </c>
      <c r="B174" s="5" t="s">
        <v>88</v>
      </c>
      <c r="C174" s="5" t="s">
        <v>912</v>
      </c>
      <c r="D174" s="5" t="s">
        <v>942</v>
      </c>
      <c r="E174" s="5" t="s">
        <v>883</v>
      </c>
      <c r="F174" s="5">
        <v>35</v>
      </c>
      <c r="G174" s="5">
        <v>5.8</v>
      </c>
      <c r="H174" s="5">
        <v>5.77</v>
      </c>
      <c r="I174" s="5">
        <v>2</v>
      </c>
      <c r="J174" s="5">
        <v>0</v>
      </c>
      <c r="K174" s="5">
        <v>0</v>
      </c>
      <c r="L174" s="5">
        <v>0</v>
      </c>
      <c r="M174" s="5">
        <v>0</v>
      </c>
      <c r="N174" s="5">
        <v>0</v>
      </c>
      <c r="O174" s="5">
        <v>0</v>
      </c>
      <c r="P174" s="5">
        <v>10</v>
      </c>
      <c r="Q174" s="5">
        <v>0</v>
      </c>
      <c r="R174" s="5">
        <v>1</v>
      </c>
    </row>
    <row r="175" spans="1:18" ht="15" customHeight="1" x14ac:dyDescent="0.25">
      <c r="A175" s="5">
        <v>5010</v>
      </c>
      <c r="B175" s="5" t="s">
        <v>88</v>
      </c>
      <c r="C175" s="5" t="s">
        <v>912</v>
      </c>
      <c r="D175" s="5" t="s">
        <v>138</v>
      </c>
      <c r="E175" s="5" t="s">
        <v>81</v>
      </c>
      <c r="F175" s="5">
        <v>24</v>
      </c>
      <c r="G175" s="5">
        <v>5.92</v>
      </c>
      <c r="H175" s="5">
        <v>5.9</v>
      </c>
      <c r="I175" s="5">
        <v>0</v>
      </c>
      <c r="J175" s="5">
        <v>0</v>
      </c>
      <c r="K175" s="5">
        <v>0</v>
      </c>
      <c r="L175" s="5">
        <v>0</v>
      </c>
      <c r="M175" s="5">
        <v>0</v>
      </c>
      <c r="N175" s="5">
        <v>0</v>
      </c>
      <c r="O175" s="5">
        <v>2</v>
      </c>
      <c r="P175" s="5">
        <v>5</v>
      </c>
      <c r="Q175" s="5">
        <v>0</v>
      </c>
      <c r="R175" s="5">
        <v>0</v>
      </c>
    </row>
    <row r="176" spans="1:18" ht="15" customHeight="1" x14ac:dyDescent="0.25">
      <c r="A176" s="5">
        <v>5555</v>
      </c>
      <c r="B176" s="5" t="s">
        <v>88</v>
      </c>
      <c r="C176" s="5" t="s">
        <v>914</v>
      </c>
      <c r="D176" s="5" t="s">
        <v>158</v>
      </c>
      <c r="E176" s="5" t="s">
        <v>32</v>
      </c>
      <c r="F176" s="5">
        <v>26</v>
      </c>
      <c r="G176" s="5">
        <v>5.88</v>
      </c>
      <c r="H176" s="5">
        <v>5.87</v>
      </c>
      <c r="I176" s="5">
        <v>0</v>
      </c>
      <c r="J176" s="5">
        <v>0</v>
      </c>
      <c r="K176" s="5">
        <v>0</v>
      </c>
      <c r="L176" s="5">
        <v>0</v>
      </c>
      <c r="M176" s="5">
        <v>0</v>
      </c>
      <c r="N176" s="5">
        <v>0</v>
      </c>
      <c r="O176" s="5">
        <v>2</v>
      </c>
      <c r="P176" s="5">
        <v>5</v>
      </c>
      <c r="Q176" s="5">
        <v>0</v>
      </c>
      <c r="R176" s="5">
        <v>0</v>
      </c>
    </row>
    <row r="177" spans="1:18" ht="15" customHeight="1" x14ac:dyDescent="0.25">
      <c r="A177" s="5">
        <v>5532</v>
      </c>
      <c r="B177" s="5" t="s">
        <v>88</v>
      </c>
      <c r="C177" s="5" t="s">
        <v>914</v>
      </c>
      <c r="D177" s="5" t="s">
        <v>943</v>
      </c>
      <c r="E177" s="5" t="s">
        <v>880</v>
      </c>
      <c r="F177" s="5">
        <v>29</v>
      </c>
      <c r="G177" s="5">
        <v>5.81</v>
      </c>
      <c r="H177" s="5">
        <v>5.84</v>
      </c>
      <c r="I177" s="5">
        <v>0</v>
      </c>
      <c r="J177" s="5">
        <v>0</v>
      </c>
      <c r="K177" s="5">
        <v>0</v>
      </c>
      <c r="L177" s="5">
        <v>0</v>
      </c>
      <c r="M177" s="5">
        <v>0</v>
      </c>
      <c r="N177" s="5">
        <v>0</v>
      </c>
      <c r="O177" s="5">
        <v>2</v>
      </c>
      <c r="P177" s="5">
        <v>2</v>
      </c>
      <c r="Q177" s="5">
        <v>0</v>
      </c>
      <c r="R177" s="5">
        <v>0</v>
      </c>
    </row>
    <row r="178" spans="1:18" ht="15" customHeight="1" x14ac:dyDescent="0.25">
      <c r="A178" s="5">
        <v>7240</v>
      </c>
      <c r="B178" s="5" t="s">
        <v>88</v>
      </c>
      <c r="C178" s="5" t="s">
        <v>912</v>
      </c>
      <c r="D178" s="5" t="s">
        <v>185</v>
      </c>
      <c r="E178" s="5" t="s">
        <v>36</v>
      </c>
      <c r="F178" s="5">
        <v>19</v>
      </c>
      <c r="G178" s="5">
        <v>5.68</v>
      </c>
      <c r="H178" s="5">
        <v>5.76</v>
      </c>
      <c r="I178" s="5">
        <v>1</v>
      </c>
      <c r="J178" s="5">
        <v>0</v>
      </c>
      <c r="K178" s="5">
        <v>0</v>
      </c>
      <c r="L178" s="5">
        <v>0</v>
      </c>
      <c r="M178" s="5">
        <v>0</v>
      </c>
      <c r="N178" s="5">
        <v>0</v>
      </c>
      <c r="O178" s="5">
        <v>0</v>
      </c>
      <c r="P178" s="5">
        <v>3</v>
      </c>
      <c r="Q178" s="5">
        <v>0</v>
      </c>
      <c r="R178" s="5">
        <v>0</v>
      </c>
    </row>
    <row r="179" spans="1:18" ht="15" customHeight="1" x14ac:dyDescent="0.25">
      <c r="A179" s="5">
        <v>7352</v>
      </c>
      <c r="B179" s="5" t="s">
        <v>88</v>
      </c>
      <c r="C179" s="5" t="s">
        <v>912</v>
      </c>
      <c r="D179" s="5" t="s">
        <v>944</v>
      </c>
      <c r="E179" s="5" t="s">
        <v>880</v>
      </c>
      <c r="F179" s="5">
        <v>15</v>
      </c>
      <c r="G179" s="5">
        <v>5.97</v>
      </c>
      <c r="H179" s="5">
        <v>5.73</v>
      </c>
      <c r="I179" s="5">
        <v>0</v>
      </c>
      <c r="J179" s="5">
        <v>0</v>
      </c>
      <c r="K179" s="5">
        <v>0</v>
      </c>
      <c r="L179" s="5">
        <v>0</v>
      </c>
      <c r="M179" s="5">
        <v>0</v>
      </c>
      <c r="N179" s="5">
        <v>0</v>
      </c>
      <c r="O179" s="5">
        <v>0</v>
      </c>
      <c r="P179" s="5">
        <v>3</v>
      </c>
      <c r="Q179" s="5">
        <v>0</v>
      </c>
      <c r="R179" s="5">
        <v>1</v>
      </c>
    </row>
    <row r="180" spans="1:18" ht="15" customHeight="1" x14ac:dyDescent="0.25">
      <c r="A180" s="5">
        <v>7125</v>
      </c>
      <c r="B180" s="5" t="s">
        <v>88</v>
      </c>
      <c r="C180" s="5" t="s">
        <v>914</v>
      </c>
      <c r="D180" s="5" t="s">
        <v>203</v>
      </c>
      <c r="E180" s="5" t="s">
        <v>26</v>
      </c>
      <c r="F180" s="5">
        <v>17</v>
      </c>
      <c r="G180" s="5">
        <v>5.82</v>
      </c>
      <c r="H180" s="5">
        <v>6.09</v>
      </c>
      <c r="I180" s="5">
        <v>2</v>
      </c>
      <c r="J180" s="5">
        <v>0</v>
      </c>
      <c r="K180" s="5">
        <v>0</v>
      </c>
      <c r="L180" s="5">
        <v>0</v>
      </c>
      <c r="M180" s="5">
        <v>0</v>
      </c>
      <c r="N180" s="5">
        <v>0</v>
      </c>
      <c r="O180" s="5">
        <v>0</v>
      </c>
      <c r="P180" s="5">
        <v>3</v>
      </c>
      <c r="Q180" s="5">
        <v>0</v>
      </c>
      <c r="R180" s="5">
        <v>0</v>
      </c>
    </row>
    <row r="181" spans="1:18" ht="15" customHeight="1" x14ac:dyDescent="0.25">
      <c r="A181" s="5">
        <v>6230</v>
      </c>
      <c r="B181" s="5" t="s">
        <v>88</v>
      </c>
      <c r="C181" s="5" t="s">
        <v>912</v>
      </c>
      <c r="D181" s="5" t="s">
        <v>945</v>
      </c>
      <c r="E181" s="5" t="s">
        <v>26</v>
      </c>
      <c r="F181" s="5">
        <v>11</v>
      </c>
      <c r="G181" s="5">
        <v>5.82</v>
      </c>
      <c r="H181" s="5">
        <v>5.68</v>
      </c>
      <c r="I181" s="5">
        <v>0</v>
      </c>
      <c r="J181" s="5">
        <v>0</v>
      </c>
      <c r="K181" s="5">
        <v>0</v>
      </c>
      <c r="L181" s="5">
        <v>0</v>
      </c>
      <c r="M181" s="5">
        <v>0</v>
      </c>
      <c r="N181" s="5">
        <v>0</v>
      </c>
      <c r="O181" s="5">
        <v>1</v>
      </c>
      <c r="P181" s="5">
        <v>5</v>
      </c>
      <c r="Q181" s="5">
        <v>0</v>
      </c>
      <c r="R181" s="5">
        <v>0</v>
      </c>
    </row>
    <row r="182" spans="1:18" ht="15" customHeight="1" x14ac:dyDescent="0.25">
      <c r="A182" s="5">
        <v>6896</v>
      </c>
      <c r="B182" s="5" t="s">
        <v>88</v>
      </c>
      <c r="C182" s="5" t="s">
        <v>920</v>
      </c>
      <c r="D182" s="5" t="s">
        <v>223</v>
      </c>
      <c r="E182" s="5" t="s">
        <v>16</v>
      </c>
      <c r="F182" s="5">
        <v>14</v>
      </c>
      <c r="G182" s="5">
        <v>5.96</v>
      </c>
      <c r="H182" s="5">
        <v>5.96</v>
      </c>
      <c r="I182" s="5">
        <v>0</v>
      </c>
      <c r="J182" s="5">
        <v>0</v>
      </c>
      <c r="K182" s="5">
        <v>0</v>
      </c>
      <c r="L182" s="5">
        <v>0</v>
      </c>
      <c r="M182" s="5">
        <v>0</v>
      </c>
      <c r="N182" s="5">
        <v>0</v>
      </c>
      <c r="O182" s="5">
        <v>1</v>
      </c>
      <c r="P182" s="5">
        <v>2</v>
      </c>
      <c r="Q182" s="5">
        <v>0</v>
      </c>
      <c r="R182" s="5">
        <v>0</v>
      </c>
    </row>
    <row r="183" spans="1:18" ht="15" customHeight="1" x14ac:dyDescent="0.25">
      <c r="A183" s="5">
        <v>7131</v>
      </c>
      <c r="B183" s="5" t="s">
        <v>88</v>
      </c>
      <c r="C183" s="5" t="s">
        <v>920</v>
      </c>
      <c r="D183" s="5" t="s">
        <v>209</v>
      </c>
      <c r="E183" s="5" t="s">
        <v>878</v>
      </c>
      <c r="F183" s="5">
        <v>23</v>
      </c>
      <c r="G183" s="5">
        <v>5.72</v>
      </c>
      <c r="H183" s="5">
        <v>5.72</v>
      </c>
      <c r="I183" s="5">
        <v>0</v>
      </c>
      <c r="J183" s="5">
        <v>0</v>
      </c>
      <c r="K183" s="5">
        <v>0</v>
      </c>
      <c r="L183" s="5">
        <v>0</v>
      </c>
      <c r="M183" s="5">
        <v>0</v>
      </c>
      <c r="N183" s="5">
        <v>0</v>
      </c>
      <c r="O183" s="5">
        <v>1</v>
      </c>
      <c r="P183" s="5">
        <v>2</v>
      </c>
      <c r="Q183" s="5">
        <v>0</v>
      </c>
      <c r="R183" s="5">
        <v>0</v>
      </c>
    </row>
    <row r="184" spans="1:18" ht="15" customHeight="1" x14ac:dyDescent="0.25">
      <c r="A184" s="5">
        <v>5603</v>
      </c>
      <c r="B184" s="5" t="s">
        <v>88</v>
      </c>
      <c r="C184" s="5" t="s">
        <v>912</v>
      </c>
      <c r="D184" s="5" t="s">
        <v>181</v>
      </c>
      <c r="E184" s="5" t="s">
        <v>20</v>
      </c>
      <c r="F184" s="5">
        <v>35</v>
      </c>
      <c r="G184" s="5">
        <v>5.84</v>
      </c>
      <c r="H184" s="5">
        <v>5.67</v>
      </c>
      <c r="I184" s="5">
        <v>0</v>
      </c>
      <c r="J184" s="5">
        <v>0</v>
      </c>
      <c r="K184" s="5">
        <v>0</v>
      </c>
      <c r="L184" s="5">
        <v>0</v>
      </c>
      <c r="M184" s="5">
        <v>0</v>
      </c>
      <c r="N184" s="5">
        <v>0</v>
      </c>
      <c r="O184" s="5">
        <v>0</v>
      </c>
      <c r="P184" s="5">
        <v>12</v>
      </c>
      <c r="Q184" s="5">
        <v>0</v>
      </c>
      <c r="R184" s="5">
        <v>0</v>
      </c>
    </row>
    <row r="185" spans="1:18" ht="15" customHeight="1" x14ac:dyDescent="0.25">
      <c r="A185" s="5">
        <v>513</v>
      </c>
      <c r="B185" s="5" t="s">
        <v>88</v>
      </c>
      <c r="C185" s="5" t="s">
        <v>912</v>
      </c>
      <c r="D185" s="5" t="s">
        <v>946</v>
      </c>
      <c r="E185" s="5" t="s">
        <v>12</v>
      </c>
      <c r="F185" s="5">
        <v>16</v>
      </c>
      <c r="G185" s="5">
        <v>6.03</v>
      </c>
      <c r="H185" s="5">
        <v>5.94</v>
      </c>
      <c r="I185" s="5">
        <v>0</v>
      </c>
      <c r="J185" s="5">
        <v>0</v>
      </c>
      <c r="K185" s="5">
        <v>0</v>
      </c>
      <c r="L185" s="5">
        <v>0</v>
      </c>
      <c r="M185" s="5">
        <v>0</v>
      </c>
      <c r="N185" s="5">
        <v>0</v>
      </c>
      <c r="O185" s="5">
        <v>0</v>
      </c>
      <c r="P185" s="5">
        <v>3</v>
      </c>
      <c r="Q185" s="5">
        <v>0</v>
      </c>
      <c r="R185" s="5">
        <v>0</v>
      </c>
    </row>
    <row r="186" spans="1:18" ht="15" customHeight="1" x14ac:dyDescent="0.25">
      <c r="A186" s="5">
        <v>5831</v>
      </c>
      <c r="B186" s="5" t="s">
        <v>88</v>
      </c>
      <c r="C186" s="5" t="s">
        <v>912</v>
      </c>
      <c r="D186" s="5" t="s">
        <v>184</v>
      </c>
      <c r="E186" s="5" t="s">
        <v>28</v>
      </c>
      <c r="F186" s="5">
        <v>16</v>
      </c>
      <c r="G186" s="5">
        <v>5.94</v>
      </c>
      <c r="H186" s="5">
        <v>6.22</v>
      </c>
      <c r="I186" s="5">
        <v>2</v>
      </c>
      <c r="J186" s="5">
        <v>0</v>
      </c>
      <c r="K186" s="5">
        <v>0</v>
      </c>
      <c r="L186" s="5">
        <v>0</v>
      </c>
      <c r="M186" s="5">
        <v>0</v>
      </c>
      <c r="N186" s="5">
        <v>0</v>
      </c>
      <c r="O186" s="5">
        <v>0</v>
      </c>
      <c r="P186" s="5">
        <v>3</v>
      </c>
      <c r="Q186" s="5">
        <v>0</v>
      </c>
      <c r="R186" s="5">
        <v>0</v>
      </c>
    </row>
    <row r="187" spans="1:18" ht="15" customHeight="1" x14ac:dyDescent="0.25">
      <c r="A187" s="5">
        <v>2728</v>
      </c>
      <c r="B187" s="5" t="s">
        <v>88</v>
      </c>
      <c r="C187" s="5" t="s">
        <v>914</v>
      </c>
      <c r="D187" s="5" t="s">
        <v>228</v>
      </c>
      <c r="E187" s="5" t="s">
        <v>30</v>
      </c>
      <c r="F187" s="5">
        <v>24</v>
      </c>
      <c r="G187" s="5">
        <v>5.85</v>
      </c>
      <c r="H187" s="5">
        <v>5.81</v>
      </c>
      <c r="I187" s="5">
        <v>1</v>
      </c>
      <c r="J187" s="5">
        <v>0</v>
      </c>
      <c r="K187" s="5">
        <v>0</v>
      </c>
      <c r="L187" s="5">
        <v>0</v>
      </c>
      <c r="M187" s="5">
        <v>0</v>
      </c>
      <c r="N187" s="5">
        <v>0</v>
      </c>
      <c r="O187" s="5">
        <v>0</v>
      </c>
      <c r="P187" s="5">
        <v>8</v>
      </c>
      <c r="Q187" s="5">
        <v>0</v>
      </c>
      <c r="R187" s="5">
        <v>0</v>
      </c>
    </row>
    <row r="188" spans="1:18" ht="15" customHeight="1" x14ac:dyDescent="0.25">
      <c r="A188" s="5">
        <v>6990</v>
      </c>
      <c r="B188" s="5" t="s">
        <v>88</v>
      </c>
      <c r="C188" s="5" t="s">
        <v>920</v>
      </c>
      <c r="D188" s="5" t="s">
        <v>173</v>
      </c>
      <c r="E188" s="5" t="s">
        <v>36</v>
      </c>
      <c r="F188" s="5">
        <v>36</v>
      </c>
      <c r="G188" s="5">
        <v>5.82</v>
      </c>
      <c r="H188" s="5">
        <v>5.69</v>
      </c>
      <c r="I188" s="5">
        <v>0</v>
      </c>
      <c r="J188" s="5">
        <v>0</v>
      </c>
      <c r="K188" s="5">
        <v>0</v>
      </c>
      <c r="L188" s="5">
        <v>0</v>
      </c>
      <c r="M188" s="5">
        <v>0</v>
      </c>
      <c r="N188" s="5">
        <v>0</v>
      </c>
      <c r="O188" s="5">
        <v>0</v>
      </c>
      <c r="P188" s="5">
        <v>9</v>
      </c>
      <c r="Q188" s="5">
        <v>0</v>
      </c>
      <c r="R188" s="5">
        <v>0</v>
      </c>
    </row>
    <row r="189" spans="1:18" ht="15" customHeight="1" x14ac:dyDescent="0.25">
      <c r="A189" s="5">
        <v>4401</v>
      </c>
      <c r="B189" s="5" t="s">
        <v>88</v>
      </c>
      <c r="C189" s="5" t="s">
        <v>912</v>
      </c>
      <c r="D189" s="5" t="s">
        <v>133</v>
      </c>
      <c r="E189" s="5" t="s">
        <v>18</v>
      </c>
      <c r="F189" s="5">
        <v>29</v>
      </c>
      <c r="G189" s="5">
        <v>5.91</v>
      </c>
      <c r="H189" s="5">
        <v>5.84</v>
      </c>
      <c r="I189" s="5">
        <v>0</v>
      </c>
      <c r="J189" s="5">
        <v>0</v>
      </c>
      <c r="K189" s="5">
        <v>0</v>
      </c>
      <c r="L189" s="5">
        <v>0</v>
      </c>
      <c r="M189" s="5">
        <v>0</v>
      </c>
      <c r="N189" s="5">
        <v>0</v>
      </c>
      <c r="O189" s="5">
        <v>0</v>
      </c>
      <c r="P189" s="5">
        <v>4</v>
      </c>
      <c r="Q189" s="5">
        <v>0</v>
      </c>
      <c r="R189" s="5">
        <v>0</v>
      </c>
    </row>
    <row r="190" spans="1:18" ht="15" customHeight="1" x14ac:dyDescent="0.25">
      <c r="A190" s="5">
        <v>6531</v>
      </c>
      <c r="B190" s="5" t="s">
        <v>88</v>
      </c>
      <c r="C190" s="5" t="s">
        <v>930</v>
      </c>
      <c r="D190" s="5" t="s">
        <v>117</v>
      </c>
      <c r="E190" s="5" t="s">
        <v>18</v>
      </c>
      <c r="F190" s="5">
        <v>1</v>
      </c>
      <c r="G190" s="5">
        <v>5.5</v>
      </c>
      <c r="H190" s="5">
        <v>5</v>
      </c>
      <c r="I190" s="5">
        <v>0</v>
      </c>
      <c r="J190" s="5">
        <v>0</v>
      </c>
      <c r="K190" s="5">
        <v>0</v>
      </c>
      <c r="L190" s="5">
        <v>0</v>
      </c>
      <c r="M190" s="5">
        <v>0</v>
      </c>
      <c r="N190" s="5">
        <v>0</v>
      </c>
      <c r="O190" s="5">
        <v>0</v>
      </c>
      <c r="P190" s="5">
        <v>1</v>
      </c>
      <c r="Q190" s="5">
        <v>0</v>
      </c>
      <c r="R190" s="5">
        <v>0</v>
      </c>
    </row>
    <row r="191" spans="1:18" ht="15" customHeight="1" x14ac:dyDescent="0.25">
      <c r="A191" s="5">
        <v>5840</v>
      </c>
      <c r="B191" s="5" t="s">
        <v>88</v>
      </c>
      <c r="C191" s="5" t="s">
        <v>914</v>
      </c>
      <c r="D191" s="5" t="s">
        <v>174</v>
      </c>
      <c r="E191" s="5" t="s">
        <v>22</v>
      </c>
      <c r="F191" s="5">
        <v>22</v>
      </c>
      <c r="G191" s="5">
        <v>5.75</v>
      </c>
      <c r="H191" s="5">
        <v>5.68</v>
      </c>
      <c r="I191" s="5">
        <v>0</v>
      </c>
      <c r="J191" s="5">
        <v>0</v>
      </c>
      <c r="K191" s="5">
        <v>0</v>
      </c>
      <c r="L191" s="5">
        <v>0</v>
      </c>
      <c r="M191" s="5">
        <v>0</v>
      </c>
      <c r="N191" s="5">
        <v>0</v>
      </c>
      <c r="O191" s="5">
        <v>0</v>
      </c>
      <c r="P191" s="5">
        <v>3</v>
      </c>
      <c r="Q191" s="5">
        <v>0</v>
      </c>
      <c r="R191" s="5">
        <v>0</v>
      </c>
    </row>
    <row r="192" spans="1:18" ht="15" customHeight="1" x14ac:dyDescent="0.25">
      <c r="A192" s="5">
        <v>5307</v>
      </c>
      <c r="B192" s="5" t="s">
        <v>88</v>
      </c>
      <c r="C192" s="5" t="s">
        <v>912</v>
      </c>
      <c r="D192" s="5" t="s">
        <v>189</v>
      </c>
      <c r="E192" s="5" t="s">
        <v>38</v>
      </c>
      <c r="F192" s="5">
        <v>27</v>
      </c>
      <c r="G192" s="5">
        <v>5.96</v>
      </c>
      <c r="H192" s="5">
        <v>5.83</v>
      </c>
      <c r="I192" s="5">
        <v>0</v>
      </c>
      <c r="J192" s="5">
        <v>0</v>
      </c>
      <c r="K192" s="5">
        <v>0</v>
      </c>
      <c r="L192" s="5">
        <v>0</v>
      </c>
      <c r="M192" s="5">
        <v>0</v>
      </c>
      <c r="N192" s="5">
        <v>0</v>
      </c>
      <c r="O192" s="5">
        <v>0</v>
      </c>
      <c r="P192" s="5">
        <v>7</v>
      </c>
      <c r="Q192" s="5">
        <v>0</v>
      </c>
      <c r="R192" s="5">
        <v>0</v>
      </c>
    </row>
    <row r="193" spans="1:18" ht="15" customHeight="1" x14ac:dyDescent="0.25">
      <c r="A193" s="5">
        <v>7139</v>
      </c>
      <c r="B193" s="5" t="s">
        <v>88</v>
      </c>
      <c r="C193" s="5" t="s">
        <v>912</v>
      </c>
      <c r="D193" s="5" t="s">
        <v>947</v>
      </c>
      <c r="E193" s="5" t="s">
        <v>883</v>
      </c>
      <c r="F193" s="5">
        <v>37</v>
      </c>
      <c r="G193" s="5">
        <v>5.69</v>
      </c>
      <c r="H193" s="5">
        <v>5.72</v>
      </c>
      <c r="I193" s="5">
        <v>1</v>
      </c>
      <c r="J193" s="5">
        <v>0</v>
      </c>
      <c r="K193" s="5">
        <v>0</v>
      </c>
      <c r="L193" s="5">
        <v>0</v>
      </c>
      <c r="M193" s="5">
        <v>0</v>
      </c>
      <c r="N193" s="5">
        <v>0</v>
      </c>
      <c r="O193" s="5">
        <v>0</v>
      </c>
      <c r="P193" s="5">
        <v>4</v>
      </c>
      <c r="Q193" s="5">
        <v>0</v>
      </c>
      <c r="R193" s="5">
        <v>0</v>
      </c>
    </row>
    <row r="194" spans="1:18" ht="15" customHeight="1" x14ac:dyDescent="0.25">
      <c r="A194" s="5">
        <v>4374</v>
      </c>
      <c r="B194" s="5" t="s">
        <v>88</v>
      </c>
      <c r="C194" s="5" t="s">
        <v>915</v>
      </c>
      <c r="D194" s="5" t="s">
        <v>191</v>
      </c>
      <c r="E194" s="5" t="s">
        <v>41</v>
      </c>
      <c r="F194" s="5">
        <v>34</v>
      </c>
      <c r="G194" s="5">
        <v>5.81</v>
      </c>
      <c r="H194" s="5">
        <v>5.74</v>
      </c>
      <c r="I194" s="5">
        <v>0</v>
      </c>
      <c r="J194" s="5">
        <v>0</v>
      </c>
      <c r="K194" s="5">
        <v>0</v>
      </c>
      <c r="L194" s="5">
        <v>0</v>
      </c>
      <c r="M194" s="5">
        <v>0</v>
      </c>
      <c r="N194" s="5">
        <v>0</v>
      </c>
      <c r="O194" s="5">
        <v>1</v>
      </c>
      <c r="P194" s="5">
        <v>7</v>
      </c>
      <c r="Q194" s="5">
        <v>0</v>
      </c>
      <c r="R194" s="5">
        <v>0</v>
      </c>
    </row>
    <row r="195" spans="1:18" ht="15" customHeight="1" x14ac:dyDescent="0.25">
      <c r="A195" s="5">
        <v>5820</v>
      </c>
      <c r="B195" s="5" t="s">
        <v>88</v>
      </c>
      <c r="C195" s="5" t="s">
        <v>912</v>
      </c>
      <c r="D195" s="5" t="s">
        <v>195</v>
      </c>
      <c r="E195" s="5" t="s">
        <v>32</v>
      </c>
      <c r="F195" s="5">
        <v>25</v>
      </c>
      <c r="G195" s="5">
        <v>5.86</v>
      </c>
      <c r="H195" s="5">
        <v>5.84</v>
      </c>
      <c r="I195" s="5">
        <v>0</v>
      </c>
      <c r="J195" s="5">
        <v>0</v>
      </c>
      <c r="K195" s="5">
        <v>0</v>
      </c>
      <c r="L195" s="5">
        <v>0</v>
      </c>
      <c r="M195" s="5">
        <v>0</v>
      </c>
      <c r="N195" s="5">
        <v>0</v>
      </c>
      <c r="O195" s="5">
        <v>1</v>
      </c>
      <c r="P195" s="5">
        <v>3</v>
      </c>
      <c r="Q195" s="5">
        <v>0</v>
      </c>
      <c r="R195" s="5">
        <v>0</v>
      </c>
    </row>
    <row r="196" spans="1:18" ht="15" customHeight="1" x14ac:dyDescent="0.25">
      <c r="A196" s="5">
        <v>5994</v>
      </c>
      <c r="B196" s="5" t="s">
        <v>88</v>
      </c>
      <c r="C196" s="5" t="s">
        <v>919</v>
      </c>
      <c r="D196" s="5" t="s">
        <v>234</v>
      </c>
      <c r="E196" s="5" t="s">
        <v>81</v>
      </c>
      <c r="F196" s="5">
        <v>16</v>
      </c>
      <c r="G196" s="5">
        <v>5.75</v>
      </c>
      <c r="H196" s="5">
        <v>5.72</v>
      </c>
      <c r="I196" s="5">
        <v>0</v>
      </c>
      <c r="J196" s="5">
        <v>0</v>
      </c>
      <c r="K196" s="5">
        <v>0</v>
      </c>
      <c r="L196" s="5">
        <v>0</v>
      </c>
      <c r="M196" s="5">
        <v>0</v>
      </c>
      <c r="N196" s="5">
        <v>0</v>
      </c>
      <c r="O196" s="5">
        <v>1</v>
      </c>
      <c r="P196" s="5">
        <v>4</v>
      </c>
      <c r="Q196" s="5">
        <v>0</v>
      </c>
      <c r="R196" s="5">
        <v>0</v>
      </c>
    </row>
    <row r="197" spans="1:18" ht="15" customHeight="1" x14ac:dyDescent="0.25">
      <c r="A197" s="5">
        <v>697</v>
      </c>
      <c r="B197" s="5" t="s">
        <v>88</v>
      </c>
      <c r="C197" s="5" t="s">
        <v>911</v>
      </c>
      <c r="D197" s="5" t="s">
        <v>948</v>
      </c>
      <c r="E197" s="5" t="s">
        <v>883</v>
      </c>
      <c r="F197" s="5">
        <v>15</v>
      </c>
      <c r="G197" s="5">
        <v>6.03</v>
      </c>
      <c r="H197" s="5">
        <v>6.13</v>
      </c>
      <c r="I197" s="5">
        <v>1</v>
      </c>
      <c r="J197" s="5">
        <v>0</v>
      </c>
      <c r="K197" s="5">
        <v>0</v>
      </c>
      <c r="L197" s="5">
        <v>1</v>
      </c>
      <c r="M197" s="5">
        <v>1</v>
      </c>
      <c r="N197" s="5">
        <v>0</v>
      </c>
      <c r="O197" s="5">
        <v>0</v>
      </c>
      <c r="P197" s="5">
        <v>3</v>
      </c>
      <c r="Q197" s="5">
        <v>0</v>
      </c>
      <c r="R197" s="5">
        <v>0</v>
      </c>
    </row>
    <row r="198" spans="1:18" ht="15" customHeight="1" x14ac:dyDescent="0.25">
      <c r="A198" s="5">
        <v>7018</v>
      </c>
      <c r="B198" s="5" t="s">
        <v>88</v>
      </c>
      <c r="C198" s="5" t="s">
        <v>912</v>
      </c>
      <c r="D198" s="5" t="s">
        <v>949</v>
      </c>
      <c r="E198" s="5" t="s">
        <v>880</v>
      </c>
      <c r="F198" s="5">
        <v>37</v>
      </c>
      <c r="G198" s="5">
        <v>5.68</v>
      </c>
      <c r="H198" s="5">
        <v>5.57</v>
      </c>
      <c r="I198" s="5">
        <v>0</v>
      </c>
      <c r="J198" s="5">
        <v>0</v>
      </c>
      <c r="K198" s="5">
        <v>0</v>
      </c>
      <c r="L198" s="5">
        <v>0</v>
      </c>
      <c r="M198" s="5">
        <v>0</v>
      </c>
      <c r="N198" s="5">
        <v>0</v>
      </c>
      <c r="O198" s="5">
        <v>0</v>
      </c>
      <c r="P198" s="5">
        <v>4</v>
      </c>
      <c r="Q198" s="5">
        <v>0</v>
      </c>
      <c r="R198" s="5">
        <v>1</v>
      </c>
    </row>
    <row r="199" spans="1:18" ht="15" customHeight="1" x14ac:dyDescent="0.25">
      <c r="A199" s="5">
        <v>7235</v>
      </c>
      <c r="B199" s="5" t="s">
        <v>88</v>
      </c>
      <c r="C199" s="5" t="s">
        <v>912</v>
      </c>
      <c r="D199" s="5" t="s">
        <v>215</v>
      </c>
      <c r="E199" s="5" t="s">
        <v>38</v>
      </c>
      <c r="F199" s="5">
        <v>21</v>
      </c>
      <c r="G199" s="5">
        <v>5.79</v>
      </c>
      <c r="H199" s="5">
        <v>5.71</v>
      </c>
      <c r="I199" s="5">
        <v>1</v>
      </c>
      <c r="J199" s="5">
        <v>0</v>
      </c>
      <c r="K199" s="5">
        <v>0</v>
      </c>
      <c r="L199" s="5">
        <v>0</v>
      </c>
      <c r="M199" s="5">
        <v>0</v>
      </c>
      <c r="N199" s="5">
        <v>0</v>
      </c>
      <c r="O199" s="5">
        <v>0</v>
      </c>
      <c r="P199" s="5">
        <v>5</v>
      </c>
      <c r="Q199" s="5">
        <v>2</v>
      </c>
      <c r="R199" s="5">
        <v>0</v>
      </c>
    </row>
    <row r="200" spans="1:18" ht="15" customHeight="1" x14ac:dyDescent="0.25">
      <c r="A200" s="5">
        <v>7274</v>
      </c>
      <c r="B200" s="5" t="s">
        <v>88</v>
      </c>
      <c r="C200" s="5" t="s">
        <v>912</v>
      </c>
      <c r="D200" s="5" t="s">
        <v>164</v>
      </c>
      <c r="E200" s="5" t="s">
        <v>26</v>
      </c>
      <c r="F200" s="5">
        <v>22</v>
      </c>
      <c r="G200" s="5">
        <v>5.77</v>
      </c>
      <c r="H200" s="5">
        <v>5.68</v>
      </c>
      <c r="I200" s="5">
        <v>0</v>
      </c>
      <c r="J200" s="5">
        <v>0</v>
      </c>
      <c r="K200" s="5">
        <v>0</v>
      </c>
      <c r="L200" s="5">
        <v>0</v>
      </c>
      <c r="M200" s="5">
        <v>0</v>
      </c>
      <c r="N200" s="5">
        <v>0</v>
      </c>
      <c r="O200" s="5">
        <v>1</v>
      </c>
      <c r="P200" s="5">
        <v>6</v>
      </c>
      <c r="Q200" s="5">
        <v>0</v>
      </c>
      <c r="R200" s="5">
        <v>0</v>
      </c>
    </row>
    <row r="201" spans="1:18" ht="15" customHeight="1" x14ac:dyDescent="0.25">
      <c r="A201" s="5">
        <v>6916</v>
      </c>
      <c r="B201" s="5" t="s">
        <v>88</v>
      </c>
      <c r="C201" s="5" t="s">
        <v>921</v>
      </c>
      <c r="D201" s="5" t="s">
        <v>140</v>
      </c>
      <c r="E201" s="5" t="s">
        <v>14</v>
      </c>
      <c r="F201" s="5">
        <v>21</v>
      </c>
      <c r="G201" s="5">
        <v>5.79</v>
      </c>
      <c r="H201" s="5">
        <v>5.69</v>
      </c>
      <c r="I201" s="5">
        <v>0</v>
      </c>
      <c r="J201" s="5">
        <v>0</v>
      </c>
      <c r="K201" s="5">
        <v>0</v>
      </c>
      <c r="L201" s="5">
        <v>0</v>
      </c>
      <c r="M201" s="5">
        <v>0</v>
      </c>
      <c r="N201" s="5">
        <v>0</v>
      </c>
      <c r="O201" s="5">
        <v>0</v>
      </c>
      <c r="P201" s="5">
        <v>2</v>
      </c>
      <c r="Q201" s="5">
        <v>1</v>
      </c>
      <c r="R201" s="5">
        <v>0</v>
      </c>
    </row>
    <row r="202" spans="1:18" ht="15" customHeight="1" x14ac:dyDescent="0.25">
      <c r="A202" s="5">
        <v>7068</v>
      </c>
      <c r="B202" s="5" t="s">
        <v>88</v>
      </c>
      <c r="C202" s="5" t="s">
        <v>912</v>
      </c>
      <c r="D202" s="5" t="s">
        <v>161</v>
      </c>
      <c r="E202" s="5" t="s">
        <v>24</v>
      </c>
      <c r="F202" s="5">
        <v>18</v>
      </c>
      <c r="G202" s="5">
        <v>5.94</v>
      </c>
      <c r="H202" s="5">
        <v>5.86</v>
      </c>
      <c r="I202" s="5">
        <v>0</v>
      </c>
      <c r="J202" s="5">
        <v>0</v>
      </c>
      <c r="K202" s="5">
        <v>0</v>
      </c>
      <c r="L202" s="5">
        <v>0</v>
      </c>
      <c r="M202" s="5">
        <v>0</v>
      </c>
      <c r="N202" s="5">
        <v>0</v>
      </c>
      <c r="O202" s="5">
        <v>0</v>
      </c>
      <c r="P202" s="5">
        <v>3</v>
      </c>
      <c r="Q202" s="5">
        <v>0</v>
      </c>
      <c r="R202" s="5">
        <v>0</v>
      </c>
    </row>
    <row r="203" spans="1:18" ht="15" customHeight="1" x14ac:dyDescent="0.25">
      <c r="A203" s="5">
        <v>612</v>
      </c>
      <c r="B203" s="5" t="s">
        <v>88</v>
      </c>
      <c r="C203" s="5" t="s">
        <v>912</v>
      </c>
      <c r="D203" s="5" t="s">
        <v>950</v>
      </c>
      <c r="E203" s="5" t="s">
        <v>878</v>
      </c>
      <c r="F203" s="5">
        <v>27</v>
      </c>
      <c r="G203" s="5">
        <v>5.72</v>
      </c>
      <c r="H203" s="5">
        <v>5.69</v>
      </c>
      <c r="I203" s="5">
        <v>0</v>
      </c>
      <c r="J203" s="5">
        <v>0</v>
      </c>
      <c r="K203" s="5">
        <v>0</v>
      </c>
      <c r="L203" s="5">
        <v>0</v>
      </c>
      <c r="M203" s="5">
        <v>0</v>
      </c>
      <c r="N203" s="5">
        <v>0</v>
      </c>
      <c r="O203" s="5">
        <v>1</v>
      </c>
      <c r="P203" s="5">
        <v>4</v>
      </c>
      <c r="Q203" s="5">
        <v>0</v>
      </c>
      <c r="R203" s="5">
        <v>0</v>
      </c>
    </row>
    <row r="204" spans="1:18" ht="15" customHeight="1" x14ac:dyDescent="0.25">
      <c r="A204" s="5">
        <v>7130</v>
      </c>
      <c r="B204" s="5" t="s">
        <v>88</v>
      </c>
      <c r="C204" s="5" t="s">
        <v>912</v>
      </c>
      <c r="D204" s="5" t="s">
        <v>951</v>
      </c>
      <c r="E204" s="5" t="s">
        <v>878</v>
      </c>
      <c r="F204" s="5">
        <v>11</v>
      </c>
      <c r="G204" s="5">
        <v>5.77</v>
      </c>
      <c r="H204" s="5">
        <v>6.05</v>
      </c>
      <c r="I204" s="5">
        <v>1</v>
      </c>
      <c r="J204" s="5">
        <v>0</v>
      </c>
      <c r="K204" s="5">
        <v>0</v>
      </c>
      <c r="L204" s="5">
        <v>0</v>
      </c>
      <c r="M204" s="5">
        <v>0</v>
      </c>
      <c r="N204" s="5">
        <v>0</v>
      </c>
      <c r="O204" s="5">
        <v>0</v>
      </c>
      <c r="P204" s="5">
        <v>0</v>
      </c>
      <c r="Q204" s="5">
        <v>0</v>
      </c>
      <c r="R204" s="5">
        <v>0</v>
      </c>
    </row>
    <row r="205" spans="1:18" ht="15" customHeight="1" x14ac:dyDescent="0.25">
      <c r="A205" s="5">
        <v>770</v>
      </c>
      <c r="B205" s="5" t="s">
        <v>88</v>
      </c>
      <c r="C205" s="5" t="s">
        <v>914</v>
      </c>
      <c r="D205" s="5" t="s">
        <v>952</v>
      </c>
      <c r="E205" s="5" t="s">
        <v>878</v>
      </c>
      <c r="F205" s="5">
        <v>31</v>
      </c>
      <c r="G205" s="5">
        <v>5.68</v>
      </c>
      <c r="H205" s="5">
        <v>5.55</v>
      </c>
      <c r="I205" s="5">
        <v>0</v>
      </c>
      <c r="J205" s="5">
        <v>0</v>
      </c>
      <c r="K205" s="5">
        <v>0</v>
      </c>
      <c r="L205" s="5">
        <v>0</v>
      </c>
      <c r="M205" s="5">
        <v>0</v>
      </c>
      <c r="N205" s="5">
        <v>0</v>
      </c>
      <c r="O205" s="5">
        <v>1</v>
      </c>
      <c r="P205" s="5">
        <v>8</v>
      </c>
      <c r="Q205" s="5">
        <v>1</v>
      </c>
      <c r="R205" s="5">
        <v>0</v>
      </c>
    </row>
    <row r="206" spans="1:18" ht="15" customHeight="1" x14ac:dyDescent="0.25">
      <c r="A206" s="5">
        <v>6495</v>
      </c>
      <c r="B206" s="5" t="s">
        <v>88</v>
      </c>
      <c r="C206" s="5" t="s">
        <v>912</v>
      </c>
      <c r="D206" s="5" t="s">
        <v>157</v>
      </c>
      <c r="E206" s="5" t="s">
        <v>20</v>
      </c>
      <c r="F206" s="5">
        <v>24</v>
      </c>
      <c r="G206" s="5">
        <v>5.75</v>
      </c>
      <c r="H206" s="5">
        <v>5.75</v>
      </c>
      <c r="I206" s="5">
        <v>1</v>
      </c>
      <c r="J206" s="5">
        <v>0</v>
      </c>
      <c r="K206" s="5">
        <v>0</v>
      </c>
      <c r="L206" s="5">
        <v>0</v>
      </c>
      <c r="M206" s="5">
        <v>0</v>
      </c>
      <c r="N206" s="5">
        <v>0</v>
      </c>
      <c r="O206" s="5">
        <v>0</v>
      </c>
      <c r="P206" s="5">
        <v>2</v>
      </c>
      <c r="Q206" s="5">
        <v>0</v>
      </c>
      <c r="R206" s="5">
        <v>1</v>
      </c>
    </row>
    <row r="207" spans="1:18" ht="15" customHeight="1" x14ac:dyDescent="0.25">
      <c r="A207" s="5">
        <v>6055</v>
      </c>
      <c r="B207" s="5" t="s">
        <v>88</v>
      </c>
      <c r="C207" s="5" t="s">
        <v>912</v>
      </c>
      <c r="D207" s="5" t="s">
        <v>953</v>
      </c>
      <c r="E207" s="5" t="s">
        <v>18</v>
      </c>
      <c r="F207" s="5">
        <v>0</v>
      </c>
      <c r="G207" s="5">
        <v>0</v>
      </c>
      <c r="H207" s="5">
        <v>0</v>
      </c>
      <c r="I207" s="5">
        <v>0</v>
      </c>
      <c r="J207" s="5">
        <v>0</v>
      </c>
      <c r="K207" s="5">
        <v>0</v>
      </c>
      <c r="L207" s="5">
        <v>0</v>
      </c>
      <c r="M207" s="5">
        <v>0</v>
      </c>
      <c r="N207" s="5">
        <v>0</v>
      </c>
      <c r="O207" s="5">
        <v>0</v>
      </c>
      <c r="P207" s="5">
        <v>0</v>
      </c>
      <c r="Q207" s="5">
        <v>0</v>
      </c>
      <c r="R207" s="5">
        <v>0</v>
      </c>
    </row>
    <row r="208" spans="1:18" ht="15" customHeight="1" x14ac:dyDescent="0.25">
      <c r="A208" s="5">
        <v>256</v>
      </c>
      <c r="B208" s="5" t="s">
        <v>88</v>
      </c>
      <c r="C208" s="5" t="s">
        <v>919</v>
      </c>
      <c r="D208" s="5" t="s">
        <v>954</v>
      </c>
      <c r="E208" s="5" t="s">
        <v>22</v>
      </c>
      <c r="F208" s="5">
        <v>21</v>
      </c>
      <c r="G208" s="5">
        <v>5.86</v>
      </c>
      <c r="H208" s="5">
        <v>5.62</v>
      </c>
      <c r="I208" s="5">
        <v>0</v>
      </c>
      <c r="J208" s="5">
        <v>0</v>
      </c>
      <c r="K208" s="5">
        <v>0</v>
      </c>
      <c r="L208" s="5">
        <v>0</v>
      </c>
      <c r="M208" s="5">
        <v>0</v>
      </c>
      <c r="N208" s="5">
        <v>0</v>
      </c>
      <c r="O208" s="5">
        <v>0</v>
      </c>
      <c r="P208" s="5">
        <v>8</v>
      </c>
      <c r="Q208" s="5">
        <v>1</v>
      </c>
      <c r="R208" s="5">
        <v>0</v>
      </c>
    </row>
    <row r="209" spans="1:18" ht="15" customHeight="1" x14ac:dyDescent="0.25">
      <c r="A209" s="5">
        <v>5481</v>
      </c>
      <c r="B209" s="5" t="s">
        <v>88</v>
      </c>
      <c r="C209" s="5" t="s">
        <v>930</v>
      </c>
      <c r="D209" s="5" t="s">
        <v>255</v>
      </c>
      <c r="E209" s="5" t="s">
        <v>22</v>
      </c>
      <c r="F209" s="5">
        <v>9</v>
      </c>
      <c r="G209" s="5">
        <v>5.94</v>
      </c>
      <c r="H209" s="5">
        <v>5.94</v>
      </c>
      <c r="I209" s="5">
        <v>0</v>
      </c>
      <c r="J209" s="5">
        <v>0</v>
      </c>
      <c r="K209" s="5">
        <v>0</v>
      </c>
      <c r="L209" s="5">
        <v>0</v>
      </c>
      <c r="M209" s="5">
        <v>0</v>
      </c>
      <c r="N209" s="5">
        <v>0</v>
      </c>
      <c r="O209" s="5">
        <v>1</v>
      </c>
      <c r="P209" s="5">
        <v>0</v>
      </c>
      <c r="Q209" s="5">
        <v>1</v>
      </c>
      <c r="R209" s="5">
        <v>0</v>
      </c>
    </row>
    <row r="210" spans="1:18" ht="15" customHeight="1" x14ac:dyDescent="0.25">
      <c r="A210" s="5">
        <v>7020</v>
      </c>
      <c r="B210" s="5" t="s">
        <v>88</v>
      </c>
      <c r="C210" s="5" t="s">
        <v>911</v>
      </c>
      <c r="D210" s="5" t="s">
        <v>955</v>
      </c>
      <c r="E210" s="5" t="s">
        <v>10</v>
      </c>
      <c r="F210" s="5">
        <v>0</v>
      </c>
      <c r="G210" s="5">
        <v>0</v>
      </c>
      <c r="H210" s="5">
        <v>0</v>
      </c>
      <c r="I210" s="5">
        <v>0</v>
      </c>
      <c r="J210" s="5">
        <v>0</v>
      </c>
      <c r="K210" s="5">
        <v>0</v>
      </c>
      <c r="L210" s="5">
        <v>0</v>
      </c>
      <c r="M210" s="5">
        <v>0</v>
      </c>
      <c r="N210" s="5">
        <v>0</v>
      </c>
      <c r="O210" s="5">
        <v>0</v>
      </c>
      <c r="P210" s="5">
        <v>0</v>
      </c>
      <c r="Q210" s="5">
        <v>0</v>
      </c>
      <c r="R210" s="5">
        <v>0</v>
      </c>
    </row>
    <row r="211" spans="1:18" ht="15" customHeight="1" x14ac:dyDescent="0.25">
      <c r="A211" s="5">
        <v>5851</v>
      </c>
      <c r="B211" s="5" t="s">
        <v>88</v>
      </c>
      <c r="C211" s="5" t="s">
        <v>914</v>
      </c>
      <c r="D211" s="5" t="s">
        <v>192</v>
      </c>
      <c r="E211" s="5" t="s">
        <v>41</v>
      </c>
      <c r="F211" s="5">
        <v>27</v>
      </c>
      <c r="G211" s="5">
        <v>5.85</v>
      </c>
      <c r="H211" s="5">
        <v>5.76</v>
      </c>
      <c r="I211" s="5">
        <v>0</v>
      </c>
      <c r="J211" s="5">
        <v>0</v>
      </c>
      <c r="K211" s="5">
        <v>0</v>
      </c>
      <c r="L211" s="5">
        <v>0</v>
      </c>
      <c r="M211" s="5">
        <v>0</v>
      </c>
      <c r="N211" s="5">
        <v>0</v>
      </c>
      <c r="O211" s="5">
        <v>0</v>
      </c>
      <c r="P211" s="5">
        <v>5</v>
      </c>
      <c r="Q211" s="5">
        <v>0</v>
      </c>
      <c r="R211" s="5">
        <v>0</v>
      </c>
    </row>
    <row r="212" spans="1:18" ht="15" customHeight="1" x14ac:dyDescent="0.25">
      <c r="A212" s="5">
        <v>4385</v>
      </c>
      <c r="B212" s="5" t="s">
        <v>88</v>
      </c>
      <c r="C212" s="5" t="s">
        <v>920</v>
      </c>
      <c r="D212" s="5" t="s">
        <v>956</v>
      </c>
      <c r="E212" s="5" t="s">
        <v>81</v>
      </c>
      <c r="F212" s="5">
        <v>30</v>
      </c>
      <c r="G212" s="5">
        <v>5.7</v>
      </c>
      <c r="H212" s="5">
        <v>5.7</v>
      </c>
      <c r="I212" s="5">
        <v>0</v>
      </c>
      <c r="J212" s="5">
        <v>0</v>
      </c>
      <c r="K212" s="5">
        <v>0</v>
      </c>
      <c r="L212" s="5">
        <v>0</v>
      </c>
      <c r="M212" s="5">
        <v>0</v>
      </c>
      <c r="N212" s="5">
        <v>0</v>
      </c>
      <c r="O212" s="5">
        <v>2</v>
      </c>
      <c r="P212" s="5">
        <v>4</v>
      </c>
      <c r="Q212" s="5">
        <v>0</v>
      </c>
      <c r="R212" s="5">
        <v>0</v>
      </c>
    </row>
    <row r="213" spans="1:18" ht="15" customHeight="1" x14ac:dyDescent="0.25">
      <c r="A213" s="5">
        <v>6894</v>
      </c>
      <c r="B213" s="5" t="s">
        <v>88</v>
      </c>
      <c r="C213" s="5" t="s">
        <v>912</v>
      </c>
      <c r="D213" s="5" t="s">
        <v>957</v>
      </c>
      <c r="E213" s="5" t="s">
        <v>880</v>
      </c>
      <c r="F213" s="5">
        <v>17</v>
      </c>
      <c r="G213" s="5">
        <v>5.85</v>
      </c>
      <c r="H213" s="5">
        <v>5.59</v>
      </c>
      <c r="I213" s="5">
        <v>0</v>
      </c>
      <c r="J213" s="5">
        <v>0</v>
      </c>
      <c r="K213" s="5">
        <v>0</v>
      </c>
      <c r="L213" s="5">
        <v>0</v>
      </c>
      <c r="M213" s="5">
        <v>0</v>
      </c>
      <c r="N213" s="5">
        <v>0</v>
      </c>
      <c r="O213" s="5">
        <v>0</v>
      </c>
      <c r="P213" s="5">
        <v>5</v>
      </c>
      <c r="Q213" s="5">
        <v>0</v>
      </c>
      <c r="R213" s="5">
        <v>1</v>
      </c>
    </row>
    <row r="214" spans="1:18" ht="15" customHeight="1" x14ac:dyDescent="0.25">
      <c r="A214" s="5">
        <v>6992</v>
      </c>
      <c r="B214" s="5" t="s">
        <v>88</v>
      </c>
      <c r="C214" s="5" t="s">
        <v>916</v>
      </c>
      <c r="D214" s="5" t="s">
        <v>958</v>
      </c>
      <c r="E214" s="5" t="s">
        <v>880</v>
      </c>
      <c r="F214" s="5">
        <v>10</v>
      </c>
      <c r="G214" s="5">
        <v>5.8</v>
      </c>
      <c r="H214" s="5">
        <v>5.7</v>
      </c>
      <c r="I214" s="5">
        <v>0</v>
      </c>
      <c r="J214" s="5">
        <v>0</v>
      </c>
      <c r="K214" s="5">
        <v>0</v>
      </c>
      <c r="L214" s="5">
        <v>0</v>
      </c>
      <c r="M214" s="5">
        <v>0</v>
      </c>
      <c r="N214" s="5">
        <v>0</v>
      </c>
      <c r="O214" s="5">
        <v>0</v>
      </c>
      <c r="P214" s="5">
        <v>2</v>
      </c>
      <c r="Q214" s="5">
        <v>0</v>
      </c>
      <c r="R214" s="5">
        <v>0</v>
      </c>
    </row>
    <row r="215" spans="1:18" ht="15" customHeight="1" x14ac:dyDescent="0.25">
      <c r="A215" s="5">
        <v>7212</v>
      </c>
      <c r="B215" s="5" t="s">
        <v>88</v>
      </c>
      <c r="C215" s="5" t="s">
        <v>919</v>
      </c>
      <c r="D215" s="5" t="s">
        <v>143</v>
      </c>
      <c r="E215" s="5" t="s">
        <v>24</v>
      </c>
      <c r="F215" s="5">
        <v>25</v>
      </c>
      <c r="G215" s="5">
        <v>5.84</v>
      </c>
      <c r="H215" s="5">
        <v>5.8</v>
      </c>
      <c r="I215" s="5">
        <v>0</v>
      </c>
      <c r="J215" s="5">
        <v>0</v>
      </c>
      <c r="K215" s="5">
        <v>0</v>
      </c>
      <c r="L215" s="5">
        <v>0</v>
      </c>
      <c r="M215" s="5">
        <v>0</v>
      </c>
      <c r="N215" s="5">
        <v>0</v>
      </c>
      <c r="O215" s="5">
        <v>0</v>
      </c>
      <c r="P215" s="5">
        <v>0</v>
      </c>
      <c r="Q215" s="5">
        <v>1</v>
      </c>
      <c r="R215" s="5">
        <v>0</v>
      </c>
    </row>
    <row r="216" spans="1:18" ht="15" customHeight="1" x14ac:dyDescent="0.25">
      <c r="A216" s="5">
        <v>7255</v>
      </c>
      <c r="B216" s="5" t="s">
        <v>88</v>
      </c>
      <c r="C216" s="5" t="s">
        <v>930</v>
      </c>
      <c r="D216" s="5" t="s">
        <v>216</v>
      </c>
      <c r="E216" s="5" t="s">
        <v>38</v>
      </c>
      <c r="F216" s="5">
        <v>28</v>
      </c>
      <c r="G216" s="5">
        <v>5.75</v>
      </c>
      <c r="H216" s="5">
        <v>5.7</v>
      </c>
      <c r="I216" s="5">
        <v>0</v>
      </c>
      <c r="J216" s="5">
        <v>0</v>
      </c>
      <c r="K216" s="5">
        <v>0</v>
      </c>
      <c r="L216" s="5">
        <v>0</v>
      </c>
      <c r="M216" s="5">
        <v>0</v>
      </c>
      <c r="N216" s="5">
        <v>0</v>
      </c>
      <c r="O216" s="5">
        <v>2</v>
      </c>
      <c r="P216" s="5">
        <v>5</v>
      </c>
      <c r="Q216" s="5">
        <v>1</v>
      </c>
      <c r="R216" s="5">
        <v>0</v>
      </c>
    </row>
    <row r="217" spans="1:18" ht="15" customHeight="1" x14ac:dyDescent="0.25">
      <c r="A217" s="5">
        <v>7268</v>
      </c>
      <c r="B217" s="5" t="s">
        <v>88</v>
      </c>
      <c r="C217" s="5" t="s">
        <v>919</v>
      </c>
      <c r="D217" s="5" t="s">
        <v>202</v>
      </c>
      <c r="E217" s="5" t="s">
        <v>26</v>
      </c>
      <c r="F217" s="5">
        <v>16</v>
      </c>
      <c r="G217" s="5">
        <v>5.62</v>
      </c>
      <c r="H217" s="5">
        <v>5.72</v>
      </c>
      <c r="I217" s="5">
        <v>1</v>
      </c>
      <c r="J217" s="5">
        <v>0</v>
      </c>
      <c r="K217" s="5">
        <v>0</v>
      </c>
      <c r="L217" s="5">
        <v>0</v>
      </c>
      <c r="M217" s="5">
        <v>0</v>
      </c>
      <c r="N217" s="5">
        <v>0</v>
      </c>
      <c r="O217" s="5">
        <v>0</v>
      </c>
      <c r="P217" s="5">
        <v>3</v>
      </c>
      <c r="Q217" s="5">
        <v>0</v>
      </c>
      <c r="R217" s="5">
        <v>0</v>
      </c>
    </row>
    <row r="218" spans="1:18" ht="15" customHeight="1" x14ac:dyDescent="0.25">
      <c r="A218" s="5">
        <v>6665</v>
      </c>
      <c r="B218" s="5" t="s">
        <v>88</v>
      </c>
      <c r="C218" s="5" t="s">
        <v>930</v>
      </c>
      <c r="D218" s="5" t="s">
        <v>959</v>
      </c>
      <c r="E218" s="5" t="s">
        <v>41</v>
      </c>
      <c r="F218" s="5">
        <v>18</v>
      </c>
      <c r="G218" s="5">
        <v>5.69</v>
      </c>
      <c r="H218" s="5">
        <v>5.64</v>
      </c>
      <c r="I218" s="5">
        <v>0</v>
      </c>
      <c r="J218" s="5">
        <v>0</v>
      </c>
      <c r="K218" s="5">
        <v>0</v>
      </c>
      <c r="L218" s="5">
        <v>0</v>
      </c>
      <c r="M218" s="5">
        <v>0</v>
      </c>
      <c r="N218" s="5">
        <v>0</v>
      </c>
      <c r="O218" s="5">
        <v>0</v>
      </c>
      <c r="P218" s="5">
        <v>2</v>
      </c>
      <c r="Q218" s="5">
        <v>0</v>
      </c>
      <c r="R218" s="5">
        <v>0</v>
      </c>
    </row>
    <row r="219" spans="1:18" ht="15" customHeight="1" x14ac:dyDescent="0.25">
      <c r="A219" s="5">
        <v>4982</v>
      </c>
      <c r="B219" s="5" t="s">
        <v>88</v>
      </c>
      <c r="C219" s="5" t="s">
        <v>912</v>
      </c>
      <c r="D219" s="5" t="s">
        <v>960</v>
      </c>
      <c r="E219" s="5" t="s">
        <v>24</v>
      </c>
      <c r="F219" s="5">
        <v>0</v>
      </c>
      <c r="G219" s="5">
        <v>0</v>
      </c>
      <c r="H219" s="5">
        <v>0</v>
      </c>
      <c r="I219" s="5">
        <v>0</v>
      </c>
      <c r="J219" s="5">
        <v>0</v>
      </c>
      <c r="K219" s="5">
        <v>0</v>
      </c>
      <c r="L219" s="5">
        <v>0</v>
      </c>
      <c r="M219" s="5">
        <v>0</v>
      </c>
      <c r="N219" s="5">
        <v>0</v>
      </c>
      <c r="O219" s="5">
        <v>0</v>
      </c>
      <c r="P219" s="5">
        <v>0</v>
      </c>
      <c r="Q219" s="5">
        <v>0</v>
      </c>
      <c r="R219" s="5">
        <v>0</v>
      </c>
    </row>
    <row r="220" spans="1:18" ht="15" customHeight="1" x14ac:dyDescent="0.25">
      <c r="A220" s="5">
        <v>487</v>
      </c>
      <c r="B220" s="5" t="s">
        <v>88</v>
      </c>
      <c r="C220" s="5" t="s">
        <v>920</v>
      </c>
      <c r="D220" s="5" t="s">
        <v>237</v>
      </c>
      <c r="E220" s="5" t="s">
        <v>24</v>
      </c>
      <c r="F220" s="5">
        <v>10</v>
      </c>
      <c r="G220" s="5">
        <v>6.05</v>
      </c>
      <c r="H220" s="5">
        <v>5.95</v>
      </c>
      <c r="I220" s="5">
        <v>0</v>
      </c>
      <c r="J220" s="5">
        <v>0</v>
      </c>
      <c r="K220" s="5">
        <v>0</v>
      </c>
      <c r="L220" s="5">
        <v>0</v>
      </c>
      <c r="M220" s="5">
        <v>0</v>
      </c>
      <c r="N220" s="5">
        <v>0</v>
      </c>
      <c r="O220" s="5">
        <v>0</v>
      </c>
      <c r="P220" s="5">
        <v>2</v>
      </c>
      <c r="Q220" s="5">
        <v>0</v>
      </c>
      <c r="R220" s="5">
        <v>0</v>
      </c>
    </row>
    <row r="221" spans="1:18" ht="15" customHeight="1" x14ac:dyDescent="0.25">
      <c r="A221" s="5">
        <v>6231</v>
      </c>
      <c r="B221" s="5" t="s">
        <v>88</v>
      </c>
      <c r="C221" s="5" t="s">
        <v>914</v>
      </c>
      <c r="D221" s="5" t="s">
        <v>961</v>
      </c>
      <c r="E221" s="5" t="s">
        <v>878</v>
      </c>
      <c r="F221" s="5">
        <v>0</v>
      </c>
      <c r="G221" s="5">
        <v>0</v>
      </c>
      <c r="H221" s="5">
        <v>0</v>
      </c>
      <c r="I221" s="5">
        <v>0</v>
      </c>
      <c r="J221" s="5">
        <v>0</v>
      </c>
      <c r="K221" s="5">
        <v>0</v>
      </c>
      <c r="L221" s="5">
        <v>0</v>
      </c>
      <c r="M221" s="5">
        <v>0</v>
      </c>
      <c r="N221" s="5">
        <v>0</v>
      </c>
      <c r="O221" s="5">
        <v>0</v>
      </c>
      <c r="P221" s="5">
        <v>0</v>
      </c>
      <c r="Q221" s="5">
        <v>0</v>
      </c>
      <c r="R221" s="5">
        <v>0</v>
      </c>
    </row>
    <row r="222" spans="1:18" ht="15" customHeight="1" x14ac:dyDescent="0.25">
      <c r="A222" s="5">
        <v>6245</v>
      </c>
      <c r="B222" s="5" t="s">
        <v>88</v>
      </c>
      <c r="C222" s="5" t="s">
        <v>915</v>
      </c>
      <c r="D222" s="5" t="s">
        <v>245</v>
      </c>
      <c r="E222" s="5" t="s">
        <v>34</v>
      </c>
      <c r="F222" s="5">
        <v>0</v>
      </c>
      <c r="G222" s="5">
        <v>0</v>
      </c>
      <c r="H222" s="5">
        <v>0</v>
      </c>
      <c r="I222" s="5">
        <v>0</v>
      </c>
      <c r="J222" s="5">
        <v>0</v>
      </c>
      <c r="K222" s="5">
        <v>0</v>
      </c>
      <c r="L222" s="5">
        <v>0</v>
      </c>
      <c r="M222" s="5">
        <v>0</v>
      </c>
      <c r="N222" s="5">
        <v>0</v>
      </c>
      <c r="O222" s="5">
        <v>0</v>
      </c>
      <c r="P222" s="5">
        <v>0</v>
      </c>
      <c r="Q222" s="5">
        <v>0</v>
      </c>
      <c r="R222" s="5">
        <v>0</v>
      </c>
    </row>
    <row r="223" spans="1:18" ht="15" customHeight="1" x14ac:dyDescent="0.25">
      <c r="A223" s="5">
        <v>791</v>
      </c>
      <c r="B223" s="5" t="s">
        <v>88</v>
      </c>
      <c r="C223" s="5" t="s">
        <v>930</v>
      </c>
      <c r="D223" s="5" t="s">
        <v>226</v>
      </c>
      <c r="E223" s="5" t="s">
        <v>34</v>
      </c>
      <c r="F223" s="5">
        <v>13</v>
      </c>
      <c r="G223" s="5">
        <v>5.81</v>
      </c>
      <c r="H223" s="5">
        <v>5.65</v>
      </c>
      <c r="I223" s="5">
        <v>0</v>
      </c>
      <c r="J223" s="5">
        <v>0</v>
      </c>
      <c r="K223" s="5">
        <v>0</v>
      </c>
      <c r="L223" s="5">
        <v>0</v>
      </c>
      <c r="M223" s="5">
        <v>0</v>
      </c>
      <c r="N223" s="5">
        <v>0</v>
      </c>
      <c r="O223" s="5">
        <v>0</v>
      </c>
      <c r="P223" s="5">
        <v>0</v>
      </c>
      <c r="Q223" s="5">
        <v>0</v>
      </c>
      <c r="R223" s="5">
        <v>1</v>
      </c>
    </row>
    <row r="224" spans="1:18" ht="15" customHeight="1" x14ac:dyDescent="0.25">
      <c r="A224" s="5">
        <v>322</v>
      </c>
      <c r="B224" s="5" t="s">
        <v>88</v>
      </c>
      <c r="C224" s="5" t="s">
        <v>912</v>
      </c>
      <c r="D224" s="5" t="s">
        <v>962</v>
      </c>
      <c r="E224" s="5" t="s">
        <v>12</v>
      </c>
      <c r="F224" s="5">
        <v>8</v>
      </c>
      <c r="G224" s="5">
        <v>6.12</v>
      </c>
      <c r="H224" s="5">
        <v>6.06</v>
      </c>
      <c r="I224" s="5">
        <v>0</v>
      </c>
      <c r="J224" s="5">
        <v>0</v>
      </c>
      <c r="K224" s="5">
        <v>0</v>
      </c>
      <c r="L224" s="5">
        <v>0</v>
      </c>
      <c r="M224" s="5">
        <v>0</v>
      </c>
      <c r="N224" s="5">
        <v>0</v>
      </c>
      <c r="O224" s="5">
        <v>0</v>
      </c>
      <c r="P224" s="5">
        <v>1</v>
      </c>
      <c r="Q224" s="5">
        <v>0</v>
      </c>
      <c r="R224" s="5">
        <v>0</v>
      </c>
    </row>
    <row r="225" spans="1:18" ht="15" customHeight="1" x14ac:dyDescent="0.25">
      <c r="A225" s="5">
        <v>2525</v>
      </c>
      <c r="B225" s="5" t="s">
        <v>88</v>
      </c>
      <c r="C225" s="5" t="s">
        <v>916</v>
      </c>
      <c r="D225" s="5" t="s">
        <v>963</v>
      </c>
      <c r="E225" s="5" t="s">
        <v>12</v>
      </c>
      <c r="F225" s="5">
        <v>5</v>
      </c>
      <c r="G225" s="5">
        <v>6</v>
      </c>
      <c r="H225" s="5">
        <v>6</v>
      </c>
      <c r="I225" s="5">
        <v>0</v>
      </c>
      <c r="J225" s="5">
        <v>0</v>
      </c>
      <c r="K225" s="5">
        <v>0</v>
      </c>
      <c r="L225" s="5">
        <v>0</v>
      </c>
      <c r="M225" s="5">
        <v>0</v>
      </c>
      <c r="N225" s="5">
        <v>0</v>
      </c>
      <c r="O225" s="5">
        <v>0</v>
      </c>
      <c r="P225" s="5">
        <v>0</v>
      </c>
      <c r="Q225" s="5">
        <v>0</v>
      </c>
      <c r="R225" s="5">
        <v>0</v>
      </c>
    </row>
    <row r="226" spans="1:18" ht="15" customHeight="1" x14ac:dyDescent="0.25">
      <c r="A226" s="5">
        <v>6802</v>
      </c>
      <c r="B226" s="5" t="s">
        <v>88</v>
      </c>
      <c r="C226" s="5" t="s">
        <v>916</v>
      </c>
      <c r="D226" s="5" t="s">
        <v>964</v>
      </c>
      <c r="E226" s="5" t="s">
        <v>28</v>
      </c>
      <c r="F226" s="5">
        <v>0</v>
      </c>
      <c r="G226" s="5">
        <v>0</v>
      </c>
      <c r="H226" s="5">
        <v>0</v>
      </c>
      <c r="I226" s="5">
        <v>0</v>
      </c>
      <c r="J226" s="5">
        <v>0</v>
      </c>
      <c r="K226" s="5">
        <v>0</v>
      </c>
      <c r="L226" s="5">
        <v>0</v>
      </c>
      <c r="M226" s="5">
        <v>0</v>
      </c>
      <c r="N226" s="5">
        <v>0</v>
      </c>
      <c r="O226" s="5">
        <v>0</v>
      </c>
      <c r="P226" s="5">
        <v>0</v>
      </c>
      <c r="Q226" s="5">
        <v>0</v>
      </c>
      <c r="R226" s="5">
        <v>0</v>
      </c>
    </row>
    <row r="227" spans="1:18" ht="15" customHeight="1" x14ac:dyDescent="0.25">
      <c r="A227" s="5">
        <v>327</v>
      </c>
      <c r="B227" s="5" t="s">
        <v>88</v>
      </c>
      <c r="C227" s="5" t="s">
        <v>915</v>
      </c>
      <c r="D227" s="5" t="s">
        <v>249</v>
      </c>
      <c r="E227" s="5" t="s">
        <v>30</v>
      </c>
      <c r="F227" s="5">
        <v>10</v>
      </c>
      <c r="G227" s="5">
        <v>5.85</v>
      </c>
      <c r="H227" s="5">
        <v>5.75</v>
      </c>
      <c r="I227" s="5">
        <v>0</v>
      </c>
      <c r="J227" s="5">
        <v>0</v>
      </c>
      <c r="K227" s="5">
        <v>0</v>
      </c>
      <c r="L227" s="5">
        <v>0</v>
      </c>
      <c r="M227" s="5">
        <v>0</v>
      </c>
      <c r="N227" s="5">
        <v>0</v>
      </c>
      <c r="O227" s="5">
        <v>0</v>
      </c>
      <c r="P227" s="5">
        <v>2</v>
      </c>
      <c r="Q227" s="5">
        <v>0</v>
      </c>
      <c r="R227" s="5">
        <v>0</v>
      </c>
    </row>
    <row r="228" spans="1:18" ht="15" customHeight="1" x14ac:dyDescent="0.25">
      <c r="A228" s="5">
        <v>2263</v>
      </c>
      <c r="B228" s="5" t="s">
        <v>88</v>
      </c>
      <c r="C228" s="5" t="s">
        <v>920</v>
      </c>
      <c r="D228" s="5" t="s">
        <v>227</v>
      </c>
      <c r="E228" s="5" t="s">
        <v>30</v>
      </c>
      <c r="F228" s="5">
        <v>17</v>
      </c>
      <c r="G228" s="5">
        <v>5.79</v>
      </c>
      <c r="H228" s="5">
        <v>5.74</v>
      </c>
      <c r="I228" s="5">
        <v>0</v>
      </c>
      <c r="J228" s="5">
        <v>0</v>
      </c>
      <c r="K228" s="5">
        <v>0</v>
      </c>
      <c r="L228" s="5">
        <v>0</v>
      </c>
      <c r="M228" s="5">
        <v>0</v>
      </c>
      <c r="N228" s="5">
        <v>0</v>
      </c>
      <c r="O228" s="5">
        <v>0</v>
      </c>
      <c r="P228" s="5">
        <v>2</v>
      </c>
      <c r="Q228" s="5">
        <v>0</v>
      </c>
      <c r="R228" s="5">
        <v>0</v>
      </c>
    </row>
    <row r="229" spans="1:18" ht="15" customHeight="1" x14ac:dyDescent="0.25">
      <c r="A229" s="5">
        <v>6809</v>
      </c>
      <c r="B229" s="5" t="s">
        <v>88</v>
      </c>
      <c r="C229" s="5" t="s">
        <v>912</v>
      </c>
      <c r="D229" s="5" t="s">
        <v>254</v>
      </c>
      <c r="E229" s="5" t="s">
        <v>81</v>
      </c>
      <c r="F229" s="5">
        <v>11</v>
      </c>
      <c r="G229" s="5">
        <v>5.73</v>
      </c>
      <c r="H229" s="5">
        <v>5.73</v>
      </c>
      <c r="I229" s="5">
        <v>0</v>
      </c>
      <c r="J229" s="5">
        <v>0</v>
      </c>
      <c r="K229" s="5">
        <v>0</v>
      </c>
      <c r="L229" s="5">
        <v>0</v>
      </c>
      <c r="M229" s="5">
        <v>0</v>
      </c>
      <c r="N229" s="5">
        <v>0</v>
      </c>
      <c r="O229" s="5">
        <v>1</v>
      </c>
      <c r="P229" s="5">
        <v>2</v>
      </c>
      <c r="Q229" s="5">
        <v>0</v>
      </c>
      <c r="R229" s="5">
        <v>0</v>
      </c>
    </row>
    <row r="230" spans="1:18" ht="15" customHeight="1" x14ac:dyDescent="0.25">
      <c r="A230" s="5">
        <v>5353</v>
      </c>
      <c r="B230" s="5" t="s">
        <v>88</v>
      </c>
      <c r="C230" s="5" t="s">
        <v>912</v>
      </c>
      <c r="D230" s="5" t="s">
        <v>965</v>
      </c>
      <c r="E230" s="5" t="s">
        <v>38</v>
      </c>
      <c r="F230" s="5">
        <v>0</v>
      </c>
      <c r="G230" s="5">
        <v>0</v>
      </c>
      <c r="H230" s="5">
        <v>0</v>
      </c>
      <c r="I230" s="5">
        <v>0</v>
      </c>
      <c r="J230" s="5">
        <v>0</v>
      </c>
      <c r="K230" s="5">
        <v>0</v>
      </c>
      <c r="L230" s="5">
        <v>0</v>
      </c>
      <c r="M230" s="5">
        <v>0</v>
      </c>
      <c r="N230" s="5">
        <v>0</v>
      </c>
      <c r="O230" s="5">
        <v>0</v>
      </c>
      <c r="P230" s="5">
        <v>0</v>
      </c>
      <c r="Q230" s="5">
        <v>0</v>
      </c>
      <c r="R230" s="5">
        <v>0</v>
      </c>
    </row>
    <row r="231" spans="1:18" ht="15" customHeight="1" x14ac:dyDescent="0.25">
      <c r="A231" s="5">
        <v>2745</v>
      </c>
      <c r="B231" s="5" t="s">
        <v>88</v>
      </c>
      <c r="C231" s="5" t="s">
        <v>916</v>
      </c>
      <c r="D231" s="5" t="s">
        <v>966</v>
      </c>
      <c r="E231" s="5" t="s">
        <v>883</v>
      </c>
      <c r="F231" s="5">
        <v>25</v>
      </c>
      <c r="G231" s="5">
        <v>5.74</v>
      </c>
      <c r="H231" s="5">
        <v>5.58</v>
      </c>
      <c r="I231" s="5">
        <v>0</v>
      </c>
      <c r="J231" s="5">
        <v>0</v>
      </c>
      <c r="K231" s="5">
        <v>0</v>
      </c>
      <c r="L231" s="5">
        <v>0</v>
      </c>
      <c r="M231" s="5">
        <v>0</v>
      </c>
      <c r="N231" s="5">
        <v>0</v>
      </c>
      <c r="O231" s="5">
        <v>0</v>
      </c>
      <c r="P231" s="5">
        <v>8</v>
      </c>
      <c r="Q231" s="5">
        <v>0</v>
      </c>
      <c r="R231" s="5">
        <v>0</v>
      </c>
    </row>
    <row r="232" spans="1:18" ht="15" customHeight="1" x14ac:dyDescent="0.25">
      <c r="A232" s="5">
        <v>6533</v>
      </c>
      <c r="B232" s="5" t="s">
        <v>88</v>
      </c>
      <c r="C232" s="5" t="s">
        <v>912</v>
      </c>
      <c r="D232" s="5" t="s">
        <v>967</v>
      </c>
      <c r="E232" s="5" t="s">
        <v>32</v>
      </c>
      <c r="F232" s="5">
        <v>0</v>
      </c>
      <c r="G232" s="5">
        <v>0</v>
      </c>
      <c r="H232" s="5">
        <v>0</v>
      </c>
      <c r="I232" s="5">
        <v>0</v>
      </c>
      <c r="J232" s="5">
        <v>0</v>
      </c>
      <c r="K232" s="5">
        <v>0</v>
      </c>
      <c r="L232" s="5">
        <v>0</v>
      </c>
      <c r="M232" s="5">
        <v>0</v>
      </c>
      <c r="N232" s="5">
        <v>0</v>
      </c>
      <c r="O232" s="5">
        <v>0</v>
      </c>
      <c r="P232" s="5">
        <v>0</v>
      </c>
      <c r="Q232" s="5">
        <v>0</v>
      </c>
      <c r="R232" s="5">
        <v>0</v>
      </c>
    </row>
    <row r="233" spans="1:18" ht="15" customHeight="1" x14ac:dyDescent="0.25">
      <c r="A233" s="5">
        <v>6211</v>
      </c>
      <c r="B233" s="5" t="s">
        <v>88</v>
      </c>
      <c r="C233" s="5" t="s">
        <v>914</v>
      </c>
      <c r="D233" s="5" t="s">
        <v>968</v>
      </c>
      <c r="E233" s="5" t="s">
        <v>32</v>
      </c>
      <c r="F233" s="5">
        <v>15</v>
      </c>
      <c r="G233" s="5">
        <v>5.87</v>
      </c>
      <c r="H233" s="5">
        <v>5.77</v>
      </c>
      <c r="I233" s="5">
        <v>0</v>
      </c>
      <c r="J233" s="5">
        <v>0</v>
      </c>
      <c r="K233" s="5">
        <v>0</v>
      </c>
      <c r="L233" s="5">
        <v>0</v>
      </c>
      <c r="M233" s="5">
        <v>0</v>
      </c>
      <c r="N233" s="5">
        <v>0</v>
      </c>
      <c r="O233" s="5">
        <v>0</v>
      </c>
      <c r="P233" s="5">
        <v>3</v>
      </c>
      <c r="Q233" s="5">
        <v>0</v>
      </c>
      <c r="R233" s="5">
        <v>0</v>
      </c>
    </row>
    <row r="234" spans="1:18" ht="15" customHeight="1" x14ac:dyDescent="0.25">
      <c r="A234" s="5">
        <v>6957</v>
      </c>
      <c r="B234" s="5" t="s">
        <v>88</v>
      </c>
      <c r="C234" s="5" t="s">
        <v>912</v>
      </c>
      <c r="D234" s="5" t="s">
        <v>969</v>
      </c>
      <c r="E234" s="5" t="s">
        <v>880</v>
      </c>
      <c r="F234" s="5">
        <v>19</v>
      </c>
      <c r="G234" s="5">
        <v>5.79</v>
      </c>
      <c r="H234" s="5">
        <v>5.58</v>
      </c>
      <c r="I234" s="5">
        <v>0</v>
      </c>
      <c r="J234" s="5">
        <v>0</v>
      </c>
      <c r="K234" s="5">
        <v>0</v>
      </c>
      <c r="L234" s="5">
        <v>0</v>
      </c>
      <c r="M234" s="5">
        <v>0</v>
      </c>
      <c r="N234" s="5">
        <v>0</v>
      </c>
      <c r="O234" s="5">
        <v>0</v>
      </c>
      <c r="P234" s="5">
        <v>6</v>
      </c>
      <c r="Q234" s="5">
        <v>1</v>
      </c>
      <c r="R234" s="5">
        <v>0</v>
      </c>
    </row>
    <row r="235" spans="1:18" ht="15" customHeight="1" x14ac:dyDescent="0.25">
      <c r="A235" s="5">
        <v>7253</v>
      </c>
      <c r="B235" s="5" t="s">
        <v>88</v>
      </c>
      <c r="C235" s="5" t="s">
        <v>912</v>
      </c>
      <c r="D235" s="5" t="s">
        <v>159</v>
      </c>
      <c r="E235" s="5" t="s">
        <v>880</v>
      </c>
      <c r="F235" s="5">
        <v>18</v>
      </c>
      <c r="G235" s="5">
        <v>5.83</v>
      </c>
      <c r="H235" s="5">
        <v>5.75</v>
      </c>
      <c r="I235" s="5">
        <v>0</v>
      </c>
      <c r="J235" s="5">
        <v>0</v>
      </c>
      <c r="K235" s="5">
        <v>0</v>
      </c>
      <c r="L235" s="5">
        <v>0</v>
      </c>
      <c r="M235" s="5">
        <v>0</v>
      </c>
      <c r="N235" s="5">
        <v>0</v>
      </c>
      <c r="O235" s="5">
        <v>0</v>
      </c>
      <c r="P235" s="5">
        <v>3</v>
      </c>
      <c r="Q235" s="5">
        <v>0</v>
      </c>
      <c r="R235" s="5">
        <v>0</v>
      </c>
    </row>
    <row r="236" spans="1:18" ht="15" customHeight="1" x14ac:dyDescent="0.25">
      <c r="A236" s="5">
        <v>5168</v>
      </c>
      <c r="B236" s="5" t="s">
        <v>88</v>
      </c>
      <c r="C236" s="5" t="s">
        <v>914</v>
      </c>
      <c r="D236" s="5" t="s">
        <v>970</v>
      </c>
      <c r="E236" s="5" t="s">
        <v>10</v>
      </c>
      <c r="F236" s="5">
        <v>13</v>
      </c>
      <c r="G236" s="5">
        <v>5.73</v>
      </c>
      <c r="H236" s="5">
        <v>5.69</v>
      </c>
      <c r="I236" s="5">
        <v>0</v>
      </c>
      <c r="J236" s="5">
        <v>0</v>
      </c>
      <c r="K236" s="5">
        <v>0</v>
      </c>
      <c r="L236" s="5">
        <v>0</v>
      </c>
      <c r="M236" s="5">
        <v>0</v>
      </c>
      <c r="N236" s="5">
        <v>0</v>
      </c>
      <c r="O236" s="5">
        <v>0</v>
      </c>
      <c r="P236" s="5">
        <v>1</v>
      </c>
      <c r="Q236" s="5">
        <v>0</v>
      </c>
      <c r="R236" s="5">
        <v>0</v>
      </c>
    </row>
    <row r="237" spans="1:18" ht="15" customHeight="1" x14ac:dyDescent="0.25">
      <c r="A237" s="5">
        <v>7335</v>
      </c>
      <c r="B237" s="5" t="s">
        <v>88</v>
      </c>
      <c r="C237" s="5" t="s">
        <v>912</v>
      </c>
      <c r="D237" s="5" t="s">
        <v>971</v>
      </c>
      <c r="E237" s="5" t="s">
        <v>34</v>
      </c>
      <c r="F237" s="5">
        <v>2</v>
      </c>
      <c r="G237" s="5">
        <v>6</v>
      </c>
      <c r="H237" s="5">
        <v>6</v>
      </c>
      <c r="I237" s="5">
        <v>0</v>
      </c>
      <c r="J237" s="5">
        <v>0</v>
      </c>
      <c r="K237" s="5">
        <v>0</v>
      </c>
      <c r="L237" s="5">
        <v>0</v>
      </c>
      <c r="M237" s="5">
        <v>0</v>
      </c>
      <c r="N237" s="5">
        <v>0</v>
      </c>
      <c r="O237" s="5">
        <v>0</v>
      </c>
      <c r="P237" s="5">
        <v>0</v>
      </c>
      <c r="Q237" s="5">
        <v>0</v>
      </c>
      <c r="R237" s="5">
        <v>0</v>
      </c>
    </row>
    <row r="238" spans="1:18" ht="15" customHeight="1" x14ac:dyDescent="0.25">
      <c r="A238" s="5">
        <v>6149</v>
      </c>
      <c r="B238" s="5" t="s">
        <v>88</v>
      </c>
      <c r="C238" s="5" t="s">
        <v>914</v>
      </c>
      <c r="D238" s="5" t="s">
        <v>257</v>
      </c>
      <c r="E238" s="5" t="s">
        <v>38</v>
      </c>
      <c r="F238" s="5">
        <v>2</v>
      </c>
      <c r="G238" s="5">
        <v>6</v>
      </c>
      <c r="H238" s="5">
        <v>6</v>
      </c>
      <c r="I238" s="5">
        <v>0</v>
      </c>
      <c r="J238" s="5">
        <v>0</v>
      </c>
      <c r="K238" s="5">
        <v>0</v>
      </c>
      <c r="L238" s="5">
        <v>0</v>
      </c>
      <c r="M238" s="5">
        <v>0</v>
      </c>
      <c r="N238" s="5">
        <v>0</v>
      </c>
      <c r="O238" s="5">
        <v>0</v>
      </c>
      <c r="P238" s="5">
        <v>0</v>
      </c>
      <c r="Q238" s="5">
        <v>0</v>
      </c>
      <c r="R238" s="5">
        <v>0</v>
      </c>
    </row>
    <row r="239" spans="1:18" ht="15" customHeight="1" x14ac:dyDescent="0.25">
      <c r="A239" s="5">
        <v>7353</v>
      </c>
      <c r="B239" s="5" t="s">
        <v>88</v>
      </c>
      <c r="C239" s="5" t="s">
        <v>912</v>
      </c>
      <c r="D239" s="5" t="s">
        <v>972</v>
      </c>
      <c r="E239" s="5" t="s">
        <v>41</v>
      </c>
      <c r="F239" s="5">
        <v>2</v>
      </c>
      <c r="G239" s="5">
        <v>5.75</v>
      </c>
      <c r="H239" s="5">
        <v>6.25</v>
      </c>
      <c r="I239" s="5">
        <v>0</v>
      </c>
      <c r="J239" s="5">
        <v>0</v>
      </c>
      <c r="K239" s="5">
        <v>0</v>
      </c>
      <c r="L239" s="5">
        <v>0</v>
      </c>
      <c r="M239" s="5">
        <v>0</v>
      </c>
      <c r="N239" s="5">
        <v>0</v>
      </c>
      <c r="O239" s="5">
        <v>1</v>
      </c>
      <c r="P239" s="5">
        <v>0</v>
      </c>
      <c r="Q239" s="5">
        <v>0</v>
      </c>
      <c r="R239" s="5">
        <v>0</v>
      </c>
    </row>
    <row r="240" spans="1:18" ht="15" customHeight="1" x14ac:dyDescent="0.25">
      <c r="A240" s="5">
        <v>6444</v>
      </c>
      <c r="B240" s="5" t="s">
        <v>88</v>
      </c>
      <c r="C240" s="5" t="s">
        <v>912</v>
      </c>
      <c r="D240" s="5" t="s">
        <v>973</v>
      </c>
      <c r="E240" s="5" t="s">
        <v>883</v>
      </c>
      <c r="F240" s="5">
        <v>9</v>
      </c>
      <c r="G240" s="5">
        <v>5.61</v>
      </c>
      <c r="H240" s="5">
        <v>5.56</v>
      </c>
      <c r="I240" s="5">
        <v>0</v>
      </c>
      <c r="J240" s="5">
        <v>0</v>
      </c>
      <c r="K240" s="5">
        <v>0</v>
      </c>
      <c r="L240" s="5">
        <v>0</v>
      </c>
      <c r="M240" s="5">
        <v>0</v>
      </c>
      <c r="N240" s="5">
        <v>0</v>
      </c>
      <c r="O240" s="5">
        <v>0</v>
      </c>
      <c r="P240" s="5">
        <v>1</v>
      </c>
      <c r="Q240" s="5">
        <v>0</v>
      </c>
      <c r="R240" s="5">
        <v>0</v>
      </c>
    </row>
    <row r="241" spans="1:18" ht="15" customHeight="1" x14ac:dyDescent="0.25">
      <c r="A241" s="5">
        <v>2653</v>
      </c>
      <c r="B241" s="5" t="s">
        <v>88</v>
      </c>
      <c r="C241" s="5" t="s">
        <v>914</v>
      </c>
      <c r="D241" s="5" t="s">
        <v>974</v>
      </c>
      <c r="E241" s="5" t="s">
        <v>24</v>
      </c>
      <c r="F241" s="5">
        <v>8</v>
      </c>
      <c r="G241" s="5">
        <v>5.62</v>
      </c>
      <c r="H241" s="5">
        <v>5.56</v>
      </c>
      <c r="I241" s="5">
        <v>0</v>
      </c>
      <c r="J241" s="5">
        <v>0</v>
      </c>
      <c r="K241" s="5">
        <v>0</v>
      </c>
      <c r="L241" s="5">
        <v>0</v>
      </c>
      <c r="M241" s="5">
        <v>0</v>
      </c>
      <c r="N241" s="5">
        <v>0</v>
      </c>
      <c r="O241" s="5">
        <v>1</v>
      </c>
      <c r="P241" s="5">
        <v>3</v>
      </c>
      <c r="Q241" s="5">
        <v>0</v>
      </c>
      <c r="R241" s="5">
        <v>0</v>
      </c>
    </row>
    <row r="242" spans="1:18" ht="15" customHeight="1" x14ac:dyDescent="0.25">
      <c r="A242" s="5">
        <v>5406</v>
      </c>
      <c r="B242" s="5" t="s">
        <v>88</v>
      </c>
      <c r="C242" s="5" t="s">
        <v>920</v>
      </c>
      <c r="D242" s="5" t="s">
        <v>975</v>
      </c>
      <c r="E242" s="5" t="s">
        <v>26</v>
      </c>
      <c r="F242" s="5">
        <v>1</v>
      </c>
      <c r="G242" s="5">
        <v>5.5</v>
      </c>
      <c r="H242" s="5">
        <v>5.5</v>
      </c>
      <c r="I242" s="5">
        <v>0</v>
      </c>
      <c r="J242" s="5">
        <v>0</v>
      </c>
      <c r="K242" s="5">
        <v>0</v>
      </c>
      <c r="L242" s="5">
        <v>0</v>
      </c>
      <c r="M242" s="5">
        <v>0</v>
      </c>
      <c r="N242" s="5">
        <v>0</v>
      </c>
      <c r="O242" s="5">
        <v>0</v>
      </c>
      <c r="P242" s="5">
        <v>0</v>
      </c>
      <c r="Q242" s="5">
        <v>0</v>
      </c>
      <c r="R242" s="5">
        <v>0</v>
      </c>
    </row>
    <row r="243" spans="1:18" ht="15" customHeight="1" x14ac:dyDescent="0.25">
      <c r="A243" s="5">
        <v>6944</v>
      </c>
      <c r="B243" s="5" t="s">
        <v>88</v>
      </c>
      <c r="C243" s="5" t="s">
        <v>919</v>
      </c>
      <c r="D243" s="5" t="s">
        <v>976</v>
      </c>
      <c r="E243" s="5" t="s">
        <v>16</v>
      </c>
      <c r="F243" s="5">
        <v>0</v>
      </c>
      <c r="G243" s="5">
        <v>0</v>
      </c>
      <c r="H243" s="5">
        <v>0</v>
      </c>
      <c r="I243" s="5">
        <v>0</v>
      </c>
      <c r="J243" s="5">
        <v>0</v>
      </c>
      <c r="K243" s="5">
        <v>0</v>
      </c>
      <c r="L243" s="5">
        <v>0</v>
      </c>
      <c r="M243" s="5">
        <v>0</v>
      </c>
      <c r="N243" s="5">
        <v>0</v>
      </c>
      <c r="O243" s="5">
        <v>0</v>
      </c>
      <c r="P243" s="5">
        <v>0</v>
      </c>
      <c r="Q243" s="5">
        <v>0</v>
      </c>
      <c r="R243" s="5">
        <v>0</v>
      </c>
    </row>
    <row r="244" spans="1:18" ht="15" customHeight="1" x14ac:dyDescent="0.25">
      <c r="A244" s="5">
        <v>5860</v>
      </c>
      <c r="B244" s="5" t="s">
        <v>88</v>
      </c>
      <c r="C244" s="5" t="s">
        <v>912</v>
      </c>
      <c r="D244" s="5" t="s">
        <v>977</v>
      </c>
      <c r="E244" s="5" t="s">
        <v>878</v>
      </c>
      <c r="F244" s="5">
        <v>0</v>
      </c>
      <c r="G244" s="5">
        <v>0</v>
      </c>
      <c r="H244" s="5">
        <v>0</v>
      </c>
      <c r="I244" s="5">
        <v>0</v>
      </c>
      <c r="J244" s="5">
        <v>0</v>
      </c>
      <c r="K244" s="5">
        <v>0</v>
      </c>
      <c r="L244" s="5">
        <v>0</v>
      </c>
      <c r="M244" s="5">
        <v>0</v>
      </c>
      <c r="N244" s="5">
        <v>0</v>
      </c>
      <c r="O244" s="5">
        <v>0</v>
      </c>
      <c r="P244" s="5">
        <v>0</v>
      </c>
      <c r="Q244" s="5">
        <v>0</v>
      </c>
      <c r="R244" s="5">
        <v>0</v>
      </c>
    </row>
    <row r="245" spans="1:18" ht="15" customHeight="1" x14ac:dyDescent="0.25">
      <c r="A245" s="5">
        <v>4904</v>
      </c>
      <c r="B245" s="5" t="s">
        <v>88</v>
      </c>
      <c r="C245" s="5" t="s">
        <v>912</v>
      </c>
      <c r="D245" s="5" t="s">
        <v>978</v>
      </c>
      <c r="E245" s="5" t="s">
        <v>20</v>
      </c>
      <c r="F245" s="5">
        <v>10</v>
      </c>
      <c r="G245" s="5">
        <v>5.45</v>
      </c>
      <c r="H245" s="5">
        <v>5.3</v>
      </c>
      <c r="I245" s="5">
        <v>0</v>
      </c>
      <c r="J245" s="5">
        <v>0</v>
      </c>
      <c r="K245" s="5">
        <v>0</v>
      </c>
      <c r="L245" s="5">
        <v>0</v>
      </c>
      <c r="M245" s="5">
        <v>0</v>
      </c>
      <c r="N245" s="5">
        <v>0</v>
      </c>
      <c r="O245" s="5">
        <v>0</v>
      </c>
      <c r="P245" s="5">
        <v>3</v>
      </c>
      <c r="Q245" s="5">
        <v>0</v>
      </c>
      <c r="R245" s="5">
        <v>0</v>
      </c>
    </row>
    <row r="246" spans="1:18" ht="15" customHeight="1" x14ac:dyDescent="0.25">
      <c r="A246" s="5">
        <v>5718</v>
      </c>
      <c r="B246" s="5" t="s">
        <v>88</v>
      </c>
      <c r="C246" s="5" t="s">
        <v>912</v>
      </c>
      <c r="D246" s="5" t="s">
        <v>979</v>
      </c>
      <c r="E246" s="5" t="s">
        <v>20</v>
      </c>
      <c r="F246" s="5">
        <v>6</v>
      </c>
      <c r="G246" s="5">
        <v>5.58</v>
      </c>
      <c r="H246" s="5">
        <v>5.33</v>
      </c>
      <c r="I246" s="5">
        <v>0</v>
      </c>
      <c r="J246" s="5">
        <v>0</v>
      </c>
      <c r="K246" s="5">
        <v>0</v>
      </c>
      <c r="L246" s="5">
        <v>0</v>
      </c>
      <c r="M246" s="5">
        <v>0</v>
      </c>
      <c r="N246" s="5">
        <v>0</v>
      </c>
      <c r="O246" s="5">
        <v>0</v>
      </c>
      <c r="P246" s="5">
        <v>1</v>
      </c>
      <c r="Q246" s="5">
        <v>1</v>
      </c>
      <c r="R246" s="5">
        <v>0</v>
      </c>
    </row>
    <row r="247" spans="1:18" ht="15" customHeight="1" x14ac:dyDescent="0.25">
      <c r="A247" s="5">
        <v>7069</v>
      </c>
      <c r="B247" s="5" t="s">
        <v>88</v>
      </c>
      <c r="C247" s="5" t="s">
        <v>911</v>
      </c>
      <c r="D247" s="5" t="s">
        <v>980</v>
      </c>
      <c r="E247" s="5" t="s">
        <v>20</v>
      </c>
      <c r="F247" s="5">
        <v>12</v>
      </c>
      <c r="G247" s="5">
        <v>5.96</v>
      </c>
      <c r="H247" s="5">
        <v>5.96</v>
      </c>
      <c r="I247" s="5">
        <v>0</v>
      </c>
      <c r="J247" s="5">
        <v>0</v>
      </c>
      <c r="K247" s="5">
        <v>0</v>
      </c>
      <c r="L247" s="5">
        <v>0</v>
      </c>
      <c r="M247" s="5">
        <v>0</v>
      </c>
      <c r="N247" s="5">
        <v>0</v>
      </c>
      <c r="O247" s="5">
        <v>0</v>
      </c>
      <c r="P247" s="5">
        <v>0</v>
      </c>
      <c r="Q247" s="5">
        <v>0</v>
      </c>
      <c r="R247" s="5">
        <v>0</v>
      </c>
    </row>
    <row r="248" spans="1:18" ht="15" customHeight="1" x14ac:dyDescent="0.25">
      <c r="A248" s="5">
        <v>6977</v>
      </c>
      <c r="B248" s="5" t="s">
        <v>88</v>
      </c>
      <c r="C248" s="5" t="s">
        <v>912</v>
      </c>
      <c r="D248" s="5" t="s">
        <v>224</v>
      </c>
      <c r="E248" s="5" t="s">
        <v>34</v>
      </c>
      <c r="F248" s="5">
        <v>10</v>
      </c>
      <c r="G248" s="5">
        <v>5.6</v>
      </c>
      <c r="H248" s="5">
        <v>5.35</v>
      </c>
      <c r="I248" s="5">
        <v>0</v>
      </c>
      <c r="J248" s="5">
        <v>0</v>
      </c>
      <c r="K248" s="5">
        <v>0</v>
      </c>
      <c r="L248" s="5">
        <v>0</v>
      </c>
      <c r="M248" s="5">
        <v>0</v>
      </c>
      <c r="N248" s="5">
        <v>0</v>
      </c>
      <c r="O248" s="5">
        <v>0</v>
      </c>
      <c r="P248" s="5">
        <v>1</v>
      </c>
      <c r="Q248" s="5">
        <v>0</v>
      </c>
      <c r="R248" s="5">
        <v>1</v>
      </c>
    </row>
    <row r="249" spans="1:18" ht="15" customHeight="1" x14ac:dyDescent="0.25">
      <c r="A249" s="5">
        <v>294</v>
      </c>
      <c r="B249" s="5" t="s">
        <v>88</v>
      </c>
      <c r="C249" s="5" t="s">
        <v>912</v>
      </c>
      <c r="D249" s="5" t="s">
        <v>247</v>
      </c>
      <c r="E249" s="5" t="s">
        <v>20</v>
      </c>
      <c r="F249" s="5">
        <v>8</v>
      </c>
      <c r="G249" s="5">
        <v>5.69</v>
      </c>
      <c r="H249" s="5">
        <v>5.56</v>
      </c>
      <c r="I249" s="5">
        <v>0</v>
      </c>
      <c r="J249" s="5">
        <v>0</v>
      </c>
      <c r="K249" s="5">
        <v>0</v>
      </c>
      <c r="L249" s="5">
        <v>0</v>
      </c>
      <c r="M249" s="5">
        <v>0</v>
      </c>
      <c r="N249" s="5">
        <v>0</v>
      </c>
      <c r="O249" s="5">
        <v>0</v>
      </c>
      <c r="P249" s="5">
        <v>2</v>
      </c>
      <c r="Q249" s="5">
        <v>0</v>
      </c>
      <c r="R249" s="5">
        <v>0</v>
      </c>
    </row>
    <row r="250" spans="1:18" ht="15" customHeight="1" x14ac:dyDescent="0.25">
      <c r="A250" s="5">
        <v>6632</v>
      </c>
      <c r="B250" s="5" t="s">
        <v>88</v>
      </c>
      <c r="C250" s="5" t="s">
        <v>912</v>
      </c>
      <c r="D250" s="5" t="s">
        <v>172</v>
      </c>
      <c r="E250" s="5" t="s">
        <v>36</v>
      </c>
      <c r="F250" s="5">
        <v>21</v>
      </c>
      <c r="G250" s="5">
        <v>5.83</v>
      </c>
      <c r="H250" s="5">
        <v>5.64</v>
      </c>
      <c r="I250" s="5">
        <v>0</v>
      </c>
      <c r="J250" s="5">
        <v>0</v>
      </c>
      <c r="K250" s="5">
        <v>0</v>
      </c>
      <c r="L250" s="5">
        <v>0</v>
      </c>
      <c r="M250" s="5">
        <v>0</v>
      </c>
      <c r="N250" s="5">
        <v>0</v>
      </c>
      <c r="O250" s="5">
        <v>0</v>
      </c>
      <c r="P250" s="5">
        <v>6</v>
      </c>
      <c r="Q250" s="5">
        <v>1</v>
      </c>
      <c r="R250" s="5">
        <v>0</v>
      </c>
    </row>
    <row r="251" spans="1:18" ht="15" customHeight="1" x14ac:dyDescent="0.25">
      <c r="A251" s="5">
        <v>6883</v>
      </c>
      <c r="B251" s="5" t="s">
        <v>88</v>
      </c>
      <c r="C251" s="5" t="s">
        <v>912</v>
      </c>
      <c r="D251" s="5" t="s">
        <v>229</v>
      </c>
      <c r="E251" s="5" t="s">
        <v>36</v>
      </c>
      <c r="F251" s="5">
        <v>5</v>
      </c>
      <c r="G251" s="5">
        <v>5.8</v>
      </c>
      <c r="H251" s="5">
        <v>5.7</v>
      </c>
      <c r="I251" s="5">
        <v>0</v>
      </c>
      <c r="J251" s="5">
        <v>0</v>
      </c>
      <c r="K251" s="5">
        <v>0</v>
      </c>
      <c r="L251" s="5">
        <v>0</v>
      </c>
      <c r="M251" s="5">
        <v>0</v>
      </c>
      <c r="N251" s="5">
        <v>0</v>
      </c>
      <c r="O251" s="5">
        <v>0</v>
      </c>
      <c r="P251" s="5">
        <v>1</v>
      </c>
      <c r="Q251" s="5">
        <v>0</v>
      </c>
      <c r="R251" s="5">
        <v>0</v>
      </c>
    </row>
    <row r="252" spans="1:18" ht="15" customHeight="1" x14ac:dyDescent="0.25">
      <c r="A252" s="5">
        <v>5273</v>
      </c>
      <c r="B252" s="5" t="s">
        <v>88</v>
      </c>
      <c r="C252" s="5" t="s">
        <v>914</v>
      </c>
      <c r="D252" s="5" t="s">
        <v>212</v>
      </c>
      <c r="E252" s="5" t="s">
        <v>18</v>
      </c>
      <c r="F252" s="5">
        <v>14</v>
      </c>
      <c r="G252" s="5">
        <v>5.64</v>
      </c>
      <c r="H252" s="5">
        <v>5.71</v>
      </c>
      <c r="I252" s="5">
        <v>1</v>
      </c>
      <c r="J252" s="5">
        <v>0</v>
      </c>
      <c r="K252" s="5">
        <v>0</v>
      </c>
      <c r="L252" s="5">
        <v>0</v>
      </c>
      <c r="M252" s="5">
        <v>0</v>
      </c>
      <c r="N252" s="5">
        <v>0</v>
      </c>
      <c r="O252" s="5">
        <v>1</v>
      </c>
      <c r="P252" s="5">
        <v>5</v>
      </c>
      <c r="Q252" s="5">
        <v>1</v>
      </c>
      <c r="R252" s="5">
        <v>0</v>
      </c>
    </row>
    <row r="253" spans="1:18" ht="15" customHeight="1" x14ac:dyDescent="0.25">
      <c r="A253" s="5">
        <v>6821</v>
      </c>
      <c r="B253" s="5" t="s">
        <v>88</v>
      </c>
      <c r="C253" s="5" t="s">
        <v>920</v>
      </c>
      <c r="D253" s="5" t="s">
        <v>220</v>
      </c>
      <c r="E253" s="5" t="s">
        <v>38</v>
      </c>
      <c r="F253" s="5">
        <v>0</v>
      </c>
      <c r="G253" s="5">
        <v>0</v>
      </c>
      <c r="H253" s="5">
        <v>0</v>
      </c>
      <c r="I253" s="5">
        <v>0</v>
      </c>
      <c r="J253" s="5">
        <v>0</v>
      </c>
      <c r="K253" s="5">
        <v>0</v>
      </c>
      <c r="L253" s="5">
        <v>0</v>
      </c>
      <c r="M253" s="5">
        <v>0</v>
      </c>
      <c r="N253" s="5">
        <v>0</v>
      </c>
      <c r="O253" s="5">
        <v>0</v>
      </c>
      <c r="P253" s="5">
        <v>0</v>
      </c>
      <c r="Q253" s="5">
        <v>0</v>
      </c>
      <c r="R253" s="5">
        <v>0</v>
      </c>
    </row>
    <row r="254" spans="1:18" ht="15" customHeight="1" x14ac:dyDescent="0.25">
      <c r="A254" s="5">
        <v>6965</v>
      </c>
      <c r="B254" s="5" t="s">
        <v>88</v>
      </c>
      <c r="C254" s="5" t="s">
        <v>914</v>
      </c>
      <c r="D254" s="5" t="s">
        <v>981</v>
      </c>
      <c r="E254" s="5" t="s">
        <v>38</v>
      </c>
      <c r="F254" s="5">
        <v>6</v>
      </c>
      <c r="G254" s="5">
        <v>5.58</v>
      </c>
      <c r="H254" s="5">
        <v>5.58</v>
      </c>
      <c r="I254" s="5">
        <v>0</v>
      </c>
      <c r="J254" s="5">
        <v>0</v>
      </c>
      <c r="K254" s="5">
        <v>0</v>
      </c>
      <c r="L254" s="5">
        <v>0</v>
      </c>
      <c r="M254" s="5">
        <v>0</v>
      </c>
      <c r="N254" s="5">
        <v>0</v>
      </c>
      <c r="O254" s="5">
        <v>0</v>
      </c>
      <c r="P254" s="5">
        <v>0</v>
      </c>
      <c r="Q254" s="5">
        <v>0</v>
      </c>
      <c r="R254" s="5">
        <v>0</v>
      </c>
    </row>
    <row r="255" spans="1:18" ht="15" customHeight="1" x14ac:dyDescent="0.25">
      <c r="A255" s="5">
        <v>6411</v>
      </c>
      <c r="B255" s="5" t="s">
        <v>88</v>
      </c>
      <c r="C255" s="5" t="s">
        <v>912</v>
      </c>
      <c r="D255" s="5" t="s">
        <v>982</v>
      </c>
      <c r="E255" s="5" t="s">
        <v>883</v>
      </c>
      <c r="F255" s="5">
        <v>3</v>
      </c>
      <c r="G255" s="5">
        <v>5.83</v>
      </c>
      <c r="H255" s="5">
        <v>5.67</v>
      </c>
      <c r="I255" s="5">
        <v>0</v>
      </c>
      <c r="J255" s="5">
        <v>0</v>
      </c>
      <c r="K255" s="5">
        <v>0</v>
      </c>
      <c r="L255" s="5">
        <v>0</v>
      </c>
      <c r="M255" s="5">
        <v>0</v>
      </c>
      <c r="N255" s="5">
        <v>0</v>
      </c>
      <c r="O255" s="5">
        <v>0</v>
      </c>
      <c r="P255" s="5">
        <v>1</v>
      </c>
      <c r="Q255" s="5">
        <v>0</v>
      </c>
      <c r="R255" s="5">
        <v>0</v>
      </c>
    </row>
    <row r="256" spans="1:18" ht="15" customHeight="1" x14ac:dyDescent="0.25">
      <c r="A256" s="5">
        <v>7141</v>
      </c>
      <c r="B256" s="5" t="s">
        <v>88</v>
      </c>
      <c r="C256" s="5" t="s">
        <v>915</v>
      </c>
      <c r="D256" s="5" t="s">
        <v>983</v>
      </c>
      <c r="E256" s="5" t="s">
        <v>883</v>
      </c>
      <c r="F256" s="5">
        <v>0</v>
      </c>
      <c r="G256" s="5">
        <v>0</v>
      </c>
      <c r="H256" s="5">
        <v>0</v>
      </c>
      <c r="I256" s="5">
        <v>0</v>
      </c>
      <c r="J256" s="5">
        <v>0</v>
      </c>
      <c r="K256" s="5">
        <v>0</v>
      </c>
      <c r="L256" s="5">
        <v>0</v>
      </c>
      <c r="M256" s="5">
        <v>0</v>
      </c>
      <c r="N256" s="5">
        <v>0</v>
      </c>
      <c r="O256" s="5">
        <v>0</v>
      </c>
      <c r="P256" s="5">
        <v>0</v>
      </c>
      <c r="Q256" s="5">
        <v>0</v>
      </c>
      <c r="R256" s="5">
        <v>0</v>
      </c>
    </row>
    <row r="257" spans="1:18" ht="15" customHeight="1" x14ac:dyDescent="0.25">
      <c r="A257" s="5">
        <v>4495</v>
      </c>
      <c r="B257" s="5" t="s">
        <v>88</v>
      </c>
      <c r="C257" s="5" t="s">
        <v>912</v>
      </c>
      <c r="D257" s="5" t="s">
        <v>984</v>
      </c>
      <c r="E257" s="5" t="s">
        <v>10</v>
      </c>
      <c r="F257" s="5">
        <v>0</v>
      </c>
      <c r="G257" s="5">
        <v>0</v>
      </c>
      <c r="H257" s="5">
        <v>0</v>
      </c>
      <c r="I257" s="5">
        <v>0</v>
      </c>
      <c r="J257" s="5">
        <v>0</v>
      </c>
      <c r="K257" s="5">
        <v>0</v>
      </c>
      <c r="L257" s="5">
        <v>0</v>
      </c>
      <c r="M257" s="5">
        <v>0</v>
      </c>
      <c r="N257" s="5">
        <v>0</v>
      </c>
      <c r="O257" s="5">
        <v>0</v>
      </c>
      <c r="P257" s="5">
        <v>0</v>
      </c>
      <c r="Q257" s="5">
        <v>0</v>
      </c>
      <c r="R257" s="5">
        <v>0</v>
      </c>
    </row>
    <row r="258" spans="1:18" ht="15" customHeight="1" x14ac:dyDescent="0.25">
      <c r="A258" s="5">
        <v>6189</v>
      </c>
      <c r="B258" s="5" t="s">
        <v>88</v>
      </c>
      <c r="C258" s="5" t="s">
        <v>920</v>
      </c>
      <c r="D258" s="5" t="s">
        <v>259</v>
      </c>
      <c r="E258" s="5" t="s">
        <v>41</v>
      </c>
      <c r="F258" s="5">
        <v>0</v>
      </c>
      <c r="G258" s="5">
        <v>0</v>
      </c>
      <c r="H258" s="5">
        <v>0</v>
      </c>
      <c r="I258" s="5">
        <v>0</v>
      </c>
      <c r="J258" s="5">
        <v>0</v>
      </c>
      <c r="K258" s="5">
        <v>0</v>
      </c>
      <c r="L258" s="5">
        <v>0</v>
      </c>
      <c r="M258" s="5">
        <v>0</v>
      </c>
      <c r="N258" s="5">
        <v>0</v>
      </c>
      <c r="O258" s="5">
        <v>0</v>
      </c>
      <c r="P258" s="5">
        <v>0</v>
      </c>
      <c r="Q258" s="5">
        <v>0</v>
      </c>
      <c r="R258" s="5">
        <v>0</v>
      </c>
    </row>
    <row r="259" spans="1:18" ht="15" customHeight="1" x14ac:dyDescent="0.25">
      <c r="A259" s="5">
        <v>49</v>
      </c>
      <c r="B259" s="5" t="s">
        <v>88</v>
      </c>
      <c r="C259" s="5" t="s">
        <v>921</v>
      </c>
      <c r="D259" s="5" t="s">
        <v>985</v>
      </c>
      <c r="E259" s="5" t="s">
        <v>81</v>
      </c>
      <c r="F259" s="5">
        <v>4</v>
      </c>
      <c r="G259" s="5">
        <v>5.38</v>
      </c>
      <c r="H259" s="5">
        <v>5.62</v>
      </c>
      <c r="I259" s="5">
        <v>0</v>
      </c>
      <c r="J259" s="5">
        <v>0</v>
      </c>
      <c r="K259" s="5">
        <v>0</v>
      </c>
      <c r="L259" s="5">
        <v>0</v>
      </c>
      <c r="M259" s="5">
        <v>0</v>
      </c>
      <c r="N259" s="5">
        <v>0</v>
      </c>
      <c r="O259" s="5">
        <v>1</v>
      </c>
      <c r="P259" s="5">
        <v>0</v>
      </c>
      <c r="Q259" s="5">
        <v>0</v>
      </c>
      <c r="R259" s="5">
        <v>0</v>
      </c>
    </row>
    <row r="260" spans="1:18" ht="15" customHeight="1" x14ac:dyDescent="0.25">
      <c r="A260" s="5">
        <v>252</v>
      </c>
      <c r="B260" s="5" t="s">
        <v>88</v>
      </c>
      <c r="C260" s="5" t="s">
        <v>914</v>
      </c>
      <c r="D260" s="5" t="s">
        <v>232</v>
      </c>
      <c r="E260" s="5" t="s">
        <v>81</v>
      </c>
      <c r="F260" s="5">
        <v>11</v>
      </c>
      <c r="G260" s="5">
        <v>5.59</v>
      </c>
      <c r="H260" s="5">
        <v>5.59</v>
      </c>
      <c r="I260" s="5">
        <v>0</v>
      </c>
      <c r="J260" s="5">
        <v>0</v>
      </c>
      <c r="K260" s="5">
        <v>0</v>
      </c>
      <c r="L260" s="5">
        <v>0</v>
      </c>
      <c r="M260" s="5">
        <v>0</v>
      </c>
      <c r="N260" s="5">
        <v>0</v>
      </c>
      <c r="O260" s="5">
        <v>0</v>
      </c>
      <c r="P260" s="5">
        <v>0</v>
      </c>
      <c r="Q260" s="5">
        <v>0</v>
      </c>
      <c r="R260" s="5">
        <v>0</v>
      </c>
    </row>
    <row r="261" spans="1:18" ht="15" customHeight="1" x14ac:dyDescent="0.25">
      <c r="A261" s="5">
        <v>6925</v>
      </c>
      <c r="B261" s="5" t="s">
        <v>88</v>
      </c>
      <c r="C261" s="5" t="s">
        <v>912</v>
      </c>
      <c r="D261" s="5" t="s">
        <v>233</v>
      </c>
      <c r="E261" s="5" t="s">
        <v>32</v>
      </c>
      <c r="F261" s="5">
        <v>4</v>
      </c>
      <c r="G261" s="5">
        <v>5.5</v>
      </c>
      <c r="H261" s="5">
        <v>5.5</v>
      </c>
      <c r="I261" s="5">
        <v>0</v>
      </c>
      <c r="J261" s="5">
        <v>0</v>
      </c>
      <c r="K261" s="5">
        <v>0</v>
      </c>
      <c r="L261" s="5">
        <v>0</v>
      </c>
      <c r="M261" s="5">
        <v>0</v>
      </c>
      <c r="N261" s="5">
        <v>0</v>
      </c>
      <c r="O261" s="5">
        <v>0</v>
      </c>
      <c r="P261" s="5">
        <v>0</v>
      </c>
      <c r="Q261" s="5">
        <v>0</v>
      </c>
      <c r="R261" s="5">
        <v>0</v>
      </c>
    </row>
    <row r="262" spans="1:18" ht="15" customHeight="1" x14ac:dyDescent="0.25">
      <c r="A262" s="5">
        <v>7011</v>
      </c>
      <c r="B262" s="5" t="s">
        <v>88</v>
      </c>
      <c r="C262" s="5" t="s">
        <v>912</v>
      </c>
      <c r="D262" s="5" t="s">
        <v>986</v>
      </c>
      <c r="E262" s="5" t="s">
        <v>880</v>
      </c>
      <c r="F262" s="5">
        <v>6</v>
      </c>
      <c r="G262" s="5">
        <v>5.75</v>
      </c>
      <c r="H262" s="5">
        <v>5.75</v>
      </c>
      <c r="I262" s="5">
        <v>0</v>
      </c>
      <c r="J262" s="5">
        <v>0</v>
      </c>
      <c r="K262" s="5">
        <v>0</v>
      </c>
      <c r="L262" s="5">
        <v>0</v>
      </c>
      <c r="M262" s="5">
        <v>0</v>
      </c>
      <c r="N262" s="5">
        <v>0</v>
      </c>
      <c r="O262" s="5">
        <v>0</v>
      </c>
      <c r="P262" s="5">
        <v>0</v>
      </c>
      <c r="Q262" s="5">
        <v>0</v>
      </c>
      <c r="R262" s="5">
        <v>0</v>
      </c>
    </row>
    <row r="263" spans="1:18" ht="15" customHeight="1" x14ac:dyDescent="0.25">
      <c r="A263" s="5">
        <v>7202</v>
      </c>
      <c r="B263" s="5" t="s">
        <v>88</v>
      </c>
      <c r="C263" s="5" t="s">
        <v>912</v>
      </c>
      <c r="D263" s="5" t="s">
        <v>256</v>
      </c>
      <c r="E263" s="5" t="s">
        <v>38</v>
      </c>
      <c r="F263" s="5">
        <v>11</v>
      </c>
      <c r="G263" s="5">
        <v>5.59</v>
      </c>
      <c r="H263" s="5">
        <v>5.36</v>
      </c>
      <c r="I263" s="5">
        <v>0</v>
      </c>
      <c r="J263" s="5">
        <v>0</v>
      </c>
      <c r="K263" s="5">
        <v>0</v>
      </c>
      <c r="L263" s="5">
        <v>0</v>
      </c>
      <c r="M263" s="5">
        <v>0</v>
      </c>
      <c r="N263" s="5">
        <v>0</v>
      </c>
      <c r="O263" s="5">
        <v>0</v>
      </c>
      <c r="P263" s="5">
        <v>3</v>
      </c>
      <c r="Q263" s="5">
        <v>1</v>
      </c>
      <c r="R263" s="5">
        <v>0</v>
      </c>
    </row>
    <row r="264" spans="1:18" ht="15" customHeight="1" x14ac:dyDescent="0.25">
      <c r="A264" s="5">
        <v>6537</v>
      </c>
      <c r="B264" s="5" t="s">
        <v>88</v>
      </c>
      <c r="C264" s="5" t="s">
        <v>915</v>
      </c>
      <c r="D264" s="5" t="s">
        <v>987</v>
      </c>
      <c r="E264" s="5" t="s">
        <v>32</v>
      </c>
      <c r="F264" s="5">
        <v>6</v>
      </c>
      <c r="G264" s="5">
        <v>5.75</v>
      </c>
      <c r="H264" s="5">
        <v>5.58</v>
      </c>
      <c r="I264" s="5">
        <v>0</v>
      </c>
      <c r="J264" s="5">
        <v>0</v>
      </c>
      <c r="K264" s="5">
        <v>0</v>
      </c>
      <c r="L264" s="5">
        <v>0</v>
      </c>
      <c r="M264" s="5">
        <v>0</v>
      </c>
      <c r="N264" s="5">
        <v>0</v>
      </c>
      <c r="O264" s="5">
        <v>0</v>
      </c>
      <c r="P264" s="5">
        <v>2</v>
      </c>
      <c r="Q264" s="5">
        <v>0</v>
      </c>
      <c r="R264" s="5">
        <v>0</v>
      </c>
    </row>
    <row r="265" spans="1:18" ht="15" customHeight="1" x14ac:dyDescent="0.25">
      <c r="A265" s="5">
        <v>7222</v>
      </c>
      <c r="B265" s="5" t="s">
        <v>88</v>
      </c>
      <c r="C265" s="5" t="s">
        <v>930</v>
      </c>
      <c r="D265" s="5" t="s">
        <v>988</v>
      </c>
      <c r="E265" s="5" t="s">
        <v>880</v>
      </c>
      <c r="F265" s="5">
        <v>3</v>
      </c>
      <c r="G265" s="5">
        <v>5.17</v>
      </c>
      <c r="H265" s="5">
        <v>5.17</v>
      </c>
      <c r="I265" s="5">
        <v>0</v>
      </c>
      <c r="J265" s="5">
        <v>0</v>
      </c>
      <c r="K265" s="5">
        <v>0</v>
      </c>
      <c r="L265" s="5">
        <v>0</v>
      </c>
      <c r="M265" s="5">
        <v>0</v>
      </c>
      <c r="N265" s="5">
        <v>0</v>
      </c>
      <c r="O265" s="5">
        <v>0</v>
      </c>
      <c r="P265" s="5">
        <v>0</v>
      </c>
      <c r="Q265" s="5">
        <v>0</v>
      </c>
      <c r="R265" s="5">
        <v>0</v>
      </c>
    </row>
    <row r="266" spans="1:18" ht="15" customHeight="1" x14ac:dyDescent="0.25">
      <c r="A266" s="5">
        <v>7260</v>
      </c>
      <c r="B266" s="5" t="s">
        <v>88</v>
      </c>
      <c r="C266" s="5" t="s">
        <v>912</v>
      </c>
      <c r="D266" s="5" t="s">
        <v>258</v>
      </c>
      <c r="E266" s="5" t="s">
        <v>10</v>
      </c>
      <c r="F266" s="5">
        <v>9</v>
      </c>
      <c r="G266" s="5">
        <v>5.94</v>
      </c>
      <c r="H266" s="5">
        <v>5.78</v>
      </c>
      <c r="I266" s="5">
        <v>0</v>
      </c>
      <c r="J266" s="5">
        <v>0</v>
      </c>
      <c r="K266" s="5">
        <v>0</v>
      </c>
      <c r="L266" s="5">
        <v>0</v>
      </c>
      <c r="M266" s="5">
        <v>0</v>
      </c>
      <c r="N266" s="5">
        <v>0</v>
      </c>
      <c r="O266" s="5">
        <v>0</v>
      </c>
      <c r="P266" s="5">
        <v>3</v>
      </c>
      <c r="Q266" s="5">
        <v>0</v>
      </c>
      <c r="R266" s="5">
        <v>0</v>
      </c>
    </row>
    <row r="267" spans="1:18" ht="15" customHeight="1" x14ac:dyDescent="0.25">
      <c r="A267" s="5">
        <v>5156</v>
      </c>
      <c r="B267" s="5" t="s">
        <v>88</v>
      </c>
      <c r="C267" s="5" t="s">
        <v>914</v>
      </c>
      <c r="D267" s="5" t="s">
        <v>989</v>
      </c>
      <c r="E267" s="5" t="s">
        <v>81</v>
      </c>
      <c r="F267" s="5">
        <v>8</v>
      </c>
      <c r="G267" s="5">
        <v>5.81</v>
      </c>
      <c r="H267" s="5">
        <v>5.81</v>
      </c>
      <c r="I267" s="5">
        <v>0</v>
      </c>
      <c r="J267" s="5">
        <v>0</v>
      </c>
      <c r="K267" s="5">
        <v>0</v>
      </c>
      <c r="L267" s="5">
        <v>0</v>
      </c>
      <c r="M267" s="5">
        <v>0</v>
      </c>
      <c r="N267" s="5">
        <v>0</v>
      </c>
      <c r="O267" s="5">
        <v>1</v>
      </c>
      <c r="P267" s="5">
        <v>3</v>
      </c>
      <c r="Q267" s="5">
        <v>0</v>
      </c>
      <c r="R267" s="5">
        <v>0</v>
      </c>
    </row>
    <row r="268" spans="1:18" ht="15" customHeight="1" x14ac:dyDescent="0.25">
      <c r="A268" s="5">
        <v>7312</v>
      </c>
      <c r="B268" s="5" t="s">
        <v>88</v>
      </c>
      <c r="C268" s="5" t="s">
        <v>914</v>
      </c>
      <c r="D268" s="5" t="s">
        <v>197</v>
      </c>
      <c r="E268" s="5" t="s">
        <v>32</v>
      </c>
      <c r="F268" s="5">
        <v>5</v>
      </c>
      <c r="G268" s="5">
        <v>5.8</v>
      </c>
      <c r="H268" s="5">
        <v>5.8</v>
      </c>
      <c r="I268" s="5">
        <v>0</v>
      </c>
      <c r="J268" s="5">
        <v>0</v>
      </c>
      <c r="K268" s="5">
        <v>0</v>
      </c>
      <c r="L268" s="5">
        <v>0</v>
      </c>
      <c r="M268" s="5">
        <v>0</v>
      </c>
      <c r="N268" s="5">
        <v>0</v>
      </c>
      <c r="O268" s="5">
        <v>0</v>
      </c>
      <c r="P268" s="5">
        <v>0</v>
      </c>
      <c r="Q268" s="5">
        <v>0</v>
      </c>
      <c r="R268" s="5">
        <v>0</v>
      </c>
    </row>
    <row r="269" spans="1:18" ht="15" customHeight="1" x14ac:dyDescent="0.25">
      <c r="A269" s="5">
        <v>7326</v>
      </c>
      <c r="B269" s="5" t="s">
        <v>88</v>
      </c>
      <c r="C269" s="5" t="s">
        <v>915</v>
      </c>
      <c r="D269" s="5" t="s">
        <v>221</v>
      </c>
      <c r="E269" s="5" t="s">
        <v>24</v>
      </c>
      <c r="F269" s="5">
        <v>6</v>
      </c>
      <c r="G269" s="5">
        <v>5.5</v>
      </c>
      <c r="H269" s="5">
        <v>5.33</v>
      </c>
      <c r="I269" s="5">
        <v>0</v>
      </c>
      <c r="J269" s="5">
        <v>0</v>
      </c>
      <c r="K269" s="5">
        <v>0</v>
      </c>
      <c r="L269" s="5">
        <v>0</v>
      </c>
      <c r="M269" s="5">
        <v>0</v>
      </c>
      <c r="N269" s="5">
        <v>0</v>
      </c>
      <c r="O269" s="5">
        <v>0</v>
      </c>
      <c r="P269" s="5">
        <v>2</v>
      </c>
      <c r="Q269" s="5">
        <v>0</v>
      </c>
      <c r="R269" s="5">
        <v>0</v>
      </c>
    </row>
    <row r="270" spans="1:18" ht="15" customHeight="1" x14ac:dyDescent="0.25">
      <c r="A270" s="5">
        <v>2006</v>
      </c>
      <c r="B270" s="5" t="s">
        <v>88</v>
      </c>
      <c r="C270" s="5" t="s">
        <v>916</v>
      </c>
      <c r="D270" s="5" t="s">
        <v>990</v>
      </c>
      <c r="E270" s="5" t="s">
        <v>880</v>
      </c>
      <c r="F270" s="5">
        <v>5</v>
      </c>
      <c r="G270" s="5">
        <v>5.7</v>
      </c>
      <c r="H270" s="5">
        <v>5.6</v>
      </c>
      <c r="I270" s="5">
        <v>0</v>
      </c>
      <c r="J270" s="5">
        <v>0</v>
      </c>
      <c r="K270" s="5">
        <v>0</v>
      </c>
      <c r="L270" s="5">
        <v>0</v>
      </c>
      <c r="M270" s="5">
        <v>0</v>
      </c>
      <c r="N270" s="5">
        <v>0</v>
      </c>
      <c r="O270" s="5">
        <v>0</v>
      </c>
      <c r="P270" s="5">
        <v>1</v>
      </c>
      <c r="Q270" s="5">
        <v>0</v>
      </c>
      <c r="R270" s="5">
        <v>0</v>
      </c>
    </row>
    <row r="271" spans="1:18" ht="15" customHeight="1" x14ac:dyDescent="0.25">
      <c r="A271" s="5">
        <v>7336</v>
      </c>
      <c r="B271" s="5" t="s">
        <v>88</v>
      </c>
      <c r="C271" s="5" t="s">
        <v>912</v>
      </c>
      <c r="D271" s="5" t="s">
        <v>991</v>
      </c>
      <c r="E271" s="5" t="s">
        <v>81</v>
      </c>
      <c r="F271" s="5">
        <v>0</v>
      </c>
      <c r="G271" s="5">
        <v>0</v>
      </c>
      <c r="H271" s="5">
        <v>0</v>
      </c>
      <c r="I271" s="5">
        <v>0</v>
      </c>
      <c r="J271" s="5">
        <v>0</v>
      </c>
      <c r="K271" s="5">
        <v>0</v>
      </c>
      <c r="L271" s="5">
        <v>0</v>
      </c>
      <c r="M271" s="5">
        <v>0</v>
      </c>
      <c r="N271" s="5">
        <v>0</v>
      </c>
      <c r="O271" s="5">
        <v>0</v>
      </c>
      <c r="P271" s="5">
        <v>0</v>
      </c>
      <c r="Q271" s="5">
        <v>0</v>
      </c>
      <c r="R271" s="5">
        <v>0</v>
      </c>
    </row>
    <row r="272" spans="1:18" ht="15" customHeight="1" x14ac:dyDescent="0.25">
      <c r="A272" s="5">
        <v>7356</v>
      </c>
      <c r="B272" s="5" t="s">
        <v>88</v>
      </c>
      <c r="C272" s="5" t="s">
        <v>912</v>
      </c>
      <c r="D272" s="5" t="s">
        <v>261</v>
      </c>
      <c r="E272" s="5" t="s">
        <v>32</v>
      </c>
      <c r="F272" s="5">
        <v>3</v>
      </c>
      <c r="G272" s="5">
        <v>5.83</v>
      </c>
      <c r="H272" s="5">
        <v>5.67</v>
      </c>
      <c r="I272" s="5">
        <v>0</v>
      </c>
      <c r="J272" s="5">
        <v>0</v>
      </c>
      <c r="K272" s="5">
        <v>0</v>
      </c>
      <c r="L272" s="5">
        <v>0</v>
      </c>
      <c r="M272" s="5">
        <v>0</v>
      </c>
      <c r="N272" s="5">
        <v>0</v>
      </c>
      <c r="O272" s="5">
        <v>0</v>
      </c>
      <c r="P272" s="5">
        <v>2</v>
      </c>
      <c r="Q272" s="5">
        <v>0</v>
      </c>
      <c r="R272" s="5">
        <v>0</v>
      </c>
    </row>
    <row r="273" spans="1:18" ht="15" customHeight="1" x14ac:dyDescent="0.25">
      <c r="A273" s="5">
        <v>7377</v>
      </c>
      <c r="B273" s="5" t="s">
        <v>88</v>
      </c>
      <c r="C273" s="5" t="s">
        <v>914</v>
      </c>
      <c r="D273" s="5" t="s">
        <v>992</v>
      </c>
      <c r="E273" s="5" t="s">
        <v>20</v>
      </c>
      <c r="F273" s="5">
        <v>4</v>
      </c>
      <c r="G273" s="5">
        <v>5.75</v>
      </c>
      <c r="H273" s="5">
        <v>5.75</v>
      </c>
      <c r="I273" s="5">
        <v>0</v>
      </c>
      <c r="J273" s="5">
        <v>0</v>
      </c>
      <c r="K273" s="5">
        <v>0</v>
      </c>
      <c r="L273" s="5">
        <v>0</v>
      </c>
      <c r="M273" s="5">
        <v>0</v>
      </c>
      <c r="N273" s="5">
        <v>0</v>
      </c>
      <c r="O273" s="5">
        <v>0</v>
      </c>
      <c r="P273" s="5">
        <v>0</v>
      </c>
      <c r="Q273" s="5">
        <v>0</v>
      </c>
      <c r="R273" s="5">
        <v>0</v>
      </c>
    </row>
    <row r="274" spans="1:18" ht="15" customHeight="1" x14ac:dyDescent="0.25">
      <c r="A274" s="5">
        <v>5498</v>
      </c>
      <c r="B274" s="5" t="s">
        <v>88</v>
      </c>
      <c r="C274" s="5" t="s">
        <v>912</v>
      </c>
      <c r="D274" s="5" t="s">
        <v>201</v>
      </c>
      <c r="E274" s="5" t="s">
        <v>24</v>
      </c>
      <c r="F274" s="5">
        <v>10</v>
      </c>
      <c r="G274" s="5">
        <v>5.65</v>
      </c>
      <c r="H274" s="5">
        <v>5.65</v>
      </c>
      <c r="I274" s="5">
        <v>0</v>
      </c>
      <c r="J274" s="5">
        <v>0</v>
      </c>
      <c r="K274" s="5">
        <v>0</v>
      </c>
      <c r="L274" s="5">
        <v>0</v>
      </c>
      <c r="M274" s="5">
        <v>0</v>
      </c>
      <c r="N274" s="5">
        <v>0</v>
      </c>
      <c r="O274" s="5">
        <v>0</v>
      </c>
      <c r="P274" s="5">
        <v>0</v>
      </c>
      <c r="Q274" s="5">
        <v>0</v>
      </c>
      <c r="R274" s="5">
        <v>0</v>
      </c>
    </row>
    <row r="275" spans="1:18" ht="15" customHeight="1" x14ac:dyDescent="0.25">
      <c r="A275" s="5">
        <v>6551</v>
      </c>
      <c r="B275" s="5" t="s">
        <v>88</v>
      </c>
      <c r="C275" s="5" t="s">
        <v>912</v>
      </c>
      <c r="D275" s="5" t="s">
        <v>993</v>
      </c>
      <c r="E275" s="5" t="s">
        <v>24</v>
      </c>
      <c r="F275" s="5">
        <v>0</v>
      </c>
      <c r="G275" s="5">
        <v>0</v>
      </c>
      <c r="H275" s="5">
        <v>0</v>
      </c>
      <c r="I275" s="5">
        <v>0</v>
      </c>
      <c r="J275" s="5">
        <v>0</v>
      </c>
      <c r="K275" s="5">
        <v>0</v>
      </c>
      <c r="L275" s="5">
        <v>0</v>
      </c>
      <c r="M275" s="5">
        <v>0</v>
      </c>
      <c r="N275" s="5">
        <v>0</v>
      </c>
      <c r="O275" s="5">
        <v>0</v>
      </c>
      <c r="P275" s="5">
        <v>0</v>
      </c>
      <c r="Q275" s="5">
        <v>0</v>
      </c>
      <c r="R275" s="5">
        <v>0</v>
      </c>
    </row>
    <row r="276" spans="1:18" ht="15" customHeight="1" x14ac:dyDescent="0.25">
      <c r="A276" s="5">
        <v>6464</v>
      </c>
      <c r="B276" s="5" t="s">
        <v>88</v>
      </c>
      <c r="C276" s="5" t="s">
        <v>912</v>
      </c>
      <c r="D276" s="5" t="s">
        <v>994</v>
      </c>
      <c r="E276" s="5" t="s">
        <v>26</v>
      </c>
      <c r="F276" s="5">
        <v>0</v>
      </c>
      <c r="G276" s="5">
        <v>0</v>
      </c>
      <c r="H276" s="5">
        <v>0</v>
      </c>
      <c r="I276" s="5">
        <v>0</v>
      </c>
      <c r="J276" s="5">
        <v>0</v>
      </c>
      <c r="K276" s="5">
        <v>0</v>
      </c>
      <c r="L276" s="5">
        <v>0</v>
      </c>
      <c r="M276" s="5">
        <v>0</v>
      </c>
      <c r="N276" s="5">
        <v>0</v>
      </c>
      <c r="O276" s="5">
        <v>0</v>
      </c>
      <c r="P276" s="5">
        <v>0</v>
      </c>
      <c r="Q276" s="5">
        <v>0</v>
      </c>
      <c r="R276" s="5">
        <v>0</v>
      </c>
    </row>
    <row r="277" spans="1:18" ht="15" customHeight="1" x14ac:dyDescent="0.25">
      <c r="A277" s="5">
        <v>6636</v>
      </c>
      <c r="B277" s="5" t="s">
        <v>88</v>
      </c>
      <c r="C277" s="5" t="s">
        <v>919</v>
      </c>
      <c r="D277" s="5" t="s">
        <v>995</v>
      </c>
      <c r="E277" s="5" t="s">
        <v>26</v>
      </c>
      <c r="F277" s="5">
        <v>0</v>
      </c>
      <c r="G277" s="5">
        <v>0</v>
      </c>
      <c r="H277" s="5">
        <v>0</v>
      </c>
      <c r="I277" s="5">
        <v>0</v>
      </c>
      <c r="J277" s="5">
        <v>0</v>
      </c>
      <c r="K277" s="5">
        <v>0</v>
      </c>
      <c r="L277" s="5">
        <v>0</v>
      </c>
      <c r="M277" s="5">
        <v>0</v>
      </c>
      <c r="N277" s="5">
        <v>0</v>
      </c>
      <c r="O277" s="5">
        <v>0</v>
      </c>
      <c r="P277" s="5">
        <v>0</v>
      </c>
      <c r="Q277" s="5">
        <v>0</v>
      </c>
      <c r="R277" s="5">
        <v>0</v>
      </c>
    </row>
    <row r="278" spans="1:18" ht="15" customHeight="1" x14ac:dyDescent="0.25">
      <c r="A278" s="5">
        <v>418</v>
      </c>
      <c r="B278" s="5" t="s">
        <v>88</v>
      </c>
      <c r="C278" s="5" t="s">
        <v>912</v>
      </c>
      <c r="D278" s="5" t="s">
        <v>239</v>
      </c>
      <c r="E278" s="5" t="s">
        <v>16</v>
      </c>
      <c r="F278" s="5">
        <v>0</v>
      </c>
      <c r="G278" s="5">
        <v>0</v>
      </c>
      <c r="H278" s="5">
        <v>0</v>
      </c>
      <c r="I278" s="5">
        <v>0</v>
      </c>
      <c r="J278" s="5">
        <v>0</v>
      </c>
      <c r="K278" s="5">
        <v>0</v>
      </c>
      <c r="L278" s="5">
        <v>0</v>
      </c>
      <c r="M278" s="5">
        <v>0</v>
      </c>
      <c r="N278" s="5">
        <v>0</v>
      </c>
      <c r="O278" s="5">
        <v>0</v>
      </c>
      <c r="P278" s="5">
        <v>0</v>
      </c>
      <c r="Q278" s="5">
        <v>0</v>
      </c>
      <c r="R278" s="5">
        <v>0</v>
      </c>
    </row>
    <row r="279" spans="1:18" ht="15" customHeight="1" x14ac:dyDescent="0.25">
      <c r="A279" s="5">
        <v>1891</v>
      </c>
      <c r="B279" s="5" t="s">
        <v>88</v>
      </c>
      <c r="C279" s="5" t="s">
        <v>915</v>
      </c>
      <c r="D279" s="5" t="s">
        <v>996</v>
      </c>
      <c r="E279" s="5" t="s">
        <v>878</v>
      </c>
      <c r="F279" s="5">
        <v>8</v>
      </c>
      <c r="G279" s="5">
        <v>5.56</v>
      </c>
      <c r="H279" s="5">
        <v>5.5</v>
      </c>
      <c r="I279" s="5">
        <v>0</v>
      </c>
      <c r="J279" s="5">
        <v>0</v>
      </c>
      <c r="K279" s="5">
        <v>0</v>
      </c>
      <c r="L279" s="5">
        <v>0</v>
      </c>
      <c r="M279" s="5">
        <v>0</v>
      </c>
      <c r="N279" s="5">
        <v>0</v>
      </c>
      <c r="O279" s="5">
        <v>1</v>
      </c>
      <c r="P279" s="5">
        <v>1</v>
      </c>
      <c r="Q279" s="5">
        <v>1</v>
      </c>
      <c r="R279" s="5">
        <v>0</v>
      </c>
    </row>
    <row r="280" spans="1:18" ht="15" customHeight="1" x14ac:dyDescent="0.25">
      <c r="A280" s="5">
        <v>5891</v>
      </c>
      <c r="B280" s="5" t="s">
        <v>88</v>
      </c>
      <c r="C280" s="5" t="s">
        <v>914</v>
      </c>
      <c r="D280" s="5" t="s">
        <v>997</v>
      </c>
      <c r="E280" s="5" t="s">
        <v>878</v>
      </c>
      <c r="F280" s="5">
        <v>0</v>
      </c>
      <c r="G280" s="5">
        <v>0</v>
      </c>
      <c r="H280" s="5">
        <v>0</v>
      </c>
      <c r="I280" s="5">
        <v>0</v>
      </c>
      <c r="J280" s="5">
        <v>0</v>
      </c>
      <c r="K280" s="5">
        <v>0</v>
      </c>
      <c r="L280" s="5">
        <v>0</v>
      </c>
      <c r="M280" s="5">
        <v>0</v>
      </c>
      <c r="N280" s="5">
        <v>0</v>
      </c>
      <c r="O280" s="5">
        <v>0</v>
      </c>
      <c r="P280" s="5">
        <v>0</v>
      </c>
      <c r="Q280" s="5">
        <v>0</v>
      </c>
      <c r="R280" s="5">
        <v>0</v>
      </c>
    </row>
    <row r="281" spans="1:18" ht="15" customHeight="1" x14ac:dyDescent="0.25">
      <c r="A281" s="5">
        <v>2847</v>
      </c>
      <c r="B281" s="5" t="s">
        <v>88</v>
      </c>
      <c r="C281" s="5" t="s">
        <v>930</v>
      </c>
      <c r="D281" s="5" t="s">
        <v>998</v>
      </c>
      <c r="E281" s="5" t="s">
        <v>878</v>
      </c>
      <c r="F281" s="5">
        <v>0</v>
      </c>
      <c r="G281" s="5">
        <v>0</v>
      </c>
      <c r="H281" s="5">
        <v>0</v>
      </c>
      <c r="I281" s="5">
        <v>0</v>
      </c>
      <c r="J281" s="5">
        <v>0</v>
      </c>
      <c r="K281" s="5">
        <v>0</v>
      </c>
      <c r="L281" s="5">
        <v>0</v>
      </c>
      <c r="M281" s="5">
        <v>0</v>
      </c>
      <c r="N281" s="5">
        <v>0</v>
      </c>
      <c r="O281" s="5">
        <v>0</v>
      </c>
      <c r="P281" s="5">
        <v>0</v>
      </c>
      <c r="Q281" s="5">
        <v>0</v>
      </c>
      <c r="R281" s="5">
        <v>0</v>
      </c>
    </row>
    <row r="282" spans="1:18" ht="15" customHeight="1" x14ac:dyDescent="0.25">
      <c r="A282" s="5">
        <v>6803</v>
      </c>
      <c r="B282" s="5" t="s">
        <v>88</v>
      </c>
      <c r="C282" s="5" t="s">
        <v>914</v>
      </c>
      <c r="D282" s="5" t="s">
        <v>999</v>
      </c>
      <c r="E282" s="5" t="s">
        <v>28</v>
      </c>
      <c r="F282" s="5">
        <v>0</v>
      </c>
      <c r="G282" s="5">
        <v>0</v>
      </c>
      <c r="H282" s="5">
        <v>0</v>
      </c>
      <c r="I282" s="5">
        <v>0</v>
      </c>
      <c r="J282" s="5">
        <v>0</v>
      </c>
      <c r="K282" s="5">
        <v>0</v>
      </c>
      <c r="L282" s="5">
        <v>0</v>
      </c>
      <c r="M282" s="5">
        <v>0</v>
      </c>
      <c r="N282" s="5">
        <v>0</v>
      </c>
      <c r="O282" s="5">
        <v>0</v>
      </c>
      <c r="P282" s="5">
        <v>0</v>
      </c>
      <c r="Q282" s="5">
        <v>0</v>
      </c>
      <c r="R282" s="5">
        <v>0</v>
      </c>
    </row>
    <row r="283" spans="1:18" ht="15" customHeight="1" x14ac:dyDescent="0.25">
      <c r="A283" s="5">
        <v>5899</v>
      </c>
      <c r="B283" s="5" t="s">
        <v>88</v>
      </c>
      <c r="C283" s="5" t="s">
        <v>912</v>
      </c>
      <c r="D283" s="5" t="s">
        <v>1000</v>
      </c>
      <c r="E283" s="5" t="s">
        <v>30</v>
      </c>
      <c r="F283" s="5">
        <v>0</v>
      </c>
      <c r="G283" s="5">
        <v>0</v>
      </c>
      <c r="H283" s="5">
        <v>0</v>
      </c>
      <c r="I283" s="5">
        <v>0</v>
      </c>
      <c r="J283" s="5">
        <v>0</v>
      </c>
      <c r="K283" s="5">
        <v>0</v>
      </c>
      <c r="L283" s="5">
        <v>0</v>
      </c>
      <c r="M283" s="5">
        <v>0</v>
      </c>
      <c r="N283" s="5">
        <v>0</v>
      </c>
      <c r="O283" s="5">
        <v>0</v>
      </c>
      <c r="P283" s="5">
        <v>0</v>
      </c>
      <c r="Q283" s="5">
        <v>0</v>
      </c>
      <c r="R283" s="5">
        <v>0</v>
      </c>
    </row>
    <row r="284" spans="1:18" ht="15" customHeight="1" x14ac:dyDescent="0.25">
      <c r="A284" s="5">
        <v>140</v>
      </c>
      <c r="B284" s="5" t="s">
        <v>88</v>
      </c>
      <c r="C284" s="5" t="s">
        <v>930</v>
      </c>
      <c r="D284" s="5" t="s">
        <v>1001</v>
      </c>
      <c r="E284" s="5" t="s">
        <v>30</v>
      </c>
      <c r="F284" s="5">
        <v>2</v>
      </c>
      <c r="G284" s="5">
        <v>5.5</v>
      </c>
      <c r="H284" s="5">
        <v>5.5</v>
      </c>
      <c r="I284" s="5">
        <v>0</v>
      </c>
      <c r="J284" s="5">
        <v>0</v>
      </c>
      <c r="K284" s="5">
        <v>0</v>
      </c>
      <c r="L284" s="5">
        <v>0</v>
      </c>
      <c r="M284" s="5">
        <v>0</v>
      </c>
      <c r="N284" s="5">
        <v>0</v>
      </c>
      <c r="O284" s="5">
        <v>0</v>
      </c>
      <c r="P284" s="5">
        <v>0</v>
      </c>
      <c r="Q284" s="5">
        <v>0</v>
      </c>
      <c r="R284" s="5">
        <v>0</v>
      </c>
    </row>
    <row r="285" spans="1:18" ht="15" customHeight="1" x14ac:dyDescent="0.25">
      <c r="A285" s="5">
        <v>7164</v>
      </c>
      <c r="B285" s="5" t="s">
        <v>88</v>
      </c>
      <c r="C285" s="5" t="s">
        <v>915</v>
      </c>
      <c r="D285" s="5" t="s">
        <v>250</v>
      </c>
      <c r="E285" s="5" t="s">
        <v>36</v>
      </c>
      <c r="F285" s="5">
        <v>1</v>
      </c>
      <c r="G285" s="5">
        <v>5</v>
      </c>
      <c r="H285" s="5">
        <v>5</v>
      </c>
      <c r="I285" s="5">
        <v>0</v>
      </c>
      <c r="J285" s="5">
        <v>0</v>
      </c>
      <c r="K285" s="5">
        <v>0</v>
      </c>
      <c r="L285" s="5">
        <v>0</v>
      </c>
      <c r="M285" s="5">
        <v>0</v>
      </c>
      <c r="N285" s="5">
        <v>0</v>
      </c>
      <c r="O285" s="5">
        <v>0</v>
      </c>
      <c r="P285" s="5">
        <v>0</v>
      </c>
      <c r="Q285" s="5">
        <v>0</v>
      </c>
      <c r="R285" s="5">
        <v>0</v>
      </c>
    </row>
    <row r="286" spans="1:18" ht="15" customHeight="1" x14ac:dyDescent="0.25">
      <c r="A286" s="5">
        <v>7136</v>
      </c>
      <c r="B286" s="5" t="s">
        <v>88</v>
      </c>
      <c r="C286" s="5" t="s">
        <v>915</v>
      </c>
      <c r="D286" s="5" t="s">
        <v>1002</v>
      </c>
      <c r="E286" s="5" t="s">
        <v>36</v>
      </c>
      <c r="F286" s="5">
        <v>4</v>
      </c>
      <c r="G286" s="5">
        <v>5.5</v>
      </c>
      <c r="H286" s="5">
        <v>5.5</v>
      </c>
      <c r="I286" s="5">
        <v>0</v>
      </c>
      <c r="J286" s="5">
        <v>0</v>
      </c>
      <c r="K286" s="5">
        <v>0</v>
      </c>
      <c r="L286" s="5">
        <v>0</v>
      </c>
      <c r="M286" s="5">
        <v>0</v>
      </c>
      <c r="N286" s="5">
        <v>0</v>
      </c>
      <c r="O286" s="5">
        <v>0</v>
      </c>
      <c r="P286" s="5">
        <v>0</v>
      </c>
      <c r="Q286" s="5">
        <v>0</v>
      </c>
      <c r="R286" s="5">
        <v>0</v>
      </c>
    </row>
    <row r="287" spans="1:18" ht="15" customHeight="1" x14ac:dyDescent="0.25">
      <c r="A287" s="5">
        <v>7182</v>
      </c>
      <c r="B287" s="5" t="s">
        <v>88</v>
      </c>
      <c r="C287" s="5" t="s">
        <v>914</v>
      </c>
      <c r="D287" s="5" t="s">
        <v>251</v>
      </c>
      <c r="E287" s="5" t="s">
        <v>36</v>
      </c>
      <c r="F287" s="5">
        <v>9</v>
      </c>
      <c r="G287" s="5">
        <v>5.5</v>
      </c>
      <c r="H287" s="5">
        <v>5.5</v>
      </c>
      <c r="I287" s="5">
        <v>0</v>
      </c>
      <c r="J287" s="5">
        <v>0</v>
      </c>
      <c r="K287" s="5">
        <v>0</v>
      </c>
      <c r="L287" s="5">
        <v>0</v>
      </c>
      <c r="M287" s="5">
        <v>0</v>
      </c>
      <c r="N287" s="5">
        <v>0</v>
      </c>
      <c r="O287" s="5">
        <v>0</v>
      </c>
      <c r="P287" s="5">
        <v>0</v>
      </c>
      <c r="Q287" s="5">
        <v>0</v>
      </c>
      <c r="R287" s="5">
        <v>0</v>
      </c>
    </row>
    <row r="288" spans="1:18" ht="15" customHeight="1" x14ac:dyDescent="0.25">
      <c r="A288" s="5">
        <v>7140</v>
      </c>
      <c r="B288" s="5" t="s">
        <v>88</v>
      </c>
      <c r="C288" s="5" t="s">
        <v>912</v>
      </c>
      <c r="D288" s="5" t="s">
        <v>1003</v>
      </c>
      <c r="E288" s="5" t="s">
        <v>883</v>
      </c>
      <c r="F288" s="5">
        <v>5</v>
      </c>
      <c r="G288" s="5">
        <v>5.0999999999999996</v>
      </c>
      <c r="H288" s="5">
        <v>4.9000000000000004</v>
      </c>
      <c r="I288" s="5">
        <v>0</v>
      </c>
      <c r="J288" s="5">
        <v>0</v>
      </c>
      <c r="K288" s="5">
        <v>0</v>
      </c>
      <c r="L288" s="5">
        <v>0</v>
      </c>
      <c r="M288" s="5">
        <v>0</v>
      </c>
      <c r="N288" s="5">
        <v>0</v>
      </c>
      <c r="O288" s="5">
        <v>0</v>
      </c>
      <c r="P288" s="5">
        <v>3</v>
      </c>
      <c r="Q288" s="5">
        <v>0</v>
      </c>
      <c r="R288" s="5">
        <v>0</v>
      </c>
    </row>
    <row r="289" spans="1:18" ht="15" customHeight="1" x14ac:dyDescent="0.25">
      <c r="A289" s="5">
        <v>7170</v>
      </c>
      <c r="B289" s="5" t="s">
        <v>88</v>
      </c>
      <c r="C289" s="5" t="s">
        <v>912</v>
      </c>
      <c r="D289" s="5" t="s">
        <v>1004</v>
      </c>
      <c r="E289" s="5" t="s">
        <v>883</v>
      </c>
      <c r="F289" s="5">
        <v>0</v>
      </c>
      <c r="G289" s="5">
        <v>0</v>
      </c>
      <c r="H289" s="5">
        <v>0</v>
      </c>
      <c r="I289" s="5">
        <v>0</v>
      </c>
      <c r="J289" s="5">
        <v>0</v>
      </c>
      <c r="K289" s="5">
        <v>0</v>
      </c>
      <c r="L289" s="5">
        <v>0</v>
      </c>
      <c r="M289" s="5">
        <v>0</v>
      </c>
      <c r="N289" s="5">
        <v>0</v>
      </c>
      <c r="O289" s="5">
        <v>0</v>
      </c>
      <c r="P289" s="5">
        <v>0</v>
      </c>
      <c r="Q289" s="5">
        <v>0</v>
      </c>
      <c r="R289" s="5">
        <v>0</v>
      </c>
    </row>
    <row r="290" spans="1:18" ht="15" customHeight="1" x14ac:dyDescent="0.25">
      <c r="A290" s="5">
        <v>7142</v>
      </c>
      <c r="B290" s="5" t="s">
        <v>88</v>
      </c>
      <c r="C290" s="5" t="s">
        <v>920</v>
      </c>
      <c r="D290" s="5" t="s">
        <v>1005</v>
      </c>
      <c r="E290" s="5" t="s">
        <v>883</v>
      </c>
      <c r="F290" s="5">
        <v>0</v>
      </c>
      <c r="G290" s="5">
        <v>0</v>
      </c>
      <c r="H290" s="5">
        <v>0</v>
      </c>
      <c r="I290" s="5">
        <v>0</v>
      </c>
      <c r="J290" s="5">
        <v>0</v>
      </c>
      <c r="K290" s="5">
        <v>0</v>
      </c>
      <c r="L290" s="5">
        <v>0</v>
      </c>
      <c r="M290" s="5">
        <v>0</v>
      </c>
      <c r="N290" s="5">
        <v>0</v>
      </c>
      <c r="O290" s="5">
        <v>0</v>
      </c>
      <c r="P290" s="5">
        <v>0</v>
      </c>
      <c r="Q290" s="5">
        <v>0</v>
      </c>
      <c r="R290" s="5">
        <v>0</v>
      </c>
    </row>
    <row r="291" spans="1:18" ht="15" customHeight="1" x14ac:dyDescent="0.25">
      <c r="A291" s="5">
        <v>6885</v>
      </c>
      <c r="B291" s="5" t="s">
        <v>88</v>
      </c>
      <c r="C291" s="5" t="s">
        <v>920</v>
      </c>
      <c r="D291" s="5" t="s">
        <v>1006</v>
      </c>
      <c r="E291" s="5" t="s">
        <v>10</v>
      </c>
      <c r="F291" s="5">
        <v>0</v>
      </c>
      <c r="G291" s="5">
        <v>0</v>
      </c>
      <c r="H291" s="5">
        <v>0</v>
      </c>
      <c r="I291" s="5">
        <v>0</v>
      </c>
      <c r="J291" s="5">
        <v>0</v>
      </c>
      <c r="K291" s="5">
        <v>0</v>
      </c>
      <c r="L291" s="5">
        <v>0</v>
      </c>
      <c r="M291" s="5">
        <v>0</v>
      </c>
      <c r="N291" s="5">
        <v>0</v>
      </c>
      <c r="O291" s="5">
        <v>0</v>
      </c>
      <c r="P291" s="5">
        <v>0</v>
      </c>
      <c r="Q291" s="5">
        <v>0</v>
      </c>
      <c r="R291" s="5">
        <v>0</v>
      </c>
    </row>
    <row r="292" spans="1:18" ht="15" customHeight="1" x14ac:dyDescent="0.25">
      <c r="A292" s="5">
        <v>7154</v>
      </c>
      <c r="B292" s="5" t="s">
        <v>88</v>
      </c>
      <c r="C292" s="5" t="s">
        <v>912</v>
      </c>
      <c r="D292" s="5" t="s">
        <v>1007</v>
      </c>
      <c r="E292" s="5" t="s">
        <v>41</v>
      </c>
      <c r="F292" s="5">
        <v>0</v>
      </c>
      <c r="G292" s="5">
        <v>0</v>
      </c>
      <c r="H292" s="5">
        <v>0</v>
      </c>
      <c r="I292" s="5">
        <v>0</v>
      </c>
      <c r="J292" s="5">
        <v>0</v>
      </c>
      <c r="K292" s="5">
        <v>0</v>
      </c>
      <c r="L292" s="5">
        <v>0</v>
      </c>
      <c r="M292" s="5">
        <v>0</v>
      </c>
      <c r="N292" s="5">
        <v>0</v>
      </c>
      <c r="O292" s="5">
        <v>0</v>
      </c>
      <c r="P292" s="5">
        <v>0</v>
      </c>
      <c r="Q292" s="5">
        <v>0</v>
      </c>
      <c r="R292" s="5">
        <v>0</v>
      </c>
    </row>
    <row r="293" spans="1:18" ht="15" customHeight="1" x14ac:dyDescent="0.25">
      <c r="A293" s="5">
        <v>2279</v>
      </c>
      <c r="B293" s="5" t="s">
        <v>88</v>
      </c>
      <c r="C293" s="5" t="s">
        <v>912</v>
      </c>
      <c r="D293" s="5" t="s">
        <v>1008</v>
      </c>
      <c r="E293" s="5" t="s">
        <v>41</v>
      </c>
      <c r="F293" s="5">
        <v>5</v>
      </c>
      <c r="G293" s="5">
        <v>5.7</v>
      </c>
      <c r="H293" s="5">
        <v>5.7</v>
      </c>
      <c r="I293" s="5">
        <v>0</v>
      </c>
      <c r="J293" s="5">
        <v>0</v>
      </c>
      <c r="K293" s="5">
        <v>0</v>
      </c>
      <c r="L293" s="5">
        <v>0</v>
      </c>
      <c r="M293" s="5">
        <v>0</v>
      </c>
      <c r="N293" s="5">
        <v>0</v>
      </c>
      <c r="O293" s="5">
        <v>0</v>
      </c>
      <c r="P293" s="5">
        <v>0</v>
      </c>
      <c r="Q293" s="5">
        <v>0</v>
      </c>
      <c r="R293" s="5">
        <v>0</v>
      </c>
    </row>
    <row r="294" spans="1:18" ht="15" customHeight="1" x14ac:dyDescent="0.25">
      <c r="A294" s="5">
        <v>6431</v>
      </c>
      <c r="B294" s="5" t="s">
        <v>88</v>
      </c>
      <c r="C294" s="5" t="s">
        <v>920</v>
      </c>
      <c r="D294" s="5" t="s">
        <v>1009</v>
      </c>
      <c r="E294" s="5" t="s">
        <v>41</v>
      </c>
      <c r="F294" s="5">
        <v>0</v>
      </c>
      <c r="G294" s="5">
        <v>0</v>
      </c>
      <c r="H294" s="5">
        <v>0</v>
      </c>
      <c r="I294" s="5">
        <v>0</v>
      </c>
      <c r="J294" s="5">
        <v>0</v>
      </c>
      <c r="K294" s="5">
        <v>0</v>
      </c>
      <c r="L294" s="5">
        <v>0</v>
      </c>
      <c r="M294" s="5">
        <v>0</v>
      </c>
      <c r="N294" s="5">
        <v>0</v>
      </c>
      <c r="O294" s="5">
        <v>0</v>
      </c>
      <c r="P294" s="5">
        <v>0</v>
      </c>
      <c r="Q294" s="5">
        <v>0</v>
      </c>
      <c r="R294" s="5">
        <v>0</v>
      </c>
    </row>
    <row r="295" spans="1:18" ht="15" customHeight="1" x14ac:dyDescent="0.25">
      <c r="A295" s="5">
        <v>7156</v>
      </c>
      <c r="B295" s="5" t="s">
        <v>88</v>
      </c>
      <c r="C295" s="5" t="s">
        <v>914</v>
      </c>
      <c r="D295" s="5" t="s">
        <v>260</v>
      </c>
      <c r="E295" s="5" t="s">
        <v>41</v>
      </c>
      <c r="F295" s="5">
        <v>0</v>
      </c>
      <c r="G295" s="5">
        <v>0</v>
      </c>
      <c r="H295" s="5">
        <v>0</v>
      </c>
      <c r="I295" s="5">
        <v>0</v>
      </c>
      <c r="J295" s="5">
        <v>0</v>
      </c>
      <c r="K295" s="5">
        <v>0</v>
      </c>
      <c r="L295" s="5">
        <v>0</v>
      </c>
      <c r="M295" s="5">
        <v>0</v>
      </c>
      <c r="N295" s="5">
        <v>0</v>
      </c>
      <c r="O295" s="5">
        <v>0</v>
      </c>
      <c r="P295" s="5">
        <v>0</v>
      </c>
      <c r="Q295" s="5">
        <v>0</v>
      </c>
      <c r="R295" s="5">
        <v>0</v>
      </c>
    </row>
    <row r="296" spans="1:18" ht="15" customHeight="1" x14ac:dyDescent="0.25">
      <c r="A296" s="5">
        <v>6041</v>
      </c>
      <c r="B296" s="5" t="s">
        <v>88</v>
      </c>
      <c r="C296" s="5" t="s">
        <v>912</v>
      </c>
      <c r="D296" s="5" t="s">
        <v>1010</v>
      </c>
      <c r="E296" s="5" t="s">
        <v>81</v>
      </c>
      <c r="F296" s="5">
        <v>0</v>
      </c>
      <c r="G296" s="5">
        <v>0</v>
      </c>
      <c r="H296" s="5">
        <v>0</v>
      </c>
      <c r="I296" s="5">
        <v>0</v>
      </c>
      <c r="J296" s="5">
        <v>0</v>
      </c>
      <c r="K296" s="5">
        <v>0</v>
      </c>
      <c r="L296" s="5">
        <v>0</v>
      </c>
      <c r="M296" s="5">
        <v>0</v>
      </c>
      <c r="N296" s="5">
        <v>0</v>
      </c>
      <c r="O296" s="5">
        <v>0</v>
      </c>
      <c r="P296" s="5">
        <v>0</v>
      </c>
      <c r="Q296" s="5">
        <v>0</v>
      </c>
      <c r="R296" s="5">
        <v>0</v>
      </c>
    </row>
    <row r="297" spans="1:18" ht="15" customHeight="1" x14ac:dyDescent="0.25">
      <c r="A297" s="5">
        <v>6826</v>
      </c>
      <c r="B297" s="5" t="s">
        <v>88</v>
      </c>
      <c r="C297" s="5" t="s">
        <v>920</v>
      </c>
      <c r="D297" s="5" t="s">
        <v>1011</v>
      </c>
      <c r="E297" s="5" t="s">
        <v>81</v>
      </c>
      <c r="F297" s="5">
        <v>1</v>
      </c>
      <c r="G297" s="5">
        <v>5</v>
      </c>
      <c r="H297" s="5">
        <v>5</v>
      </c>
      <c r="I297" s="5">
        <v>0</v>
      </c>
      <c r="J297" s="5">
        <v>0</v>
      </c>
      <c r="K297" s="5">
        <v>0</v>
      </c>
      <c r="L297" s="5">
        <v>0</v>
      </c>
      <c r="M297" s="5">
        <v>0</v>
      </c>
      <c r="N297" s="5">
        <v>0</v>
      </c>
      <c r="O297" s="5">
        <v>0</v>
      </c>
      <c r="P297" s="5">
        <v>0</v>
      </c>
      <c r="Q297" s="5">
        <v>0</v>
      </c>
      <c r="R297" s="5">
        <v>0</v>
      </c>
    </row>
    <row r="298" spans="1:18" ht="15" customHeight="1" x14ac:dyDescent="0.25">
      <c r="A298" s="5">
        <v>6900</v>
      </c>
      <c r="B298" s="5" t="s">
        <v>88</v>
      </c>
      <c r="C298" s="5" t="s">
        <v>911</v>
      </c>
      <c r="D298" s="5" t="s">
        <v>1012</v>
      </c>
      <c r="E298" s="5" t="s">
        <v>32</v>
      </c>
      <c r="F298" s="5">
        <v>2</v>
      </c>
      <c r="G298" s="5">
        <v>5.75</v>
      </c>
      <c r="H298" s="5">
        <v>6.25</v>
      </c>
      <c r="I298" s="5">
        <v>0</v>
      </c>
      <c r="J298" s="5">
        <v>0</v>
      </c>
      <c r="K298" s="5">
        <v>0</v>
      </c>
      <c r="L298" s="5">
        <v>0</v>
      </c>
      <c r="M298" s="5">
        <v>0</v>
      </c>
      <c r="N298" s="5">
        <v>0</v>
      </c>
      <c r="O298" s="5">
        <v>1</v>
      </c>
      <c r="P298" s="5">
        <v>0</v>
      </c>
      <c r="Q298" s="5">
        <v>0</v>
      </c>
      <c r="R298" s="5">
        <v>0</v>
      </c>
    </row>
    <row r="299" spans="1:18" ht="15" customHeight="1" x14ac:dyDescent="0.25">
      <c r="A299" s="5">
        <v>7196</v>
      </c>
      <c r="B299" s="5" t="s">
        <v>88</v>
      </c>
      <c r="C299" s="5" t="s">
        <v>912</v>
      </c>
      <c r="D299" s="5" t="s">
        <v>1013</v>
      </c>
      <c r="E299" s="5" t="s">
        <v>883</v>
      </c>
      <c r="F299" s="5">
        <v>2</v>
      </c>
      <c r="G299" s="5">
        <v>5.5</v>
      </c>
      <c r="H299" s="5">
        <v>5.25</v>
      </c>
      <c r="I299" s="5">
        <v>0</v>
      </c>
      <c r="J299" s="5">
        <v>0</v>
      </c>
      <c r="K299" s="5">
        <v>0</v>
      </c>
      <c r="L299" s="5">
        <v>0</v>
      </c>
      <c r="M299" s="5">
        <v>0</v>
      </c>
      <c r="N299" s="5">
        <v>0</v>
      </c>
      <c r="O299" s="5">
        <v>0</v>
      </c>
      <c r="P299" s="5">
        <v>1</v>
      </c>
      <c r="Q299" s="5">
        <v>0</v>
      </c>
      <c r="R299" s="5">
        <v>0</v>
      </c>
    </row>
    <row r="300" spans="1:18" ht="15" customHeight="1" x14ac:dyDescent="0.25">
      <c r="A300" s="5">
        <v>6985</v>
      </c>
      <c r="B300" s="5" t="s">
        <v>88</v>
      </c>
      <c r="C300" s="5" t="s">
        <v>919</v>
      </c>
      <c r="D300" s="5" t="s">
        <v>217</v>
      </c>
      <c r="E300" s="5" t="s">
        <v>41</v>
      </c>
      <c r="F300" s="5">
        <v>8</v>
      </c>
      <c r="G300" s="5">
        <v>5.69</v>
      </c>
      <c r="H300" s="5">
        <v>5.56</v>
      </c>
      <c r="I300" s="5">
        <v>0</v>
      </c>
      <c r="J300" s="5">
        <v>0</v>
      </c>
      <c r="K300" s="5">
        <v>0</v>
      </c>
      <c r="L300" s="5">
        <v>0</v>
      </c>
      <c r="M300" s="5">
        <v>0</v>
      </c>
      <c r="N300" s="5">
        <v>0</v>
      </c>
      <c r="O300" s="5">
        <v>0</v>
      </c>
      <c r="P300" s="5">
        <v>2</v>
      </c>
      <c r="Q300" s="5">
        <v>0</v>
      </c>
      <c r="R300" s="5">
        <v>0</v>
      </c>
    </row>
    <row r="301" spans="1:18" ht="15" customHeight="1" x14ac:dyDescent="0.25">
      <c r="A301" s="5">
        <v>5324</v>
      </c>
      <c r="B301" s="5" t="s">
        <v>88</v>
      </c>
      <c r="C301" s="5" t="s">
        <v>1014</v>
      </c>
      <c r="D301" s="5" t="s">
        <v>1015</v>
      </c>
      <c r="E301" s="5" t="s">
        <v>14</v>
      </c>
      <c r="F301" s="5">
        <v>0</v>
      </c>
      <c r="G301" s="5">
        <v>0</v>
      </c>
      <c r="H301" s="5">
        <v>0</v>
      </c>
      <c r="I301" s="5">
        <v>0</v>
      </c>
      <c r="J301" s="5">
        <v>0</v>
      </c>
      <c r="K301" s="5">
        <v>0</v>
      </c>
      <c r="L301" s="5">
        <v>0</v>
      </c>
      <c r="M301" s="5">
        <v>0</v>
      </c>
      <c r="N301" s="5">
        <v>0</v>
      </c>
      <c r="O301" s="5">
        <v>0</v>
      </c>
      <c r="P301" s="5">
        <v>0</v>
      </c>
      <c r="Q301" s="5">
        <v>0</v>
      </c>
      <c r="R301" s="5">
        <v>0</v>
      </c>
    </row>
    <row r="302" spans="1:18" ht="15" customHeight="1" x14ac:dyDescent="0.25">
      <c r="A302" s="5">
        <v>7238</v>
      </c>
      <c r="B302" s="5" t="s">
        <v>88</v>
      </c>
      <c r="C302" s="5" t="s">
        <v>912</v>
      </c>
      <c r="D302" s="5" t="s">
        <v>213</v>
      </c>
      <c r="E302" s="5" t="s">
        <v>20</v>
      </c>
      <c r="F302" s="5">
        <v>1</v>
      </c>
      <c r="G302" s="5">
        <v>6</v>
      </c>
      <c r="H302" s="5">
        <v>6</v>
      </c>
      <c r="I302" s="5">
        <v>0</v>
      </c>
      <c r="J302" s="5">
        <v>0</v>
      </c>
      <c r="K302" s="5">
        <v>0</v>
      </c>
      <c r="L302" s="5">
        <v>0</v>
      </c>
      <c r="M302" s="5">
        <v>0</v>
      </c>
      <c r="N302" s="5">
        <v>0</v>
      </c>
      <c r="O302" s="5">
        <v>0</v>
      </c>
      <c r="P302" s="5">
        <v>0</v>
      </c>
      <c r="Q302" s="5">
        <v>0</v>
      </c>
      <c r="R302" s="5">
        <v>0</v>
      </c>
    </row>
    <row r="303" spans="1:18" ht="15" customHeight="1" x14ac:dyDescent="0.25">
      <c r="A303" s="5">
        <v>6351</v>
      </c>
      <c r="B303" s="5" t="s">
        <v>88</v>
      </c>
      <c r="C303" s="5" t="s">
        <v>930</v>
      </c>
      <c r="D303" s="5" t="s">
        <v>1016</v>
      </c>
      <c r="E303" s="5" t="s">
        <v>20</v>
      </c>
      <c r="F303" s="5">
        <v>1</v>
      </c>
      <c r="G303" s="5">
        <v>6</v>
      </c>
      <c r="H303" s="5">
        <v>6</v>
      </c>
      <c r="I303" s="5">
        <v>0</v>
      </c>
      <c r="J303" s="5">
        <v>0</v>
      </c>
      <c r="K303" s="5">
        <v>0</v>
      </c>
      <c r="L303" s="5">
        <v>0</v>
      </c>
      <c r="M303" s="5">
        <v>0</v>
      </c>
      <c r="N303" s="5">
        <v>0</v>
      </c>
      <c r="O303" s="5">
        <v>0</v>
      </c>
      <c r="P303" s="5">
        <v>0</v>
      </c>
      <c r="Q303" s="5">
        <v>0</v>
      </c>
      <c r="R303" s="5">
        <v>0</v>
      </c>
    </row>
    <row r="304" spans="1:18" ht="15" customHeight="1" x14ac:dyDescent="0.25">
      <c r="A304" s="5">
        <v>6870</v>
      </c>
      <c r="B304" s="5" t="s">
        <v>88</v>
      </c>
      <c r="C304" s="5" t="s">
        <v>912</v>
      </c>
      <c r="D304" s="5" t="s">
        <v>1017</v>
      </c>
      <c r="E304" s="5" t="s">
        <v>878</v>
      </c>
      <c r="F304" s="5">
        <v>7</v>
      </c>
      <c r="G304" s="5">
        <v>5.71</v>
      </c>
      <c r="H304" s="5">
        <v>5.64</v>
      </c>
      <c r="I304" s="5">
        <v>0</v>
      </c>
      <c r="J304" s="5">
        <v>0</v>
      </c>
      <c r="K304" s="5">
        <v>0</v>
      </c>
      <c r="L304" s="5">
        <v>0</v>
      </c>
      <c r="M304" s="5">
        <v>0</v>
      </c>
      <c r="N304" s="5">
        <v>0</v>
      </c>
      <c r="O304" s="5">
        <v>0</v>
      </c>
      <c r="P304" s="5">
        <v>1</v>
      </c>
      <c r="Q304" s="5">
        <v>0</v>
      </c>
      <c r="R304" s="5">
        <v>0</v>
      </c>
    </row>
    <row r="305" spans="1:18" ht="15" customHeight="1" x14ac:dyDescent="0.25">
      <c r="A305" s="5">
        <v>7271</v>
      </c>
      <c r="B305" s="5" t="s">
        <v>88</v>
      </c>
      <c r="C305" s="5" t="s">
        <v>912</v>
      </c>
      <c r="D305" s="5" t="s">
        <v>1018</v>
      </c>
      <c r="E305" s="5" t="s">
        <v>18</v>
      </c>
      <c r="F305" s="5">
        <v>0</v>
      </c>
      <c r="G305" s="5">
        <v>0</v>
      </c>
      <c r="H305" s="5">
        <v>0</v>
      </c>
      <c r="I305" s="5">
        <v>0</v>
      </c>
      <c r="J305" s="5">
        <v>0</v>
      </c>
      <c r="K305" s="5">
        <v>0</v>
      </c>
      <c r="L305" s="5">
        <v>0</v>
      </c>
      <c r="M305" s="5">
        <v>0</v>
      </c>
      <c r="N305" s="5">
        <v>0</v>
      </c>
      <c r="O305" s="5">
        <v>0</v>
      </c>
      <c r="P305" s="5">
        <v>0</v>
      </c>
      <c r="Q305" s="5">
        <v>0</v>
      </c>
      <c r="R305" s="5">
        <v>0</v>
      </c>
    </row>
    <row r="306" spans="1:18" ht="15" customHeight="1" x14ac:dyDescent="0.25">
      <c r="A306" s="5">
        <v>388</v>
      </c>
      <c r="B306" s="5" t="s">
        <v>88</v>
      </c>
      <c r="C306" s="5" t="s">
        <v>912</v>
      </c>
      <c r="D306" s="5" t="s">
        <v>1019</v>
      </c>
      <c r="E306" s="5" t="s">
        <v>883</v>
      </c>
      <c r="F306" s="5">
        <v>8</v>
      </c>
      <c r="G306" s="5">
        <v>5.62</v>
      </c>
      <c r="H306" s="5">
        <v>5.69</v>
      </c>
      <c r="I306" s="5">
        <v>0</v>
      </c>
      <c r="J306" s="5">
        <v>0</v>
      </c>
      <c r="K306" s="5">
        <v>0</v>
      </c>
      <c r="L306" s="5">
        <v>0</v>
      </c>
      <c r="M306" s="5">
        <v>0</v>
      </c>
      <c r="N306" s="5">
        <v>0</v>
      </c>
      <c r="O306" s="5">
        <v>1</v>
      </c>
      <c r="P306" s="5">
        <v>1</v>
      </c>
      <c r="Q306" s="5">
        <v>0</v>
      </c>
      <c r="R306" s="5">
        <v>0</v>
      </c>
    </row>
    <row r="307" spans="1:18" ht="15" customHeight="1" x14ac:dyDescent="0.25">
      <c r="A307" s="5">
        <v>6874</v>
      </c>
      <c r="B307" s="5" t="s">
        <v>88</v>
      </c>
      <c r="C307" s="5" t="s">
        <v>912</v>
      </c>
      <c r="D307" s="5" t="s">
        <v>1020</v>
      </c>
      <c r="E307" s="5" t="s">
        <v>12</v>
      </c>
      <c r="F307" s="5">
        <v>0</v>
      </c>
      <c r="G307" s="5">
        <v>0</v>
      </c>
      <c r="H307" s="5">
        <v>0</v>
      </c>
      <c r="I307" s="5">
        <v>0</v>
      </c>
      <c r="J307" s="5">
        <v>0</v>
      </c>
      <c r="K307" s="5">
        <v>0</v>
      </c>
      <c r="L307" s="5">
        <v>0</v>
      </c>
      <c r="M307" s="5">
        <v>0</v>
      </c>
      <c r="N307" s="5">
        <v>0</v>
      </c>
      <c r="O307" s="5">
        <v>0</v>
      </c>
      <c r="P307" s="5">
        <v>0</v>
      </c>
      <c r="Q307" s="5">
        <v>0</v>
      </c>
      <c r="R307" s="5">
        <v>0</v>
      </c>
    </row>
    <row r="308" spans="1:18" ht="15" customHeight="1" x14ac:dyDescent="0.25">
      <c r="A308" s="5">
        <v>7325</v>
      </c>
      <c r="B308" s="5" t="s">
        <v>88</v>
      </c>
      <c r="C308" s="5" t="s">
        <v>912</v>
      </c>
      <c r="D308" s="5" t="s">
        <v>1021</v>
      </c>
      <c r="E308" s="5" t="s">
        <v>883</v>
      </c>
      <c r="F308" s="5">
        <v>8</v>
      </c>
      <c r="G308" s="5">
        <v>5.25</v>
      </c>
      <c r="H308" s="5">
        <v>5.0599999999999996</v>
      </c>
      <c r="I308" s="5">
        <v>0</v>
      </c>
      <c r="J308" s="5">
        <v>0</v>
      </c>
      <c r="K308" s="5">
        <v>0</v>
      </c>
      <c r="L308" s="5">
        <v>0</v>
      </c>
      <c r="M308" s="5">
        <v>0</v>
      </c>
      <c r="N308" s="5">
        <v>0</v>
      </c>
      <c r="O308" s="5">
        <v>0</v>
      </c>
      <c r="P308" s="5">
        <v>1</v>
      </c>
      <c r="Q308" s="5">
        <v>1</v>
      </c>
      <c r="R308" s="5">
        <v>0</v>
      </c>
    </row>
    <row r="309" spans="1:18" ht="15" customHeight="1" x14ac:dyDescent="0.25">
      <c r="A309" s="5">
        <v>7346</v>
      </c>
      <c r="B309" s="5" t="s">
        <v>88</v>
      </c>
      <c r="C309" s="5" t="s">
        <v>920</v>
      </c>
      <c r="D309" s="5" t="s">
        <v>238</v>
      </c>
      <c r="E309" s="5" t="s">
        <v>26</v>
      </c>
      <c r="F309" s="5">
        <v>0</v>
      </c>
      <c r="G309" s="5">
        <v>0</v>
      </c>
      <c r="H309" s="5">
        <v>0</v>
      </c>
      <c r="I309" s="5">
        <v>0</v>
      </c>
      <c r="J309" s="5">
        <v>0</v>
      </c>
      <c r="K309" s="5">
        <v>0</v>
      </c>
      <c r="L309" s="5">
        <v>0</v>
      </c>
      <c r="M309" s="5">
        <v>0</v>
      </c>
      <c r="N309" s="5">
        <v>0</v>
      </c>
      <c r="O309" s="5">
        <v>0</v>
      </c>
      <c r="P309" s="5">
        <v>0</v>
      </c>
      <c r="Q309" s="5">
        <v>0</v>
      </c>
      <c r="R309" s="5">
        <v>0</v>
      </c>
    </row>
    <row r="310" spans="1:18" ht="15" customHeight="1" x14ac:dyDescent="0.25">
      <c r="A310" s="5">
        <v>6875</v>
      </c>
      <c r="B310" s="5" t="s">
        <v>264</v>
      </c>
      <c r="C310" s="5" t="s">
        <v>1022</v>
      </c>
      <c r="D310" s="5" t="s">
        <v>265</v>
      </c>
      <c r="E310" s="5" t="s">
        <v>16</v>
      </c>
      <c r="F310" s="5">
        <v>35</v>
      </c>
      <c r="G310" s="5">
        <v>6.37</v>
      </c>
      <c r="H310" s="5">
        <v>7.3</v>
      </c>
      <c r="I310" s="5">
        <v>12</v>
      </c>
      <c r="J310" s="5">
        <v>0</v>
      </c>
      <c r="K310" s="5">
        <v>0</v>
      </c>
      <c r="L310" s="5">
        <v>2</v>
      </c>
      <c r="M310" s="5">
        <v>0</v>
      </c>
      <c r="N310" s="5">
        <v>2</v>
      </c>
      <c r="O310" s="5">
        <v>5</v>
      </c>
      <c r="P310" s="5">
        <v>5</v>
      </c>
      <c r="Q310" s="5">
        <v>0</v>
      </c>
      <c r="R310" s="5">
        <v>0</v>
      </c>
    </row>
    <row r="311" spans="1:18" ht="15" customHeight="1" x14ac:dyDescent="0.25">
      <c r="A311" s="5">
        <v>4777</v>
      </c>
      <c r="B311" s="5" t="s">
        <v>264</v>
      </c>
      <c r="C311" s="5" t="s">
        <v>1023</v>
      </c>
      <c r="D311" s="5" t="s">
        <v>266</v>
      </c>
      <c r="E311" s="5" t="s">
        <v>22</v>
      </c>
      <c r="F311" s="5">
        <v>33</v>
      </c>
      <c r="G311" s="5">
        <v>6.39</v>
      </c>
      <c r="H311" s="5">
        <v>7.26</v>
      </c>
      <c r="I311" s="5">
        <v>10</v>
      </c>
      <c r="J311" s="5">
        <v>0</v>
      </c>
      <c r="K311" s="5">
        <v>0</v>
      </c>
      <c r="L311" s="5">
        <v>1</v>
      </c>
      <c r="M311" s="5">
        <v>0</v>
      </c>
      <c r="N311" s="5">
        <v>1</v>
      </c>
      <c r="O311" s="5">
        <v>2</v>
      </c>
      <c r="P311" s="5">
        <v>1</v>
      </c>
      <c r="Q311" s="5">
        <v>0</v>
      </c>
      <c r="R311" s="5">
        <v>0</v>
      </c>
    </row>
    <row r="312" spans="1:18" ht="15" customHeight="1" x14ac:dyDescent="0.25">
      <c r="A312" s="5">
        <v>7126</v>
      </c>
      <c r="B312" s="5" t="s">
        <v>264</v>
      </c>
      <c r="C312" s="5" t="s">
        <v>1024</v>
      </c>
      <c r="D312" s="5" t="s">
        <v>271</v>
      </c>
      <c r="E312" s="5" t="s">
        <v>16</v>
      </c>
      <c r="F312" s="5">
        <v>25</v>
      </c>
      <c r="G312" s="5">
        <v>6.3</v>
      </c>
      <c r="H312" s="5">
        <v>7.14</v>
      </c>
      <c r="I312" s="5">
        <v>6</v>
      </c>
      <c r="J312" s="5">
        <v>0</v>
      </c>
      <c r="K312" s="5">
        <v>0</v>
      </c>
      <c r="L312" s="5">
        <v>0</v>
      </c>
      <c r="M312" s="5">
        <v>0</v>
      </c>
      <c r="N312" s="5">
        <v>0</v>
      </c>
      <c r="O312" s="5">
        <v>3</v>
      </c>
      <c r="P312" s="5">
        <v>0</v>
      </c>
      <c r="Q312" s="5">
        <v>0</v>
      </c>
      <c r="R312" s="5">
        <v>0</v>
      </c>
    </row>
    <row r="313" spans="1:18" ht="15" customHeight="1" x14ac:dyDescent="0.25">
      <c r="A313" s="5">
        <v>2194</v>
      </c>
      <c r="B313" s="5" t="s">
        <v>264</v>
      </c>
      <c r="C313" s="5" t="s">
        <v>1025</v>
      </c>
      <c r="D313" s="5" t="s">
        <v>267</v>
      </c>
      <c r="E313" s="5" t="s">
        <v>12</v>
      </c>
      <c r="F313" s="5">
        <v>22</v>
      </c>
      <c r="G313" s="5">
        <v>6.52</v>
      </c>
      <c r="H313" s="5">
        <v>7.64</v>
      </c>
      <c r="I313" s="5">
        <v>9</v>
      </c>
      <c r="J313" s="5">
        <v>0</v>
      </c>
      <c r="K313" s="5">
        <v>0</v>
      </c>
      <c r="L313" s="5">
        <v>5</v>
      </c>
      <c r="M313" s="5">
        <v>4</v>
      </c>
      <c r="N313" s="5">
        <v>1</v>
      </c>
      <c r="O313" s="5">
        <v>4</v>
      </c>
      <c r="P313" s="5">
        <v>7</v>
      </c>
      <c r="Q313" s="5">
        <v>0</v>
      </c>
      <c r="R313" s="5">
        <v>0</v>
      </c>
    </row>
    <row r="314" spans="1:18" ht="15" customHeight="1" x14ac:dyDescent="0.25">
      <c r="A314" s="5">
        <v>2423</v>
      </c>
      <c r="B314" s="5" t="s">
        <v>264</v>
      </c>
      <c r="C314" s="5" t="s">
        <v>1022</v>
      </c>
      <c r="D314" s="5" t="s">
        <v>269</v>
      </c>
      <c r="E314" s="5" t="s">
        <v>18</v>
      </c>
      <c r="F314" s="5">
        <v>27</v>
      </c>
      <c r="G314" s="5">
        <v>6.15</v>
      </c>
      <c r="H314" s="5">
        <v>7.07</v>
      </c>
      <c r="I314" s="5">
        <v>8</v>
      </c>
      <c r="J314" s="5">
        <v>0</v>
      </c>
      <c r="K314" s="5">
        <v>0</v>
      </c>
      <c r="L314" s="5">
        <v>1</v>
      </c>
      <c r="M314" s="5">
        <v>0</v>
      </c>
      <c r="N314" s="5">
        <v>1</v>
      </c>
      <c r="O314" s="5">
        <v>4</v>
      </c>
      <c r="P314" s="5">
        <v>0</v>
      </c>
      <c r="Q314" s="5">
        <v>0</v>
      </c>
      <c r="R314" s="5">
        <v>0</v>
      </c>
    </row>
    <row r="315" spans="1:18" ht="15" customHeight="1" x14ac:dyDescent="0.25">
      <c r="A315" s="5">
        <v>2379</v>
      </c>
      <c r="B315" s="5" t="s">
        <v>264</v>
      </c>
      <c r="C315" s="5" t="s">
        <v>1023</v>
      </c>
      <c r="D315" s="5" t="s">
        <v>270</v>
      </c>
      <c r="E315" s="5" t="s">
        <v>18</v>
      </c>
      <c r="F315" s="5">
        <v>29</v>
      </c>
      <c r="G315" s="5">
        <v>6.33</v>
      </c>
      <c r="H315" s="5">
        <v>6.98</v>
      </c>
      <c r="I315" s="5">
        <v>6</v>
      </c>
      <c r="J315" s="5">
        <v>0</v>
      </c>
      <c r="K315" s="5">
        <v>0</v>
      </c>
      <c r="L315" s="5">
        <v>0</v>
      </c>
      <c r="M315" s="5">
        <v>0</v>
      </c>
      <c r="N315" s="5">
        <v>0</v>
      </c>
      <c r="O315" s="5">
        <v>4</v>
      </c>
      <c r="P315" s="5">
        <v>4</v>
      </c>
      <c r="Q315" s="5">
        <v>1</v>
      </c>
      <c r="R315" s="5">
        <v>0</v>
      </c>
    </row>
    <row r="316" spans="1:18" ht="15" customHeight="1" x14ac:dyDescent="0.25">
      <c r="A316" s="5">
        <v>2517</v>
      </c>
      <c r="B316" s="5" t="s">
        <v>264</v>
      </c>
      <c r="C316" s="5" t="s">
        <v>1024</v>
      </c>
      <c r="D316" s="5" t="s">
        <v>278</v>
      </c>
      <c r="E316" s="5" t="s">
        <v>22</v>
      </c>
      <c r="F316" s="5">
        <v>17</v>
      </c>
      <c r="G316" s="5">
        <v>6.26</v>
      </c>
      <c r="H316" s="5">
        <v>7.24</v>
      </c>
      <c r="I316" s="5">
        <v>5</v>
      </c>
      <c r="J316" s="5">
        <v>0</v>
      </c>
      <c r="K316" s="5">
        <v>0</v>
      </c>
      <c r="L316" s="5">
        <v>3</v>
      </c>
      <c r="M316" s="5">
        <v>3</v>
      </c>
      <c r="N316" s="5">
        <v>0</v>
      </c>
      <c r="O316" s="5">
        <v>2</v>
      </c>
      <c r="P316" s="5">
        <v>1</v>
      </c>
      <c r="Q316" s="5">
        <v>0</v>
      </c>
      <c r="R316" s="5">
        <v>0</v>
      </c>
    </row>
    <row r="317" spans="1:18" ht="15" customHeight="1" x14ac:dyDescent="0.25">
      <c r="A317" s="5">
        <v>5559</v>
      </c>
      <c r="B317" s="5" t="s">
        <v>264</v>
      </c>
      <c r="C317" s="5" t="s">
        <v>1026</v>
      </c>
      <c r="D317" s="5" t="s">
        <v>272</v>
      </c>
      <c r="E317" s="5" t="s">
        <v>16</v>
      </c>
      <c r="F317" s="5">
        <v>35</v>
      </c>
      <c r="G317" s="5">
        <v>6.34</v>
      </c>
      <c r="H317" s="5">
        <v>6.91</v>
      </c>
      <c r="I317" s="5">
        <v>6</v>
      </c>
      <c r="J317" s="5">
        <v>0</v>
      </c>
      <c r="K317" s="5">
        <v>0</v>
      </c>
      <c r="L317" s="5">
        <v>4</v>
      </c>
      <c r="M317" s="5">
        <v>4</v>
      </c>
      <c r="N317" s="5">
        <v>0</v>
      </c>
      <c r="O317" s="5">
        <v>4</v>
      </c>
      <c r="P317" s="5">
        <v>4</v>
      </c>
      <c r="Q317" s="5">
        <v>0</v>
      </c>
      <c r="R317" s="5">
        <v>0</v>
      </c>
    </row>
    <row r="318" spans="1:18" ht="15" customHeight="1" x14ac:dyDescent="0.25">
      <c r="A318" s="5">
        <v>152</v>
      </c>
      <c r="B318" s="5" t="s">
        <v>264</v>
      </c>
      <c r="C318" s="5" t="s">
        <v>1023</v>
      </c>
      <c r="D318" s="5" t="s">
        <v>292</v>
      </c>
      <c r="E318" s="5" t="s">
        <v>12</v>
      </c>
      <c r="F318" s="5">
        <v>30</v>
      </c>
      <c r="G318" s="5">
        <v>6.25</v>
      </c>
      <c r="H318" s="5">
        <v>6.8</v>
      </c>
      <c r="I318" s="5">
        <v>6</v>
      </c>
      <c r="J318" s="5">
        <v>0</v>
      </c>
      <c r="K318" s="5">
        <v>0</v>
      </c>
      <c r="L318" s="5">
        <v>1</v>
      </c>
      <c r="M318" s="5">
        <v>1</v>
      </c>
      <c r="N318" s="5">
        <v>0</v>
      </c>
      <c r="O318" s="5">
        <v>2</v>
      </c>
      <c r="P318" s="5">
        <v>3</v>
      </c>
      <c r="Q318" s="5">
        <v>0</v>
      </c>
      <c r="R318" s="5">
        <v>1</v>
      </c>
    </row>
    <row r="319" spans="1:18" ht="15" customHeight="1" x14ac:dyDescent="0.25">
      <c r="A319" s="5">
        <v>6908</v>
      </c>
      <c r="B319" s="5" t="s">
        <v>264</v>
      </c>
      <c r="C319" s="5" t="s">
        <v>264</v>
      </c>
      <c r="D319" s="5" t="s">
        <v>274</v>
      </c>
      <c r="E319" s="5" t="s">
        <v>32</v>
      </c>
      <c r="F319" s="5">
        <v>32</v>
      </c>
      <c r="G319" s="5">
        <v>6.36</v>
      </c>
      <c r="H319" s="5">
        <v>6.88</v>
      </c>
      <c r="I319" s="5">
        <v>5</v>
      </c>
      <c r="J319" s="5">
        <v>0</v>
      </c>
      <c r="K319" s="5">
        <v>0</v>
      </c>
      <c r="L319" s="5">
        <v>0</v>
      </c>
      <c r="M319" s="5">
        <v>0</v>
      </c>
      <c r="N319" s="5">
        <v>0</v>
      </c>
      <c r="O319" s="5">
        <v>3</v>
      </c>
      <c r="P319" s="5">
        <v>3</v>
      </c>
      <c r="Q319" s="5">
        <v>0</v>
      </c>
      <c r="R319" s="5">
        <v>0</v>
      </c>
    </row>
    <row r="320" spans="1:18" ht="15" customHeight="1" x14ac:dyDescent="0.25">
      <c r="A320" s="5">
        <v>5564</v>
      </c>
      <c r="B320" s="5" t="s">
        <v>264</v>
      </c>
      <c r="C320" s="5" t="s">
        <v>1027</v>
      </c>
      <c r="D320" s="5" t="s">
        <v>1028</v>
      </c>
      <c r="E320" s="5" t="s">
        <v>24</v>
      </c>
      <c r="F320" s="5">
        <v>0</v>
      </c>
      <c r="G320" s="5">
        <v>0</v>
      </c>
      <c r="H320" s="5">
        <v>0</v>
      </c>
      <c r="I320" s="5">
        <v>0</v>
      </c>
      <c r="J320" s="5">
        <v>0</v>
      </c>
      <c r="K320" s="5">
        <v>0</v>
      </c>
      <c r="L320" s="5">
        <v>0</v>
      </c>
      <c r="M320" s="5">
        <v>0</v>
      </c>
      <c r="N320" s="5">
        <v>0</v>
      </c>
      <c r="O320" s="5">
        <v>0</v>
      </c>
      <c r="P320" s="5">
        <v>0</v>
      </c>
      <c r="Q320" s="5">
        <v>0</v>
      </c>
      <c r="R320" s="5">
        <v>0</v>
      </c>
    </row>
    <row r="321" spans="1:18" ht="15" customHeight="1" x14ac:dyDescent="0.25">
      <c r="A321" s="5">
        <v>2167</v>
      </c>
      <c r="B321" s="5" t="s">
        <v>264</v>
      </c>
      <c r="C321" s="5" t="s">
        <v>1029</v>
      </c>
      <c r="D321" s="5" t="s">
        <v>268</v>
      </c>
      <c r="E321" s="5" t="s">
        <v>24</v>
      </c>
      <c r="F321" s="5">
        <v>34</v>
      </c>
      <c r="G321" s="5">
        <v>6.06</v>
      </c>
      <c r="H321" s="5">
        <v>6.76</v>
      </c>
      <c r="I321" s="5">
        <v>10</v>
      </c>
      <c r="J321" s="5">
        <v>0</v>
      </c>
      <c r="K321" s="5">
        <v>0</v>
      </c>
      <c r="L321" s="5">
        <v>6</v>
      </c>
      <c r="M321" s="5">
        <v>4</v>
      </c>
      <c r="N321" s="5">
        <v>2</v>
      </c>
      <c r="O321" s="5">
        <v>1</v>
      </c>
      <c r="P321" s="5">
        <v>2</v>
      </c>
      <c r="Q321" s="5">
        <v>0</v>
      </c>
      <c r="R321" s="5">
        <v>0</v>
      </c>
    </row>
    <row r="322" spans="1:18" ht="15" customHeight="1" x14ac:dyDescent="0.25">
      <c r="A322" s="5">
        <v>2766</v>
      </c>
      <c r="B322" s="5" t="s">
        <v>264</v>
      </c>
      <c r="C322" s="5" t="s">
        <v>1022</v>
      </c>
      <c r="D322" s="5" t="s">
        <v>273</v>
      </c>
      <c r="E322" s="5" t="s">
        <v>32</v>
      </c>
      <c r="F322" s="5">
        <v>31</v>
      </c>
      <c r="G322" s="5">
        <v>6.26</v>
      </c>
      <c r="H322" s="5">
        <v>6.77</v>
      </c>
      <c r="I322" s="5">
        <v>5</v>
      </c>
      <c r="J322" s="5">
        <v>0</v>
      </c>
      <c r="K322" s="5">
        <v>0</v>
      </c>
      <c r="L322" s="5">
        <v>0</v>
      </c>
      <c r="M322" s="5">
        <v>0</v>
      </c>
      <c r="N322" s="5">
        <v>0</v>
      </c>
      <c r="O322" s="5">
        <v>5</v>
      </c>
      <c r="P322" s="5">
        <v>8</v>
      </c>
      <c r="Q322" s="5">
        <v>0</v>
      </c>
      <c r="R322" s="5">
        <v>0</v>
      </c>
    </row>
    <row r="323" spans="1:18" ht="15" customHeight="1" x14ac:dyDescent="0.25">
      <c r="A323" s="5">
        <v>1870</v>
      </c>
      <c r="B323" s="5" t="s">
        <v>264</v>
      </c>
      <c r="C323" s="5" t="s">
        <v>264</v>
      </c>
      <c r="D323" s="5" t="s">
        <v>275</v>
      </c>
      <c r="E323" s="5" t="s">
        <v>12</v>
      </c>
      <c r="F323" s="5">
        <v>34</v>
      </c>
      <c r="G323" s="5">
        <v>6.28</v>
      </c>
      <c r="H323" s="5">
        <v>6.71</v>
      </c>
      <c r="I323" s="5">
        <v>3</v>
      </c>
      <c r="J323" s="5">
        <v>0</v>
      </c>
      <c r="K323" s="5">
        <v>0</v>
      </c>
      <c r="L323" s="5">
        <v>0</v>
      </c>
      <c r="M323" s="5">
        <v>0</v>
      </c>
      <c r="N323" s="5">
        <v>0</v>
      </c>
      <c r="O323" s="5">
        <v>9</v>
      </c>
      <c r="P323" s="5">
        <v>7</v>
      </c>
      <c r="Q323" s="5">
        <v>0</v>
      </c>
      <c r="R323" s="5">
        <v>0</v>
      </c>
    </row>
    <row r="324" spans="1:18" ht="15" customHeight="1" x14ac:dyDescent="0.25">
      <c r="A324" s="5">
        <v>4973</v>
      </c>
      <c r="B324" s="5" t="s">
        <v>264</v>
      </c>
      <c r="C324" s="5" t="s">
        <v>1025</v>
      </c>
      <c r="D324" s="5" t="s">
        <v>276</v>
      </c>
      <c r="E324" s="5" t="s">
        <v>28</v>
      </c>
      <c r="F324" s="5">
        <v>34</v>
      </c>
      <c r="G324" s="5">
        <v>6.13</v>
      </c>
      <c r="H324" s="5">
        <v>6.68</v>
      </c>
      <c r="I324" s="5">
        <v>5</v>
      </c>
      <c r="J324" s="5">
        <v>0</v>
      </c>
      <c r="K324" s="5">
        <v>0</v>
      </c>
      <c r="L324" s="5">
        <v>0</v>
      </c>
      <c r="M324" s="5">
        <v>0</v>
      </c>
      <c r="N324" s="5">
        <v>0</v>
      </c>
      <c r="O324" s="5">
        <v>6</v>
      </c>
      <c r="P324" s="5">
        <v>5</v>
      </c>
      <c r="Q324" s="5">
        <v>0</v>
      </c>
      <c r="R324" s="5">
        <v>0</v>
      </c>
    </row>
    <row r="325" spans="1:18" ht="15" customHeight="1" x14ac:dyDescent="0.25">
      <c r="A325" s="5">
        <v>6884</v>
      </c>
      <c r="B325" s="5" t="s">
        <v>264</v>
      </c>
      <c r="C325" s="5" t="s">
        <v>1029</v>
      </c>
      <c r="D325" s="5" t="s">
        <v>286</v>
      </c>
      <c r="E325" s="5" t="s">
        <v>28</v>
      </c>
      <c r="F325" s="5">
        <v>30</v>
      </c>
      <c r="G325" s="5">
        <v>6.28</v>
      </c>
      <c r="H325" s="5">
        <v>6.7</v>
      </c>
      <c r="I325" s="5">
        <v>3</v>
      </c>
      <c r="J325" s="5">
        <v>0</v>
      </c>
      <c r="K325" s="5">
        <v>0</v>
      </c>
      <c r="L325" s="5">
        <v>0</v>
      </c>
      <c r="M325" s="5">
        <v>0</v>
      </c>
      <c r="N325" s="5">
        <v>0</v>
      </c>
      <c r="O325" s="5">
        <v>5</v>
      </c>
      <c r="P325" s="5">
        <v>3</v>
      </c>
      <c r="Q325" s="5">
        <v>0</v>
      </c>
      <c r="R325" s="5">
        <v>0</v>
      </c>
    </row>
    <row r="326" spans="1:18" ht="15" customHeight="1" x14ac:dyDescent="0.25">
      <c r="A326" s="5">
        <v>2606</v>
      </c>
      <c r="B326" s="5" t="s">
        <v>264</v>
      </c>
      <c r="C326" s="5" t="s">
        <v>264</v>
      </c>
      <c r="D326" s="5" t="s">
        <v>287</v>
      </c>
      <c r="E326" s="5" t="s">
        <v>18</v>
      </c>
      <c r="F326" s="5">
        <v>33</v>
      </c>
      <c r="G326" s="5">
        <v>6.45</v>
      </c>
      <c r="H326" s="5">
        <v>6.67</v>
      </c>
      <c r="I326" s="5">
        <v>2</v>
      </c>
      <c r="J326" s="5">
        <v>0</v>
      </c>
      <c r="K326" s="5">
        <v>0</v>
      </c>
      <c r="L326" s="5">
        <v>0</v>
      </c>
      <c r="M326" s="5">
        <v>0</v>
      </c>
      <c r="N326" s="5">
        <v>0</v>
      </c>
      <c r="O326" s="5">
        <v>3</v>
      </c>
      <c r="P326" s="5">
        <v>4</v>
      </c>
      <c r="Q326" s="5">
        <v>0</v>
      </c>
      <c r="R326" s="5">
        <v>0</v>
      </c>
    </row>
    <row r="327" spans="1:18" ht="15" customHeight="1" x14ac:dyDescent="0.25">
      <c r="A327" s="5">
        <v>1933</v>
      </c>
      <c r="B327" s="5" t="s">
        <v>264</v>
      </c>
      <c r="C327" s="5" t="s">
        <v>1025</v>
      </c>
      <c r="D327" s="5" t="s">
        <v>302</v>
      </c>
      <c r="E327" s="5" t="s">
        <v>20</v>
      </c>
      <c r="F327" s="5">
        <v>34</v>
      </c>
      <c r="G327" s="5">
        <v>6.04</v>
      </c>
      <c r="H327" s="5">
        <v>6.62</v>
      </c>
      <c r="I327" s="5">
        <v>7</v>
      </c>
      <c r="J327" s="5">
        <v>0</v>
      </c>
      <c r="K327" s="5">
        <v>0</v>
      </c>
      <c r="L327" s="5">
        <v>1</v>
      </c>
      <c r="M327" s="5">
        <v>1</v>
      </c>
      <c r="N327" s="5">
        <v>0</v>
      </c>
      <c r="O327" s="5">
        <v>2</v>
      </c>
      <c r="P327" s="5">
        <v>7</v>
      </c>
      <c r="Q327" s="5">
        <v>0</v>
      </c>
      <c r="R327" s="5">
        <v>0</v>
      </c>
    </row>
    <row r="328" spans="1:18" ht="15" customHeight="1" x14ac:dyDescent="0.25">
      <c r="A328" s="5">
        <v>6717</v>
      </c>
      <c r="B328" s="5" t="s">
        <v>264</v>
      </c>
      <c r="C328" s="5" t="s">
        <v>1025</v>
      </c>
      <c r="D328" s="5" t="s">
        <v>305</v>
      </c>
      <c r="E328" s="5" t="s">
        <v>41</v>
      </c>
      <c r="F328" s="5">
        <v>35</v>
      </c>
      <c r="G328" s="5">
        <v>6.19</v>
      </c>
      <c r="H328" s="5">
        <v>6.63</v>
      </c>
      <c r="I328" s="5">
        <v>6</v>
      </c>
      <c r="J328" s="5">
        <v>0</v>
      </c>
      <c r="K328" s="5">
        <v>0</v>
      </c>
      <c r="L328" s="5">
        <v>0</v>
      </c>
      <c r="M328" s="5">
        <v>0</v>
      </c>
      <c r="N328" s="5">
        <v>0</v>
      </c>
      <c r="O328" s="5">
        <v>0</v>
      </c>
      <c r="P328" s="5">
        <v>3</v>
      </c>
      <c r="Q328" s="5">
        <v>1</v>
      </c>
      <c r="R328" s="5">
        <v>0</v>
      </c>
    </row>
    <row r="329" spans="1:18" ht="15" customHeight="1" x14ac:dyDescent="0.25">
      <c r="A329" s="5">
        <v>5687</v>
      </c>
      <c r="B329" s="5" t="s">
        <v>264</v>
      </c>
      <c r="C329" s="5" t="s">
        <v>1024</v>
      </c>
      <c r="D329" s="5" t="s">
        <v>279</v>
      </c>
      <c r="E329" s="5" t="s">
        <v>81</v>
      </c>
      <c r="F329" s="5">
        <v>37</v>
      </c>
      <c r="G329" s="5">
        <v>6.03</v>
      </c>
      <c r="H329" s="5">
        <v>6.66</v>
      </c>
      <c r="I329" s="5">
        <v>8</v>
      </c>
      <c r="J329" s="5">
        <v>0</v>
      </c>
      <c r="K329" s="5">
        <v>0</v>
      </c>
      <c r="L329" s="5">
        <v>5</v>
      </c>
      <c r="M329" s="5">
        <v>5</v>
      </c>
      <c r="N329" s="5">
        <v>0</v>
      </c>
      <c r="O329" s="5">
        <v>3</v>
      </c>
      <c r="P329" s="5">
        <v>7</v>
      </c>
      <c r="Q329" s="5">
        <v>0</v>
      </c>
      <c r="R329" s="5">
        <v>0</v>
      </c>
    </row>
    <row r="330" spans="1:18" ht="15" customHeight="1" x14ac:dyDescent="0.25">
      <c r="A330" s="5">
        <v>6151</v>
      </c>
      <c r="B330" s="5" t="s">
        <v>264</v>
      </c>
      <c r="C330" s="5" t="s">
        <v>1025</v>
      </c>
      <c r="D330" s="5" t="s">
        <v>291</v>
      </c>
      <c r="E330" s="5" t="s">
        <v>16</v>
      </c>
      <c r="F330" s="5">
        <v>36</v>
      </c>
      <c r="G330" s="5">
        <v>6.22</v>
      </c>
      <c r="H330" s="5">
        <v>6.47</v>
      </c>
      <c r="I330" s="5">
        <v>3</v>
      </c>
      <c r="J330" s="5">
        <v>0</v>
      </c>
      <c r="K330" s="5">
        <v>0</v>
      </c>
      <c r="L330" s="5">
        <v>0</v>
      </c>
      <c r="M330" s="5">
        <v>0</v>
      </c>
      <c r="N330" s="5">
        <v>0</v>
      </c>
      <c r="O330" s="5">
        <v>4</v>
      </c>
      <c r="P330" s="5">
        <v>8</v>
      </c>
      <c r="Q330" s="5">
        <v>0</v>
      </c>
      <c r="R330" s="5">
        <v>0</v>
      </c>
    </row>
    <row r="331" spans="1:18" ht="15" customHeight="1" x14ac:dyDescent="0.25">
      <c r="A331" s="5">
        <v>4970</v>
      </c>
      <c r="B331" s="5" t="s">
        <v>264</v>
      </c>
      <c r="C331" s="5" t="s">
        <v>1030</v>
      </c>
      <c r="D331" s="5" t="s">
        <v>397</v>
      </c>
      <c r="E331" s="5" t="s">
        <v>34</v>
      </c>
      <c r="F331" s="5">
        <v>19</v>
      </c>
      <c r="G331" s="5">
        <v>6.18</v>
      </c>
      <c r="H331" s="5">
        <v>6.68</v>
      </c>
      <c r="I331" s="5">
        <v>3</v>
      </c>
      <c r="J331" s="5">
        <v>0</v>
      </c>
      <c r="K331" s="5">
        <v>0</v>
      </c>
      <c r="L331" s="5">
        <v>1</v>
      </c>
      <c r="M331" s="5">
        <v>1</v>
      </c>
      <c r="N331" s="5">
        <v>0</v>
      </c>
      <c r="O331" s="5">
        <v>1</v>
      </c>
      <c r="P331" s="5">
        <v>1</v>
      </c>
      <c r="Q331" s="5">
        <v>0</v>
      </c>
      <c r="R331" s="5">
        <v>0</v>
      </c>
    </row>
    <row r="332" spans="1:18" ht="15" customHeight="1" x14ac:dyDescent="0.25">
      <c r="A332" s="5">
        <v>6398</v>
      </c>
      <c r="B332" s="5" t="s">
        <v>264</v>
      </c>
      <c r="C332" s="5" t="s">
        <v>1029</v>
      </c>
      <c r="D332" s="5" t="s">
        <v>304</v>
      </c>
      <c r="E332" s="5" t="s">
        <v>30</v>
      </c>
      <c r="F332" s="5">
        <v>27</v>
      </c>
      <c r="G332" s="5">
        <v>6.04</v>
      </c>
      <c r="H332" s="5">
        <v>6.63</v>
      </c>
      <c r="I332" s="5">
        <v>5</v>
      </c>
      <c r="J332" s="5">
        <v>0</v>
      </c>
      <c r="K332" s="5">
        <v>0</v>
      </c>
      <c r="L332" s="5">
        <v>0</v>
      </c>
      <c r="M332" s="5">
        <v>0</v>
      </c>
      <c r="N332" s="5">
        <v>0</v>
      </c>
      <c r="O332" s="5">
        <v>1</v>
      </c>
      <c r="P332" s="5">
        <v>0</v>
      </c>
      <c r="Q332" s="5">
        <v>0</v>
      </c>
      <c r="R332" s="5">
        <v>0</v>
      </c>
    </row>
    <row r="333" spans="1:18" ht="15" customHeight="1" x14ac:dyDescent="0.25">
      <c r="A333" s="5">
        <v>4427</v>
      </c>
      <c r="B333" s="5" t="s">
        <v>264</v>
      </c>
      <c r="C333" s="5" t="s">
        <v>1023</v>
      </c>
      <c r="D333" s="5" t="s">
        <v>1031</v>
      </c>
      <c r="E333" s="5" t="s">
        <v>34</v>
      </c>
      <c r="F333" s="5">
        <v>34</v>
      </c>
      <c r="G333" s="5">
        <v>6.07</v>
      </c>
      <c r="H333" s="5">
        <v>6.54</v>
      </c>
      <c r="I333" s="5">
        <v>6</v>
      </c>
      <c r="J333" s="5">
        <v>0</v>
      </c>
      <c r="K333" s="5">
        <v>0</v>
      </c>
      <c r="L333" s="5">
        <v>3</v>
      </c>
      <c r="M333" s="5">
        <v>3</v>
      </c>
      <c r="N333" s="5">
        <v>0</v>
      </c>
      <c r="O333" s="5">
        <v>3</v>
      </c>
      <c r="P333" s="5">
        <v>10</v>
      </c>
      <c r="Q333" s="5">
        <v>0</v>
      </c>
      <c r="R333" s="5">
        <v>0</v>
      </c>
    </row>
    <row r="334" spans="1:18" ht="15" customHeight="1" x14ac:dyDescent="0.25">
      <c r="A334" s="5">
        <v>4892</v>
      </c>
      <c r="B334" s="5" t="s">
        <v>264</v>
      </c>
      <c r="C334" s="5" t="s">
        <v>1032</v>
      </c>
      <c r="D334" s="5" t="s">
        <v>294</v>
      </c>
      <c r="E334" s="5" t="s">
        <v>18</v>
      </c>
      <c r="F334" s="5">
        <v>35</v>
      </c>
      <c r="G334" s="5">
        <v>6.14</v>
      </c>
      <c r="H334" s="5">
        <v>6.41</v>
      </c>
      <c r="I334" s="5">
        <v>3</v>
      </c>
      <c r="J334" s="5">
        <v>0</v>
      </c>
      <c r="K334" s="5">
        <v>0</v>
      </c>
      <c r="L334" s="5">
        <v>0</v>
      </c>
      <c r="M334" s="5">
        <v>0</v>
      </c>
      <c r="N334" s="5">
        <v>0</v>
      </c>
      <c r="O334" s="5">
        <v>3</v>
      </c>
      <c r="P334" s="5">
        <v>5</v>
      </c>
      <c r="Q334" s="5">
        <v>0</v>
      </c>
      <c r="R334" s="5">
        <v>0</v>
      </c>
    </row>
    <row r="335" spans="1:18" ht="15" customHeight="1" x14ac:dyDescent="0.25">
      <c r="A335" s="5">
        <v>4220</v>
      </c>
      <c r="B335" s="5" t="s">
        <v>264</v>
      </c>
      <c r="C335" s="5" t="s">
        <v>1025</v>
      </c>
      <c r="D335" s="5" t="s">
        <v>290</v>
      </c>
      <c r="E335" s="5" t="s">
        <v>22</v>
      </c>
      <c r="F335" s="5">
        <v>18</v>
      </c>
      <c r="G335" s="5">
        <v>6.17</v>
      </c>
      <c r="H335" s="5">
        <v>6.86</v>
      </c>
      <c r="I335" s="5">
        <v>4</v>
      </c>
      <c r="J335" s="5">
        <v>0</v>
      </c>
      <c r="K335" s="5">
        <v>0</v>
      </c>
      <c r="L335" s="5">
        <v>0</v>
      </c>
      <c r="M335" s="5">
        <v>0</v>
      </c>
      <c r="N335" s="5">
        <v>0</v>
      </c>
      <c r="O335" s="5">
        <v>1</v>
      </c>
      <c r="P335" s="5">
        <v>1</v>
      </c>
      <c r="Q335" s="5">
        <v>0</v>
      </c>
      <c r="R335" s="5">
        <v>0</v>
      </c>
    </row>
    <row r="336" spans="1:18" ht="15" customHeight="1" x14ac:dyDescent="0.25">
      <c r="A336" s="5">
        <v>6666</v>
      </c>
      <c r="B336" s="5" t="s">
        <v>264</v>
      </c>
      <c r="C336" s="5" t="s">
        <v>264</v>
      </c>
      <c r="D336" s="5" t="s">
        <v>324</v>
      </c>
      <c r="E336" s="5" t="s">
        <v>38</v>
      </c>
      <c r="F336" s="5">
        <v>32</v>
      </c>
      <c r="G336" s="5">
        <v>6.17</v>
      </c>
      <c r="H336" s="5">
        <v>6.48</v>
      </c>
      <c r="I336" s="5">
        <v>3</v>
      </c>
      <c r="J336" s="5">
        <v>0</v>
      </c>
      <c r="K336" s="5">
        <v>0</v>
      </c>
      <c r="L336" s="5">
        <v>0</v>
      </c>
      <c r="M336" s="5">
        <v>0</v>
      </c>
      <c r="N336" s="5">
        <v>0</v>
      </c>
      <c r="O336" s="5">
        <v>1</v>
      </c>
      <c r="P336" s="5">
        <v>0</v>
      </c>
      <c r="Q336" s="5">
        <v>0</v>
      </c>
      <c r="R336" s="5">
        <v>0</v>
      </c>
    </row>
    <row r="337" spans="1:18" ht="15" customHeight="1" x14ac:dyDescent="0.25">
      <c r="A337" s="5">
        <v>5844</v>
      </c>
      <c r="B337" s="5" t="s">
        <v>264</v>
      </c>
      <c r="C337" s="5" t="s">
        <v>1023</v>
      </c>
      <c r="D337" s="5" t="s">
        <v>297</v>
      </c>
      <c r="E337" s="5" t="s">
        <v>41</v>
      </c>
      <c r="F337" s="5">
        <v>31</v>
      </c>
      <c r="G337" s="5">
        <v>6.15</v>
      </c>
      <c r="H337" s="5">
        <v>6.48</v>
      </c>
      <c r="I337" s="5">
        <v>4</v>
      </c>
      <c r="J337" s="5">
        <v>0</v>
      </c>
      <c r="K337" s="5">
        <v>0</v>
      </c>
      <c r="L337" s="5">
        <v>0</v>
      </c>
      <c r="M337" s="5">
        <v>0</v>
      </c>
      <c r="N337" s="5">
        <v>0</v>
      </c>
      <c r="O337" s="5">
        <v>3</v>
      </c>
      <c r="P337" s="5">
        <v>9</v>
      </c>
      <c r="Q337" s="5">
        <v>0</v>
      </c>
      <c r="R337" s="5">
        <v>0</v>
      </c>
    </row>
    <row r="338" spans="1:18" ht="15" customHeight="1" x14ac:dyDescent="0.25">
      <c r="A338" s="5">
        <v>6844</v>
      </c>
      <c r="B338" s="5" t="s">
        <v>264</v>
      </c>
      <c r="C338" s="5" t="s">
        <v>1033</v>
      </c>
      <c r="D338" s="5" t="s">
        <v>288</v>
      </c>
      <c r="E338" s="5" t="s">
        <v>24</v>
      </c>
      <c r="F338" s="5">
        <v>28</v>
      </c>
      <c r="G338" s="5">
        <v>6.2</v>
      </c>
      <c r="H338" s="5">
        <v>6.59</v>
      </c>
      <c r="I338" s="5">
        <v>3</v>
      </c>
      <c r="J338" s="5">
        <v>0</v>
      </c>
      <c r="K338" s="5">
        <v>0</v>
      </c>
      <c r="L338" s="5">
        <v>0</v>
      </c>
      <c r="M338" s="5">
        <v>0</v>
      </c>
      <c r="N338" s="5">
        <v>0</v>
      </c>
      <c r="O338" s="5">
        <v>3</v>
      </c>
      <c r="P338" s="5">
        <v>2</v>
      </c>
      <c r="Q338" s="5">
        <v>0</v>
      </c>
      <c r="R338" s="5">
        <v>0</v>
      </c>
    </row>
    <row r="339" spans="1:18" ht="15" customHeight="1" x14ac:dyDescent="0.25">
      <c r="A339" s="5">
        <v>5422</v>
      </c>
      <c r="B339" s="5" t="s">
        <v>264</v>
      </c>
      <c r="C339" s="5" t="s">
        <v>1032</v>
      </c>
      <c r="D339" s="5" t="s">
        <v>328</v>
      </c>
      <c r="E339" s="5" t="s">
        <v>14</v>
      </c>
      <c r="F339" s="5">
        <v>31</v>
      </c>
      <c r="G339" s="5">
        <v>6.1</v>
      </c>
      <c r="H339" s="5">
        <v>6.4</v>
      </c>
      <c r="I339" s="5">
        <v>2</v>
      </c>
      <c r="J339" s="5">
        <v>0</v>
      </c>
      <c r="K339" s="5">
        <v>0</v>
      </c>
      <c r="L339" s="5">
        <v>0</v>
      </c>
      <c r="M339" s="5">
        <v>0</v>
      </c>
      <c r="N339" s="5">
        <v>0</v>
      </c>
      <c r="O339" s="5">
        <v>5</v>
      </c>
      <c r="P339" s="5">
        <v>3</v>
      </c>
      <c r="Q339" s="5">
        <v>0</v>
      </c>
      <c r="R339" s="5">
        <v>0</v>
      </c>
    </row>
    <row r="340" spans="1:18" ht="15" customHeight="1" x14ac:dyDescent="0.25">
      <c r="A340" s="5">
        <v>2529</v>
      </c>
      <c r="B340" s="5" t="s">
        <v>264</v>
      </c>
      <c r="C340" s="5" t="s">
        <v>1023</v>
      </c>
      <c r="D340" s="5" t="s">
        <v>353</v>
      </c>
      <c r="E340" s="5" t="s">
        <v>12</v>
      </c>
      <c r="F340" s="5">
        <v>28</v>
      </c>
      <c r="G340" s="5">
        <v>6.21</v>
      </c>
      <c r="H340" s="5">
        <v>6.59</v>
      </c>
      <c r="I340" s="5">
        <v>4</v>
      </c>
      <c r="J340" s="5">
        <v>0</v>
      </c>
      <c r="K340" s="5">
        <v>0</v>
      </c>
      <c r="L340" s="5">
        <v>0</v>
      </c>
      <c r="M340" s="5">
        <v>0</v>
      </c>
      <c r="N340" s="5">
        <v>0</v>
      </c>
      <c r="O340" s="5">
        <v>1</v>
      </c>
      <c r="P340" s="5">
        <v>5</v>
      </c>
      <c r="Q340" s="5">
        <v>0</v>
      </c>
      <c r="R340" s="5">
        <v>0</v>
      </c>
    </row>
    <row r="341" spans="1:18" ht="15" customHeight="1" x14ac:dyDescent="0.25">
      <c r="A341" s="5">
        <v>5562</v>
      </c>
      <c r="B341" s="5" t="s">
        <v>264</v>
      </c>
      <c r="C341" s="5" t="s">
        <v>1025</v>
      </c>
      <c r="D341" s="5" t="s">
        <v>293</v>
      </c>
      <c r="E341" s="5" t="s">
        <v>28</v>
      </c>
      <c r="F341" s="5">
        <v>34</v>
      </c>
      <c r="G341" s="5">
        <v>6.1</v>
      </c>
      <c r="H341" s="5">
        <v>6.4</v>
      </c>
      <c r="I341" s="5">
        <v>3</v>
      </c>
      <c r="J341" s="5">
        <v>0</v>
      </c>
      <c r="K341" s="5">
        <v>0</v>
      </c>
      <c r="L341" s="5">
        <v>0</v>
      </c>
      <c r="M341" s="5">
        <v>0</v>
      </c>
      <c r="N341" s="5">
        <v>0</v>
      </c>
      <c r="O341" s="5">
        <v>2</v>
      </c>
      <c r="P341" s="5">
        <v>2</v>
      </c>
      <c r="Q341" s="5">
        <v>0</v>
      </c>
      <c r="R341" s="5">
        <v>0</v>
      </c>
    </row>
    <row r="342" spans="1:18" ht="15" customHeight="1" x14ac:dyDescent="0.25">
      <c r="A342" s="5">
        <v>6190</v>
      </c>
      <c r="B342" s="5" t="s">
        <v>264</v>
      </c>
      <c r="C342" s="5" t="s">
        <v>264</v>
      </c>
      <c r="D342" s="5" t="s">
        <v>361</v>
      </c>
      <c r="E342" s="5" t="s">
        <v>10</v>
      </c>
      <c r="F342" s="5">
        <v>22</v>
      </c>
      <c r="G342" s="5">
        <v>6.09</v>
      </c>
      <c r="H342" s="5">
        <v>6.48</v>
      </c>
      <c r="I342" s="5">
        <v>2</v>
      </c>
      <c r="J342" s="5">
        <v>0</v>
      </c>
      <c r="K342" s="5">
        <v>0</v>
      </c>
      <c r="L342" s="5">
        <v>0</v>
      </c>
      <c r="M342" s="5">
        <v>0</v>
      </c>
      <c r="N342" s="5">
        <v>0</v>
      </c>
      <c r="O342" s="5">
        <v>4</v>
      </c>
      <c r="P342" s="5">
        <v>3</v>
      </c>
      <c r="Q342" s="5">
        <v>0</v>
      </c>
      <c r="R342" s="5">
        <v>0</v>
      </c>
    </row>
    <row r="343" spans="1:18" ht="15" customHeight="1" x14ac:dyDescent="0.25">
      <c r="A343" s="5">
        <v>6684</v>
      </c>
      <c r="B343" s="5" t="s">
        <v>264</v>
      </c>
      <c r="C343" s="5" t="s">
        <v>1023</v>
      </c>
      <c r="D343" s="5" t="s">
        <v>299</v>
      </c>
      <c r="E343" s="5" t="s">
        <v>32</v>
      </c>
      <c r="F343" s="5">
        <v>31</v>
      </c>
      <c r="G343" s="5">
        <v>6.05</v>
      </c>
      <c r="H343" s="5">
        <v>6.61</v>
      </c>
      <c r="I343" s="5">
        <v>5</v>
      </c>
      <c r="J343" s="5">
        <v>0</v>
      </c>
      <c r="K343" s="5">
        <v>0</v>
      </c>
      <c r="L343" s="5">
        <v>0</v>
      </c>
      <c r="M343" s="5">
        <v>0</v>
      </c>
      <c r="N343" s="5">
        <v>0</v>
      </c>
      <c r="O343" s="5">
        <v>3</v>
      </c>
      <c r="P343" s="5">
        <v>1</v>
      </c>
      <c r="Q343" s="5">
        <v>0</v>
      </c>
      <c r="R343" s="5">
        <v>0</v>
      </c>
    </row>
    <row r="344" spans="1:18" ht="15" customHeight="1" x14ac:dyDescent="0.25">
      <c r="A344" s="5">
        <v>7314</v>
      </c>
      <c r="B344" s="5" t="s">
        <v>264</v>
      </c>
      <c r="C344" s="5" t="s">
        <v>1023</v>
      </c>
      <c r="D344" s="5" t="s">
        <v>281</v>
      </c>
      <c r="E344" s="5" t="s">
        <v>30</v>
      </c>
      <c r="F344" s="5">
        <v>17</v>
      </c>
      <c r="G344" s="5">
        <v>6.06</v>
      </c>
      <c r="H344" s="5">
        <v>6.56</v>
      </c>
      <c r="I344" s="5">
        <v>3</v>
      </c>
      <c r="J344" s="5">
        <v>0</v>
      </c>
      <c r="K344" s="5">
        <v>0</v>
      </c>
      <c r="L344" s="5">
        <v>0</v>
      </c>
      <c r="M344" s="5">
        <v>0</v>
      </c>
      <c r="N344" s="5">
        <v>0</v>
      </c>
      <c r="O344" s="5">
        <v>2</v>
      </c>
      <c r="P344" s="5">
        <v>5</v>
      </c>
      <c r="Q344" s="5">
        <v>0</v>
      </c>
      <c r="R344" s="5">
        <v>0</v>
      </c>
    </row>
    <row r="345" spans="1:18" ht="15" customHeight="1" x14ac:dyDescent="0.25">
      <c r="A345" s="5">
        <v>5792</v>
      </c>
      <c r="B345" s="5" t="s">
        <v>264</v>
      </c>
      <c r="C345" s="5" t="s">
        <v>1025</v>
      </c>
      <c r="D345" s="5" t="s">
        <v>282</v>
      </c>
      <c r="E345" s="5" t="s">
        <v>14</v>
      </c>
      <c r="F345" s="5">
        <v>30</v>
      </c>
      <c r="G345" s="5">
        <v>6.25</v>
      </c>
      <c r="H345" s="5">
        <v>6.43</v>
      </c>
      <c r="I345" s="5">
        <v>2</v>
      </c>
      <c r="J345" s="5">
        <v>0</v>
      </c>
      <c r="K345" s="5">
        <v>0</v>
      </c>
      <c r="L345" s="5">
        <v>1</v>
      </c>
      <c r="M345" s="5">
        <v>1</v>
      </c>
      <c r="N345" s="5">
        <v>0</v>
      </c>
      <c r="O345" s="5">
        <v>1</v>
      </c>
      <c r="P345" s="5">
        <v>3</v>
      </c>
      <c r="Q345" s="5">
        <v>0</v>
      </c>
      <c r="R345" s="5">
        <v>0</v>
      </c>
    </row>
    <row r="346" spans="1:18" ht="15" customHeight="1" x14ac:dyDescent="0.25">
      <c r="A346" s="5">
        <v>184</v>
      </c>
      <c r="B346" s="5" t="s">
        <v>264</v>
      </c>
      <c r="C346" s="5" t="s">
        <v>1029</v>
      </c>
      <c r="D346" s="5" t="s">
        <v>301</v>
      </c>
      <c r="E346" s="5" t="s">
        <v>24</v>
      </c>
      <c r="F346" s="5">
        <v>24</v>
      </c>
      <c r="G346" s="5">
        <v>6.04</v>
      </c>
      <c r="H346" s="5">
        <v>6.56</v>
      </c>
      <c r="I346" s="5">
        <v>4</v>
      </c>
      <c r="J346" s="5">
        <v>0</v>
      </c>
      <c r="K346" s="5">
        <v>0</v>
      </c>
      <c r="L346" s="5">
        <v>1</v>
      </c>
      <c r="M346" s="5">
        <v>1</v>
      </c>
      <c r="N346" s="5">
        <v>0</v>
      </c>
      <c r="O346" s="5">
        <v>2</v>
      </c>
      <c r="P346" s="5">
        <v>3</v>
      </c>
      <c r="Q346" s="5">
        <v>0</v>
      </c>
      <c r="R346" s="5">
        <v>0</v>
      </c>
    </row>
    <row r="347" spans="1:18" ht="15" customHeight="1" x14ac:dyDescent="0.25">
      <c r="A347" s="5">
        <v>2765</v>
      </c>
      <c r="B347" s="5" t="s">
        <v>264</v>
      </c>
      <c r="C347" s="5" t="s">
        <v>1022</v>
      </c>
      <c r="D347" s="5" t="s">
        <v>306</v>
      </c>
      <c r="E347" s="5" t="s">
        <v>24</v>
      </c>
      <c r="F347" s="5">
        <v>22</v>
      </c>
      <c r="G347" s="5">
        <v>5.91</v>
      </c>
      <c r="H347" s="5">
        <v>6.61</v>
      </c>
      <c r="I347" s="5">
        <v>5</v>
      </c>
      <c r="J347" s="5">
        <v>0</v>
      </c>
      <c r="K347" s="5">
        <v>0</v>
      </c>
      <c r="L347" s="5">
        <v>0</v>
      </c>
      <c r="M347" s="5">
        <v>0</v>
      </c>
      <c r="N347" s="5">
        <v>0</v>
      </c>
      <c r="O347" s="5">
        <v>1</v>
      </c>
      <c r="P347" s="5">
        <v>1</v>
      </c>
      <c r="Q347" s="5">
        <v>0</v>
      </c>
      <c r="R347" s="5">
        <v>0</v>
      </c>
    </row>
    <row r="348" spans="1:18" ht="15" customHeight="1" x14ac:dyDescent="0.25">
      <c r="A348" s="5">
        <v>4364</v>
      </c>
      <c r="B348" s="5" t="s">
        <v>264</v>
      </c>
      <c r="C348" s="5" t="s">
        <v>1024</v>
      </c>
      <c r="D348" s="5" t="s">
        <v>316</v>
      </c>
      <c r="E348" s="5" t="s">
        <v>26</v>
      </c>
      <c r="F348" s="5">
        <v>32</v>
      </c>
      <c r="G348" s="5">
        <v>6.06</v>
      </c>
      <c r="H348" s="5">
        <v>6.31</v>
      </c>
      <c r="I348" s="5">
        <v>2</v>
      </c>
      <c r="J348" s="5">
        <v>0</v>
      </c>
      <c r="K348" s="5">
        <v>0</v>
      </c>
      <c r="L348" s="5">
        <v>0</v>
      </c>
      <c r="M348" s="5">
        <v>0</v>
      </c>
      <c r="N348" s="5">
        <v>0</v>
      </c>
      <c r="O348" s="5">
        <v>4</v>
      </c>
      <c r="P348" s="5">
        <v>4</v>
      </c>
      <c r="Q348" s="5">
        <v>0</v>
      </c>
      <c r="R348" s="5">
        <v>0</v>
      </c>
    </row>
    <row r="349" spans="1:18" ht="15" customHeight="1" x14ac:dyDescent="0.25">
      <c r="A349" s="5">
        <v>5036</v>
      </c>
      <c r="B349" s="5" t="s">
        <v>264</v>
      </c>
      <c r="C349" s="5" t="s">
        <v>1023</v>
      </c>
      <c r="D349" s="5" t="s">
        <v>332</v>
      </c>
      <c r="E349" s="5" t="s">
        <v>16</v>
      </c>
      <c r="F349" s="5">
        <v>28</v>
      </c>
      <c r="G349" s="5">
        <v>6.11</v>
      </c>
      <c r="H349" s="5">
        <v>6.41</v>
      </c>
      <c r="I349" s="5">
        <v>2</v>
      </c>
      <c r="J349" s="5">
        <v>0</v>
      </c>
      <c r="K349" s="5">
        <v>0</v>
      </c>
      <c r="L349" s="5">
        <v>0</v>
      </c>
      <c r="M349" s="5">
        <v>0</v>
      </c>
      <c r="N349" s="5">
        <v>0</v>
      </c>
      <c r="O349" s="5">
        <v>4</v>
      </c>
      <c r="P349" s="5">
        <v>3</v>
      </c>
      <c r="Q349" s="5">
        <v>0</v>
      </c>
      <c r="R349" s="5">
        <v>0</v>
      </c>
    </row>
    <row r="350" spans="1:18" ht="15" customHeight="1" x14ac:dyDescent="0.25">
      <c r="A350" s="5">
        <v>4486</v>
      </c>
      <c r="B350" s="5" t="s">
        <v>264</v>
      </c>
      <c r="C350" s="5" t="s">
        <v>1029</v>
      </c>
      <c r="D350" s="5" t="s">
        <v>1034</v>
      </c>
      <c r="E350" s="5" t="s">
        <v>38</v>
      </c>
      <c r="F350" s="5">
        <v>14</v>
      </c>
      <c r="G350" s="5">
        <v>6.21</v>
      </c>
      <c r="H350" s="5">
        <v>6.68</v>
      </c>
      <c r="I350" s="5">
        <v>2</v>
      </c>
      <c r="J350" s="5">
        <v>0</v>
      </c>
      <c r="K350" s="5">
        <v>0</v>
      </c>
      <c r="L350" s="5">
        <v>0</v>
      </c>
      <c r="M350" s="5">
        <v>0</v>
      </c>
      <c r="N350" s="5">
        <v>0</v>
      </c>
      <c r="O350" s="5">
        <v>2</v>
      </c>
      <c r="P350" s="5">
        <v>3</v>
      </c>
      <c r="Q350" s="5">
        <v>0</v>
      </c>
      <c r="R350" s="5">
        <v>0</v>
      </c>
    </row>
    <row r="351" spans="1:18" ht="15" customHeight="1" x14ac:dyDescent="0.25">
      <c r="A351" s="5">
        <v>449</v>
      </c>
      <c r="B351" s="5" t="s">
        <v>264</v>
      </c>
      <c r="C351" s="5" t="s">
        <v>1022</v>
      </c>
      <c r="D351" s="5" t="s">
        <v>1035</v>
      </c>
      <c r="E351" s="5" t="s">
        <v>878</v>
      </c>
      <c r="F351" s="5">
        <v>13</v>
      </c>
      <c r="G351" s="5">
        <v>6.15</v>
      </c>
      <c r="H351" s="5">
        <v>6.54</v>
      </c>
      <c r="I351" s="5">
        <v>1</v>
      </c>
      <c r="J351" s="5">
        <v>0</v>
      </c>
      <c r="K351" s="5">
        <v>0</v>
      </c>
      <c r="L351" s="5">
        <v>0</v>
      </c>
      <c r="M351" s="5">
        <v>0</v>
      </c>
      <c r="N351" s="5">
        <v>0</v>
      </c>
      <c r="O351" s="5">
        <v>2</v>
      </c>
      <c r="P351" s="5">
        <v>1</v>
      </c>
      <c r="Q351" s="5">
        <v>0</v>
      </c>
      <c r="R351" s="5">
        <v>0</v>
      </c>
    </row>
    <row r="352" spans="1:18" ht="15" customHeight="1" x14ac:dyDescent="0.25">
      <c r="A352" s="5">
        <v>5800</v>
      </c>
      <c r="B352" s="5" t="s">
        <v>264</v>
      </c>
      <c r="C352" s="5" t="s">
        <v>1022</v>
      </c>
      <c r="D352" s="5" t="s">
        <v>280</v>
      </c>
      <c r="E352" s="5" t="s">
        <v>20</v>
      </c>
      <c r="F352" s="5">
        <v>32</v>
      </c>
      <c r="G352" s="5">
        <v>5.88</v>
      </c>
      <c r="H352" s="5">
        <v>6.34</v>
      </c>
      <c r="I352" s="5">
        <v>5</v>
      </c>
      <c r="J352" s="5">
        <v>0</v>
      </c>
      <c r="K352" s="5">
        <v>0</v>
      </c>
      <c r="L352" s="5">
        <v>3</v>
      </c>
      <c r="M352" s="5">
        <v>3</v>
      </c>
      <c r="N352" s="5">
        <v>0</v>
      </c>
      <c r="O352" s="5">
        <v>3</v>
      </c>
      <c r="P352" s="5">
        <v>4</v>
      </c>
      <c r="Q352" s="5">
        <v>1</v>
      </c>
      <c r="R352" s="5">
        <v>0</v>
      </c>
    </row>
    <row r="353" spans="1:18" ht="15" customHeight="1" x14ac:dyDescent="0.25">
      <c r="A353" s="5">
        <v>4186</v>
      </c>
      <c r="B353" s="5" t="s">
        <v>264</v>
      </c>
      <c r="C353" s="5" t="s">
        <v>264</v>
      </c>
      <c r="D353" s="5" t="s">
        <v>1036</v>
      </c>
      <c r="E353" s="5" t="s">
        <v>30</v>
      </c>
      <c r="F353" s="5">
        <v>16</v>
      </c>
      <c r="G353" s="5">
        <v>6.16</v>
      </c>
      <c r="H353" s="5">
        <v>6.31</v>
      </c>
      <c r="I353" s="5">
        <v>2</v>
      </c>
      <c r="J353" s="5">
        <v>0</v>
      </c>
      <c r="K353" s="5">
        <v>0</v>
      </c>
      <c r="L353" s="5">
        <v>0</v>
      </c>
      <c r="M353" s="5">
        <v>0</v>
      </c>
      <c r="N353" s="5">
        <v>0</v>
      </c>
      <c r="O353" s="5">
        <v>0</v>
      </c>
      <c r="P353" s="5">
        <v>5</v>
      </c>
      <c r="Q353" s="5">
        <v>1</v>
      </c>
      <c r="R353" s="5">
        <v>0</v>
      </c>
    </row>
    <row r="354" spans="1:18" ht="15" customHeight="1" x14ac:dyDescent="0.25">
      <c r="A354" s="5">
        <v>632</v>
      </c>
      <c r="B354" s="5" t="s">
        <v>264</v>
      </c>
      <c r="C354" s="5" t="s">
        <v>1029</v>
      </c>
      <c r="D354" s="5" t="s">
        <v>277</v>
      </c>
      <c r="E354" s="5" t="s">
        <v>30</v>
      </c>
      <c r="F354" s="5">
        <v>26</v>
      </c>
      <c r="G354" s="5">
        <v>5.88</v>
      </c>
      <c r="H354" s="5">
        <v>5.96</v>
      </c>
      <c r="I354" s="5">
        <v>3</v>
      </c>
      <c r="J354" s="5">
        <v>0</v>
      </c>
      <c r="K354" s="5">
        <v>0</v>
      </c>
      <c r="L354" s="5">
        <v>1</v>
      </c>
      <c r="M354" s="5">
        <v>0</v>
      </c>
      <c r="N354" s="5">
        <v>1</v>
      </c>
      <c r="O354" s="5">
        <v>0</v>
      </c>
      <c r="P354" s="5">
        <v>6</v>
      </c>
      <c r="Q354" s="5">
        <v>1</v>
      </c>
      <c r="R354" s="5">
        <v>0</v>
      </c>
    </row>
    <row r="355" spans="1:18" ht="15" customHeight="1" x14ac:dyDescent="0.25">
      <c r="A355" s="5">
        <v>5504</v>
      </c>
      <c r="B355" s="5" t="s">
        <v>264</v>
      </c>
      <c r="C355" s="5" t="s">
        <v>1025</v>
      </c>
      <c r="D355" s="5" t="s">
        <v>338</v>
      </c>
      <c r="E355" s="5" t="s">
        <v>36</v>
      </c>
      <c r="F355" s="5">
        <v>33</v>
      </c>
      <c r="G355" s="5">
        <v>6.05</v>
      </c>
      <c r="H355" s="5">
        <v>6.29</v>
      </c>
      <c r="I355" s="5">
        <v>3</v>
      </c>
      <c r="J355" s="5">
        <v>0</v>
      </c>
      <c r="K355" s="5">
        <v>0</v>
      </c>
      <c r="L355" s="5">
        <v>0</v>
      </c>
      <c r="M355" s="5">
        <v>0</v>
      </c>
      <c r="N355" s="5">
        <v>0</v>
      </c>
      <c r="O355" s="5">
        <v>1</v>
      </c>
      <c r="P355" s="5">
        <v>4</v>
      </c>
      <c r="Q355" s="5">
        <v>0</v>
      </c>
      <c r="R355" s="5">
        <v>0</v>
      </c>
    </row>
    <row r="356" spans="1:18" ht="15" customHeight="1" x14ac:dyDescent="0.25">
      <c r="A356" s="5">
        <v>536</v>
      </c>
      <c r="B356" s="5" t="s">
        <v>264</v>
      </c>
      <c r="C356" s="5" t="s">
        <v>1027</v>
      </c>
      <c r="D356" s="5" t="s">
        <v>295</v>
      </c>
      <c r="E356" s="5" t="s">
        <v>22</v>
      </c>
      <c r="F356" s="5">
        <v>33</v>
      </c>
      <c r="G356" s="5">
        <v>6.09</v>
      </c>
      <c r="H356" s="5">
        <v>6.36</v>
      </c>
      <c r="I356" s="5">
        <v>2</v>
      </c>
      <c r="J356" s="5">
        <v>0</v>
      </c>
      <c r="K356" s="5">
        <v>0</v>
      </c>
      <c r="L356" s="5">
        <v>0</v>
      </c>
      <c r="M356" s="5">
        <v>0</v>
      </c>
      <c r="N356" s="5">
        <v>0</v>
      </c>
      <c r="O356" s="5">
        <v>5</v>
      </c>
      <c r="P356" s="5">
        <v>4</v>
      </c>
      <c r="Q356" s="5">
        <v>0</v>
      </c>
      <c r="R356" s="5">
        <v>0</v>
      </c>
    </row>
    <row r="357" spans="1:18" ht="15" customHeight="1" x14ac:dyDescent="0.25">
      <c r="A357" s="5">
        <v>779</v>
      </c>
      <c r="B357" s="5" t="s">
        <v>264</v>
      </c>
      <c r="C357" s="5" t="s">
        <v>1025</v>
      </c>
      <c r="D357" s="5" t="s">
        <v>315</v>
      </c>
      <c r="E357" s="5" t="s">
        <v>10</v>
      </c>
      <c r="F357" s="5">
        <v>37</v>
      </c>
      <c r="G357" s="5">
        <v>6.11</v>
      </c>
      <c r="H357" s="5">
        <v>6.22</v>
      </c>
      <c r="I357" s="5">
        <v>2</v>
      </c>
      <c r="J357" s="5">
        <v>0</v>
      </c>
      <c r="K357" s="5">
        <v>0</v>
      </c>
      <c r="L357" s="5">
        <v>0</v>
      </c>
      <c r="M357" s="5">
        <v>0</v>
      </c>
      <c r="N357" s="5">
        <v>0</v>
      </c>
      <c r="O357" s="5">
        <v>1</v>
      </c>
      <c r="P357" s="5">
        <v>6</v>
      </c>
      <c r="Q357" s="5">
        <v>0</v>
      </c>
      <c r="R357" s="5">
        <v>0</v>
      </c>
    </row>
    <row r="358" spans="1:18" ht="15" customHeight="1" x14ac:dyDescent="0.25">
      <c r="A358" s="5">
        <v>5589</v>
      </c>
      <c r="B358" s="5" t="s">
        <v>264</v>
      </c>
      <c r="C358" s="5" t="s">
        <v>1025</v>
      </c>
      <c r="D358" s="5" t="s">
        <v>296</v>
      </c>
      <c r="E358" s="5" t="s">
        <v>10</v>
      </c>
      <c r="F358" s="5">
        <v>29</v>
      </c>
      <c r="G358" s="5">
        <v>6.26</v>
      </c>
      <c r="H358" s="5">
        <v>6.53</v>
      </c>
      <c r="I358" s="5">
        <v>2</v>
      </c>
      <c r="J358" s="5">
        <v>0</v>
      </c>
      <c r="K358" s="5">
        <v>0</v>
      </c>
      <c r="L358" s="5">
        <v>0</v>
      </c>
      <c r="M358" s="5">
        <v>0</v>
      </c>
      <c r="N358" s="5">
        <v>0</v>
      </c>
      <c r="O358" s="5">
        <v>3</v>
      </c>
      <c r="P358" s="5">
        <v>2</v>
      </c>
      <c r="Q358" s="5">
        <v>0</v>
      </c>
      <c r="R358" s="5">
        <v>0</v>
      </c>
    </row>
    <row r="359" spans="1:18" ht="15" customHeight="1" x14ac:dyDescent="0.25">
      <c r="A359" s="5">
        <v>530</v>
      </c>
      <c r="B359" s="5" t="s">
        <v>264</v>
      </c>
      <c r="C359" s="5" t="s">
        <v>1023</v>
      </c>
      <c r="D359" s="5" t="s">
        <v>1037</v>
      </c>
      <c r="E359" s="5" t="s">
        <v>10</v>
      </c>
      <c r="F359" s="5">
        <v>24</v>
      </c>
      <c r="G359" s="5">
        <v>6.04</v>
      </c>
      <c r="H359" s="5">
        <v>6.58</v>
      </c>
      <c r="I359" s="5">
        <v>4</v>
      </c>
      <c r="J359" s="5">
        <v>0</v>
      </c>
      <c r="K359" s="5">
        <v>0</v>
      </c>
      <c r="L359" s="5">
        <v>2</v>
      </c>
      <c r="M359" s="5">
        <v>2</v>
      </c>
      <c r="N359" s="5">
        <v>0</v>
      </c>
      <c r="O359" s="5">
        <v>2</v>
      </c>
      <c r="P359" s="5">
        <v>2</v>
      </c>
      <c r="Q359" s="5">
        <v>0</v>
      </c>
      <c r="R359" s="5">
        <v>0</v>
      </c>
    </row>
    <row r="360" spans="1:18" ht="15" customHeight="1" x14ac:dyDescent="0.25">
      <c r="A360" s="5">
        <v>5735</v>
      </c>
      <c r="B360" s="5" t="s">
        <v>264</v>
      </c>
      <c r="C360" s="5" t="s">
        <v>1033</v>
      </c>
      <c r="D360" s="5" t="s">
        <v>325</v>
      </c>
      <c r="E360" s="5" t="s">
        <v>41</v>
      </c>
      <c r="F360" s="5">
        <v>21</v>
      </c>
      <c r="G360" s="5">
        <v>6.14</v>
      </c>
      <c r="H360" s="5">
        <v>6.52</v>
      </c>
      <c r="I360" s="5">
        <v>2</v>
      </c>
      <c r="J360" s="5">
        <v>0</v>
      </c>
      <c r="K360" s="5">
        <v>0</v>
      </c>
      <c r="L360" s="5">
        <v>0</v>
      </c>
      <c r="M360" s="5">
        <v>0</v>
      </c>
      <c r="N360" s="5">
        <v>0</v>
      </c>
      <c r="O360" s="5">
        <v>4</v>
      </c>
      <c r="P360" s="5">
        <v>4</v>
      </c>
      <c r="Q360" s="5">
        <v>0</v>
      </c>
      <c r="R360" s="5">
        <v>0</v>
      </c>
    </row>
    <row r="361" spans="1:18" ht="15" customHeight="1" x14ac:dyDescent="0.25">
      <c r="A361" s="5">
        <v>5888</v>
      </c>
      <c r="B361" s="5" t="s">
        <v>264</v>
      </c>
      <c r="C361" s="5" t="s">
        <v>1023</v>
      </c>
      <c r="D361" s="5" t="s">
        <v>298</v>
      </c>
      <c r="E361" s="5" t="s">
        <v>81</v>
      </c>
      <c r="F361" s="5">
        <v>32</v>
      </c>
      <c r="G361" s="5">
        <v>5.97</v>
      </c>
      <c r="H361" s="5">
        <v>6.45</v>
      </c>
      <c r="I361" s="5">
        <v>6</v>
      </c>
      <c r="J361" s="5">
        <v>0</v>
      </c>
      <c r="K361" s="5">
        <v>0</v>
      </c>
      <c r="L361" s="5">
        <v>0</v>
      </c>
      <c r="M361" s="5">
        <v>0</v>
      </c>
      <c r="N361" s="5">
        <v>0</v>
      </c>
      <c r="O361" s="5">
        <v>0</v>
      </c>
      <c r="P361" s="5">
        <v>5</v>
      </c>
      <c r="Q361" s="5">
        <v>0</v>
      </c>
      <c r="R361" s="5">
        <v>0</v>
      </c>
    </row>
    <row r="362" spans="1:18" ht="15" customHeight="1" x14ac:dyDescent="0.25">
      <c r="A362" s="5">
        <v>2077</v>
      </c>
      <c r="B362" s="5" t="s">
        <v>264</v>
      </c>
      <c r="C362" s="5" t="s">
        <v>1023</v>
      </c>
      <c r="D362" s="5" t="s">
        <v>300</v>
      </c>
      <c r="E362" s="5" t="s">
        <v>14</v>
      </c>
      <c r="F362" s="5">
        <v>31</v>
      </c>
      <c r="G362" s="5">
        <v>5.94</v>
      </c>
      <c r="H362" s="5">
        <v>6.27</v>
      </c>
      <c r="I362" s="5">
        <v>3</v>
      </c>
      <c r="J362" s="5">
        <v>0</v>
      </c>
      <c r="K362" s="5">
        <v>0</v>
      </c>
      <c r="L362" s="5">
        <v>0</v>
      </c>
      <c r="M362" s="5">
        <v>0</v>
      </c>
      <c r="N362" s="5">
        <v>0</v>
      </c>
      <c r="O362" s="5">
        <v>3</v>
      </c>
      <c r="P362" s="5">
        <v>3</v>
      </c>
      <c r="Q362" s="5">
        <v>0</v>
      </c>
      <c r="R362" s="5">
        <v>0</v>
      </c>
    </row>
    <row r="363" spans="1:18" ht="15" customHeight="1" x14ac:dyDescent="0.25">
      <c r="A363" s="5">
        <v>4404</v>
      </c>
      <c r="B363" s="5" t="s">
        <v>264</v>
      </c>
      <c r="C363" s="5" t="s">
        <v>1023</v>
      </c>
      <c r="D363" s="5" t="s">
        <v>1038</v>
      </c>
      <c r="E363" s="5" t="s">
        <v>878</v>
      </c>
      <c r="F363" s="5">
        <v>21</v>
      </c>
      <c r="G363" s="5">
        <v>6.1</v>
      </c>
      <c r="H363" s="5">
        <v>6.48</v>
      </c>
      <c r="I363" s="5">
        <v>3</v>
      </c>
      <c r="J363" s="5">
        <v>0</v>
      </c>
      <c r="K363" s="5">
        <v>0</v>
      </c>
      <c r="L363" s="5">
        <v>0</v>
      </c>
      <c r="M363" s="5">
        <v>0</v>
      </c>
      <c r="N363" s="5">
        <v>0</v>
      </c>
      <c r="O363" s="5">
        <v>1</v>
      </c>
      <c r="P363" s="5">
        <v>4</v>
      </c>
      <c r="Q363" s="5">
        <v>0</v>
      </c>
      <c r="R363" s="5">
        <v>0</v>
      </c>
    </row>
    <row r="364" spans="1:18" ht="15" customHeight="1" x14ac:dyDescent="0.25">
      <c r="A364" s="5">
        <v>827</v>
      </c>
      <c r="B364" s="5" t="s">
        <v>264</v>
      </c>
      <c r="C364" s="5" t="s">
        <v>1025</v>
      </c>
      <c r="D364" s="5" t="s">
        <v>312</v>
      </c>
      <c r="E364" s="5" t="s">
        <v>28</v>
      </c>
      <c r="F364" s="5">
        <v>36</v>
      </c>
      <c r="G364" s="5">
        <v>6.26</v>
      </c>
      <c r="H364" s="5">
        <v>6.19</v>
      </c>
      <c r="I364" s="5">
        <v>1</v>
      </c>
      <c r="J364" s="5">
        <v>0</v>
      </c>
      <c r="K364" s="5">
        <v>0</v>
      </c>
      <c r="L364" s="5">
        <v>1</v>
      </c>
      <c r="M364" s="5">
        <v>0</v>
      </c>
      <c r="N364" s="5">
        <v>1</v>
      </c>
      <c r="O364" s="5">
        <v>2</v>
      </c>
      <c r="P364" s="5">
        <v>9</v>
      </c>
      <c r="Q364" s="5">
        <v>0</v>
      </c>
      <c r="R364" s="5">
        <v>0</v>
      </c>
    </row>
    <row r="365" spans="1:18" ht="15" customHeight="1" x14ac:dyDescent="0.25">
      <c r="A365" s="5">
        <v>7351</v>
      </c>
      <c r="B365" s="5" t="s">
        <v>264</v>
      </c>
      <c r="C365" s="5" t="s">
        <v>1029</v>
      </c>
      <c r="D365" s="5" t="s">
        <v>458</v>
      </c>
      <c r="E365" s="5" t="s">
        <v>22</v>
      </c>
      <c r="F365" s="5">
        <v>13</v>
      </c>
      <c r="G365" s="5">
        <v>6.35</v>
      </c>
      <c r="H365" s="5">
        <v>7.23</v>
      </c>
      <c r="I365" s="5">
        <v>4</v>
      </c>
      <c r="J365" s="5">
        <v>0</v>
      </c>
      <c r="K365" s="5">
        <v>0</v>
      </c>
      <c r="L365" s="5">
        <v>0</v>
      </c>
      <c r="M365" s="5">
        <v>0</v>
      </c>
      <c r="N365" s="5">
        <v>0</v>
      </c>
      <c r="O365" s="5">
        <v>0</v>
      </c>
      <c r="P365" s="5">
        <v>1</v>
      </c>
      <c r="Q365" s="5">
        <v>0</v>
      </c>
      <c r="R365" s="5">
        <v>0</v>
      </c>
    </row>
    <row r="366" spans="1:18" ht="15" customHeight="1" x14ac:dyDescent="0.25">
      <c r="A366" s="5">
        <v>7133</v>
      </c>
      <c r="B366" s="5" t="s">
        <v>264</v>
      </c>
      <c r="C366" s="5" t="s">
        <v>1033</v>
      </c>
      <c r="D366" s="5" t="s">
        <v>1039</v>
      </c>
      <c r="E366" s="5" t="s">
        <v>878</v>
      </c>
      <c r="F366" s="5">
        <v>31</v>
      </c>
      <c r="G366" s="5">
        <v>6.06</v>
      </c>
      <c r="H366" s="5">
        <v>6.27</v>
      </c>
      <c r="I366" s="5">
        <v>1</v>
      </c>
      <c r="J366" s="5">
        <v>0</v>
      </c>
      <c r="K366" s="5">
        <v>0</v>
      </c>
      <c r="L366" s="5">
        <v>0</v>
      </c>
      <c r="M366" s="5">
        <v>0</v>
      </c>
      <c r="N366" s="5">
        <v>0</v>
      </c>
      <c r="O366" s="5">
        <v>5</v>
      </c>
      <c r="P366" s="5">
        <v>3</v>
      </c>
      <c r="Q366" s="5">
        <v>0</v>
      </c>
      <c r="R366" s="5">
        <v>0</v>
      </c>
    </row>
    <row r="367" spans="1:18" ht="15" customHeight="1" x14ac:dyDescent="0.25">
      <c r="A367" s="5">
        <v>4465</v>
      </c>
      <c r="B367" s="5" t="s">
        <v>264</v>
      </c>
      <c r="C367" s="5" t="s">
        <v>264</v>
      </c>
      <c r="D367" s="5" t="s">
        <v>308</v>
      </c>
      <c r="E367" s="5" t="s">
        <v>20</v>
      </c>
      <c r="F367" s="5">
        <v>33</v>
      </c>
      <c r="G367" s="5">
        <v>6.03</v>
      </c>
      <c r="H367" s="5">
        <v>6.23</v>
      </c>
      <c r="I367" s="5">
        <v>2</v>
      </c>
      <c r="J367" s="5">
        <v>0</v>
      </c>
      <c r="K367" s="5">
        <v>0</v>
      </c>
      <c r="L367" s="5">
        <v>0</v>
      </c>
      <c r="M367" s="5">
        <v>0</v>
      </c>
      <c r="N367" s="5">
        <v>0</v>
      </c>
      <c r="O367" s="5">
        <v>3</v>
      </c>
      <c r="P367" s="5">
        <v>5</v>
      </c>
      <c r="Q367" s="5">
        <v>0</v>
      </c>
      <c r="R367" s="5">
        <v>0</v>
      </c>
    </row>
    <row r="368" spans="1:18" ht="15" customHeight="1" x14ac:dyDescent="0.25">
      <c r="A368" s="5">
        <v>7070</v>
      </c>
      <c r="B368" s="5" t="s">
        <v>264</v>
      </c>
      <c r="C368" s="5" t="s">
        <v>264</v>
      </c>
      <c r="D368" s="5" t="s">
        <v>311</v>
      </c>
      <c r="E368" s="5" t="s">
        <v>12</v>
      </c>
      <c r="F368" s="5">
        <v>28</v>
      </c>
      <c r="G368" s="5">
        <v>6.07</v>
      </c>
      <c r="H368" s="5">
        <v>6.27</v>
      </c>
      <c r="I368" s="5">
        <v>2</v>
      </c>
      <c r="J368" s="5">
        <v>0</v>
      </c>
      <c r="K368" s="5">
        <v>0</v>
      </c>
      <c r="L368" s="5">
        <v>0</v>
      </c>
      <c r="M368" s="5">
        <v>0</v>
      </c>
      <c r="N368" s="5">
        <v>0</v>
      </c>
      <c r="O368" s="5">
        <v>2</v>
      </c>
      <c r="P368" s="5">
        <v>5</v>
      </c>
      <c r="Q368" s="5">
        <v>0</v>
      </c>
      <c r="R368" s="5">
        <v>0</v>
      </c>
    </row>
    <row r="369" spans="1:18" ht="15" customHeight="1" x14ac:dyDescent="0.25">
      <c r="A369" s="5">
        <v>333</v>
      </c>
      <c r="B369" s="5" t="s">
        <v>264</v>
      </c>
      <c r="C369" s="5" t="s">
        <v>1025</v>
      </c>
      <c r="D369" s="5" t="s">
        <v>380</v>
      </c>
      <c r="E369" s="5" t="s">
        <v>30</v>
      </c>
      <c r="F369" s="5">
        <v>27</v>
      </c>
      <c r="G369" s="5">
        <v>6.07</v>
      </c>
      <c r="H369" s="5">
        <v>6.41</v>
      </c>
      <c r="I369" s="5">
        <v>3</v>
      </c>
      <c r="J369" s="5">
        <v>0</v>
      </c>
      <c r="K369" s="5">
        <v>0</v>
      </c>
      <c r="L369" s="5">
        <v>2</v>
      </c>
      <c r="M369" s="5">
        <v>2</v>
      </c>
      <c r="N369" s="5">
        <v>0</v>
      </c>
      <c r="O369" s="5">
        <v>3</v>
      </c>
      <c r="P369" s="5">
        <v>6</v>
      </c>
      <c r="Q369" s="5">
        <v>0</v>
      </c>
      <c r="R369" s="5">
        <v>0</v>
      </c>
    </row>
    <row r="370" spans="1:18" ht="15" customHeight="1" x14ac:dyDescent="0.25">
      <c r="A370" s="5">
        <v>5674</v>
      </c>
      <c r="B370" s="5" t="s">
        <v>264</v>
      </c>
      <c r="C370" s="5" t="s">
        <v>264</v>
      </c>
      <c r="D370" s="5" t="s">
        <v>344</v>
      </c>
      <c r="E370" s="5" t="s">
        <v>30</v>
      </c>
      <c r="F370" s="5">
        <v>23</v>
      </c>
      <c r="G370" s="5">
        <v>6.09</v>
      </c>
      <c r="H370" s="5">
        <v>6.43</v>
      </c>
      <c r="I370" s="5">
        <v>2</v>
      </c>
      <c r="J370" s="5">
        <v>0</v>
      </c>
      <c r="K370" s="5">
        <v>0</v>
      </c>
      <c r="L370" s="5">
        <v>0</v>
      </c>
      <c r="M370" s="5">
        <v>0</v>
      </c>
      <c r="N370" s="5">
        <v>0</v>
      </c>
      <c r="O370" s="5">
        <v>3</v>
      </c>
      <c r="P370" s="5">
        <v>0</v>
      </c>
      <c r="Q370" s="5">
        <v>1</v>
      </c>
      <c r="R370" s="5">
        <v>0</v>
      </c>
    </row>
    <row r="371" spans="1:18" ht="15" customHeight="1" x14ac:dyDescent="0.25">
      <c r="A371" s="5">
        <v>5453</v>
      </c>
      <c r="B371" s="5" t="s">
        <v>264</v>
      </c>
      <c r="C371" s="5" t="s">
        <v>1025</v>
      </c>
      <c r="D371" s="5" t="s">
        <v>382</v>
      </c>
      <c r="E371" s="5" t="s">
        <v>18</v>
      </c>
      <c r="F371" s="5">
        <v>28</v>
      </c>
      <c r="G371" s="5">
        <v>6</v>
      </c>
      <c r="H371" s="5">
        <v>6.18</v>
      </c>
      <c r="I371" s="5">
        <v>1</v>
      </c>
      <c r="J371" s="5">
        <v>0</v>
      </c>
      <c r="K371" s="5">
        <v>0</v>
      </c>
      <c r="L371" s="5">
        <v>0</v>
      </c>
      <c r="M371" s="5">
        <v>0</v>
      </c>
      <c r="N371" s="5">
        <v>0</v>
      </c>
      <c r="O371" s="5">
        <v>3</v>
      </c>
      <c r="P371" s="5">
        <v>3</v>
      </c>
      <c r="Q371" s="5">
        <v>0</v>
      </c>
      <c r="R371" s="5">
        <v>0</v>
      </c>
    </row>
    <row r="372" spans="1:18" ht="15" customHeight="1" x14ac:dyDescent="0.25">
      <c r="A372" s="5">
        <v>6898</v>
      </c>
      <c r="B372" s="5" t="s">
        <v>264</v>
      </c>
      <c r="C372" s="5" t="s">
        <v>1025</v>
      </c>
      <c r="D372" s="5" t="s">
        <v>359</v>
      </c>
      <c r="E372" s="5" t="s">
        <v>38</v>
      </c>
      <c r="F372" s="5">
        <v>36</v>
      </c>
      <c r="G372" s="5">
        <v>6.01</v>
      </c>
      <c r="H372" s="5">
        <v>6.06</v>
      </c>
      <c r="I372" s="5">
        <v>1</v>
      </c>
      <c r="J372" s="5">
        <v>0</v>
      </c>
      <c r="K372" s="5">
        <v>0</v>
      </c>
      <c r="L372" s="5">
        <v>0</v>
      </c>
      <c r="M372" s="5">
        <v>0</v>
      </c>
      <c r="N372" s="5">
        <v>0</v>
      </c>
      <c r="O372" s="5">
        <v>1</v>
      </c>
      <c r="P372" s="5">
        <v>1</v>
      </c>
      <c r="Q372" s="5">
        <v>0</v>
      </c>
      <c r="R372" s="5">
        <v>1</v>
      </c>
    </row>
    <row r="373" spans="1:18" ht="15" customHeight="1" x14ac:dyDescent="0.25">
      <c r="A373" s="5">
        <v>5393</v>
      </c>
      <c r="B373" s="5" t="s">
        <v>264</v>
      </c>
      <c r="C373" s="5" t="s">
        <v>1029</v>
      </c>
      <c r="D373" s="5" t="s">
        <v>1040</v>
      </c>
      <c r="E373" s="5" t="s">
        <v>38</v>
      </c>
      <c r="F373" s="5">
        <v>0</v>
      </c>
      <c r="G373" s="5">
        <v>0</v>
      </c>
      <c r="H373" s="5">
        <v>0</v>
      </c>
      <c r="I373" s="5">
        <v>0</v>
      </c>
      <c r="J373" s="5">
        <v>0</v>
      </c>
      <c r="K373" s="5">
        <v>0</v>
      </c>
      <c r="L373" s="5">
        <v>0</v>
      </c>
      <c r="M373" s="5">
        <v>0</v>
      </c>
      <c r="N373" s="5">
        <v>0</v>
      </c>
      <c r="O373" s="5">
        <v>0</v>
      </c>
      <c r="P373" s="5">
        <v>0</v>
      </c>
      <c r="Q373" s="5">
        <v>0</v>
      </c>
      <c r="R373" s="5">
        <v>0</v>
      </c>
    </row>
    <row r="374" spans="1:18" ht="15" customHeight="1" x14ac:dyDescent="0.25">
      <c r="A374" s="5">
        <v>5651</v>
      </c>
      <c r="B374" s="5" t="s">
        <v>264</v>
      </c>
      <c r="C374" s="5" t="s">
        <v>1027</v>
      </c>
      <c r="D374" s="5" t="s">
        <v>1041</v>
      </c>
      <c r="E374" s="5" t="s">
        <v>20</v>
      </c>
      <c r="F374" s="5">
        <v>15</v>
      </c>
      <c r="G374" s="5">
        <v>5.9</v>
      </c>
      <c r="H374" s="5">
        <v>6.27</v>
      </c>
      <c r="I374" s="5">
        <v>1</v>
      </c>
      <c r="J374" s="5">
        <v>0</v>
      </c>
      <c r="K374" s="5">
        <v>0</v>
      </c>
      <c r="L374" s="5">
        <v>0</v>
      </c>
      <c r="M374" s="5">
        <v>0</v>
      </c>
      <c r="N374" s="5">
        <v>0</v>
      </c>
      <c r="O374" s="5">
        <v>3</v>
      </c>
      <c r="P374" s="5">
        <v>1</v>
      </c>
      <c r="Q374" s="5">
        <v>0</v>
      </c>
      <c r="R374" s="5">
        <v>0</v>
      </c>
    </row>
    <row r="375" spans="1:18" ht="15" customHeight="1" x14ac:dyDescent="0.25">
      <c r="A375" s="5">
        <v>4947</v>
      </c>
      <c r="B375" s="5" t="s">
        <v>264</v>
      </c>
      <c r="C375" s="5" t="s">
        <v>1023</v>
      </c>
      <c r="D375" s="5" t="s">
        <v>394</v>
      </c>
      <c r="E375" s="5" t="s">
        <v>20</v>
      </c>
      <c r="F375" s="5">
        <v>18</v>
      </c>
      <c r="G375" s="5">
        <v>5.97</v>
      </c>
      <c r="H375" s="5">
        <v>6.31</v>
      </c>
      <c r="I375" s="5">
        <v>2</v>
      </c>
      <c r="J375" s="5">
        <v>0</v>
      </c>
      <c r="K375" s="5">
        <v>0</v>
      </c>
      <c r="L375" s="5">
        <v>0</v>
      </c>
      <c r="M375" s="5">
        <v>0</v>
      </c>
      <c r="N375" s="5">
        <v>0</v>
      </c>
      <c r="O375" s="5">
        <v>1</v>
      </c>
      <c r="P375" s="5">
        <v>2</v>
      </c>
      <c r="Q375" s="5">
        <v>0</v>
      </c>
      <c r="R375" s="5">
        <v>0</v>
      </c>
    </row>
    <row r="376" spans="1:18" ht="15" customHeight="1" x14ac:dyDescent="0.25">
      <c r="A376" s="5">
        <v>4896</v>
      </c>
      <c r="B376" s="5" t="s">
        <v>264</v>
      </c>
      <c r="C376" s="5" t="s">
        <v>1022</v>
      </c>
      <c r="D376" s="5" t="s">
        <v>493</v>
      </c>
      <c r="E376" s="5" t="s">
        <v>30</v>
      </c>
      <c r="F376" s="5">
        <v>18</v>
      </c>
      <c r="G376" s="5">
        <v>5.94</v>
      </c>
      <c r="H376" s="5">
        <v>6.31</v>
      </c>
      <c r="I376" s="5">
        <v>2</v>
      </c>
      <c r="J376" s="5">
        <v>0</v>
      </c>
      <c r="K376" s="5">
        <v>0</v>
      </c>
      <c r="L376" s="5">
        <v>0</v>
      </c>
      <c r="M376" s="5">
        <v>0</v>
      </c>
      <c r="N376" s="5">
        <v>0</v>
      </c>
      <c r="O376" s="5">
        <v>1</v>
      </c>
      <c r="P376" s="5">
        <v>1</v>
      </c>
      <c r="Q376" s="5">
        <v>0</v>
      </c>
      <c r="R376" s="5">
        <v>0</v>
      </c>
    </row>
    <row r="377" spans="1:18" ht="15" customHeight="1" x14ac:dyDescent="0.25">
      <c r="A377" s="5">
        <v>6252</v>
      </c>
      <c r="B377" s="5" t="s">
        <v>264</v>
      </c>
      <c r="C377" s="5" t="s">
        <v>1023</v>
      </c>
      <c r="D377" s="5" t="s">
        <v>385</v>
      </c>
      <c r="E377" s="5" t="s">
        <v>26</v>
      </c>
      <c r="F377" s="5">
        <v>26</v>
      </c>
      <c r="G377" s="5">
        <v>6.04</v>
      </c>
      <c r="H377" s="5">
        <v>6.21</v>
      </c>
      <c r="I377" s="5">
        <v>2</v>
      </c>
      <c r="J377" s="5">
        <v>0</v>
      </c>
      <c r="K377" s="5">
        <v>0</v>
      </c>
      <c r="L377" s="5">
        <v>0</v>
      </c>
      <c r="M377" s="5">
        <v>0</v>
      </c>
      <c r="N377" s="5">
        <v>0</v>
      </c>
      <c r="O377" s="5">
        <v>0</v>
      </c>
      <c r="P377" s="5">
        <v>3</v>
      </c>
      <c r="Q377" s="5">
        <v>0</v>
      </c>
      <c r="R377" s="5">
        <v>0</v>
      </c>
    </row>
    <row r="378" spans="1:18" ht="15" customHeight="1" x14ac:dyDescent="0.25">
      <c r="A378" s="5">
        <v>4686</v>
      </c>
      <c r="B378" s="5" t="s">
        <v>264</v>
      </c>
      <c r="C378" s="5" t="s">
        <v>1025</v>
      </c>
      <c r="D378" s="5" t="s">
        <v>358</v>
      </c>
      <c r="E378" s="5" t="s">
        <v>18</v>
      </c>
      <c r="F378" s="5">
        <v>33</v>
      </c>
      <c r="G378" s="5">
        <v>5.85</v>
      </c>
      <c r="H378" s="5">
        <v>6.06</v>
      </c>
      <c r="I378" s="5">
        <v>2</v>
      </c>
      <c r="J378" s="5">
        <v>0</v>
      </c>
      <c r="K378" s="5">
        <v>0</v>
      </c>
      <c r="L378" s="5">
        <v>0</v>
      </c>
      <c r="M378" s="5">
        <v>0</v>
      </c>
      <c r="N378" s="5">
        <v>0</v>
      </c>
      <c r="O378" s="5">
        <v>3</v>
      </c>
      <c r="P378" s="5">
        <v>4</v>
      </c>
      <c r="Q378" s="5">
        <v>0</v>
      </c>
      <c r="R378" s="5">
        <v>0</v>
      </c>
    </row>
    <row r="379" spans="1:18" ht="15" customHeight="1" x14ac:dyDescent="0.25">
      <c r="A379" s="5">
        <v>4199</v>
      </c>
      <c r="B379" s="5" t="s">
        <v>264</v>
      </c>
      <c r="C379" s="5" t="s">
        <v>1023</v>
      </c>
      <c r="D379" s="5" t="s">
        <v>384</v>
      </c>
      <c r="E379" s="5" t="s">
        <v>18</v>
      </c>
      <c r="F379" s="5">
        <v>21</v>
      </c>
      <c r="G379" s="5">
        <v>6.1</v>
      </c>
      <c r="H379" s="5">
        <v>6.52</v>
      </c>
      <c r="I379" s="5">
        <v>3</v>
      </c>
      <c r="J379" s="5">
        <v>0</v>
      </c>
      <c r="K379" s="5">
        <v>0</v>
      </c>
      <c r="L379" s="5">
        <v>0</v>
      </c>
      <c r="M379" s="5">
        <v>0</v>
      </c>
      <c r="N379" s="5">
        <v>0</v>
      </c>
      <c r="O379" s="5">
        <v>1</v>
      </c>
      <c r="P379" s="5">
        <v>2</v>
      </c>
      <c r="Q379" s="5">
        <v>0</v>
      </c>
      <c r="R379" s="5">
        <v>0</v>
      </c>
    </row>
    <row r="380" spans="1:18" ht="15" customHeight="1" x14ac:dyDescent="0.25">
      <c r="A380" s="5">
        <v>4287</v>
      </c>
      <c r="B380" s="5" t="s">
        <v>264</v>
      </c>
      <c r="C380" s="5" t="s">
        <v>1025</v>
      </c>
      <c r="D380" s="5" t="s">
        <v>323</v>
      </c>
      <c r="E380" s="5" t="s">
        <v>22</v>
      </c>
      <c r="F380" s="5">
        <v>31</v>
      </c>
      <c r="G380" s="5">
        <v>6.05</v>
      </c>
      <c r="H380" s="5">
        <v>6.1</v>
      </c>
      <c r="I380" s="5">
        <v>1</v>
      </c>
      <c r="J380" s="5">
        <v>0</v>
      </c>
      <c r="K380" s="5">
        <v>0</v>
      </c>
      <c r="L380" s="5">
        <v>0</v>
      </c>
      <c r="M380" s="5">
        <v>0</v>
      </c>
      <c r="N380" s="5">
        <v>0</v>
      </c>
      <c r="O380" s="5">
        <v>0</v>
      </c>
      <c r="P380" s="5">
        <v>3</v>
      </c>
      <c r="Q380" s="5">
        <v>0</v>
      </c>
      <c r="R380" s="5">
        <v>0</v>
      </c>
    </row>
    <row r="381" spans="1:18" ht="15" customHeight="1" x14ac:dyDescent="0.25">
      <c r="A381" s="5">
        <v>6831</v>
      </c>
      <c r="B381" s="5" t="s">
        <v>264</v>
      </c>
      <c r="C381" s="5" t="s">
        <v>1029</v>
      </c>
      <c r="D381" s="5" t="s">
        <v>492</v>
      </c>
      <c r="E381" s="5" t="s">
        <v>22</v>
      </c>
      <c r="F381" s="5">
        <v>16</v>
      </c>
      <c r="G381" s="5">
        <v>6.19</v>
      </c>
      <c r="H381" s="5">
        <v>6.84</v>
      </c>
      <c r="I381" s="5">
        <v>3</v>
      </c>
      <c r="J381" s="5">
        <v>0</v>
      </c>
      <c r="K381" s="5">
        <v>0</v>
      </c>
      <c r="L381" s="5">
        <v>0</v>
      </c>
      <c r="M381" s="5">
        <v>0</v>
      </c>
      <c r="N381" s="5">
        <v>0</v>
      </c>
      <c r="O381" s="5">
        <v>3</v>
      </c>
      <c r="P381" s="5">
        <v>3</v>
      </c>
      <c r="Q381" s="5">
        <v>0</v>
      </c>
      <c r="R381" s="5">
        <v>0</v>
      </c>
    </row>
    <row r="382" spans="1:18" ht="15" customHeight="1" x14ac:dyDescent="0.25">
      <c r="A382" s="5">
        <v>2334</v>
      </c>
      <c r="B382" s="5" t="s">
        <v>264</v>
      </c>
      <c r="C382" s="5" t="s">
        <v>1027</v>
      </c>
      <c r="D382" s="5" t="s">
        <v>1042</v>
      </c>
      <c r="E382" s="5" t="s">
        <v>883</v>
      </c>
      <c r="F382" s="5">
        <v>32</v>
      </c>
      <c r="G382" s="5">
        <v>5.94</v>
      </c>
      <c r="H382" s="5">
        <v>6.19</v>
      </c>
      <c r="I382" s="5">
        <v>2</v>
      </c>
      <c r="J382" s="5">
        <v>0</v>
      </c>
      <c r="K382" s="5">
        <v>0</v>
      </c>
      <c r="L382" s="5">
        <v>0</v>
      </c>
      <c r="M382" s="5">
        <v>0</v>
      </c>
      <c r="N382" s="5">
        <v>0</v>
      </c>
      <c r="O382" s="5">
        <v>3</v>
      </c>
      <c r="P382" s="5">
        <v>2</v>
      </c>
      <c r="Q382" s="5">
        <v>0</v>
      </c>
      <c r="R382" s="5">
        <v>0</v>
      </c>
    </row>
    <row r="383" spans="1:18" ht="15" customHeight="1" x14ac:dyDescent="0.25">
      <c r="A383" s="5">
        <v>1976</v>
      </c>
      <c r="B383" s="5" t="s">
        <v>264</v>
      </c>
      <c r="C383" s="5" t="s">
        <v>1025</v>
      </c>
      <c r="D383" s="5" t="s">
        <v>1043</v>
      </c>
      <c r="E383" s="5" t="s">
        <v>26</v>
      </c>
      <c r="F383" s="5">
        <v>14</v>
      </c>
      <c r="G383" s="5">
        <v>6.07</v>
      </c>
      <c r="H383" s="5">
        <v>6.57</v>
      </c>
      <c r="I383" s="5">
        <v>2</v>
      </c>
      <c r="J383" s="5">
        <v>0</v>
      </c>
      <c r="K383" s="5">
        <v>0</v>
      </c>
      <c r="L383" s="5">
        <v>0</v>
      </c>
      <c r="M383" s="5">
        <v>0</v>
      </c>
      <c r="N383" s="5">
        <v>0</v>
      </c>
      <c r="O383" s="5">
        <v>2</v>
      </c>
      <c r="P383" s="5">
        <v>3</v>
      </c>
      <c r="Q383" s="5">
        <v>0</v>
      </c>
      <c r="R383" s="5">
        <v>0</v>
      </c>
    </row>
    <row r="384" spans="1:18" ht="15" customHeight="1" x14ac:dyDescent="0.25">
      <c r="A384" s="5">
        <v>22</v>
      </c>
      <c r="B384" s="5" t="s">
        <v>264</v>
      </c>
      <c r="C384" s="5" t="s">
        <v>1025</v>
      </c>
      <c r="D384" s="5" t="s">
        <v>371</v>
      </c>
      <c r="E384" s="5" t="s">
        <v>14</v>
      </c>
      <c r="F384" s="5">
        <v>34</v>
      </c>
      <c r="G384" s="5">
        <v>5.97</v>
      </c>
      <c r="H384" s="5">
        <v>6</v>
      </c>
      <c r="I384" s="5">
        <v>1</v>
      </c>
      <c r="J384" s="5">
        <v>0</v>
      </c>
      <c r="K384" s="5">
        <v>0</v>
      </c>
      <c r="L384" s="5">
        <v>0</v>
      </c>
      <c r="M384" s="5">
        <v>0</v>
      </c>
      <c r="N384" s="5">
        <v>0</v>
      </c>
      <c r="O384" s="5">
        <v>2</v>
      </c>
      <c r="P384" s="5">
        <v>6</v>
      </c>
      <c r="Q384" s="5">
        <v>1</v>
      </c>
      <c r="R384" s="5">
        <v>0</v>
      </c>
    </row>
    <row r="385" spans="1:18" ht="15" customHeight="1" x14ac:dyDescent="0.25">
      <c r="A385" s="5">
        <v>5119</v>
      </c>
      <c r="B385" s="5" t="s">
        <v>264</v>
      </c>
      <c r="C385" s="5" t="s">
        <v>1024</v>
      </c>
      <c r="D385" s="5" t="s">
        <v>283</v>
      </c>
      <c r="E385" s="5" t="s">
        <v>14</v>
      </c>
      <c r="F385" s="5">
        <v>21</v>
      </c>
      <c r="G385" s="5">
        <v>5.93</v>
      </c>
      <c r="H385" s="5">
        <v>6.29</v>
      </c>
      <c r="I385" s="5">
        <v>2</v>
      </c>
      <c r="J385" s="5">
        <v>0</v>
      </c>
      <c r="K385" s="5">
        <v>0</v>
      </c>
      <c r="L385" s="5">
        <v>0</v>
      </c>
      <c r="M385" s="5">
        <v>0</v>
      </c>
      <c r="N385" s="5">
        <v>0</v>
      </c>
      <c r="O385" s="5">
        <v>2</v>
      </c>
      <c r="P385" s="5">
        <v>1</v>
      </c>
      <c r="Q385" s="5">
        <v>0</v>
      </c>
      <c r="R385" s="5">
        <v>0</v>
      </c>
    </row>
    <row r="386" spans="1:18" ht="15" customHeight="1" x14ac:dyDescent="0.25">
      <c r="A386" s="5">
        <v>6054</v>
      </c>
      <c r="B386" s="5" t="s">
        <v>264</v>
      </c>
      <c r="C386" s="5" t="s">
        <v>1025</v>
      </c>
      <c r="D386" s="5" t="s">
        <v>372</v>
      </c>
      <c r="E386" s="5" t="s">
        <v>24</v>
      </c>
      <c r="F386" s="5">
        <v>28</v>
      </c>
      <c r="G386" s="5">
        <v>5.93</v>
      </c>
      <c r="H386" s="5">
        <v>6.12</v>
      </c>
      <c r="I386" s="5">
        <v>2</v>
      </c>
      <c r="J386" s="5">
        <v>0</v>
      </c>
      <c r="K386" s="5">
        <v>0</v>
      </c>
      <c r="L386" s="5">
        <v>0</v>
      </c>
      <c r="M386" s="5">
        <v>0</v>
      </c>
      <c r="N386" s="5">
        <v>0</v>
      </c>
      <c r="O386" s="5">
        <v>0</v>
      </c>
      <c r="P386" s="5">
        <v>1</v>
      </c>
      <c r="Q386" s="5">
        <v>0</v>
      </c>
      <c r="R386" s="5">
        <v>0</v>
      </c>
    </row>
    <row r="387" spans="1:18" ht="15" customHeight="1" x14ac:dyDescent="0.25">
      <c r="A387" s="5">
        <v>6294</v>
      </c>
      <c r="B387" s="5" t="s">
        <v>264</v>
      </c>
      <c r="C387" s="5" t="s">
        <v>1025</v>
      </c>
      <c r="D387" s="5" t="s">
        <v>309</v>
      </c>
      <c r="E387" s="5" t="s">
        <v>20</v>
      </c>
      <c r="F387" s="5">
        <v>30</v>
      </c>
      <c r="G387" s="5">
        <v>5.8</v>
      </c>
      <c r="H387" s="5">
        <v>6.07</v>
      </c>
      <c r="I387" s="5">
        <v>3</v>
      </c>
      <c r="J387" s="5">
        <v>0</v>
      </c>
      <c r="K387" s="5">
        <v>0</v>
      </c>
      <c r="L387" s="5">
        <v>0</v>
      </c>
      <c r="M387" s="5">
        <v>0</v>
      </c>
      <c r="N387" s="5">
        <v>0</v>
      </c>
      <c r="O387" s="5">
        <v>0</v>
      </c>
      <c r="P387" s="5">
        <v>2</v>
      </c>
      <c r="Q387" s="5">
        <v>0</v>
      </c>
      <c r="R387" s="5">
        <v>0</v>
      </c>
    </row>
    <row r="388" spans="1:18" ht="15" customHeight="1" x14ac:dyDescent="0.25">
      <c r="A388" s="5">
        <v>5791</v>
      </c>
      <c r="B388" s="5" t="s">
        <v>264</v>
      </c>
      <c r="C388" s="5" t="s">
        <v>1025</v>
      </c>
      <c r="D388" s="5" t="s">
        <v>320</v>
      </c>
      <c r="E388" s="5" t="s">
        <v>34</v>
      </c>
      <c r="F388" s="5">
        <v>36</v>
      </c>
      <c r="G388" s="5">
        <v>5.96</v>
      </c>
      <c r="H388" s="5">
        <v>5.97</v>
      </c>
      <c r="I388" s="5">
        <v>1</v>
      </c>
      <c r="J388" s="5">
        <v>0</v>
      </c>
      <c r="K388" s="5">
        <v>0</v>
      </c>
      <c r="L388" s="5">
        <v>0</v>
      </c>
      <c r="M388" s="5">
        <v>0</v>
      </c>
      <c r="N388" s="5">
        <v>0</v>
      </c>
      <c r="O388" s="5">
        <v>0</v>
      </c>
      <c r="P388" s="5">
        <v>5</v>
      </c>
      <c r="Q388" s="5">
        <v>0</v>
      </c>
      <c r="R388" s="5">
        <v>0</v>
      </c>
    </row>
    <row r="389" spans="1:18" ht="15" customHeight="1" x14ac:dyDescent="0.25">
      <c r="A389" s="5">
        <v>4711</v>
      </c>
      <c r="B389" s="5" t="s">
        <v>264</v>
      </c>
      <c r="C389" s="5" t="s">
        <v>1032</v>
      </c>
      <c r="D389" s="5" t="s">
        <v>1044</v>
      </c>
      <c r="E389" s="5" t="s">
        <v>28</v>
      </c>
      <c r="F389" s="5">
        <v>10</v>
      </c>
      <c r="G389" s="5">
        <v>6.2</v>
      </c>
      <c r="H389" s="5">
        <v>7.2</v>
      </c>
      <c r="I389" s="5">
        <v>3</v>
      </c>
      <c r="J389" s="5">
        <v>0</v>
      </c>
      <c r="K389" s="5">
        <v>0</v>
      </c>
      <c r="L389" s="5">
        <v>0</v>
      </c>
      <c r="M389" s="5">
        <v>0</v>
      </c>
      <c r="N389" s="5">
        <v>0</v>
      </c>
      <c r="O389" s="5">
        <v>1</v>
      </c>
      <c r="P389" s="5">
        <v>1</v>
      </c>
      <c r="Q389" s="5">
        <v>0</v>
      </c>
      <c r="R389" s="5">
        <v>0</v>
      </c>
    </row>
    <row r="390" spans="1:18" ht="15" customHeight="1" x14ac:dyDescent="0.25">
      <c r="A390" s="5">
        <v>795</v>
      </c>
      <c r="B390" s="5" t="s">
        <v>264</v>
      </c>
      <c r="C390" s="5" t="s">
        <v>1027</v>
      </c>
      <c r="D390" s="5" t="s">
        <v>1045</v>
      </c>
      <c r="E390" s="5" t="s">
        <v>10</v>
      </c>
      <c r="F390" s="5">
        <v>18</v>
      </c>
      <c r="G390" s="5">
        <v>6.14</v>
      </c>
      <c r="H390" s="5">
        <v>6.33</v>
      </c>
      <c r="I390" s="5">
        <v>1</v>
      </c>
      <c r="J390" s="5">
        <v>0</v>
      </c>
      <c r="K390" s="5">
        <v>0</v>
      </c>
      <c r="L390" s="5">
        <v>0</v>
      </c>
      <c r="M390" s="5">
        <v>0</v>
      </c>
      <c r="N390" s="5">
        <v>0</v>
      </c>
      <c r="O390" s="5">
        <v>2</v>
      </c>
      <c r="P390" s="5">
        <v>4</v>
      </c>
      <c r="Q390" s="5">
        <v>0</v>
      </c>
      <c r="R390" s="5">
        <v>0</v>
      </c>
    </row>
    <row r="391" spans="1:18" ht="15" customHeight="1" x14ac:dyDescent="0.25">
      <c r="A391" s="5">
        <v>5823</v>
      </c>
      <c r="B391" s="5" t="s">
        <v>264</v>
      </c>
      <c r="C391" s="5" t="s">
        <v>1022</v>
      </c>
      <c r="D391" s="5" t="s">
        <v>289</v>
      </c>
      <c r="E391" s="5" t="s">
        <v>34</v>
      </c>
      <c r="F391" s="5">
        <v>17</v>
      </c>
      <c r="G391" s="5">
        <v>6.15</v>
      </c>
      <c r="H391" s="5">
        <v>6.38</v>
      </c>
      <c r="I391" s="5">
        <v>1</v>
      </c>
      <c r="J391" s="5">
        <v>0</v>
      </c>
      <c r="K391" s="5">
        <v>0</v>
      </c>
      <c r="L391" s="5">
        <v>0</v>
      </c>
      <c r="M391" s="5">
        <v>0</v>
      </c>
      <c r="N391" s="5">
        <v>0</v>
      </c>
      <c r="O391" s="5">
        <v>2</v>
      </c>
      <c r="P391" s="5">
        <v>2</v>
      </c>
      <c r="Q391" s="5">
        <v>0</v>
      </c>
      <c r="R391" s="5">
        <v>0</v>
      </c>
    </row>
    <row r="392" spans="1:18" ht="15" customHeight="1" x14ac:dyDescent="0.25">
      <c r="A392" s="5">
        <v>6680</v>
      </c>
      <c r="B392" s="5" t="s">
        <v>264</v>
      </c>
      <c r="C392" s="5" t="s">
        <v>1025</v>
      </c>
      <c r="D392" s="5" t="s">
        <v>343</v>
      </c>
      <c r="E392" s="5" t="s">
        <v>32</v>
      </c>
      <c r="F392" s="5">
        <v>36</v>
      </c>
      <c r="G392" s="5">
        <v>5.96</v>
      </c>
      <c r="H392" s="5">
        <v>5.96</v>
      </c>
      <c r="I392" s="5">
        <v>1</v>
      </c>
      <c r="J392" s="5">
        <v>0</v>
      </c>
      <c r="K392" s="5">
        <v>0</v>
      </c>
      <c r="L392" s="5">
        <v>0</v>
      </c>
      <c r="M392" s="5">
        <v>0</v>
      </c>
      <c r="N392" s="5">
        <v>0</v>
      </c>
      <c r="O392" s="5">
        <v>0</v>
      </c>
      <c r="P392" s="5">
        <v>6</v>
      </c>
      <c r="Q392" s="5">
        <v>0</v>
      </c>
      <c r="R392" s="5">
        <v>0</v>
      </c>
    </row>
    <row r="393" spans="1:18" ht="15" customHeight="1" x14ac:dyDescent="0.25">
      <c r="A393" s="5">
        <v>5761</v>
      </c>
      <c r="B393" s="5" t="s">
        <v>264</v>
      </c>
      <c r="C393" s="5" t="s">
        <v>1027</v>
      </c>
      <c r="D393" s="5" t="s">
        <v>336</v>
      </c>
      <c r="E393" s="5" t="s">
        <v>28</v>
      </c>
      <c r="F393" s="5">
        <v>12</v>
      </c>
      <c r="G393" s="5">
        <v>5.96</v>
      </c>
      <c r="H393" s="5">
        <v>5.96</v>
      </c>
      <c r="I393" s="5">
        <v>0</v>
      </c>
      <c r="J393" s="5">
        <v>0</v>
      </c>
      <c r="K393" s="5">
        <v>0</v>
      </c>
      <c r="L393" s="5">
        <v>0</v>
      </c>
      <c r="M393" s="5">
        <v>0</v>
      </c>
      <c r="N393" s="5">
        <v>0</v>
      </c>
      <c r="O393" s="5">
        <v>0</v>
      </c>
      <c r="P393" s="5">
        <v>1</v>
      </c>
      <c r="Q393" s="5">
        <v>0</v>
      </c>
      <c r="R393" s="5">
        <v>0</v>
      </c>
    </row>
    <row r="394" spans="1:18" ht="15" customHeight="1" x14ac:dyDescent="0.25">
      <c r="A394" s="5">
        <v>7318</v>
      </c>
      <c r="B394" s="5" t="s">
        <v>264</v>
      </c>
      <c r="C394" s="5" t="s">
        <v>1023</v>
      </c>
      <c r="D394" s="5" t="s">
        <v>357</v>
      </c>
      <c r="E394" s="5" t="s">
        <v>36</v>
      </c>
      <c r="F394" s="5">
        <v>16</v>
      </c>
      <c r="G394" s="5">
        <v>5.97</v>
      </c>
      <c r="H394" s="5">
        <v>6.41</v>
      </c>
      <c r="I394" s="5">
        <v>2</v>
      </c>
      <c r="J394" s="5">
        <v>0</v>
      </c>
      <c r="K394" s="5">
        <v>0</v>
      </c>
      <c r="L394" s="5">
        <v>0</v>
      </c>
      <c r="M394" s="5">
        <v>0</v>
      </c>
      <c r="N394" s="5">
        <v>0</v>
      </c>
      <c r="O394" s="5">
        <v>1</v>
      </c>
      <c r="P394" s="5">
        <v>0</v>
      </c>
      <c r="Q394" s="5">
        <v>0</v>
      </c>
      <c r="R394" s="5">
        <v>0</v>
      </c>
    </row>
    <row r="395" spans="1:18" ht="15" customHeight="1" x14ac:dyDescent="0.25">
      <c r="A395" s="5">
        <v>788</v>
      </c>
      <c r="B395" s="5" t="s">
        <v>264</v>
      </c>
      <c r="C395" s="5" t="s">
        <v>1025</v>
      </c>
      <c r="D395" s="5" t="s">
        <v>1046</v>
      </c>
      <c r="E395" s="5" t="s">
        <v>24</v>
      </c>
      <c r="F395" s="5">
        <v>28</v>
      </c>
      <c r="G395" s="5">
        <v>6.02</v>
      </c>
      <c r="H395" s="5">
        <v>6.04</v>
      </c>
      <c r="I395" s="5">
        <v>1</v>
      </c>
      <c r="J395" s="5">
        <v>0</v>
      </c>
      <c r="K395" s="5">
        <v>0</v>
      </c>
      <c r="L395" s="5">
        <v>0</v>
      </c>
      <c r="M395" s="5">
        <v>0</v>
      </c>
      <c r="N395" s="5">
        <v>0</v>
      </c>
      <c r="O395" s="5">
        <v>2</v>
      </c>
      <c r="P395" s="5">
        <v>5</v>
      </c>
      <c r="Q395" s="5">
        <v>0</v>
      </c>
      <c r="R395" s="5">
        <v>1</v>
      </c>
    </row>
    <row r="396" spans="1:18" ht="15" customHeight="1" x14ac:dyDescent="0.25">
      <c r="A396" s="5">
        <v>5298</v>
      </c>
      <c r="B396" s="5" t="s">
        <v>264</v>
      </c>
      <c r="C396" s="5" t="s">
        <v>1025</v>
      </c>
      <c r="D396" s="5" t="s">
        <v>329</v>
      </c>
      <c r="E396" s="5" t="s">
        <v>24</v>
      </c>
      <c r="F396" s="5">
        <v>23</v>
      </c>
      <c r="G396" s="5">
        <v>5.83</v>
      </c>
      <c r="H396" s="5">
        <v>6.17</v>
      </c>
      <c r="I396" s="5">
        <v>3</v>
      </c>
      <c r="J396" s="5">
        <v>0</v>
      </c>
      <c r="K396" s="5">
        <v>0</v>
      </c>
      <c r="L396" s="5">
        <v>0</v>
      </c>
      <c r="M396" s="5">
        <v>0</v>
      </c>
      <c r="N396" s="5">
        <v>0</v>
      </c>
      <c r="O396" s="5">
        <v>1</v>
      </c>
      <c r="P396" s="5">
        <v>2</v>
      </c>
      <c r="Q396" s="5">
        <v>1</v>
      </c>
      <c r="R396" s="5">
        <v>0</v>
      </c>
    </row>
    <row r="397" spans="1:18" ht="15" customHeight="1" x14ac:dyDescent="0.25">
      <c r="A397" s="5">
        <v>4870</v>
      </c>
      <c r="B397" s="5" t="s">
        <v>264</v>
      </c>
      <c r="C397" s="5" t="s">
        <v>1025</v>
      </c>
      <c r="D397" s="5" t="s">
        <v>330</v>
      </c>
      <c r="E397" s="5" t="s">
        <v>26</v>
      </c>
      <c r="F397" s="5">
        <v>38</v>
      </c>
      <c r="G397" s="5">
        <v>5.83</v>
      </c>
      <c r="H397" s="5">
        <v>5.88</v>
      </c>
      <c r="I397" s="5">
        <v>1</v>
      </c>
      <c r="J397" s="5">
        <v>0</v>
      </c>
      <c r="K397" s="5">
        <v>0</v>
      </c>
      <c r="L397" s="5">
        <v>0</v>
      </c>
      <c r="M397" s="5">
        <v>0</v>
      </c>
      <c r="N397" s="5">
        <v>0</v>
      </c>
      <c r="O397" s="5">
        <v>1</v>
      </c>
      <c r="P397" s="5">
        <v>4</v>
      </c>
      <c r="Q397" s="5">
        <v>0</v>
      </c>
      <c r="R397" s="5">
        <v>0</v>
      </c>
    </row>
    <row r="398" spans="1:18" ht="15" customHeight="1" x14ac:dyDescent="0.25">
      <c r="A398" s="5">
        <v>6020</v>
      </c>
      <c r="B398" s="5" t="s">
        <v>264</v>
      </c>
      <c r="C398" s="5" t="s">
        <v>1030</v>
      </c>
      <c r="D398" s="5" t="s">
        <v>335</v>
      </c>
      <c r="E398" s="5" t="s">
        <v>34</v>
      </c>
      <c r="F398" s="5">
        <v>35</v>
      </c>
      <c r="G398" s="5">
        <v>5.84</v>
      </c>
      <c r="H398" s="5">
        <v>5.91</v>
      </c>
      <c r="I398" s="5">
        <v>1</v>
      </c>
      <c r="J398" s="5">
        <v>0</v>
      </c>
      <c r="K398" s="5">
        <v>0</v>
      </c>
      <c r="L398" s="5">
        <v>0</v>
      </c>
      <c r="M398" s="5">
        <v>0</v>
      </c>
      <c r="N398" s="5">
        <v>0</v>
      </c>
      <c r="O398" s="5">
        <v>1</v>
      </c>
      <c r="P398" s="5">
        <v>1</v>
      </c>
      <c r="Q398" s="5">
        <v>1</v>
      </c>
      <c r="R398" s="5">
        <v>0</v>
      </c>
    </row>
    <row r="399" spans="1:18" ht="15" customHeight="1" x14ac:dyDescent="0.25">
      <c r="A399" s="5">
        <v>5301</v>
      </c>
      <c r="B399" s="5" t="s">
        <v>264</v>
      </c>
      <c r="C399" s="5" t="s">
        <v>1032</v>
      </c>
      <c r="D399" s="5" t="s">
        <v>378</v>
      </c>
      <c r="E399" s="5" t="s">
        <v>12</v>
      </c>
      <c r="F399" s="5">
        <v>27</v>
      </c>
      <c r="G399" s="5">
        <v>5.89</v>
      </c>
      <c r="H399" s="5">
        <v>6.06</v>
      </c>
      <c r="I399" s="5">
        <v>1</v>
      </c>
      <c r="J399" s="5">
        <v>0</v>
      </c>
      <c r="K399" s="5">
        <v>0</v>
      </c>
      <c r="L399" s="5">
        <v>0</v>
      </c>
      <c r="M399" s="5">
        <v>0</v>
      </c>
      <c r="N399" s="5">
        <v>0</v>
      </c>
      <c r="O399" s="5">
        <v>2</v>
      </c>
      <c r="P399" s="5">
        <v>1</v>
      </c>
      <c r="Q399" s="5">
        <v>0</v>
      </c>
      <c r="R399" s="5">
        <v>0</v>
      </c>
    </row>
    <row r="400" spans="1:18" ht="15" customHeight="1" x14ac:dyDescent="0.25">
      <c r="A400" s="5">
        <v>6394</v>
      </c>
      <c r="B400" s="5" t="s">
        <v>264</v>
      </c>
      <c r="C400" s="5" t="s">
        <v>1025</v>
      </c>
      <c r="D400" s="5" t="s">
        <v>1047</v>
      </c>
      <c r="E400" s="5" t="s">
        <v>36</v>
      </c>
      <c r="F400" s="5">
        <v>37</v>
      </c>
      <c r="G400" s="5">
        <v>5.91</v>
      </c>
      <c r="H400" s="5">
        <v>5.85</v>
      </c>
      <c r="I400" s="5">
        <v>1</v>
      </c>
      <c r="J400" s="5">
        <v>0</v>
      </c>
      <c r="K400" s="5">
        <v>0</v>
      </c>
      <c r="L400" s="5">
        <v>0</v>
      </c>
      <c r="M400" s="5">
        <v>0</v>
      </c>
      <c r="N400" s="5">
        <v>0</v>
      </c>
      <c r="O400" s="5">
        <v>0</v>
      </c>
      <c r="P400" s="5">
        <v>10</v>
      </c>
      <c r="Q400" s="5">
        <v>0</v>
      </c>
      <c r="R400" s="5">
        <v>0</v>
      </c>
    </row>
    <row r="401" spans="1:18" ht="15" customHeight="1" x14ac:dyDescent="0.25">
      <c r="A401" s="5">
        <v>6271</v>
      </c>
      <c r="B401" s="5" t="s">
        <v>264</v>
      </c>
      <c r="C401" s="5" t="s">
        <v>1025</v>
      </c>
      <c r="D401" s="5" t="s">
        <v>387</v>
      </c>
      <c r="E401" s="5" t="s">
        <v>10</v>
      </c>
      <c r="F401" s="5">
        <v>21</v>
      </c>
      <c r="G401" s="5">
        <v>5.98</v>
      </c>
      <c r="H401" s="5">
        <v>6.1</v>
      </c>
      <c r="I401" s="5">
        <v>1</v>
      </c>
      <c r="J401" s="5">
        <v>0</v>
      </c>
      <c r="K401" s="5">
        <v>0</v>
      </c>
      <c r="L401" s="5">
        <v>0</v>
      </c>
      <c r="M401" s="5">
        <v>0</v>
      </c>
      <c r="N401" s="5">
        <v>0</v>
      </c>
      <c r="O401" s="5">
        <v>2</v>
      </c>
      <c r="P401" s="5">
        <v>5</v>
      </c>
      <c r="Q401" s="5">
        <v>0</v>
      </c>
      <c r="R401" s="5">
        <v>0</v>
      </c>
    </row>
    <row r="402" spans="1:18" ht="15" customHeight="1" x14ac:dyDescent="0.25">
      <c r="A402" s="5">
        <v>6815</v>
      </c>
      <c r="B402" s="5" t="s">
        <v>264</v>
      </c>
      <c r="C402" s="5" t="s">
        <v>1027</v>
      </c>
      <c r="D402" s="5" t="s">
        <v>408</v>
      </c>
      <c r="E402" s="5" t="s">
        <v>41</v>
      </c>
      <c r="F402" s="5">
        <v>24</v>
      </c>
      <c r="G402" s="5">
        <v>5.92</v>
      </c>
      <c r="H402" s="5">
        <v>6.15</v>
      </c>
      <c r="I402" s="5">
        <v>2</v>
      </c>
      <c r="J402" s="5">
        <v>0</v>
      </c>
      <c r="K402" s="5">
        <v>0</v>
      </c>
      <c r="L402" s="5">
        <v>0</v>
      </c>
      <c r="M402" s="5">
        <v>0</v>
      </c>
      <c r="N402" s="5">
        <v>0</v>
      </c>
      <c r="O402" s="5">
        <v>1</v>
      </c>
      <c r="P402" s="5">
        <v>5</v>
      </c>
      <c r="Q402" s="5">
        <v>0</v>
      </c>
      <c r="R402" s="5">
        <v>0</v>
      </c>
    </row>
    <row r="403" spans="1:18" ht="15" customHeight="1" x14ac:dyDescent="0.25">
      <c r="A403" s="5">
        <v>2839</v>
      </c>
      <c r="B403" s="5" t="s">
        <v>264</v>
      </c>
      <c r="C403" s="5" t="s">
        <v>1029</v>
      </c>
      <c r="D403" s="5" t="s">
        <v>1048</v>
      </c>
      <c r="E403" s="5" t="s">
        <v>36</v>
      </c>
      <c r="F403" s="5">
        <v>21</v>
      </c>
      <c r="G403" s="5">
        <v>6.02</v>
      </c>
      <c r="H403" s="5">
        <v>6.24</v>
      </c>
      <c r="I403" s="5">
        <v>1</v>
      </c>
      <c r="J403" s="5">
        <v>0</v>
      </c>
      <c r="K403" s="5">
        <v>0</v>
      </c>
      <c r="L403" s="5">
        <v>0</v>
      </c>
      <c r="M403" s="5">
        <v>0</v>
      </c>
      <c r="N403" s="5">
        <v>0</v>
      </c>
      <c r="O403" s="5">
        <v>2</v>
      </c>
      <c r="P403" s="5">
        <v>1</v>
      </c>
      <c r="Q403" s="5">
        <v>0</v>
      </c>
      <c r="R403" s="5">
        <v>0</v>
      </c>
    </row>
    <row r="404" spans="1:18" ht="15" customHeight="1" x14ac:dyDescent="0.25">
      <c r="A404" s="5">
        <v>7223</v>
      </c>
      <c r="B404" s="5" t="s">
        <v>264</v>
      </c>
      <c r="C404" s="5" t="s">
        <v>1033</v>
      </c>
      <c r="D404" s="5" t="s">
        <v>314</v>
      </c>
      <c r="E404" s="5" t="s">
        <v>22</v>
      </c>
      <c r="F404" s="5">
        <v>8</v>
      </c>
      <c r="G404" s="5">
        <v>6.25</v>
      </c>
      <c r="H404" s="5">
        <v>6.5</v>
      </c>
      <c r="I404" s="5">
        <v>1</v>
      </c>
      <c r="J404" s="5">
        <v>0</v>
      </c>
      <c r="K404" s="5">
        <v>0</v>
      </c>
      <c r="L404" s="5">
        <v>0</v>
      </c>
      <c r="M404" s="5">
        <v>0</v>
      </c>
      <c r="N404" s="5">
        <v>0</v>
      </c>
      <c r="O404" s="5">
        <v>0</v>
      </c>
      <c r="P404" s="5">
        <v>2</v>
      </c>
      <c r="Q404" s="5">
        <v>0</v>
      </c>
      <c r="R404" s="5">
        <v>0</v>
      </c>
    </row>
    <row r="405" spans="1:18" ht="15" customHeight="1" x14ac:dyDescent="0.25">
      <c r="A405" s="5">
        <v>2670</v>
      </c>
      <c r="B405" s="5" t="s">
        <v>264</v>
      </c>
      <c r="C405" s="5" t="s">
        <v>1029</v>
      </c>
      <c r="D405" s="5" t="s">
        <v>1049</v>
      </c>
      <c r="E405" s="5" t="s">
        <v>10</v>
      </c>
      <c r="F405" s="5">
        <v>5</v>
      </c>
      <c r="G405" s="5">
        <v>5.7</v>
      </c>
      <c r="H405" s="5">
        <v>5.7</v>
      </c>
      <c r="I405" s="5">
        <v>0</v>
      </c>
      <c r="J405" s="5">
        <v>0</v>
      </c>
      <c r="K405" s="5">
        <v>0</v>
      </c>
      <c r="L405" s="5">
        <v>0</v>
      </c>
      <c r="M405" s="5">
        <v>0</v>
      </c>
      <c r="N405" s="5">
        <v>0</v>
      </c>
      <c r="O405" s="5">
        <v>0</v>
      </c>
      <c r="P405" s="5">
        <v>0</v>
      </c>
      <c r="Q405" s="5">
        <v>0</v>
      </c>
      <c r="R405" s="5">
        <v>0</v>
      </c>
    </row>
    <row r="406" spans="1:18" ht="15" customHeight="1" x14ac:dyDescent="0.25">
      <c r="A406" s="5">
        <v>2528</v>
      </c>
      <c r="B406" s="5" t="s">
        <v>264</v>
      </c>
      <c r="C406" s="5" t="s">
        <v>1025</v>
      </c>
      <c r="D406" s="5" t="s">
        <v>362</v>
      </c>
      <c r="E406" s="5" t="s">
        <v>41</v>
      </c>
      <c r="F406" s="5">
        <v>34</v>
      </c>
      <c r="G406" s="5">
        <v>5.96</v>
      </c>
      <c r="H406" s="5">
        <v>5.96</v>
      </c>
      <c r="I406" s="5">
        <v>1</v>
      </c>
      <c r="J406" s="5">
        <v>0</v>
      </c>
      <c r="K406" s="5">
        <v>0</v>
      </c>
      <c r="L406" s="5">
        <v>0</v>
      </c>
      <c r="M406" s="5">
        <v>0</v>
      </c>
      <c r="N406" s="5">
        <v>0</v>
      </c>
      <c r="O406" s="5">
        <v>1</v>
      </c>
      <c r="P406" s="5">
        <v>6</v>
      </c>
      <c r="Q406" s="5">
        <v>1</v>
      </c>
      <c r="R406" s="5">
        <v>0</v>
      </c>
    </row>
    <row r="407" spans="1:18" ht="15" customHeight="1" x14ac:dyDescent="0.25">
      <c r="A407" s="5">
        <v>4349</v>
      </c>
      <c r="B407" s="5" t="s">
        <v>264</v>
      </c>
      <c r="C407" s="5" t="s">
        <v>1025</v>
      </c>
      <c r="D407" s="5" t="s">
        <v>342</v>
      </c>
      <c r="E407" s="5" t="s">
        <v>38</v>
      </c>
      <c r="F407" s="5">
        <v>23</v>
      </c>
      <c r="G407" s="5">
        <v>5.89</v>
      </c>
      <c r="H407" s="5">
        <v>6.02</v>
      </c>
      <c r="I407" s="5">
        <v>0</v>
      </c>
      <c r="J407" s="5">
        <v>0</v>
      </c>
      <c r="K407" s="5">
        <v>0</v>
      </c>
      <c r="L407" s="5">
        <v>0</v>
      </c>
      <c r="M407" s="5">
        <v>0</v>
      </c>
      <c r="N407" s="5">
        <v>0</v>
      </c>
      <c r="O407" s="5">
        <v>4</v>
      </c>
      <c r="P407" s="5">
        <v>4</v>
      </c>
      <c r="Q407" s="5">
        <v>0</v>
      </c>
      <c r="R407" s="5">
        <v>0</v>
      </c>
    </row>
    <row r="408" spans="1:18" ht="15" customHeight="1" x14ac:dyDescent="0.25">
      <c r="A408" s="5">
        <v>6424</v>
      </c>
      <c r="B408" s="5" t="s">
        <v>264</v>
      </c>
      <c r="C408" s="5" t="s">
        <v>1025</v>
      </c>
      <c r="D408" s="5" t="s">
        <v>373</v>
      </c>
      <c r="E408" s="5" t="s">
        <v>81</v>
      </c>
      <c r="F408" s="5">
        <v>32</v>
      </c>
      <c r="G408" s="5">
        <v>5.88</v>
      </c>
      <c r="H408" s="5">
        <v>5.88</v>
      </c>
      <c r="I408" s="5">
        <v>1</v>
      </c>
      <c r="J408" s="5">
        <v>0</v>
      </c>
      <c r="K408" s="5">
        <v>0</v>
      </c>
      <c r="L408" s="5">
        <v>0</v>
      </c>
      <c r="M408" s="5">
        <v>0</v>
      </c>
      <c r="N408" s="5">
        <v>0</v>
      </c>
      <c r="O408" s="5">
        <v>0</v>
      </c>
      <c r="P408" s="5">
        <v>6</v>
      </c>
      <c r="Q408" s="5">
        <v>0</v>
      </c>
      <c r="R408" s="5">
        <v>0</v>
      </c>
    </row>
    <row r="409" spans="1:18" ht="15" customHeight="1" x14ac:dyDescent="0.25">
      <c r="A409" s="5">
        <v>6640</v>
      </c>
      <c r="B409" s="5" t="s">
        <v>264</v>
      </c>
      <c r="C409" s="5" t="s">
        <v>1027</v>
      </c>
      <c r="D409" s="5" t="s">
        <v>347</v>
      </c>
      <c r="E409" s="5" t="s">
        <v>26</v>
      </c>
      <c r="F409" s="5">
        <v>11</v>
      </c>
      <c r="G409" s="5">
        <v>6.05</v>
      </c>
      <c r="H409" s="5">
        <v>6.55</v>
      </c>
      <c r="I409" s="5">
        <v>2</v>
      </c>
      <c r="J409" s="5">
        <v>0</v>
      </c>
      <c r="K409" s="5">
        <v>0</v>
      </c>
      <c r="L409" s="5">
        <v>0</v>
      </c>
      <c r="M409" s="5">
        <v>0</v>
      </c>
      <c r="N409" s="5">
        <v>0</v>
      </c>
      <c r="O409" s="5">
        <v>1</v>
      </c>
      <c r="P409" s="5">
        <v>3</v>
      </c>
      <c r="Q409" s="5">
        <v>0</v>
      </c>
      <c r="R409" s="5">
        <v>0</v>
      </c>
    </row>
    <row r="410" spans="1:18" ht="15" customHeight="1" x14ac:dyDescent="0.25">
      <c r="A410" s="5">
        <v>4662</v>
      </c>
      <c r="B410" s="5" t="s">
        <v>264</v>
      </c>
      <c r="C410" s="5" t="s">
        <v>1032</v>
      </c>
      <c r="D410" s="5" t="s">
        <v>1050</v>
      </c>
      <c r="E410" s="5" t="s">
        <v>28</v>
      </c>
      <c r="F410" s="5">
        <v>0</v>
      </c>
      <c r="G410" s="5">
        <v>0</v>
      </c>
      <c r="H410" s="5">
        <v>0</v>
      </c>
      <c r="I410" s="5">
        <v>0</v>
      </c>
      <c r="J410" s="5">
        <v>0</v>
      </c>
      <c r="K410" s="5">
        <v>0</v>
      </c>
      <c r="L410" s="5">
        <v>0</v>
      </c>
      <c r="M410" s="5">
        <v>0</v>
      </c>
      <c r="N410" s="5">
        <v>0</v>
      </c>
      <c r="O410" s="5">
        <v>0</v>
      </c>
      <c r="P410" s="5">
        <v>0</v>
      </c>
      <c r="Q410" s="5">
        <v>0</v>
      </c>
      <c r="R410" s="5">
        <v>0</v>
      </c>
    </row>
    <row r="411" spans="1:18" ht="15" customHeight="1" x14ac:dyDescent="0.25">
      <c r="A411" s="5">
        <v>5813</v>
      </c>
      <c r="B411" s="5" t="s">
        <v>264</v>
      </c>
      <c r="C411" s="5" t="s">
        <v>1023</v>
      </c>
      <c r="D411" s="5" t="s">
        <v>399</v>
      </c>
      <c r="E411" s="5" t="s">
        <v>28</v>
      </c>
      <c r="F411" s="5">
        <v>15</v>
      </c>
      <c r="G411" s="5">
        <v>5.97</v>
      </c>
      <c r="H411" s="5">
        <v>6.2</v>
      </c>
      <c r="I411" s="5">
        <v>1</v>
      </c>
      <c r="J411" s="5">
        <v>0</v>
      </c>
      <c r="K411" s="5">
        <v>0</v>
      </c>
      <c r="L411" s="5">
        <v>0</v>
      </c>
      <c r="M411" s="5">
        <v>0</v>
      </c>
      <c r="N411" s="5">
        <v>0</v>
      </c>
      <c r="O411" s="5">
        <v>1</v>
      </c>
      <c r="P411" s="5">
        <v>1</v>
      </c>
      <c r="Q411" s="5">
        <v>0</v>
      </c>
      <c r="R411" s="5">
        <v>0</v>
      </c>
    </row>
    <row r="412" spans="1:18" ht="15" customHeight="1" x14ac:dyDescent="0.25">
      <c r="A412" s="5">
        <v>6015</v>
      </c>
      <c r="B412" s="5" t="s">
        <v>264</v>
      </c>
      <c r="C412" s="5" t="s">
        <v>1023</v>
      </c>
      <c r="D412" s="5" t="s">
        <v>356</v>
      </c>
      <c r="E412" s="5" t="s">
        <v>36</v>
      </c>
      <c r="F412" s="5">
        <v>12</v>
      </c>
      <c r="G412" s="5">
        <v>6.17</v>
      </c>
      <c r="H412" s="5">
        <v>6.92</v>
      </c>
      <c r="I412" s="5">
        <v>2</v>
      </c>
      <c r="J412" s="5">
        <v>0</v>
      </c>
      <c r="K412" s="5">
        <v>0</v>
      </c>
      <c r="L412" s="5">
        <v>0</v>
      </c>
      <c r="M412" s="5">
        <v>0</v>
      </c>
      <c r="N412" s="5">
        <v>0</v>
      </c>
      <c r="O412" s="5">
        <v>3</v>
      </c>
      <c r="P412" s="5">
        <v>0</v>
      </c>
      <c r="Q412" s="5">
        <v>0</v>
      </c>
      <c r="R412" s="5">
        <v>0</v>
      </c>
    </row>
    <row r="413" spans="1:18" ht="15" customHeight="1" x14ac:dyDescent="0.25">
      <c r="A413" s="5">
        <v>6549</v>
      </c>
      <c r="B413" s="5" t="s">
        <v>264</v>
      </c>
      <c r="C413" s="5" t="s">
        <v>1029</v>
      </c>
      <c r="D413" s="5" t="s">
        <v>339</v>
      </c>
      <c r="E413" s="5" t="s">
        <v>36</v>
      </c>
      <c r="F413" s="5">
        <v>37</v>
      </c>
      <c r="G413" s="5">
        <v>5.8</v>
      </c>
      <c r="H413" s="5">
        <v>5.85</v>
      </c>
      <c r="I413" s="5">
        <v>1</v>
      </c>
      <c r="J413" s="5">
        <v>0</v>
      </c>
      <c r="K413" s="5">
        <v>0</v>
      </c>
      <c r="L413" s="5">
        <v>0</v>
      </c>
      <c r="M413" s="5">
        <v>0</v>
      </c>
      <c r="N413" s="5">
        <v>0</v>
      </c>
      <c r="O413" s="5">
        <v>1</v>
      </c>
      <c r="P413" s="5">
        <v>4</v>
      </c>
      <c r="Q413" s="5">
        <v>0</v>
      </c>
      <c r="R413" s="5">
        <v>0</v>
      </c>
    </row>
    <row r="414" spans="1:18" ht="15" customHeight="1" x14ac:dyDescent="0.25">
      <c r="A414" s="5">
        <v>5131</v>
      </c>
      <c r="B414" s="5" t="s">
        <v>264</v>
      </c>
      <c r="C414" s="5" t="s">
        <v>1025</v>
      </c>
      <c r="D414" s="5" t="s">
        <v>401</v>
      </c>
      <c r="E414" s="5" t="s">
        <v>22</v>
      </c>
      <c r="F414" s="5">
        <v>13</v>
      </c>
      <c r="G414" s="5">
        <v>6.08</v>
      </c>
      <c r="H414" s="5">
        <v>6.27</v>
      </c>
      <c r="I414" s="5">
        <v>1</v>
      </c>
      <c r="J414" s="5">
        <v>0</v>
      </c>
      <c r="K414" s="5">
        <v>0</v>
      </c>
      <c r="L414" s="5">
        <v>0</v>
      </c>
      <c r="M414" s="5">
        <v>0</v>
      </c>
      <c r="N414" s="5">
        <v>0</v>
      </c>
      <c r="O414" s="5">
        <v>0</v>
      </c>
      <c r="P414" s="5">
        <v>1</v>
      </c>
      <c r="Q414" s="5">
        <v>0</v>
      </c>
      <c r="R414" s="5">
        <v>0</v>
      </c>
    </row>
    <row r="415" spans="1:18" ht="15" customHeight="1" x14ac:dyDescent="0.25">
      <c r="A415" s="5">
        <v>6170</v>
      </c>
      <c r="B415" s="5" t="s">
        <v>264</v>
      </c>
      <c r="C415" s="5" t="s">
        <v>264</v>
      </c>
      <c r="D415" s="5" t="s">
        <v>366</v>
      </c>
      <c r="E415" s="5" t="s">
        <v>81</v>
      </c>
      <c r="F415" s="5">
        <v>27</v>
      </c>
      <c r="G415" s="5">
        <v>5.87</v>
      </c>
      <c r="H415" s="5">
        <v>5.81</v>
      </c>
      <c r="I415" s="5">
        <v>0</v>
      </c>
      <c r="J415" s="5">
        <v>0</v>
      </c>
      <c r="K415" s="5">
        <v>0</v>
      </c>
      <c r="L415" s="5">
        <v>0</v>
      </c>
      <c r="M415" s="5">
        <v>0</v>
      </c>
      <c r="N415" s="5">
        <v>0</v>
      </c>
      <c r="O415" s="5">
        <v>1</v>
      </c>
      <c r="P415" s="5">
        <v>5</v>
      </c>
      <c r="Q415" s="5">
        <v>0</v>
      </c>
      <c r="R415" s="5">
        <v>0</v>
      </c>
    </row>
    <row r="416" spans="1:18" ht="15" customHeight="1" x14ac:dyDescent="0.25">
      <c r="A416" s="5">
        <v>7028</v>
      </c>
      <c r="B416" s="5" t="s">
        <v>264</v>
      </c>
      <c r="C416" s="5" t="s">
        <v>264</v>
      </c>
      <c r="D416" s="5" t="s">
        <v>1051</v>
      </c>
      <c r="E416" s="5" t="s">
        <v>880</v>
      </c>
      <c r="F416" s="5">
        <v>31</v>
      </c>
      <c r="G416" s="5">
        <v>5.87</v>
      </c>
      <c r="H416" s="5">
        <v>6</v>
      </c>
      <c r="I416" s="5">
        <v>1</v>
      </c>
      <c r="J416" s="5">
        <v>0</v>
      </c>
      <c r="K416" s="5">
        <v>0</v>
      </c>
      <c r="L416" s="5">
        <v>0</v>
      </c>
      <c r="M416" s="5">
        <v>0</v>
      </c>
      <c r="N416" s="5">
        <v>0</v>
      </c>
      <c r="O416" s="5">
        <v>2</v>
      </c>
      <c r="P416" s="5">
        <v>2</v>
      </c>
      <c r="Q416" s="5">
        <v>0</v>
      </c>
      <c r="R416" s="5">
        <v>0</v>
      </c>
    </row>
    <row r="417" spans="1:18" ht="15" customHeight="1" x14ac:dyDescent="0.25">
      <c r="A417" s="5">
        <v>7198</v>
      </c>
      <c r="B417" s="5" t="s">
        <v>264</v>
      </c>
      <c r="C417" s="5" t="s">
        <v>264</v>
      </c>
      <c r="D417" s="5" t="s">
        <v>367</v>
      </c>
      <c r="E417" s="5" t="s">
        <v>32</v>
      </c>
      <c r="F417" s="5">
        <v>30</v>
      </c>
      <c r="G417" s="5">
        <v>5.88</v>
      </c>
      <c r="H417" s="5">
        <v>5.95</v>
      </c>
      <c r="I417" s="5">
        <v>1</v>
      </c>
      <c r="J417" s="5">
        <v>0</v>
      </c>
      <c r="K417" s="5">
        <v>0</v>
      </c>
      <c r="L417" s="5">
        <v>0</v>
      </c>
      <c r="M417" s="5">
        <v>0</v>
      </c>
      <c r="N417" s="5">
        <v>0</v>
      </c>
      <c r="O417" s="5">
        <v>0</v>
      </c>
      <c r="P417" s="5">
        <v>2</v>
      </c>
      <c r="Q417" s="5">
        <v>0</v>
      </c>
      <c r="R417" s="5">
        <v>0</v>
      </c>
    </row>
    <row r="418" spans="1:18" ht="15" customHeight="1" x14ac:dyDescent="0.25">
      <c r="A418" s="5">
        <v>7208</v>
      </c>
      <c r="B418" s="5" t="s">
        <v>264</v>
      </c>
      <c r="C418" s="5" t="s">
        <v>1025</v>
      </c>
      <c r="D418" s="5" t="s">
        <v>405</v>
      </c>
      <c r="E418" s="5" t="s">
        <v>32</v>
      </c>
      <c r="F418" s="5">
        <v>19</v>
      </c>
      <c r="G418" s="5">
        <v>5.92</v>
      </c>
      <c r="H418" s="5">
        <v>5.95</v>
      </c>
      <c r="I418" s="5">
        <v>0</v>
      </c>
      <c r="J418" s="5">
        <v>0</v>
      </c>
      <c r="K418" s="5">
        <v>0</v>
      </c>
      <c r="L418" s="5">
        <v>0</v>
      </c>
      <c r="M418" s="5">
        <v>0</v>
      </c>
      <c r="N418" s="5">
        <v>0</v>
      </c>
      <c r="O418" s="5">
        <v>2</v>
      </c>
      <c r="P418" s="5">
        <v>4</v>
      </c>
      <c r="Q418" s="5">
        <v>0</v>
      </c>
      <c r="R418" s="5">
        <v>0</v>
      </c>
    </row>
    <row r="419" spans="1:18" ht="15" customHeight="1" x14ac:dyDescent="0.25">
      <c r="A419" s="5">
        <v>7209</v>
      </c>
      <c r="B419" s="5" t="s">
        <v>264</v>
      </c>
      <c r="C419" s="5" t="s">
        <v>264</v>
      </c>
      <c r="D419" s="5" t="s">
        <v>402</v>
      </c>
      <c r="E419" s="5" t="s">
        <v>38</v>
      </c>
      <c r="F419" s="5">
        <v>30</v>
      </c>
      <c r="G419" s="5">
        <v>5.85</v>
      </c>
      <c r="H419" s="5">
        <v>5.95</v>
      </c>
      <c r="I419" s="5">
        <v>1</v>
      </c>
      <c r="J419" s="5">
        <v>0</v>
      </c>
      <c r="K419" s="5">
        <v>0</v>
      </c>
      <c r="L419" s="5">
        <v>0</v>
      </c>
      <c r="M419" s="5">
        <v>0</v>
      </c>
      <c r="N419" s="5">
        <v>0</v>
      </c>
      <c r="O419" s="5">
        <v>1</v>
      </c>
      <c r="P419" s="5">
        <v>2</v>
      </c>
      <c r="Q419" s="5">
        <v>0</v>
      </c>
      <c r="R419" s="5">
        <v>0</v>
      </c>
    </row>
    <row r="420" spans="1:18" ht="15" customHeight="1" x14ac:dyDescent="0.25">
      <c r="A420" s="5">
        <v>6005</v>
      </c>
      <c r="B420" s="5" t="s">
        <v>264</v>
      </c>
      <c r="C420" s="5" t="s">
        <v>1023</v>
      </c>
      <c r="D420" s="5" t="s">
        <v>389</v>
      </c>
      <c r="E420" s="5" t="s">
        <v>81</v>
      </c>
      <c r="F420" s="5">
        <v>17</v>
      </c>
      <c r="G420" s="5">
        <v>5.82</v>
      </c>
      <c r="H420" s="5">
        <v>6</v>
      </c>
      <c r="I420" s="5">
        <v>1</v>
      </c>
      <c r="J420" s="5">
        <v>0</v>
      </c>
      <c r="K420" s="5">
        <v>0</v>
      </c>
      <c r="L420" s="5">
        <v>0</v>
      </c>
      <c r="M420" s="5">
        <v>0</v>
      </c>
      <c r="N420" s="5">
        <v>0</v>
      </c>
      <c r="O420" s="5">
        <v>2</v>
      </c>
      <c r="P420" s="5">
        <v>2</v>
      </c>
      <c r="Q420" s="5">
        <v>1</v>
      </c>
      <c r="R420" s="5">
        <v>0</v>
      </c>
    </row>
    <row r="421" spans="1:18" ht="15" customHeight="1" x14ac:dyDescent="0.25">
      <c r="A421" s="5">
        <v>6274</v>
      </c>
      <c r="B421" s="5" t="s">
        <v>264</v>
      </c>
      <c r="C421" s="5" t="s">
        <v>264</v>
      </c>
      <c r="D421" s="5" t="s">
        <v>310</v>
      </c>
      <c r="E421" s="5" t="s">
        <v>12</v>
      </c>
      <c r="F421" s="5">
        <v>10</v>
      </c>
      <c r="G421" s="5">
        <v>6.15</v>
      </c>
      <c r="H421" s="5">
        <v>6.45</v>
      </c>
      <c r="I421" s="5">
        <v>1</v>
      </c>
      <c r="J421" s="5">
        <v>0</v>
      </c>
      <c r="K421" s="5">
        <v>0</v>
      </c>
      <c r="L421" s="5">
        <v>0</v>
      </c>
      <c r="M421" s="5">
        <v>0</v>
      </c>
      <c r="N421" s="5">
        <v>0</v>
      </c>
      <c r="O421" s="5">
        <v>0</v>
      </c>
      <c r="P421" s="5">
        <v>1</v>
      </c>
      <c r="Q421" s="5">
        <v>0</v>
      </c>
      <c r="R421" s="5">
        <v>0</v>
      </c>
    </row>
    <row r="422" spans="1:18" ht="15" customHeight="1" x14ac:dyDescent="0.25">
      <c r="A422" s="5">
        <v>4479</v>
      </c>
      <c r="B422" s="5" t="s">
        <v>264</v>
      </c>
      <c r="C422" s="5" t="s">
        <v>1033</v>
      </c>
      <c r="D422" s="5" t="s">
        <v>1052</v>
      </c>
      <c r="E422" s="5" t="s">
        <v>22</v>
      </c>
      <c r="F422" s="5">
        <v>28</v>
      </c>
      <c r="G422" s="5">
        <v>5.8</v>
      </c>
      <c r="H422" s="5">
        <v>5.96</v>
      </c>
      <c r="I422" s="5">
        <v>1</v>
      </c>
      <c r="J422" s="5">
        <v>0</v>
      </c>
      <c r="K422" s="5">
        <v>0</v>
      </c>
      <c r="L422" s="5">
        <v>0</v>
      </c>
      <c r="M422" s="5">
        <v>0</v>
      </c>
      <c r="N422" s="5">
        <v>0</v>
      </c>
      <c r="O422" s="5">
        <v>3</v>
      </c>
      <c r="P422" s="5">
        <v>3</v>
      </c>
      <c r="Q422" s="5">
        <v>0</v>
      </c>
      <c r="R422" s="5">
        <v>0</v>
      </c>
    </row>
    <row r="423" spans="1:18" ht="15" customHeight="1" x14ac:dyDescent="0.25">
      <c r="A423" s="5">
        <v>801</v>
      </c>
      <c r="B423" s="5" t="s">
        <v>264</v>
      </c>
      <c r="C423" s="5" t="s">
        <v>1025</v>
      </c>
      <c r="D423" s="5" t="s">
        <v>1053</v>
      </c>
      <c r="E423" s="5" t="s">
        <v>880</v>
      </c>
      <c r="F423" s="5">
        <v>29</v>
      </c>
      <c r="G423" s="5">
        <v>5.91</v>
      </c>
      <c r="H423" s="5">
        <v>5.84</v>
      </c>
      <c r="I423" s="5">
        <v>1</v>
      </c>
      <c r="J423" s="5">
        <v>0</v>
      </c>
      <c r="K423" s="5">
        <v>0</v>
      </c>
      <c r="L423" s="5">
        <v>0</v>
      </c>
      <c r="M423" s="5">
        <v>0</v>
      </c>
      <c r="N423" s="5">
        <v>0</v>
      </c>
      <c r="O423" s="5">
        <v>0</v>
      </c>
      <c r="P423" s="5">
        <v>10</v>
      </c>
      <c r="Q423" s="5">
        <v>0</v>
      </c>
      <c r="R423" s="5">
        <v>0</v>
      </c>
    </row>
    <row r="424" spans="1:18" ht="15" customHeight="1" x14ac:dyDescent="0.25">
      <c r="A424" s="5">
        <v>6024</v>
      </c>
      <c r="B424" s="5" t="s">
        <v>264</v>
      </c>
      <c r="C424" s="5" t="s">
        <v>1025</v>
      </c>
      <c r="D424" s="5" t="s">
        <v>391</v>
      </c>
      <c r="E424" s="5" t="s">
        <v>26</v>
      </c>
      <c r="F424" s="5">
        <v>18</v>
      </c>
      <c r="G424" s="5">
        <v>5.69</v>
      </c>
      <c r="H424" s="5">
        <v>5.78</v>
      </c>
      <c r="I424" s="5">
        <v>1</v>
      </c>
      <c r="J424" s="5">
        <v>0</v>
      </c>
      <c r="K424" s="5">
        <v>0</v>
      </c>
      <c r="L424" s="5">
        <v>0</v>
      </c>
      <c r="M424" s="5">
        <v>0</v>
      </c>
      <c r="N424" s="5">
        <v>0</v>
      </c>
      <c r="O424" s="5">
        <v>0</v>
      </c>
      <c r="P424" s="5">
        <v>3</v>
      </c>
      <c r="Q424" s="5">
        <v>0</v>
      </c>
      <c r="R424" s="5">
        <v>0</v>
      </c>
    </row>
    <row r="425" spans="1:18" ht="15" customHeight="1" x14ac:dyDescent="0.25">
      <c r="A425" s="5">
        <v>5784</v>
      </c>
      <c r="B425" s="5" t="s">
        <v>264</v>
      </c>
      <c r="C425" s="5" t="s">
        <v>264</v>
      </c>
      <c r="D425" s="5" t="s">
        <v>1054</v>
      </c>
      <c r="E425" s="5" t="s">
        <v>883</v>
      </c>
      <c r="F425" s="5">
        <v>35</v>
      </c>
      <c r="G425" s="5">
        <v>5.8</v>
      </c>
      <c r="H425" s="5">
        <v>5.8</v>
      </c>
      <c r="I425" s="5">
        <v>1</v>
      </c>
      <c r="J425" s="5">
        <v>0</v>
      </c>
      <c r="K425" s="5">
        <v>0</v>
      </c>
      <c r="L425" s="5">
        <v>0</v>
      </c>
      <c r="M425" s="5">
        <v>0</v>
      </c>
      <c r="N425" s="5">
        <v>0</v>
      </c>
      <c r="O425" s="5">
        <v>1</v>
      </c>
      <c r="P425" s="5">
        <v>8</v>
      </c>
      <c r="Q425" s="5">
        <v>0</v>
      </c>
      <c r="R425" s="5">
        <v>0</v>
      </c>
    </row>
    <row r="426" spans="1:18" ht="15" customHeight="1" x14ac:dyDescent="0.25">
      <c r="A426" s="5">
        <v>6206</v>
      </c>
      <c r="B426" s="5" t="s">
        <v>264</v>
      </c>
      <c r="C426" s="5" t="s">
        <v>1023</v>
      </c>
      <c r="D426" s="5" t="s">
        <v>374</v>
      </c>
      <c r="E426" s="5" t="s">
        <v>20</v>
      </c>
      <c r="F426" s="5">
        <v>22</v>
      </c>
      <c r="G426" s="5">
        <v>5.8</v>
      </c>
      <c r="H426" s="5">
        <v>6.05</v>
      </c>
      <c r="I426" s="5">
        <v>2</v>
      </c>
      <c r="J426" s="5">
        <v>0</v>
      </c>
      <c r="K426" s="5">
        <v>0</v>
      </c>
      <c r="L426" s="5">
        <v>0</v>
      </c>
      <c r="M426" s="5">
        <v>0</v>
      </c>
      <c r="N426" s="5">
        <v>0</v>
      </c>
      <c r="O426" s="5">
        <v>0</v>
      </c>
      <c r="P426" s="5">
        <v>2</v>
      </c>
      <c r="Q426" s="5">
        <v>0</v>
      </c>
      <c r="R426" s="5">
        <v>0</v>
      </c>
    </row>
    <row r="427" spans="1:18" ht="15" customHeight="1" x14ac:dyDescent="0.25">
      <c r="A427" s="5">
        <v>1871</v>
      </c>
      <c r="B427" s="5" t="s">
        <v>264</v>
      </c>
      <c r="C427" s="5" t="s">
        <v>1025</v>
      </c>
      <c r="D427" s="5" t="s">
        <v>393</v>
      </c>
      <c r="E427" s="5" t="s">
        <v>26</v>
      </c>
      <c r="F427" s="5">
        <v>20</v>
      </c>
      <c r="G427" s="5">
        <v>5.98</v>
      </c>
      <c r="H427" s="5">
        <v>5.95</v>
      </c>
      <c r="I427" s="5">
        <v>0</v>
      </c>
      <c r="J427" s="5">
        <v>0</v>
      </c>
      <c r="K427" s="5">
        <v>0</v>
      </c>
      <c r="L427" s="5">
        <v>0</v>
      </c>
      <c r="M427" s="5">
        <v>0</v>
      </c>
      <c r="N427" s="5">
        <v>0</v>
      </c>
      <c r="O427" s="5">
        <v>1</v>
      </c>
      <c r="P427" s="5">
        <v>3</v>
      </c>
      <c r="Q427" s="5">
        <v>0</v>
      </c>
      <c r="R427" s="5">
        <v>0</v>
      </c>
    </row>
    <row r="428" spans="1:18" ht="15" customHeight="1" x14ac:dyDescent="0.25">
      <c r="A428" s="5">
        <v>181</v>
      </c>
      <c r="B428" s="5" t="s">
        <v>264</v>
      </c>
      <c r="C428" s="5" t="s">
        <v>1025</v>
      </c>
      <c r="D428" s="5" t="s">
        <v>1055</v>
      </c>
      <c r="E428" s="5" t="s">
        <v>30</v>
      </c>
      <c r="F428" s="5">
        <v>12</v>
      </c>
      <c r="G428" s="5">
        <v>5.92</v>
      </c>
      <c r="H428" s="5">
        <v>5.96</v>
      </c>
      <c r="I428" s="5">
        <v>0</v>
      </c>
      <c r="J428" s="5">
        <v>0</v>
      </c>
      <c r="K428" s="5">
        <v>0</v>
      </c>
      <c r="L428" s="5">
        <v>0</v>
      </c>
      <c r="M428" s="5">
        <v>0</v>
      </c>
      <c r="N428" s="5">
        <v>0</v>
      </c>
      <c r="O428" s="5">
        <v>1</v>
      </c>
      <c r="P428" s="5">
        <v>1</v>
      </c>
      <c r="Q428" s="5">
        <v>0</v>
      </c>
      <c r="R428" s="5">
        <v>0</v>
      </c>
    </row>
    <row r="429" spans="1:18" ht="15" customHeight="1" x14ac:dyDescent="0.25">
      <c r="A429" s="5">
        <v>6629</v>
      </c>
      <c r="B429" s="5" t="s">
        <v>264</v>
      </c>
      <c r="C429" s="5" t="s">
        <v>1023</v>
      </c>
      <c r="D429" s="5" t="s">
        <v>355</v>
      </c>
      <c r="E429" s="5" t="s">
        <v>30</v>
      </c>
      <c r="F429" s="5">
        <v>21</v>
      </c>
      <c r="G429" s="5">
        <v>5.69</v>
      </c>
      <c r="H429" s="5">
        <v>5.83</v>
      </c>
      <c r="I429" s="5">
        <v>1</v>
      </c>
      <c r="J429" s="5">
        <v>0</v>
      </c>
      <c r="K429" s="5">
        <v>0</v>
      </c>
      <c r="L429" s="5">
        <v>0</v>
      </c>
      <c r="M429" s="5">
        <v>0</v>
      </c>
      <c r="N429" s="5">
        <v>0</v>
      </c>
      <c r="O429" s="5">
        <v>0</v>
      </c>
      <c r="P429" s="5">
        <v>0</v>
      </c>
      <c r="Q429" s="5">
        <v>0</v>
      </c>
      <c r="R429" s="5">
        <v>0</v>
      </c>
    </row>
    <row r="430" spans="1:18" ht="15" customHeight="1" x14ac:dyDescent="0.25">
      <c r="A430" s="5">
        <v>5998</v>
      </c>
      <c r="B430" s="5" t="s">
        <v>264</v>
      </c>
      <c r="C430" s="5" t="s">
        <v>1032</v>
      </c>
      <c r="D430" s="5" t="s">
        <v>350</v>
      </c>
      <c r="E430" s="5" t="s">
        <v>878</v>
      </c>
      <c r="F430" s="5">
        <v>29</v>
      </c>
      <c r="G430" s="5">
        <v>5.76</v>
      </c>
      <c r="H430" s="5">
        <v>5.79</v>
      </c>
      <c r="I430" s="5">
        <v>0</v>
      </c>
      <c r="J430" s="5">
        <v>0</v>
      </c>
      <c r="K430" s="5">
        <v>0</v>
      </c>
      <c r="L430" s="5">
        <v>0</v>
      </c>
      <c r="M430" s="5">
        <v>0</v>
      </c>
      <c r="N430" s="5">
        <v>0</v>
      </c>
      <c r="O430" s="5">
        <v>2</v>
      </c>
      <c r="P430" s="5">
        <v>2</v>
      </c>
      <c r="Q430" s="5">
        <v>0</v>
      </c>
      <c r="R430" s="5">
        <v>0</v>
      </c>
    </row>
    <row r="431" spans="1:18" ht="15" customHeight="1" x14ac:dyDescent="0.25">
      <c r="A431" s="5">
        <v>7138</v>
      </c>
      <c r="B431" s="5" t="s">
        <v>264</v>
      </c>
      <c r="C431" s="5" t="s">
        <v>1025</v>
      </c>
      <c r="D431" s="5" t="s">
        <v>415</v>
      </c>
      <c r="E431" s="5" t="s">
        <v>38</v>
      </c>
      <c r="F431" s="5">
        <v>21</v>
      </c>
      <c r="G431" s="5">
        <v>5.79</v>
      </c>
      <c r="H431" s="5">
        <v>5.81</v>
      </c>
      <c r="I431" s="5">
        <v>1</v>
      </c>
      <c r="J431" s="5">
        <v>0</v>
      </c>
      <c r="K431" s="5">
        <v>0</v>
      </c>
      <c r="L431" s="5">
        <v>0</v>
      </c>
      <c r="M431" s="5">
        <v>0</v>
      </c>
      <c r="N431" s="5">
        <v>0</v>
      </c>
      <c r="O431" s="5">
        <v>0</v>
      </c>
      <c r="P431" s="5">
        <v>3</v>
      </c>
      <c r="Q431" s="5">
        <v>1</v>
      </c>
      <c r="R431" s="5">
        <v>0</v>
      </c>
    </row>
    <row r="432" spans="1:18" ht="15" customHeight="1" x14ac:dyDescent="0.25">
      <c r="A432" s="5">
        <v>5318</v>
      </c>
      <c r="B432" s="5" t="s">
        <v>264</v>
      </c>
      <c r="C432" s="5" t="s">
        <v>1033</v>
      </c>
      <c r="D432" s="5" t="s">
        <v>1056</v>
      </c>
      <c r="E432" s="5" t="s">
        <v>883</v>
      </c>
      <c r="F432" s="5">
        <v>25</v>
      </c>
      <c r="G432" s="5">
        <v>5.72</v>
      </c>
      <c r="H432" s="5">
        <v>6</v>
      </c>
      <c r="I432" s="5">
        <v>2</v>
      </c>
      <c r="J432" s="5">
        <v>0</v>
      </c>
      <c r="K432" s="5">
        <v>0</v>
      </c>
      <c r="L432" s="5">
        <v>1</v>
      </c>
      <c r="M432" s="5">
        <v>1</v>
      </c>
      <c r="N432" s="5">
        <v>0</v>
      </c>
      <c r="O432" s="5">
        <v>2</v>
      </c>
      <c r="P432" s="5">
        <v>3</v>
      </c>
      <c r="Q432" s="5">
        <v>0</v>
      </c>
      <c r="R432" s="5">
        <v>0</v>
      </c>
    </row>
    <row r="433" spans="1:18" ht="15" customHeight="1" x14ac:dyDescent="0.25">
      <c r="A433" s="5">
        <v>6246</v>
      </c>
      <c r="B433" s="5" t="s">
        <v>264</v>
      </c>
      <c r="C433" s="5" t="s">
        <v>1025</v>
      </c>
      <c r="D433" s="5" t="s">
        <v>417</v>
      </c>
      <c r="E433" s="5" t="s">
        <v>41</v>
      </c>
      <c r="F433" s="5">
        <v>21</v>
      </c>
      <c r="G433" s="5">
        <v>5.93</v>
      </c>
      <c r="H433" s="5">
        <v>5.9</v>
      </c>
      <c r="I433" s="5">
        <v>0</v>
      </c>
      <c r="J433" s="5">
        <v>0</v>
      </c>
      <c r="K433" s="5">
        <v>0</v>
      </c>
      <c r="L433" s="5">
        <v>0</v>
      </c>
      <c r="M433" s="5">
        <v>0</v>
      </c>
      <c r="N433" s="5">
        <v>0</v>
      </c>
      <c r="O433" s="5">
        <v>1</v>
      </c>
      <c r="P433" s="5">
        <v>3</v>
      </c>
      <c r="Q433" s="5">
        <v>0</v>
      </c>
      <c r="R433" s="5">
        <v>0</v>
      </c>
    </row>
    <row r="434" spans="1:18" ht="15" customHeight="1" x14ac:dyDescent="0.25">
      <c r="A434" s="5">
        <v>6458</v>
      </c>
      <c r="B434" s="5" t="s">
        <v>264</v>
      </c>
      <c r="C434" s="5" t="s">
        <v>264</v>
      </c>
      <c r="D434" s="5" t="s">
        <v>1057</v>
      </c>
      <c r="E434" s="5" t="s">
        <v>880</v>
      </c>
      <c r="F434" s="5">
        <v>18</v>
      </c>
      <c r="G434" s="5">
        <v>5.97</v>
      </c>
      <c r="H434" s="5">
        <v>6.22</v>
      </c>
      <c r="I434" s="5">
        <v>2</v>
      </c>
      <c r="J434" s="5">
        <v>0</v>
      </c>
      <c r="K434" s="5">
        <v>0</v>
      </c>
      <c r="L434" s="5">
        <v>0</v>
      </c>
      <c r="M434" s="5">
        <v>0</v>
      </c>
      <c r="N434" s="5">
        <v>0</v>
      </c>
      <c r="O434" s="5">
        <v>0</v>
      </c>
      <c r="P434" s="5">
        <v>3</v>
      </c>
      <c r="Q434" s="5">
        <v>0</v>
      </c>
      <c r="R434" s="5">
        <v>0</v>
      </c>
    </row>
    <row r="435" spans="1:18" ht="15" customHeight="1" x14ac:dyDescent="0.25">
      <c r="A435" s="5">
        <v>5858</v>
      </c>
      <c r="B435" s="5" t="s">
        <v>264</v>
      </c>
      <c r="C435" s="5" t="s">
        <v>1023</v>
      </c>
      <c r="D435" s="5" t="s">
        <v>317</v>
      </c>
      <c r="E435" s="5" t="s">
        <v>24</v>
      </c>
      <c r="F435" s="5">
        <v>23</v>
      </c>
      <c r="G435" s="5">
        <v>5.8</v>
      </c>
      <c r="H435" s="5">
        <v>5.78</v>
      </c>
      <c r="I435" s="5">
        <v>1</v>
      </c>
      <c r="J435" s="5">
        <v>0</v>
      </c>
      <c r="K435" s="5">
        <v>0</v>
      </c>
      <c r="L435" s="5">
        <v>0</v>
      </c>
      <c r="M435" s="5">
        <v>0</v>
      </c>
      <c r="N435" s="5">
        <v>0</v>
      </c>
      <c r="O435" s="5">
        <v>0</v>
      </c>
      <c r="P435" s="5">
        <v>5</v>
      </c>
      <c r="Q435" s="5">
        <v>1</v>
      </c>
      <c r="R435" s="5">
        <v>0</v>
      </c>
    </row>
    <row r="436" spans="1:18" ht="15" customHeight="1" x14ac:dyDescent="0.25">
      <c r="A436" s="5">
        <v>27</v>
      </c>
      <c r="B436" s="5" t="s">
        <v>264</v>
      </c>
      <c r="C436" s="5" t="s">
        <v>1025</v>
      </c>
      <c r="D436" s="5" t="s">
        <v>1058</v>
      </c>
      <c r="E436" s="5" t="s">
        <v>878</v>
      </c>
      <c r="F436" s="5">
        <v>28</v>
      </c>
      <c r="G436" s="5">
        <v>5.79</v>
      </c>
      <c r="H436" s="5">
        <v>5.7</v>
      </c>
      <c r="I436" s="5">
        <v>0</v>
      </c>
      <c r="J436" s="5">
        <v>0</v>
      </c>
      <c r="K436" s="5">
        <v>0</v>
      </c>
      <c r="L436" s="5">
        <v>0</v>
      </c>
      <c r="M436" s="5">
        <v>0</v>
      </c>
      <c r="N436" s="5">
        <v>0</v>
      </c>
      <c r="O436" s="5">
        <v>0</v>
      </c>
      <c r="P436" s="5">
        <v>3</v>
      </c>
      <c r="Q436" s="5">
        <v>1</v>
      </c>
      <c r="R436" s="5">
        <v>0</v>
      </c>
    </row>
    <row r="437" spans="1:18" ht="15" customHeight="1" x14ac:dyDescent="0.25">
      <c r="A437" s="5">
        <v>2842</v>
      </c>
      <c r="B437" s="5" t="s">
        <v>264</v>
      </c>
      <c r="C437" s="5" t="s">
        <v>1027</v>
      </c>
      <c r="D437" s="5" t="s">
        <v>1059</v>
      </c>
      <c r="E437" s="5" t="s">
        <v>878</v>
      </c>
      <c r="F437" s="5">
        <v>0</v>
      </c>
      <c r="G437" s="5">
        <v>0</v>
      </c>
      <c r="H437" s="5">
        <v>0</v>
      </c>
      <c r="I437" s="5">
        <v>0</v>
      </c>
      <c r="J437" s="5">
        <v>0</v>
      </c>
      <c r="K437" s="5">
        <v>0</v>
      </c>
      <c r="L437" s="5">
        <v>0</v>
      </c>
      <c r="M437" s="5">
        <v>0</v>
      </c>
      <c r="N437" s="5">
        <v>0</v>
      </c>
      <c r="O437" s="5">
        <v>0</v>
      </c>
      <c r="P437" s="5">
        <v>0</v>
      </c>
      <c r="Q437" s="5">
        <v>0</v>
      </c>
      <c r="R437" s="5">
        <v>0</v>
      </c>
    </row>
    <row r="438" spans="1:18" ht="15" customHeight="1" x14ac:dyDescent="0.25">
      <c r="A438" s="5">
        <v>6917</v>
      </c>
      <c r="B438" s="5" t="s">
        <v>264</v>
      </c>
      <c r="C438" s="5" t="s">
        <v>1025</v>
      </c>
      <c r="D438" s="5" t="s">
        <v>410</v>
      </c>
      <c r="E438" s="5" t="s">
        <v>34</v>
      </c>
      <c r="F438" s="5">
        <v>21</v>
      </c>
      <c r="G438" s="5">
        <v>5.98</v>
      </c>
      <c r="H438" s="5">
        <v>5.9</v>
      </c>
      <c r="I438" s="5">
        <v>0</v>
      </c>
      <c r="J438" s="5">
        <v>0</v>
      </c>
      <c r="K438" s="5">
        <v>0</v>
      </c>
      <c r="L438" s="5">
        <v>0</v>
      </c>
      <c r="M438" s="5">
        <v>0</v>
      </c>
      <c r="N438" s="5">
        <v>0</v>
      </c>
      <c r="O438" s="5">
        <v>1</v>
      </c>
      <c r="P438" s="5">
        <v>5</v>
      </c>
      <c r="Q438" s="5">
        <v>0</v>
      </c>
      <c r="R438" s="5">
        <v>0</v>
      </c>
    </row>
    <row r="439" spans="1:18" ht="15" customHeight="1" x14ac:dyDescent="0.25">
      <c r="A439" s="5">
        <v>5457</v>
      </c>
      <c r="B439" s="5" t="s">
        <v>264</v>
      </c>
      <c r="C439" s="5" t="s">
        <v>1025</v>
      </c>
      <c r="D439" s="5" t="s">
        <v>412</v>
      </c>
      <c r="E439" s="5" t="s">
        <v>878</v>
      </c>
      <c r="F439" s="5">
        <v>21</v>
      </c>
      <c r="G439" s="5">
        <v>5.69</v>
      </c>
      <c r="H439" s="5">
        <v>5.71</v>
      </c>
      <c r="I439" s="5">
        <v>1</v>
      </c>
      <c r="J439" s="5">
        <v>0</v>
      </c>
      <c r="K439" s="5">
        <v>0</v>
      </c>
      <c r="L439" s="5">
        <v>0</v>
      </c>
      <c r="M439" s="5">
        <v>0</v>
      </c>
      <c r="N439" s="5">
        <v>0</v>
      </c>
      <c r="O439" s="5">
        <v>0</v>
      </c>
      <c r="P439" s="5">
        <v>3</v>
      </c>
      <c r="Q439" s="5">
        <v>1</v>
      </c>
      <c r="R439" s="5">
        <v>0</v>
      </c>
    </row>
    <row r="440" spans="1:18" ht="15" customHeight="1" x14ac:dyDescent="0.25">
      <c r="A440" s="5">
        <v>5992</v>
      </c>
      <c r="B440" s="5" t="s">
        <v>264</v>
      </c>
      <c r="C440" s="5" t="s">
        <v>1025</v>
      </c>
      <c r="D440" s="5" t="s">
        <v>1060</v>
      </c>
      <c r="E440" s="5" t="s">
        <v>878</v>
      </c>
      <c r="F440" s="5">
        <v>27</v>
      </c>
      <c r="G440" s="5">
        <v>5.85</v>
      </c>
      <c r="H440" s="5">
        <v>5.76</v>
      </c>
      <c r="I440" s="5">
        <v>0</v>
      </c>
      <c r="J440" s="5">
        <v>0</v>
      </c>
      <c r="K440" s="5">
        <v>0</v>
      </c>
      <c r="L440" s="5">
        <v>0</v>
      </c>
      <c r="M440" s="5">
        <v>0</v>
      </c>
      <c r="N440" s="5">
        <v>0</v>
      </c>
      <c r="O440" s="5">
        <v>0</v>
      </c>
      <c r="P440" s="5">
        <v>5</v>
      </c>
      <c r="Q440" s="5">
        <v>0</v>
      </c>
      <c r="R440" s="5">
        <v>0</v>
      </c>
    </row>
    <row r="441" spans="1:18" ht="15" customHeight="1" x14ac:dyDescent="0.25">
      <c r="A441" s="5">
        <v>5295</v>
      </c>
      <c r="B441" s="5" t="s">
        <v>264</v>
      </c>
      <c r="C441" s="5" t="s">
        <v>1030</v>
      </c>
      <c r="D441" s="5" t="s">
        <v>413</v>
      </c>
      <c r="E441" s="5" t="s">
        <v>14</v>
      </c>
      <c r="F441" s="5">
        <v>16</v>
      </c>
      <c r="G441" s="5">
        <v>5.94</v>
      </c>
      <c r="H441" s="5">
        <v>6.09</v>
      </c>
      <c r="I441" s="5">
        <v>1</v>
      </c>
      <c r="J441" s="5">
        <v>0</v>
      </c>
      <c r="K441" s="5">
        <v>0</v>
      </c>
      <c r="L441" s="5">
        <v>0</v>
      </c>
      <c r="M441" s="5">
        <v>0</v>
      </c>
      <c r="N441" s="5">
        <v>0</v>
      </c>
      <c r="O441" s="5">
        <v>0</v>
      </c>
      <c r="P441" s="5">
        <v>1</v>
      </c>
      <c r="Q441" s="5">
        <v>0</v>
      </c>
      <c r="R441" s="5">
        <v>0</v>
      </c>
    </row>
    <row r="442" spans="1:18" ht="15" customHeight="1" x14ac:dyDescent="0.25">
      <c r="A442" s="5">
        <v>5290</v>
      </c>
      <c r="B442" s="5" t="s">
        <v>264</v>
      </c>
      <c r="C442" s="5" t="s">
        <v>1025</v>
      </c>
      <c r="D442" s="5" t="s">
        <v>1061</v>
      </c>
      <c r="E442" s="5" t="s">
        <v>38</v>
      </c>
      <c r="F442" s="5">
        <v>22</v>
      </c>
      <c r="G442" s="5">
        <v>5.8</v>
      </c>
      <c r="H442" s="5">
        <v>5.8</v>
      </c>
      <c r="I442" s="5">
        <v>0</v>
      </c>
      <c r="J442" s="5">
        <v>0</v>
      </c>
      <c r="K442" s="5">
        <v>0</v>
      </c>
      <c r="L442" s="5">
        <v>0</v>
      </c>
      <c r="M442" s="5">
        <v>0</v>
      </c>
      <c r="N442" s="5">
        <v>0</v>
      </c>
      <c r="O442" s="5">
        <v>1</v>
      </c>
      <c r="P442" s="5">
        <v>2</v>
      </c>
      <c r="Q442" s="5">
        <v>0</v>
      </c>
      <c r="R442" s="5">
        <v>0</v>
      </c>
    </row>
    <row r="443" spans="1:18" ht="15" customHeight="1" x14ac:dyDescent="0.25">
      <c r="A443" s="5">
        <v>7146</v>
      </c>
      <c r="B443" s="5" t="s">
        <v>264</v>
      </c>
      <c r="C443" s="5" t="s">
        <v>1062</v>
      </c>
      <c r="D443" s="5" t="s">
        <v>1063</v>
      </c>
      <c r="E443" s="5" t="s">
        <v>883</v>
      </c>
      <c r="F443" s="5">
        <v>30</v>
      </c>
      <c r="G443" s="5">
        <v>5.82</v>
      </c>
      <c r="H443" s="5">
        <v>5.82</v>
      </c>
      <c r="I443" s="5">
        <v>1</v>
      </c>
      <c r="J443" s="5">
        <v>0</v>
      </c>
      <c r="K443" s="5">
        <v>0</v>
      </c>
      <c r="L443" s="5">
        <v>0</v>
      </c>
      <c r="M443" s="5">
        <v>0</v>
      </c>
      <c r="N443" s="5">
        <v>0</v>
      </c>
      <c r="O443" s="5">
        <v>0</v>
      </c>
      <c r="P443" s="5">
        <v>4</v>
      </c>
      <c r="Q443" s="5">
        <v>1</v>
      </c>
      <c r="R443" s="5">
        <v>0</v>
      </c>
    </row>
    <row r="444" spans="1:18" ht="15" customHeight="1" x14ac:dyDescent="0.25">
      <c r="A444" s="5">
        <v>6593</v>
      </c>
      <c r="B444" s="5" t="s">
        <v>264</v>
      </c>
      <c r="C444" s="5" t="s">
        <v>1023</v>
      </c>
      <c r="D444" s="5" t="s">
        <v>341</v>
      </c>
      <c r="E444" s="5" t="s">
        <v>883</v>
      </c>
      <c r="F444" s="5">
        <v>23</v>
      </c>
      <c r="G444" s="5">
        <v>5.8</v>
      </c>
      <c r="H444" s="5">
        <v>5.8</v>
      </c>
      <c r="I444" s="5">
        <v>0</v>
      </c>
      <c r="J444" s="5">
        <v>0</v>
      </c>
      <c r="K444" s="5">
        <v>0</v>
      </c>
      <c r="L444" s="5">
        <v>0</v>
      </c>
      <c r="M444" s="5">
        <v>0</v>
      </c>
      <c r="N444" s="5">
        <v>0</v>
      </c>
      <c r="O444" s="5">
        <v>1</v>
      </c>
      <c r="P444" s="5">
        <v>2</v>
      </c>
      <c r="Q444" s="5">
        <v>0</v>
      </c>
      <c r="R444" s="5">
        <v>0</v>
      </c>
    </row>
    <row r="445" spans="1:18" ht="15" customHeight="1" x14ac:dyDescent="0.25">
      <c r="A445" s="5">
        <v>6481</v>
      </c>
      <c r="B445" s="5" t="s">
        <v>264</v>
      </c>
      <c r="C445" s="5" t="s">
        <v>264</v>
      </c>
      <c r="D445" s="5" t="s">
        <v>1064</v>
      </c>
      <c r="E445" s="5" t="s">
        <v>878</v>
      </c>
      <c r="F445" s="5">
        <v>25</v>
      </c>
      <c r="G445" s="5">
        <v>5.9</v>
      </c>
      <c r="H445" s="5">
        <v>5.86</v>
      </c>
      <c r="I445" s="5">
        <v>1</v>
      </c>
      <c r="J445" s="5">
        <v>0</v>
      </c>
      <c r="K445" s="5">
        <v>0</v>
      </c>
      <c r="L445" s="5">
        <v>0</v>
      </c>
      <c r="M445" s="5">
        <v>0</v>
      </c>
      <c r="N445" s="5">
        <v>0</v>
      </c>
      <c r="O445" s="5">
        <v>0</v>
      </c>
      <c r="P445" s="5">
        <v>8</v>
      </c>
      <c r="Q445" s="5">
        <v>0</v>
      </c>
      <c r="R445" s="5">
        <v>0</v>
      </c>
    </row>
    <row r="446" spans="1:18" ht="15" customHeight="1" x14ac:dyDescent="0.25">
      <c r="A446" s="5">
        <v>5286</v>
      </c>
      <c r="B446" s="5" t="s">
        <v>264</v>
      </c>
      <c r="C446" s="5" t="s">
        <v>1025</v>
      </c>
      <c r="D446" s="5" t="s">
        <v>1065</v>
      </c>
      <c r="E446" s="5" t="s">
        <v>880</v>
      </c>
      <c r="F446" s="5">
        <v>22</v>
      </c>
      <c r="G446" s="5">
        <v>5.86</v>
      </c>
      <c r="H446" s="5">
        <v>5.8</v>
      </c>
      <c r="I446" s="5">
        <v>1</v>
      </c>
      <c r="J446" s="5">
        <v>0</v>
      </c>
      <c r="K446" s="5">
        <v>0</v>
      </c>
      <c r="L446" s="5">
        <v>0</v>
      </c>
      <c r="M446" s="5">
        <v>0</v>
      </c>
      <c r="N446" s="5">
        <v>0</v>
      </c>
      <c r="O446" s="5">
        <v>0</v>
      </c>
      <c r="P446" s="5">
        <v>9</v>
      </c>
      <c r="Q446" s="5">
        <v>0</v>
      </c>
      <c r="R446" s="5">
        <v>0</v>
      </c>
    </row>
    <row r="447" spans="1:18" ht="15" customHeight="1" x14ac:dyDescent="0.25">
      <c r="A447" s="5">
        <v>7322</v>
      </c>
      <c r="B447" s="5" t="s">
        <v>264</v>
      </c>
      <c r="C447" s="5" t="s">
        <v>1025</v>
      </c>
      <c r="D447" s="5" t="s">
        <v>381</v>
      </c>
      <c r="E447" s="5" t="s">
        <v>36</v>
      </c>
      <c r="F447" s="5">
        <v>13</v>
      </c>
      <c r="G447" s="5">
        <v>5.69</v>
      </c>
      <c r="H447" s="5">
        <v>5.65</v>
      </c>
      <c r="I447" s="5">
        <v>0</v>
      </c>
      <c r="J447" s="5">
        <v>0</v>
      </c>
      <c r="K447" s="5">
        <v>0</v>
      </c>
      <c r="L447" s="5">
        <v>0</v>
      </c>
      <c r="M447" s="5">
        <v>0</v>
      </c>
      <c r="N447" s="5">
        <v>0</v>
      </c>
      <c r="O447" s="5">
        <v>0</v>
      </c>
      <c r="P447" s="5">
        <v>1</v>
      </c>
      <c r="Q447" s="5">
        <v>0</v>
      </c>
      <c r="R447" s="5">
        <v>0</v>
      </c>
    </row>
    <row r="448" spans="1:18" ht="15" customHeight="1" x14ac:dyDescent="0.25">
      <c r="A448" s="5">
        <v>7331</v>
      </c>
      <c r="B448" s="5" t="s">
        <v>264</v>
      </c>
      <c r="C448" s="5" t="s">
        <v>1025</v>
      </c>
      <c r="D448" s="5" t="s">
        <v>1066</v>
      </c>
      <c r="E448" s="5" t="s">
        <v>883</v>
      </c>
      <c r="F448" s="5">
        <v>11</v>
      </c>
      <c r="G448" s="5">
        <v>5.55</v>
      </c>
      <c r="H448" s="5">
        <v>5.73</v>
      </c>
      <c r="I448" s="5">
        <v>1</v>
      </c>
      <c r="J448" s="5">
        <v>0</v>
      </c>
      <c r="K448" s="5">
        <v>0</v>
      </c>
      <c r="L448" s="5">
        <v>0</v>
      </c>
      <c r="M448" s="5">
        <v>0</v>
      </c>
      <c r="N448" s="5">
        <v>0</v>
      </c>
      <c r="O448" s="5">
        <v>0</v>
      </c>
      <c r="P448" s="5">
        <v>0</v>
      </c>
      <c r="Q448" s="5">
        <v>1</v>
      </c>
      <c r="R448" s="5">
        <v>0</v>
      </c>
    </row>
    <row r="449" spans="1:18" ht="15" customHeight="1" x14ac:dyDescent="0.25">
      <c r="A449" s="5">
        <v>7341</v>
      </c>
      <c r="B449" s="5" t="s">
        <v>264</v>
      </c>
      <c r="C449" s="5" t="s">
        <v>1025</v>
      </c>
      <c r="D449" s="5" t="s">
        <v>377</v>
      </c>
      <c r="E449" s="5" t="s">
        <v>34</v>
      </c>
      <c r="F449" s="5">
        <v>9</v>
      </c>
      <c r="G449" s="5">
        <v>5.72</v>
      </c>
      <c r="H449" s="5">
        <v>5.67</v>
      </c>
      <c r="I449" s="5">
        <v>0</v>
      </c>
      <c r="J449" s="5">
        <v>0</v>
      </c>
      <c r="K449" s="5">
        <v>0</v>
      </c>
      <c r="L449" s="5">
        <v>0</v>
      </c>
      <c r="M449" s="5">
        <v>0</v>
      </c>
      <c r="N449" s="5">
        <v>0</v>
      </c>
      <c r="O449" s="5">
        <v>0</v>
      </c>
      <c r="P449" s="5">
        <v>1</v>
      </c>
      <c r="Q449" s="5">
        <v>0</v>
      </c>
      <c r="R449" s="5">
        <v>0</v>
      </c>
    </row>
    <row r="450" spans="1:18" ht="15" customHeight="1" x14ac:dyDescent="0.25">
      <c r="A450" s="5">
        <v>6106</v>
      </c>
      <c r="B450" s="5" t="s">
        <v>264</v>
      </c>
      <c r="C450" s="5" t="s">
        <v>1022</v>
      </c>
      <c r="D450" s="5" t="s">
        <v>1067</v>
      </c>
      <c r="E450" s="5" t="s">
        <v>34</v>
      </c>
      <c r="F450" s="5">
        <v>10</v>
      </c>
      <c r="G450" s="5">
        <v>5.7</v>
      </c>
      <c r="H450" s="5">
        <v>5.6</v>
      </c>
      <c r="I450" s="5">
        <v>0</v>
      </c>
      <c r="J450" s="5">
        <v>0</v>
      </c>
      <c r="K450" s="5">
        <v>0</v>
      </c>
      <c r="L450" s="5">
        <v>0</v>
      </c>
      <c r="M450" s="5">
        <v>0</v>
      </c>
      <c r="N450" s="5">
        <v>0</v>
      </c>
      <c r="O450" s="5">
        <v>0</v>
      </c>
      <c r="P450" s="5">
        <v>2</v>
      </c>
      <c r="Q450" s="5">
        <v>0</v>
      </c>
      <c r="R450" s="5">
        <v>0</v>
      </c>
    </row>
    <row r="451" spans="1:18" ht="15" customHeight="1" x14ac:dyDescent="0.25">
      <c r="A451" s="5">
        <v>2848</v>
      </c>
      <c r="B451" s="5" t="s">
        <v>264</v>
      </c>
      <c r="C451" s="5" t="s">
        <v>1023</v>
      </c>
      <c r="D451" s="5" t="s">
        <v>321</v>
      </c>
      <c r="E451" s="5" t="s">
        <v>12</v>
      </c>
      <c r="F451" s="5">
        <v>14</v>
      </c>
      <c r="G451" s="5">
        <v>5.89</v>
      </c>
      <c r="H451" s="5">
        <v>5.89</v>
      </c>
      <c r="I451" s="5">
        <v>0</v>
      </c>
      <c r="J451" s="5">
        <v>0</v>
      </c>
      <c r="K451" s="5">
        <v>0</v>
      </c>
      <c r="L451" s="5">
        <v>0</v>
      </c>
      <c r="M451" s="5">
        <v>0</v>
      </c>
      <c r="N451" s="5">
        <v>0</v>
      </c>
      <c r="O451" s="5">
        <v>0</v>
      </c>
      <c r="P451" s="5">
        <v>0</v>
      </c>
      <c r="Q451" s="5">
        <v>0</v>
      </c>
      <c r="R451" s="5">
        <v>0</v>
      </c>
    </row>
    <row r="452" spans="1:18" ht="15" customHeight="1" x14ac:dyDescent="0.25">
      <c r="A452" s="5">
        <v>5685</v>
      </c>
      <c r="B452" s="5" t="s">
        <v>264</v>
      </c>
      <c r="C452" s="5" t="s">
        <v>1023</v>
      </c>
      <c r="D452" s="5" t="s">
        <v>354</v>
      </c>
      <c r="E452" s="5" t="s">
        <v>28</v>
      </c>
      <c r="F452" s="5">
        <v>29</v>
      </c>
      <c r="G452" s="5">
        <v>5.64</v>
      </c>
      <c r="H452" s="5">
        <v>5.55</v>
      </c>
      <c r="I452" s="5">
        <v>0</v>
      </c>
      <c r="J452" s="5">
        <v>0</v>
      </c>
      <c r="K452" s="5">
        <v>0</v>
      </c>
      <c r="L452" s="5">
        <v>0</v>
      </c>
      <c r="M452" s="5">
        <v>0</v>
      </c>
      <c r="N452" s="5">
        <v>0</v>
      </c>
      <c r="O452" s="5">
        <v>0</v>
      </c>
      <c r="P452" s="5">
        <v>5</v>
      </c>
      <c r="Q452" s="5">
        <v>0</v>
      </c>
      <c r="R452" s="5">
        <v>0</v>
      </c>
    </row>
    <row r="453" spans="1:18" ht="15" customHeight="1" x14ac:dyDescent="0.25">
      <c r="A453" s="5">
        <v>4856</v>
      </c>
      <c r="B453" s="5" t="s">
        <v>264</v>
      </c>
      <c r="C453" s="5" t="s">
        <v>1027</v>
      </c>
      <c r="D453" s="5" t="s">
        <v>340</v>
      </c>
      <c r="E453" s="5" t="s">
        <v>18</v>
      </c>
      <c r="F453" s="5">
        <v>1</v>
      </c>
      <c r="G453" s="5">
        <v>5.5</v>
      </c>
      <c r="H453" s="5">
        <v>5.5</v>
      </c>
      <c r="I453" s="5">
        <v>0</v>
      </c>
      <c r="J453" s="5">
        <v>0</v>
      </c>
      <c r="K453" s="5">
        <v>0</v>
      </c>
      <c r="L453" s="5">
        <v>0</v>
      </c>
      <c r="M453" s="5">
        <v>0</v>
      </c>
      <c r="N453" s="5">
        <v>0</v>
      </c>
      <c r="O453" s="5">
        <v>0</v>
      </c>
      <c r="P453" s="5">
        <v>0</v>
      </c>
      <c r="Q453" s="5">
        <v>0</v>
      </c>
      <c r="R453" s="5">
        <v>0</v>
      </c>
    </row>
    <row r="454" spans="1:18" ht="15" customHeight="1" x14ac:dyDescent="0.25">
      <c r="A454" s="5">
        <v>5319</v>
      </c>
      <c r="B454" s="5" t="s">
        <v>264</v>
      </c>
      <c r="C454" s="5" t="s">
        <v>264</v>
      </c>
      <c r="D454" s="5" t="s">
        <v>369</v>
      </c>
      <c r="E454" s="5" t="s">
        <v>24</v>
      </c>
      <c r="F454" s="5">
        <v>24</v>
      </c>
      <c r="G454" s="5">
        <v>5.65</v>
      </c>
      <c r="H454" s="5">
        <v>5.62</v>
      </c>
      <c r="I454" s="5">
        <v>0</v>
      </c>
      <c r="J454" s="5">
        <v>0</v>
      </c>
      <c r="K454" s="5">
        <v>0</v>
      </c>
      <c r="L454" s="5">
        <v>0</v>
      </c>
      <c r="M454" s="5">
        <v>0</v>
      </c>
      <c r="N454" s="5">
        <v>0</v>
      </c>
      <c r="O454" s="5">
        <v>1</v>
      </c>
      <c r="P454" s="5">
        <v>3</v>
      </c>
      <c r="Q454" s="5">
        <v>0</v>
      </c>
      <c r="R454" s="5">
        <v>0</v>
      </c>
    </row>
    <row r="455" spans="1:18" ht="15" customHeight="1" x14ac:dyDescent="0.25">
      <c r="A455" s="5">
        <v>7145</v>
      </c>
      <c r="B455" s="5" t="s">
        <v>264</v>
      </c>
      <c r="C455" s="5" t="s">
        <v>1062</v>
      </c>
      <c r="D455" s="5" t="s">
        <v>1068</v>
      </c>
      <c r="E455" s="5" t="s">
        <v>883</v>
      </c>
      <c r="F455" s="5">
        <v>22</v>
      </c>
      <c r="G455" s="5">
        <v>5.77</v>
      </c>
      <c r="H455" s="5">
        <v>5.7</v>
      </c>
      <c r="I455" s="5">
        <v>0</v>
      </c>
      <c r="J455" s="5">
        <v>0</v>
      </c>
      <c r="K455" s="5">
        <v>0</v>
      </c>
      <c r="L455" s="5">
        <v>0</v>
      </c>
      <c r="M455" s="5">
        <v>0</v>
      </c>
      <c r="N455" s="5">
        <v>0</v>
      </c>
      <c r="O455" s="5">
        <v>0</v>
      </c>
      <c r="P455" s="5">
        <v>3</v>
      </c>
      <c r="Q455" s="5">
        <v>0</v>
      </c>
      <c r="R455" s="5">
        <v>0</v>
      </c>
    </row>
    <row r="456" spans="1:18" ht="15" customHeight="1" x14ac:dyDescent="0.25">
      <c r="A456" s="5">
        <v>4930</v>
      </c>
      <c r="B456" s="5" t="s">
        <v>264</v>
      </c>
      <c r="C456" s="5" t="s">
        <v>1025</v>
      </c>
      <c r="D456" s="5" t="s">
        <v>1069</v>
      </c>
      <c r="E456" s="5" t="s">
        <v>41</v>
      </c>
      <c r="F456" s="5">
        <v>0</v>
      </c>
      <c r="G456" s="5">
        <v>0</v>
      </c>
      <c r="H456" s="5">
        <v>0</v>
      </c>
      <c r="I456" s="5">
        <v>0</v>
      </c>
      <c r="J456" s="5">
        <v>0</v>
      </c>
      <c r="K456" s="5">
        <v>0</v>
      </c>
      <c r="L456" s="5">
        <v>0</v>
      </c>
      <c r="M456" s="5">
        <v>0</v>
      </c>
      <c r="N456" s="5">
        <v>0</v>
      </c>
      <c r="O456" s="5">
        <v>0</v>
      </c>
      <c r="P456" s="5">
        <v>0</v>
      </c>
      <c r="Q456" s="5">
        <v>0</v>
      </c>
      <c r="R456" s="5">
        <v>0</v>
      </c>
    </row>
    <row r="457" spans="1:18" ht="15" customHeight="1" x14ac:dyDescent="0.25">
      <c r="A457" s="5">
        <v>5688</v>
      </c>
      <c r="B457" s="5" t="s">
        <v>264</v>
      </c>
      <c r="C457" s="5" t="s">
        <v>1033</v>
      </c>
      <c r="D457" s="5" t="s">
        <v>1070</v>
      </c>
      <c r="E457" s="5" t="s">
        <v>880</v>
      </c>
      <c r="F457" s="5">
        <v>17</v>
      </c>
      <c r="G457" s="5">
        <v>5.74</v>
      </c>
      <c r="H457" s="5">
        <v>5.85</v>
      </c>
      <c r="I457" s="5">
        <v>1</v>
      </c>
      <c r="J457" s="5">
        <v>0</v>
      </c>
      <c r="K457" s="5">
        <v>0</v>
      </c>
      <c r="L457" s="5">
        <v>1</v>
      </c>
      <c r="M457" s="5">
        <v>1</v>
      </c>
      <c r="N457" s="5">
        <v>0</v>
      </c>
      <c r="O457" s="5">
        <v>0</v>
      </c>
      <c r="P457" s="5">
        <v>3</v>
      </c>
      <c r="Q457" s="5">
        <v>0</v>
      </c>
      <c r="R457" s="5">
        <v>0</v>
      </c>
    </row>
    <row r="458" spans="1:18" ht="15" customHeight="1" x14ac:dyDescent="0.25">
      <c r="A458" s="5">
        <v>6486</v>
      </c>
      <c r="B458" s="5" t="s">
        <v>264</v>
      </c>
      <c r="C458" s="5" t="s">
        <v>1033</v>
      </c>
      <c r="D458" s="5" t="s">
        <v>1071</v>
      </c>
      <c r="E458" s="5" t="s">
        <v>880</v>
      </c>
      <c r="F458" s="5">
        <v>10</v>
      </c>
      <c r="G458" s="5">
        <v>5.75</v>
      </c>
      <c r="H458" s="5">
        <v>5.6</v>
      </c>
      <c r="I458" s="5">
        <v>0</v>
      </c>
      <c r="J458" s="5">
        <v>0</v>
      </c>
      <c r="K458" s="5">
        <v>0</v>
      </c>
      <c r="L458" s="5">
        <v>0</v>
      </c>
      <c r="M458" s="5">
        <v>0</v>
      </c>
      <c r="N458" s="5">
        <v>0</v>
      </c>
      <c r="O458" s="5">
        <v>0</v>
      </c>
      <c r="P458" s="5">
        <v>1</v>
      </c>
      <c r="Q458" s="5">
        <v>1</v>
      </c>
      <c r="R458" s="5">
        <v>0</v>
      </c>
    </row>
    <row r="459" spans="1:18" ht="15" customHeight="1" x14ac:dyDescent="0.25">
      <c r="A459" s="5">
        <v>7203</v>
      </c>
      <c r="B459" s="5" t="s">
        <v>264</v>
      </c>
      <c r="C459" s="5" t="s">
        <v>264</v>
      </c>
      <c r="D459" s="5" t="s">
        <v>383</v>
      </c>
      <c r="E459" s="5" t="s">
        <v>18</v>
      </c>
      <c r="F459" s="5">
        <v>12</v>
      </c>
      <c r="G459" s="5">
        <v>5.71</v>
      </c>
      <c r="H459" s="5">
        <v>5.79</v>
      </c>
      <c r="I459" s="5">
        <v>0</v>
      </c>
      <c r="J459" s="5">
        <v>0</v>
      </c>
      <c r="K459" s="5">
        <v>0</v>
      </c>
      <c r="L459" s="5">
        <v>0</v>
      </c>
      <c r="M459" s="5">
        <v>0</v>
      </c>
      <c r="N459" s="5">
        <v>0</v>
      </c>
      <c r="O459" s="5">
        <v>1</v>
      </c>
      <c r="P459" s="5">
        <v>0</v>
      </c>
      <c r="Q459" s="5">
        <v>0</v>
      </c>
      <c r="R459" s="5">
        <v>0</v>
      </c>
    </row>
    <row r="460" spans="1:18" ht="15" customHeight="1" x14ac:dyDescent="0.25">
      <c r="A460" s="5">
        <v>6218</v>
      </c>
      <c r="B460" s="5" t="s">
        <v>264</v>
      </c>
      <c r="C460" s="5" t="s">
        <v>1072</v>
      </c>
      <c r="D460" s="5" t="s">
        <v>326</v>
      </c>
      <c r="E460" s="5" t="s">
        <v>38</v>
      </c>
      <c r="F460" s="5">
        <v>18</v>
      </c>
      <c r="G460" s="5">
        <v>5.78</v>
      </c>
      <c r="H460" s="5">
        <v>5.92</v>
      </c>
      <c r="I460" s="5">
        <v>1</v>
      </c>
      <c r="J460" s="5">
        <v>0</v>
      </c>
      <c r="K460" s="5">
        <v>0</v>
      </c>
      <c r="L460" s="5">
        <v>0</v>
      </c>
      <c r="M460" s="5">
        <v>0</v>
      </c>
      <c r="N460" s="5">
        <v>0</v>
      </c>
      <c r="O460" s="5">
        <v>0</v>
      </c>
      <c r="P460" s="5">
        <v>1</v>
      </c>
      <c r="Q460" s="5">
        <v>0</v>
      </c>
      <c r="R460" s="5">
        <v>0</v>
      </c>
    </row>
    <row r="461" spans="1:18" ht="15" customHeight="1" x14ac:dyDescent="0.25">
      <c r="A461" s="5">
        <v>6575</v>
      </c>
      <c r="B461" s="5" t="s">
        <v>264</v>
      </c>
      <c r="C461" s="5" t="s">
        <v>1029</v>
      </c>
      <c r="D461" s="5" t="s">
        <v>1073</v>
      </c>
      <c r="E461" s="5" t="s">
        <v>10</v>
      </c>
      <c r="F461" s="5">
        <v>3</v>
      </c>
      <c r="G461" s="5">
        <v>5.83</v>
      </c>
      <c r="H461" s="5">
        <v>6</v>
      </c>
      <c r="I461" s="5">
        <v>0</v>
      </c>
      <c r="J461" s="5">
        <v>0</v>
      </c>
      <c r="K461" s="5">
        <v>0</v>
      </c>
      <c r="L461" s="5">
        <v>0</v>
      </c>
      <c r="M461" s="5">
        <v>0</v>
      </c>
      <c r="N461" s="5">
        <v>0</v>
      </c>
      <c r="O461" s="5">
        <v>1</v>
      </c>
      <c r="P461" s="5">
        <v>1</v>
      </c>
      <c r="Q461" s="5">
        <v>0</v>
      </c>
      <c r="R461" s="5">
        <v>0</v>
      </c>
    </row>
    <row r="462" spans="1:18" ht="15" customHeight="1" x14ac:dyDescent="0.25">
      <c r="A462" s="5">
        <v>6225</v>
      </c>
      <c r="B462" s="5" t="s">
        <v>264</v>
      </c>
      <c r="C462" s="5" t="s">
        <v>1025</v>
      </c>
      <c r="D462" s="5" t="s">
        <v>1074</v>
      </c>
      <c r="E462" s="5" t="s">
        <v>24</v>
      </c>
      <c r="F462" s="5">
        <v>0</v>
      </c>
      <c r="G462" s="5">
        <v>0</v>
      </c>
      <c r="H462" s="5">
        <v>0</v>
      </c>
      <c r="I462" s="5">
        <v>0</v>
      </c>
      <c r="J462" s="5">
        <v>0</v>
      </c>
      <c r="K462" s="5">
        <v>0</v>
      </c>
      <c r="L462" s="5">
        <v>0</v>
      </c>
      <c r="M462" s="5">
        <v>0</v>
      </c>
      <c r="N462" s="5">
        <v>0</v>
      </c>
      <c r="O462" s="5">
        <v>0</v>
      </c>
      <c r="P462" s="5">
        <v>0</v>
      </c>
      <c r="Q462" s="5">
        <v>0</v>
      </c>
      <c r="R462" s="5">
        <v>0</v>
      </c>
    </row>
    <row r="463" spans="1:18" ht="15" customHeight="1" x14ac:dyDescent="0.25">
      <c r="A463" s="5">
        <v>4284</v>
      </c>
      <c r="B463" s="5" t="s">
        <v>264</v>
      </c>
      <c r="C463" s="5" t="s">
        <v>1025</v>
      </c>
      <c r="D463" s="5" t="s">
        <v>1075</v>
      </c>
      <c r="E463" s="5" t="s">
        <v>16</v>
      </c>
      <c r="F463" s="5">
        <v>13</v>
      </c>
      <c r="G463" s="5">
        <v>5.85</v>
      </c>
      <c r="H463" s="5">
        <v>5.73</v>
      </c>
      <c r="I463" s="5">
        <v>0</v>
      </c>
      <c r="J463" s="5">
        <v>0</v>
      </c>
      <c r="K463" s="5">
        <v>0</v>
      </c>
      <c r="L463" s="5">
        <v>0</v>
      </c>
      <c r="M463" s="5">
        <v>0</v>
      </c>
      <c r="N463" s="5">
        <v>0</v>
      </c>
      <c r="O463" s="5">
        <v>0</v>
      </c>
      <c r="P463" s="5">
        <v>3</v>
      </c>
      <c r="Q463" s="5">
        <v>0</v>
      </c>
      <c r="R463" s="5">
        <v>0</v>
      </c>
    </row>
    <row r="464" spans="1:18" ht="15" customHeight="1" x14ac:dyDescent="0.25">
      <c r="A464" s="5">
        <v>5863</v>
      </c>
      <c r="B464" s="5" t="s">
        <v>264</v>
      </c>
      <c r="C464" s="5" t="s">
        <v>1025</v>
      </c>
      <c r="D464" s="5" t="s">
        <v>1076</v>
      </c>
      <c r="E464" s="5" t="s">
        <v>878</v>
      </c>
      <c r="F464" s="5">
        <v>0</v>
      </c>
      <c r="G464" s="5">
        <v>0</v>
      </c>
      <c r="H464" s="5">
        <v>0</v>
      </c>
      <c r="I464" s="5">
        <v>0</v>
      </c>
      <c r="J464" s="5">
        <v>0</v>
      </c>
      <c r="K464" s="5">
        <v>0</v>
      </c>
      <c r="L464" s="5">
        <v>0</v>
      </c>
      <c r="M464" s="5">
        <v>0</v>
      </c>
      <c r="N464" s="5">
        <v>0</v>
      </c>
      <c r="O464" s="5">
        <v>0</v>
      </c>
      <c r="P464" s="5">
        <v>0</v>
      </c>
      <c r="Q464" s="5">
        <v>0</v>
      </c>
      <c r="R464" s="5">
        <v>0</v>
      </c>
    </row>
    <row r="465" spans="1:18" ht="15" customHeight="1" x14ac:dyDescent="0.25">
      <c r="A465" s="5">
        <v>6010</v>
      </c>
      <c r="B465" s="5" t="s">
        <v>264</v>
      </c>
      <c r="C465" s="5" t="s">
        <v>1023</v>
      </c>
      <c r="D465" s="5" t="s">
        <v>318</v>
      </c>
      <c r="E465" s="5" t="s">
        <v>20</v>
      </c>
      <c r="F465" s="5">
        <v>12</v>
      </c>
      <c r="G465" s="5">
        <v>5.88</v>
      </c>
      <c r="H465" s="5">
        <v>5.83</v>
      </c>
      <c r="I465" s="5">
        <v>0</v>
      </c>
      <c r="J465" s="5">
        <v>0</v>
      </c>
      <c r="K465" s="5">
        <v>0</v>
      </c>
      <c r="L465" s="5">
        <v>0</v>
      </c>
      <c r="M465" s="5">
        <v>0</v>
      </c>
      <c r="N465" s="5">
        <v>0</v>
      </c>
      <c r="O465" s="5">
        <v>0</v>
      </c>
      <c r="P465" s="5">
        <v>2</v>
      </c>
      <c r="Q465" s="5">
        <v>0</v>
      </c>
      <c r="R465" s="5">
        <v>0</v>
      </c>
    </row>
    <row r="466" spans="1:18" ht="15" customHeight="1" x14ac:dyDescent="0.25">
      <c r="A466" s="5">
        <v>4911</v>
      </c>
      <c r="B466" s="5" t="s">
        <v>264</v>
      </c>
      <c r="C466" s="5" t="s">
        <v>264</v>
      </c>
      <c r="D466" s="5" t="s">
        <v>379</v>
      </c>
      <c r="E466" s="5" t="s">
        <v>28</v>
      </c>
      <c r="F466" s="5">
        <v>0</v>
      </c>
      <c r="G466" s="5">
        <v>0</v>
      </c>
      <c r="H466" s="5">
        <v>0</v>
      </c>
      <c r="I466" s="5">
        <v>0</v>
      </c>
      <c r="J466" s="5">
        <v>0</v>
      </c>
      <c r="K466" s="5">
        <v>0</v>
      </c>
      <c r="L466" s="5">
        <v>0</v>
      </c>
      <c r="M466" s="5">
        <v>0</v>
      </c>
      <c r="N466" s="5">
        <v>0</v>
      </c>
      <c r="O466" s="5">
        <v>0</v>
      </c>
      <c r="P466" s="5">
        <v>0</v>
      </c>
      <c r="Q466" s="5">
        <v>0</v>
      </c>
      <c r="R466" s="5">
        <v>0</v>
      </c>
    </row>
    <row r="467" spans="1:18" ht="15" customHeight="1" x14ac:dyDescent="0.25">
      <c r="A467" s="5">
        <v>6191</v>
      </c>
      <c r="B467" s="5" t="s">
        <v>264</v>
      </c>
      <c r="C467" s="5" t="s">
        <v>1025</v>
      </c>
      <c r="D467" s="5" t="s">
        <v>424</v>
      </c>
      <c r="E467" s="5" t="s">
        <v>30</v>
      </c>
      <c r="F467" s="5">
        <v>11</v>
      </c>
      <c r="G467" s="5">
        <v>5.77</v>
      </c>
      <c r="H467" s="5">
        <v>5.82</v>
      </c>
      <c r="I467" s="5">
        <v>0</v>
      </c>
      <c r="J467" s="5">
        <v>0</v>
      </c>
      <c r="K467" s="5">
        <v>0</v>
      </c>
      <c r="L467" s="5">
        <v>0</v>
      </c>
      <c r="M467" s="5">
        <v>0</v>
      </c>
      <c r="N467" s="5">
        <v>0</v>
      </c>
      <c r="O467" s="5">
        <v>2</v>
      </c>
      <c r="P467" s="5">
        <v>1</v>
      </c>
      <c r="Q467" s="5">
        <v>1</v>
      </c>
      <c r="R467" s="5">
        <v>0</v>
      </c>
    </row>
    <row r="468" spans="1:18" ht="15" customHeight="1" x14ac:dyDescent="0.25">
      <c r="A468" s="5">
        <v>6410</v>
      </c>
      <c r="B468" s="5" t="s">
        <v>264</v>
      </c>
      <c r="C468" s="5" t="s">
        <v>1025</v>
      </c>
      <c r="D468" s="5" t="s">
        <v>427</v>
      </c>
      <c r="E468" s="5" t="s">
        <v>36</v>
      </c>
      <c r="F468" s="5">
        <v>11</v>
      </c>
      <c r="G468" s="5">
        <v>5.77</v>
      </c>
      <c r="H468" s="5">
        <v>5.73</v>
      </c>
      <c r="I468" s="5">
        <v>0</v>
      </c>
      <c r="J468" s="5">
        <v>0</v>
      </c>
      <c r="K468" s="5">
        <v>0</v>
      </c>
      <c r="L468" s="5">
        <v>0</v>
      </c>
      <c r="M468" s="5">
        <v>0</v>
      </c>
      <c r="N468" s="5">
        <v>0</v>
      </c>
      <c r="O468" s="5">
        <v>0</v>
      </c>
      <c r="P468" s="5">
        <v>1</v>
      </c>
      <c r="Q468" s="5">
        <v>0</v>
      </c>
      <c r="R468" s="5">
        <v>0</v>
      </c>
    </row>
    <row r="469" spans="1:18" ht="15" customHeight="1" x14ac:dyDescent="0.25">
      <c r="A469" s="5">
        <v>6634</v>
      </c>
      <c r="B469" s="5" t="s">
        <v>264</v>
      </c>
      <c r="C469" s="5" t="s">
        <v>1027</v>
      </c>
      <c r="D469" s="5" t="s">
        <v>1077</v>
      </c>
      <c r="E469" s="5" t="s">
        <v>36</v>
      </c>
      <c r="F469" s="5">
        <v>15</v>
      </c>
      <c r="G469" s="5">
        <v>5.57</v>
      </c>
      <c r="H469" s="5">
        <v>5.57</v>
      </c>
      <c r="I469" s="5">
        <v>0</v>
      </c>
      <c r="J469" s="5">
        <v>0</v>
      </c>
      <c r="K469" s="5">
        <v>0</v>
      </c>
      <c r="L469" s="5">
        <v>0</v>
      </c>
      <c r="M469" s="5">
        <v>0</v>
      </c>
      <c r="N469" s="5">
        <v>0</v>
      </c>
      <c r="O469" s="5">
        <v>1</v>
      </c>
      <c r="P469" s="5">
        <v>2</v>
      </c>
      <c r="Q469" s="5">
        <v>0</v>
      </c>
      <c r="R469" s="5">
        <v>0</v>
      </c>
    </row>
    <row r="470" spans="1:18" ht="15" customHeight="1" x14ac:dyDescent="0.25">
      <c r="A470" s="5">
        <v>6984</v>
      </c>
      <c r="B470" s="5" t="s">
        <v>264</v>
      </c>
      <c r="C470" s="5" t="s">
        <v>1029</v>
      </c>
      <c r="D470" s="5" t="s">
        <v>360</v>
      </c>
      <c r="E470" s="5" t="s">
        <v>38</v>
      </c>
      <c r="F470" s="5">
        <v>15</v>
      </c>
      <c r="G470" s="5">
        <v>5.7</v>
      </c>
      <c r="H470" s="5">
        <v>5.63</v>
      </c>
      <c r="I470" s="5">
        <v>0</v>
      </c>
      <c r="J470" s="5">
        <v>0</v>
      </c>
      <c r="K470" s="5">
        <v>0</v>
      </c>
      <c r="L470" s="5">
        <v>0</v>
      </c>
      <c r="M470" s="5">
        <v>0</v>
      </c>
      <c r="N470" s="5">
        <v>0</v>
      </c>
      <c r="O470" s="5">
        <v>0</v>
      </c>
      <c r="P470" s="5">
        <v>2</v>
      </c>
      <c r="Q470" s="5">
        <v>0</v>
      </c>
      <c r="R470" s="5">
        <v>0</v>
      </c>
    </row>
    <row r="471" spans="1:18" ht="15" customHeight="1" x14ac:dyDescent="0.25">
      <c r="A471" s="5">
        <v>7147</v>
      </c>
      <c r="B471" s="5" t="s">
        <v>264</v>
      </c>
      <c r="C471" s="5" t="s">
        <v>1025</v>
      </c>
      <c r="D471" s="5" t="s">
        <v>1078</v>
      </c>
      <c r="E471" s="5" t="s">
        <v>883</v>
      </c>
      <c r="F471" s="5">
        <v>15</v>
      </c>
      <c r="G471" s="5">
        <v>5.57</v>
      </c>
      <c r="H471" s="5">
        <v>5.5</v>
      </c>
      <c r="I471" s="5">
        <v>0</v>
      </c>
      <c r="J471" s="5">
        <v>0</v>
      </c>
      <c r="K471" s="5">
        <v>0</v>
      </c>
      <c r="L471" s="5">
        <v>0</v>
      </c>
      <c r="M471" s="5">
        <v>0</v>
      </c>
      <c r="N471" s="5">
        <v>0</v>
      </c>
      <c r="O471" s="5">
        <v>0</v>
      </c>
      <c r="P471" s="5">
        <v>2</v>
      </c>
      <c r="Q471" s="5">
        <v>0</v>
      </c>
      <c r="R471" s="5">
        <v>0</v>
      </c>
    </row>
    <row r="472" spans="1:18" ht="15" customHeight="1" x14ac:dyDescent="0.25">
      <c r="A472" s="5">
        <v>7150</v>
      </c>
      <c r="B472" s="5" t="s">
        <v>264</v>
      </c>
      <c r="C472" s="5" t="s">
        <v>264</v>
      </c>
      <c r="D472" s="5" t="s">
        <v>1079</v>
      </c>
      <c r="E472" s="5" t="s">
        <v>883</v>
      </c>
      <c r="F472" s="5">
        <v>14</v>
      </c>
      <c r="G472" s="5">
        <v>5.79</v>
      </c>
      <c r="H472" s="5">
        <v>5.64</v>
      </c>
      <c r="I472" s="5">
        <v>0</v>
      </c>
      <c r="J472" s="5">
        <v>0</v>
      </c>
      <c r="K472" s="5">
        <v>0</v>
      </c>
      <c r="L472" s="5">
        <v>0</v>
      </c>
      <c r="M472" s="5">
        <v>0</v>
      </c>
      <c r="N472" s="5">
        <v>0</v>
      </c>
      <c r="O472" s="5">
        <v>0</v>
      </c>
      <c r="P472" s="5">
        <v>4</v>
      </c>
      <c r="Q472" s="5">
        <v>0</v>
      </c>
      <c r="R472" s="5">
        <v>0</v>
      </c>
    </row>
    <row r="473" spans="1:18" ht="15" customHeight="1" x14ac:dyDescent="0.25">
      <c r="A473" s="5">
        <v>7157</v>
      </c>
      <c r="B473" s="5" t="s">
        <v>264</v>
      </c>
      <c r="C473" s="5" t="s">
        <v>264</v>
      </c>
      <c r="D473" s="5" t="s">
        <v>430</v>
      </c>
      <c r="E473" s="5" t="s">
        <v>41</v>
      </c>
      <c r="F473" s="5">
        <v>5</v>
      </c>
      <c r="G473" s="5">
        <v>6</v>
      </c>
      <c r="H473" s="5">
        <v>6.5</v>
      </c>
      <c r="I473" s="5">
        <v>1</v>
      </c>
      <c r="J473" s="5">
        <v>0</v>
      </c>
      <c r="K473" s="5">
        <v>0</v>
      </c>
      <c r="L473" s="5">
        <v>0</v>
      </c>
      <c r="M473" s="5">
        <v>0</v>
      </c>
      <c r="N473" s="5">
        <v>0</v>
      </c>
      <c r="O473" s="5">
        <v>0</v>
      </c>
      <c r="P473" s="5">
        <v>3</v>
      </c>
      <c r="Q473" s="5">
        <v>0</v>
      </c>
      <c r="R473" s="5">
        <v>0</v>
      </c>
    </row>
    <row r="474" spans="1:18" ht="15" customHeight="1" x14ac:dyDescent="0.25">
      <c r="A474" s="5">
        <v>6212</v>
      </c>
      <c r="B474" s="5" t="s">
        <v>264</v>
      </c>
      <c r="C474" s="5" t="s">
        <v>1025</v>
      </c>
      <c r="D474" s="5" t="s">
        <v>434</v>
      </c>
      <c r="E474" s="5" t="s">
        <v>32</v>
      </c>
      <c r="F474" s="5">
        <v>10</v>
      </c>
      <c r="G474" s="5">
        <v>5.75</v>
      </c>
      <c r="H474" s="5">
        <v>5.7</v>
      </c>
      <c r="I474" s="5">
        <v>0</v>
      </c>
      <c r="J474" s="5">
        <v>0</v>
      </c>
      <c r="K474" s="5">
        <v>0</v>
      </c>
      <c r="L474" s="5">
        <v>0</v>
      </c>
      <c r="M474" s="5">
        <v>0</v>
      </c>
      <c r="N474" s="5">
        <v>0</v>
      </c>
      <c r="O474" s="5">
        <v>0</v>
      </c>
      <c r="P474" s="5">
        <v>2</v>
      </c>
      <c r="Q474" s="5">
        <v>0</v>
      </c>
      <c r="R474" s="5">
        <v>0</v>
      </c>
    </row>
    <row r="475" spans="1:18" ht="15" customHeight="1" x14ac:dyDescent="0.25">
      <c r="A475" s="5">
        <v>5850</v>
      </c>
      <c r="B475" s="5" t="s">
        <v>264</v>
      </c>
      <c r="C475" s="5" t="s">
        <v>264</v>
      </c>
      <c r="D475" s="5" t="s">
        <v>1080</v>
      </c>
      <c r="E475" s="5" t="s">
        <v>880</v>
      </c>
      <c r="F475" s="5">
        <v>10</v>
      </c>
      <c r="G475" s="5">
        <v>5.75</v>
      </c>
      <c r="H475" s="5">
        <v>5.75</v>
      </c>
      <c r="I475" s="5">
        <v>0</v>
      </c>
      <c r="J475" s="5">
        <v>0</v>
      </c>
      <c r="K475" s="5">
        <v>0</v>
      </c>
      <c r="L475" s="5">
        <v>0</v>
      </c>
      <c r="M475" s="5">
        <v>0</v>
      </c>
      <c r="N475" s="5">
        <v>0</v>
      </c>
      <c r="O475" s="5">
        <v>1</v>
      </c>
      <c r="P475" s="5">
        <v>2</v>
      </c>
      <c r="Q475" s="5">
        <v>0</v>
      </c>
      <c r="R475" s="5">
        <v>0</v>
      </c>
    </row>
    <row r="476" spans="1:18" ht="15" customHeight="1" x14ac:dyDescent="0.25">
      <c r="A476" s="5">
        <v>7254</v>
      </c>
      <c r="B476" s="5" t="s">
        <v>264</v>
      </c>
      <c r="C476" s="5" t="s">
        <v>1024</v>
      </c>
      <c r="D476" s="5" t="s">
        <v>1081</v>
      </c>
      <c r="E476" s="5" t="s">
        <v>883</v>
      </c>
      <c r="F476" s="5">
        <v>4</v>
      </c>
      <c r="G476" s="5">
        <v>5.88</v>
      </c>
      <c r="H476" s="5">
        <v>6.62</v>
      </c>
      <c r="I476" s="5">
        <v>1</v>
      </c>
      <c r="J476" s="5">
        <v>0</v>
      </c>
      <c r="K476" s="5">
        <v>0</v>
      </c>
      <c r="L476" s="5">
        <v>0</v>
      </c>
      <c r="M476" s="5">
        <v>0</v>
      </c>
      <c r="N476" s="5">
        <v>0</v>
      </c>
      <c r="O476" s="5">
        <v>0</v>
      </c>
      <c r="P476" s="5">
        <v>0</v>
      </c>
      <c r="Q476" s="5">
        <v>0</v>
      </c>
      <c r="R476" s="5">
        <v>0</v>
      </c>
    </row>
    <row r="477" spans="1:18" ht="15" customHeight="1" x14ac:dyDescent="0.25">
      <c r="A477" s="5">
        <v>6528</v>
      </c>
      <c r="B477" s="5" t="s">
        <v>264</v>
      </c>
      <c r="C477" s="5" t="s">
        <v>1033</v>
      </c>
      <c r="D477" s="5" t="s">
        <v>1082</v>
      </c>
      <c r="E477" s="5" t="s">
        <v>878</v>
      </c>
      <c r="F477" s="5">
        <v>5</v>
      </c>
      <c r="G477" s="5">
        <v>5.9</v>
      </c>
      <c r="H477" s="5">
        <v>5.9</v>
      </c>
      <c r="I477" s="5">
        <v>0</v>
      </c>
      <c r="J477" s="5">
        <v>0</v>
      </c>
      <c r="K477" s="5">
        <v>0</v>
      </c>
      <c r="L477" s="5">
        <v>0</v>
      </c>
      <c r="M477" s="5">
        <v>0</v>
      </c>
      <c r="N477" s="5">
        <v>0</v>
      </c>
      <c r="O477" s="5">
        <v>0</v>
      </c>
      <c r="P477" s="5">
        <v>0</v>
      </c>
      <c r="Q477" s="5">
        <v>0</v>
      </c>
      <c r="R477" s="5">
        <v>0</v>
      </c>
    </row>
    <row r="478" spans="1:18" ht="15" customHeight="1" x14ac:dyDescent="0.25">
      <c r="A478" s="5">
        <v>6112</v>
      </c>
      <c r="B478" s="5" t="s">
        <v>264</v>
      </c>
      <c r="C478" s="5" t="s">
        <v>1032</v>
      </c>
      <c r="D478" s="5" t="s">
        <v>1083</v>
      </c>
      <c r="E478" s="5" t="s">
        <v>883</v>
      </c>
      <c r="F478" s="5">
        <v>3</v>
      </c>
      <c r="G478" s="5">
        <v>5.83</v>
      </c>
      <c r="H478" s="5">
        <v>5.83</v>
      </c>
      <c r="I478" s="5">
        <v>0</v>
      </c>
      <c r="J478" s="5">
        <v>0</v>
      </c>
      <c r="K478" s="5">
        <v>0</v>
      </c>
      <c r="L478" s="5">
        <v>0</v>
      </c>
      <c r="M478" s="5">
        <v>0</v>
      </c>
      <c r="N478" s="5">
        <v>0</v>
      </c>
      <c r="O478" s="5">
        <v>0</v>
      </c>
      <c r="P478" s="5">
        <v>0</v>
      </c>
      <c r="Q478" s="5">
        <v>0</v>
      </c>
      <c r="R478" s="5">
        <v>0</v>
      </c>
    </row>
    <row r="479" spans="1:18" ht="15" customHeight="1" x14ac:dyDescent="0.25">
      <c r="A479" s="5">
        <v>6676</v>
      </c>
      <c r="B479" s="5" t="s">
        <v>264</v>
      </c>
      <c r="C479" s="5" t="s">
        <v>1025</v>
      </c>
      <c r="D479" s="5" t="s">
        <v>1084</v>
      </c>
      <c r="E479" s="5" t="s">
        <v>16</v>
      </c>
      <c r="F479" s="5">
        <v>0</v>
      </c>
      <c r="G479" s="5">
        <v>0</v>
      </c>
      <c r="H479" s="5">
        <v>0</v>
      </c>
      <c r="I479" s="5">
        <v>0</v>
      </c>
      <c r="J479" s="5">
        <v>0</v>
      </c>
      <c r="K479" s="5">
        <v>0</v>
      </c>
      <c r="L479" s="5">
        <v>0</v>
      </c>
      <c r="M479" s="5">
        <v>0</v>
      </c>
      <c r="N479" s="5">
        <v>0</v>
      </c>
      <c r="O479" s="5">
        <v>0</v>
      </c>
      <c r="P479" s="5">
        <v>0</v>
      </c>
      <c r="Q479" s="5">
        <v>0</v>
      </c>
      <c r="R479" s="5">
        <v>0</v>
      </c>
    </row>
    <row r="480" spans="1:18" ht="15" customHeight="1" x14ac:dyDescent="0.25">
      <c r="A480" s="5">
        <v>7132</v>
      </c>
      <c r="B480" s="5" t="s">
        <v>264</v>
      </c>
      <c r="C480" s="5" t="s">
        <v>1025</v>
      </c>
      <c r="D480" s="5" t="s">
        <v>1085</v>
      </c>
      <c r="E480" s="5" t="s">
        <v>878</v>
      </c>
      <c r="F480" s="5">
        <v>5</v>
      </c>
      <c r="G480" s="5">
        <v>5.9</v>
      </c>
      <c r="H480" s="5">
        <v>5.8</v>
      </c>
      <c r="I480" s="5">
        <v>0</v>
      </c>
      <c r="J480" s="5">
        <v>0</v>
      </c>
      <c r="K480" s="5">
        <v>0</v>
      </c>
      <c r="L480" s="5">
        <v>0</v>
      </c>
      <c r="M480" s="5">
        <v>0</v>
      </c>
      <c r="N480" s="5">
        <v>0</v>
      </c>
      <c r="O480" s="5">
        <v>0</v>
      </c>
      <c r="P480" s="5">
        <v>1</v>
      </c>
      <c r="Q480" s="5">
        <v>0</v>
      </c>
      <c r="R480" s="5">
        <v>0</v>
      </c>
    </row>
    <row r="481" spans="1:18" ht="15" customHeight="1" x14ac:dyDescent="0.25">
      <c r="A481" s="5">
        <v>5857</v>
      </c>
      <c r="B481" s="5" t="s">
        <v>264</v>
      </c>
      <c r="C481" s="5" t="s">
        <v>1025</v>
      </c>
      <c r="D481" s="5" t="s">
        <v>1086</v>
      </c>
      <c r="E481" s="5" t="s">
        <v>878</v>
      </c>
      <c r="F481" s="5">
        <v>0</v>
      </c>
      <c r="G481" s="5">
        <v>0</v>
      </c>
      <c r="H481" s="5">
        <v>0</v>
      </c>
      <c r="I481" s="5">
        <v>0</v>
      </c>
      <c r="J481" s="5">
        <v>0</v>
      </c>
      <c r="K481" s="5">
        <v>0</v>
      </c>
      <c r="L481" s="5">
        <v>0</v>
      </c>
      <c r="M481" s="5">
        <v>0</v>
      </c>
      <c r="N481" s="5">
        <v>0</v>
      </c>
      <c r="O481" s="5">
        <v>0</v>
      </c>
      <c r="P481" s="5">
        <v>0</v>
      </c>
      <c r="Q481" s="5">
        <v>0</v>
      </c>
      <c r="R481" s="5">
        <v>0</v>
      </c>
    </row>
    <row r="482" spans="1:18" ht="15" customHeight="1" x14ac:dyDescent="0.25">
      <c r="A482" s="5">
        <v>6804</v>
      </c>
      <c r="B482" s="5" t="s">
        <v>264</v>
      </c>
      <c r="C482" s="5" t="s">
        <v>1025</v>
      </c>
      <c r="D482" s="5" t="s">
        <v>1087</v>
      </c>
      <c r="E482" s="5" t="s">
        <v>20</v>
      </c>
      <c r="F482" s="5">
        <v>1</v>
      </c>
      <c r="G482" s="5">
        <v>5.5</v>
      </c>
      <c r="H482" s="5">
        <v>5.5</v>
      </c>
      <c r="I482" s="5">
        <v>0</v>
      </c>
      <c r="J482" s="5">
        <v>0</v>
      </c>
      <c r="K482" s="5">
        <v>0</v>
      </c>
      <c r="L482" s="5">
        <v>0</v>
      </c>
      <c r="M482" s="5">
        <v>0</v>
      </c>
      <c r="N482" s="5">
        <v>0</v>
      </c>
      <c r="O482" s="5">
        <v>0</v>
      </c>
      <c r="P482" s="5">
        <v>0</v>
      </c>
      <c r="Q482" s="5">
        <v>0</v>
      </c>
      <c r="R482" s="5">
        <v>0</v>
      </c>
    </row>
    <row r="483" spans="1:18" ht="15" customHeight="1" x14ac:dyDescent="0.25">
      <c r="A483" s="5">
        <v>5788</v>
      </c>
      <c r="B483" s="5" t="s">
        <v>264</v>
      </c>
      <c r="C483" s="5" t="s">
        <v>1024</v>
      </c>
      <c r="D483" s="5" t="s">
        <v>1088</v>
      </c>
      <c r="E483" s="5" t="s">
        <v>20</v>
      </c>
      <c r="F483" s="5">
        <v>1</v>
      </c>
      <c r="G483" s="5">
        <v>5.5</v>
      </c>
      <c r="H483" s="5">
        <v>5.5</v>
      </c>
      <c r="I483" s="5">
        <v>0</v>
      </c>
      <c r="J483" s="5">
        <v>0</v>
      </c>
      <c r="K483" s="5">
        <v>0</v>
      </c>
      <c r="L483" s="5">
        <v>0</v>
      </c>
      <c r="M483" s="5">
        <v>0</v>
      </c>
      <c r="N483" s="5">
        <v>0</v>
      </c>
      <c r="O483" s="5">
        <v>0</v>
      </c>
      <c r="P483" s="5">
        <v>0</v>
      </c>
      <c r="Q483" s="5">
        <v>0</v>
      </c>
      <c r="R483" s="5">
        <v>0</v>
      </c>
    </row>
    <row r="484" spans="1:18" ht="15" customHeight="1" x14ac:dyDescent="0.25">
      <c r="A484" s="5">
        <v>6980</v>
      </c>
      <c r="B484" s="5" t="s">
        <v>264</v>
      </c>
      <c r="C484" s="5" t="s">
        <v>1027</v>
      </c>
      <c r="D484" s="5" t="s">
        <v>411</v>
      </c>
      <c r="E484" s="5" t="s">
        <v>10</v>
      </c>
      <c r="F484" s="5">
        <v>7</v>
      </c>
      <c r="G484" s="5">
        <v>5.86</v>
      </c>
      <c r="H484" s="5">
        <v>5.86</v>
      </c>
      <c r="I484" s="5">
        <v>0</v>
      </c>
      <c r="J484" s="5">
        <v>0</v>
      </c>
      <c r="K484" s="5">
        <v>0</v>
      </c>
      <c r="L484" s="5">
        <v>0</v>
      </c>
      <c r="M484" s="5">
        <v>0</v>
      </c>
      <c r="N484" s="5">
        <v>0</v>
      </c>
      <c r="O484" s="5">
        <v>0</v>
      </c>
      <c r="P484" s="5">
        <v>0</v>
      </c>
      <c r="Q484" s="5">
        <v>0</v>
      </c>
      <c r="R484" s="5">
        <v>0</v>
      </c>
    </row>
    <row r="485" spans="1:18" ht="15" customHeight="1" x14ac:dyDescent="0.25">
      <c r="A485" s="5">
        <v>6722</v>
      </c>
      <c r="B485" s="5" t="s">
        <v>264</v>
      </c>
      <c r="C485" s="5" t="s">
        <v>1033</v>
      </c>
      <c r="D485" s="5" t="s">
        <v>1089</v>
      </c>
      <c r="E485" s="5" t="s">
        <v>34</v>
      </c>
      <c r="F485" s="5">
        <v>2</v>
      </c>
      <c r="G485" s="5">
        <v>5.5</v>
      </c>
      <c r="H485" s="5">
        <v>5.25</v>
      </c>
      <c r="I485" s="5">
        <v>0</v>
      </c>
      <c r="J485" s="5">
        <v>0</v>
      </c>
      <c r="K485" s="5">
        <v>0</v>
      </c>
      <c r="L485" s="5">
        <v>0</v>
      </c>
      <c r="M485" s="5">
        <v>0</v>
      </c>
      <c r="N485" s="5">
        <v>0</v>
      </c>
      <c r="O485" s="5">
        <v>0</v>
      </c>
      <c r="P485" s="5">
        <v>1</v>
      </c>
      <c r="Q485" s="5">
        <v>0</v>
      </c>
      <c r="R485" s="5">
        <v>0</v>
      </c>
    </row>
    <row r="486" spans="1:18" ht="15" customHeight="1" x14ac:dyDescent="0.25">
      <c r="A486" s="5">
        <v>5719</v>
      </c>
      <c r="B486" s="5" t="s">
        <v>264</v>
      </c>
      <c r="C486" s="5" t="s">
        <v>1025</v>
      </c>
      <c r="D486" s="5" t="s">
        <v>1090</v>
      </c>
      <c r="E486" s="5" t="s">
        <v>81</v>
      </c>
      <c r="F486" s="5">
        <v>14</v>
      </c>
      <c r="G486" s="5">
        <v>5.57</v>
      </c>
      <c r="H486" s="5">
        <v>5.25</v>
      </c>
      <c r="I486" s="5">
        <v>0</v>
      </c>
      <c r="J486" s="5">
        <v>0</v>
      </c>
      <c r="K486" s="5">
        <v>0</v>
      </c>
      <c r="L486" s="5">
        <v>1</v>
      </c>
      <c r="M486" s="5">
        <v>0</v>
      </c>
      <c r="N486" s="5">
        <v>1</v>
      </c>
      <c r="O486" s="5">
        <v>0</v>
      </c>
      <c r="P486" s="5">
        <v>3</v>
      </c>
      <c r="Q486" s="5">
        <v>0</v>
      </c>
      <c r="R486" s="5">
        <v>0</v>
      </c>
    </row>
    <row r="487" spans="1:18" ht="15" customHeight="1" x14ac:dyDescent="0.25">
      <c r="A487" s="5">
        <v>4459</v>
      </c>
      <c r="B487" s="5" t="s">
        <v>264</v>
      </c>
      <c r="C487" s="5" t="s">
        <v>1025</v>
      </c>
      <c r="D487" s="5" t="s">
        <v>337</v>
      </c>
      <c r="E487" s="5" t="s">
        <v>30</v>
      </c>
      <c r="F487" s="5">
        <v>11</v>
      </c>
      <c r="G487" s="5">
        <v>5.73</v>
      </c>
      <c r="H487" s="5">
        <v>5.64</v>
      </c>
      <c r="I487" s="5">
        <v>0</v>
      </c>
      <c r="J487" s="5">
        <v>0</v>
      </c>
      <c r="K487" s="5">
        <v>0</v>
      </c>
      <c r="L487" s="5">
        <v>0</v>
      </c>
      <c r="M487" s="5">
        <v>0</v>
      </c>
      <c r="N487" s="5">
        <v>0</v>
      </c>
      <c r="O487" s="5">
        <v>1</v>
      </c>
      <c r="P487" s="5">
        <v>2</v>
      </c>
      <c r="Q487" s="5">
        <v>1</v>
      </c>
      <c r="R487" s="5">
        <v>0</v>
      </c>
    </row>
    <row r="488" spans="1:18" ht="15" customHeight="1" x14ac:dyDescent="0.25">
      <c r="A488" s="5">
        <v>5872</v>
      </c>
      <c r="B488" s="5" t="s">
        <v>264</v>
      </c>
      <c r="C488" s="5" t="s">
        <v>1023</v>
      </c>
      <c r="D488" s="5" t="s">
        <v>406</v>
      </c>
      <c r="E488" s="5" t="s">
        <v>36</v>
      </c>
      <c r="F488" s="5">
        <v>4</v>
      </c>
      <c r="G488" s="5">
        <v>5.62</v>
      </c>
      <c r="H488" s="5">
        <v>5.62</v>
      </c>
      <c r="I488" s="5">
        <v>0</v>
      </c>
      <c r="J488" s="5">
        <v>0</v>
      </c>
      <c r="K488" s="5">
        <v>0</v>
      </c>
      <c r="L488" s="5">
        <v>0</v>
      </c>
      <c r="M488" s="5">
        <v>0</v>
      </c>
      <c r="N488" s="5">
        <v>0</v>
      </c>
      <c r="O488" s="5">
        <v>0</v>
      </c>
      <c r="P488" s="5">
        <v>0</v>
      </c>
      <c r="Q488" s="5">
        <v>0</v>
      </c>
      <c r="R488" s="5">
        <v>0</v>
      </c>
    </row>
    <row r="489" spans="1:18" ht="15" customHeight="1" x14ac:dyDescent="0.25">
      <c r="A489" s="5">
        <v>4423</v>
      </c>
      <c r="B489" s="5" t="s">
        <v>264</v>
      </c>
      <c r="C489" s="5" t="s">
        <v>264</v>
      </c>
      <c r="D489" s="5" t="s">
        <v>1091</v>
      </c>
      <c r="E489" s="5" t="s">
        <v>38</v>
      </c>
      <c r="F489" s="5">
        <v>3</v>
      </c>
      <c r="G489" s="5">
        <v>5.67</v>
      </c>
      <c r="H489" s="5">
        <v>5.67</v>
      </c>
      <c r="I489" s="5">
        <v>0</v>
      </c>
      <c r="J489" s="5">
        <v>0</v>
      </c>
      <c r="K489" s="5">
        <v>0</v>
      </c>
      <c r="L489" s="5">
        <v>0</v>
      </c>
      <c r="M489" s="5">
        <v>0</v>
      </c>
      <c r="N489" s="5">
        <v>0</v>
      </c>
      <c r="O489" s="5">
        <v>0</v>
      </c>
      <c r="P489" s="5">
        <v>0</v>
      </c>
      <c r="Q489" s="5">
        <v>0</v>
      </c>
      <c r="R489" s="5">
        <v>0</v>
      </c>
    </row>
    <row r="490" spans="1:18" ht="15" customHeight="1" x14ac:dyDescent="0.25">
      <c r="A490" s="5">
        <v>7149</v>
      </c>
      <c r="B490" s="5" t="s">
        <v>264</v>
      </c>
      <c r="C490" s="5" t="s">
        <v>1025</v>
      </c>
      <c r="D490" s="5" t="s">
        <v>1092</v>
      </c>
      <c r="E490" s="5" t="s">
        <v>883</v>
      </c>
      <c r="F490" s="5">
        <v>20</v>
      </c>
      <c r="G490" s="5">
        <v>5.88</v>
      </c>
      <c r="H490" s="5">
        <v>5.7</v>
      </c>
      <c r="I490" s="5">
        <v>0</v>
      </c>
      <c r="J490" s="5">
        <v>0</v>
      </c>
      <c r="K490" s="5">
        <v>0</v>
      </c>
      <c r="L490" s="5">
        <v>0</v>
      </c>
      <c r="M490" s="5">
        <v>0</v>
      </c>
      <c r="N490" s="5">
        <v>0</v>
      </c>
      <c r="O490" s="5">
        <v>0</v>
      </c>
      <c r="P490" s="5">
        <v>7</v>
      </c>
      <c r="Q490" s="5">
        <v>0</v>
      </c>
      <c r="R490" s="5">
        <v>0</v>
      </c>
    </row>
    <row r="491" spans="1:18" ht="15" customHeight="1" x14ac:dyDescent="0.25">
      <c r="A491" s="5">
        <v>6219</v>
      </c>
      <c r="B491" s="5" t="s">
        <v>264</v>
      </c>
      <c r="C491" s="5" t="s">
        <v>1025</v>
      </c>
      <c r="D491" s="5" t="s">
        <v>416</v>
      </c>
      <c r="E491" s="5" t="s">
        <v>41</v>
      </c>
      <c r="F491" s="5">
        <v>2</v>
      </c>
      <c r="G491" s="5">
        <v>5.75</v>
      </c>
      <c r="H491" s="5">
        <v>5.75</v>
      </c>
      <c r="I491" s="5">
        <v>0</v>
      </c>
      <c r="J491" s="5">
        <v>0</v>
      </c>
      <c r="K491" s="5">
        <v>0</v>
      </c>
      <c r="L491" s="5">
        <v>0</v>
      </c>
      <c r="M491" s="5">
        <v>0</v>
      </c>
      <c r="N491" s="5">
        <v>0</v>
      </c>
      <c r="O491" s="5">
        <v>0</v>
      </c>
      <c r="P491" s="5">
        <v>0</v>
      </c>
      <c r="Q491" s="5">
        <v>0</v>
      </c>
      <c r="R491" s="5">
        <v>0</v>
      </c>
    </row>
    <row r="492" spans="1:18" ht="15" customHeight="1" x14ac:dyDescent="0.25">
      <c r="A492" s="5">
        <v>6889</v>
      </c>
      <c r="B492" s="5" t="s">
        <v>264</v>
      </c>
      <c r="C492" s="5" t="s">
        <v>1023</v>
      </c>
      <c r="D492" s="5" t="s">
        <v>432</v>
      </c>
      <c r="E492" s="5" t="s">
        <v>81</v>
      </c>
      <c r="F492" s="5">
        <v>9</v>
      </c>
      <c r="G492" s="5">
        <v>5.78</v>
      </c>
      <c r="H492" s="5">
        <v>5.72</v>
      </c>
      <c r="I492" s="5">
        <v>0</v>
      </c>
      <c r="J492" s="5">
        <v>0</v>
      </c>
      <c r="K492" s="5">
        <v>0</v>
      </c>
      <c r="L492" s="5">
        <v>0</v>
      </c>
      <c r="M492" s="5">
        <v>0</v>
      </c>
      <c r="N492" s="5">
        <v>0</v>
      </c>
      <c r="O492" s="5">
        <v>0</v>
      </c>
      <c r="P492" s="5">
        <v>1</v>
      </c>
      <c r="Q492" s="5">
        <v>0</v>
      </c>
      <c r="R492" s="5">
        <v>0</v>
      </c>
    </row>
    <row r="493" spans="1:18" ht="15" customHeight="1" x14ac:dyDescent="0.25">
      <c r="A493" s="5">
        <v>5540</v>
      </c>
      <c r="B493" s="5" t="s">
        <v>264</v>
      </c>
      <c r="C493" s="5" t="s">
        <v>1025</v>
      </c>
      <c r="D493" s="5" t="s">
        <v>1093</v>
      </c>
      <c r="E493" s="5" t="s">
        <v>880</v>
      </c>
      <c r="F493" s="5">
        <v>16</v>
      </c>
      <c r="G493" s="5">
        <v>5.69</v>
      </c>
      <c r="H493" s="5">
        <v>5.72</v>
      </c>
      <c r="I493" s="5">
        <v>0</v>
      </c>
      <c r="J493" s="5">
        <v>0</v>
      </c>
      <c r="K493" s="5">
        <v>0</v>
      </c>
      <c r="L493" s="5">
        <v>0</v>
      </c>
      <c r="M493" s="5">
        <v>0</v>
      </c>
      <c r="N493" s="5">
        <v>0</v>
      </c>
      <c r="O493" s="5">
        <v>1</v>
      </c>
      <c r="P493" s="5">
        <v>1</v>
      </c>
      <c r="Q493" s="5">
        <v>0</v>
      </c>
      <c r="R493" s="5">
        <v>0</v>
      </c>
    </row>
    <row r="494" spans="1:18" ht="15" customHeight="1" x14ac:dyDescent="0.25">
      <c r="A494" s="5">
        <v>6506</v>
      </c>
      <c r="B494" s="5" t="s">
        <v>264</v>
      </c>
      <c r="C494" s="5" t="s">
        <v>1032</v>
      </c>
      <c r="D494" s="5" t="s">
        <v>1094</v>
      </c>
      <c r="E494" s="5" t="s">
        <v>34</v>
      </c>
      <c r="F494" s="5">
        <v>1</v>
      </c>
      <c r="G494" s="5">
        <v>5.5</v>
      </c>
      <c r="H494" s="5">
        <v>5.5</v>
      </c>
      <c r="I494" s="5">
        <v>0</v>
      </c>
      <c r="J494" s="5">
        <v>0</v>
      </c>
      <c r="K494" s="5">
        <v>0</v>
      </c>
      <c r="L494" s="5">
        <v>0</v>
      </c>
      <c r="M494" s="5">
        <v>0</v>
      </c>
      <c r="N494" s="5">
        <v>0</v>
      </c>
      <c r="O494" s="5">
        <v>0</v>
      </c>
      <c r="P494" s="5">
        <v>0</v>
      </c>
      <c r="Q494" s="5">
        <v>0</v>
      </c>
      <c r="R494" s="5">
        <v>0</v>
      </c>
    </row>
    <row r="495" spans="1:18" ht="15" customHeight="1" x14ac:dyDescent="0.25">
      <c r="A495" s="5">
        <v>7248</v>
      </c>
      <c r="B495" s="5" t="s">
        <v>264</v>
      </c>
      <c r="C495" s="5" t="s">
        <v>1025</v>
      </c>
      <c r="D495" s="5" t="s">
        <v>426</v>
      </c>
      <c r="E495" s="5" t="s">
        <v>36</v>
      </c>
      <c r="F495" s="5">
        <v>1</v>
      </c>
      <c r="G495" s="5">
        <v>5.5</v>
      </c>
      <c r="H495" s="5">
        <v>5.5</v>
      </c>
      <c r="I495" s="5">
        <v>0</v>
      </c>
      <c r="J495" s="5">
        <v>0</v>
      </c>
      <c r="K495" s="5">
        <v>0</v>
      </c>
      <c r="L495" s="5">
        <v>0</v>
      </c>
      <c r="M495" s="5">
        <v>0</v>
      </c>
      <c r="N495" s="5">
        <v>0</v>
      </c>
      <c r="O495" s="5">
        <v>0</v>
      </c>
      <c r="P495" s="5">
        <v>0</v>
      </c>
      <c r="Q495" s="5">
        <v>0</v>
      </c>
      <c r="R495" s="5">
        <v>0</v>
      </c>
    </row>
    <row r="496" spans="1:18" ht="15" customHeight="1" x14ac:dyDescent="0.25">
      <c r="A496" s="5">
        <v>7010</v>
      </c>
      <c r="B496" s="5" t="s">
        <v>264</v>
      </c>
      <c r="C496" s="5" t="s">
        <v>1025</v>
      </c>
      <c r="D496" s="5" t="s">
        <v>1095</v>
      </c>
      <c r="E496" s="5" t="s">
        <v>880</v>
      </c>
      <c r="F496" s="5">
        <v>14</v>
      </c>
      <c r="G496" s="5">
        <v>5.71</v>
      </c>
      <c r="H496" s="5">
        <v>5.57</v>
      </c>
      <c r="I496" s="5">
        <v>0</v>
      </c>
      <c r="J496" s="5">
        <v>0</v>
      </c>
      <c r="K496" s="5">
        <v>0</v>
      </c>
      <c r="L496" s="5">
        <v>0</v>
      </c>
      <c r="M496" s="5">
        <v>0</v>
      </c>
      <c r="N496" s="5">
        <v>0</v>
      </c>
      <c r="O496" s="5">
        <v>1</v>
      </c>
      <c r="P496" s="5">
        <v>4</v>
      </c>
      <c r="Q496" s="5">
        <v>1</v>
      </c>
      <c r="R496" s="5">
        <v>0</v>
      </c>
    </row>
    <row r="497" spans="1:18" ht="15" customHeight="1" x14ac:dyDescent="0.25">
      <c r="A497" s="5">
        <v>4677</v>
      </c>
      <c r="B497" s="5" t="s">
        <v>264</v>
      </c>
      <c r="C497" s="5" t="s">
        <v>1027</v>
      </c>
      <c r="D497" s="5" t="s">
        <v>1096</v>
      </c>
      <c r="E497" s="5" t="s">
        <v>34</v>
      </c>
      <c r="F497" s="5">
        <v>5</v>
      </c>
      <c r="G497" s="5">
        <v>5.0999999999999996</v>
      </c>
      <c r="H497" s="5">
        <v>4.5</v>
      </c>
      <c r="I497" s="5">
        <v>0</v>
      </c>
      <c r="J497" s="5">
        <v>0</v>
      </c>
      <c r="K497" s="5">
        <v>0</v>
      </c>
      <c r="L497" s="5">
        <v>1</v>
      </c>
      <c r="M497" s="5">
        <v>0</v>
      </c>
      <c r="N497" s="5">
        <v>1</v>
      </c>
      <c r="O497" s="5">
        <v>0</v>
      </c>
      <c r="P497" s="5">
        <v>0</v>
      </c>
      <c r="Q497" s="5">
        <v>0</v>
      </c>
      <c r="R497" s="5">
        <v>0</v>
      </c>
    </row>
    <row r="498" spans="1:18" ht="15" customHeight="1" x14ac:dyDescent="0.25">
      <c r="A498" s="5">
        <v>7036</v>
      </c>
      <c r="B498" s="5" t="s">
        <v>264</v>
      </c>
      <c r="C498" s="5" t="s">
        <v>1023</v>
      </c>
      <c r="D498" s="5" t="s">
        <v>364</v>
      </c>
      <c r="E498" s="5" t="s">
        <v>41</v>
      </c>
      <c r="F498" s="5">
        <v>3</v>
      </c>
      <c r="G498" s="5">
        <v>6.17</v>
      </c>
      <c r="H498" s="5">
        <v>6.17</v>
      </c>
      <c r="I498" s="5">
        <v>0</v>
      </c>
      <c r="J498" s="5">
        <v>0</v>
      </c>
      <c r="K498" s="5">
        <v>0</v>
      </c>
      <c r="L498" s="5">
        <v>0</v>
      </c>
      <c r="M498" s="5">
        <v>0</v>
      </c>
      <c r="N498" s="5">
        <v>0</v>
      </c>
      <c r="O498" s="5">
        <v>0</v>
      </c>
      <c r="P498" s="5">
        <v>0</v>
      </c>
      <c r="Q498" s="5">
        <v>0</v>
      </c>
      <c r="R498" s="5">
        <v>0</v>
      </c>
    </row>
    <row r="499" spans="1:18" ht="15" customHeight="1" x14ac:dyDescent="0.25">
      <c r="A499" s="5">
        <v>7165</v>
      </c>
      <c r="B499" s="5" t="s">
        <v>264</v>
      </c>
      <c r="C499" s="5" t="s">
        <v>1025</v>
      </c>
      <c r="D499" s="5" t="s">
        <v>420</v>
      </c>
      <c r="E499" s="5" t="s">
        <v>26</v>
      </c>
      <c r="F499" s="5">
        <v>4</v>
      </c>
      <c r="G499" s="5">
        <v>5.75</v>
      </c>
      <c r="H499" s="5">
        <v>5.75</v>
      </c>
      <c r="I499" s="5">
        <v>0</v>
      </c>
      <c r="J499" s="5">
        <v>0</v>
      </c>
      <c r="K499" s="5">
        <v>0</v>
      </c>
      <c r="L499" s="5">
        <v>0</v>
      </c>
      <c r="M499" s="5">
        <v>0</v>
      </c>
      <c r="N499" s="5">
        <v>0</v>
      </c>
      <c r="O499" s="5">
        <v>0</v>
      </c>
      <c r="P499" s="5">
        <v>0</v>
      </c>
      <c r="Q499" s="5">
        <v>0</v>
      </c>
      <c r="R499" s="5">
        <v>0</v>
      </c>
    </row>
    <row r="500" spans="1:18" ht="15" customHeight="1" x14ac:dyDescent="0.25">
      <c r="A500" s="5">
        <v>6656</v>
      </c>
      <c r="B500" s="5" t="s">
        <v>264</v>
      </c>
      <c r="C500" s="5" t="s">
        <v>1025</v>
      </c>
      <c r="D500" s="5" t="s">
        <v>1097</v>
      </c>
      <c r="E500" s="5" t="s">
        <v>16</v>
      </c>
      <c r="F500" s="5">
        <v>0</v>
      </c>
      <c r="G500" s="5">
        <v>0</v>
      </c>
      <c r="H500" s="5">
        <v>0</v>
      </c>
      <c r="I500" s="5">
        <v>0</v>
      </c>
      <c r="J500" s="5">
        <v>0</v>
      </c>
      <c r="K500" s="5">
        <v>0</v>
      </c>
      <c r="L500" s="5">
        <v>0</v>
      </c>
      <c r="M500" s="5">
        <v>0</v>
      </c>
      <c r="N500" s="5">
        <v>0</v>
      </c>
      <c r="O500" s="5">
        <v>0</v>
      </c>
      <c r="P500" s="5">
        <v>0</v>
      </c>
      <c r="Q500" s="5">
        <v>0</v>
      </c>
      <c r="R500" s="5">
        <v>0</v>
      </c>
    </row>
    <row r="501" spans="1:18" ht="15" customHeight="1" x14ac:dyDescent="0.25">
      <c r="A501" s="5">
        <v>2553</v>
      </c>
      <c r="B501" s="5" t="s">
        <v>264</v>
      </c>
      <c r="C501" s="5" t="s">
        <v>1024</v>
      </c>
      <c r="D501" s="5" t="s">
        <v>1098</v>
      </c>
      <c r="E501" s="5" t="s">
        <v>16</v>
      </c>
      <c r="F501" s="5">
        <v>0</v>
      </c>
      <c r="G501" s="5">
        <v>0</v>
      </c>
      <c r="H501" s="5">
        <v>0</v>
      </c>
      <c r="I501" s="5">
        <v>0</v>
      </c>
      <c r="J501" s="5">
        <v>0</v>
      </c>
      <c r="K501" s="5">
        <v>0</v>
      </c>
      <c r="L501" s="5">
        <v>0</v>
      </c>
      <c r="M501" s="5">
        <v>0</v>
      </c>
      <c r="N501" s="5">
        <v>0</v>
      </c>
      <c r="O501" s="5">
        <v>0</v>
      </c>
      <c r="P501" s="5">
        <v>0</v>
      </c>
      <c r="Q501" s="5">
        <v>0</v>
      </c>
      <c r="R501" s="5">
        <v>0</v>
      </c>
    </row>
    <row r="502" spans="1:18" ht="15" customHeight="1" x14ac:dyDescent="0.25">
      <c r="A502" s="5">
        <v>2274</v>
      </c>
      <c r="B502" s="5" t="s">
        <v>264</v>
      </c>
      <c r="C502" s="5" t="s">
        <v>1023</v>
      </c>
      <c r="D502" s="5" t="s">
        <v>1099</v>
      </c>
      <c r="E502" s="5" t="s">
        <v>878</v>
      </c>
      <c r="F502" s="5">
        <v>0</v>
      </c>
      <c r="G502" s="5">
        <v>0</v>
      </c>
      <c r="H502" s="5">
        <v>0</v>
      </c>
      <c r="I502" s="5">
        <v>0</v>
      </c>
      <c r="J502" s="5">
        <v>0</v>
      </c>
      <c r="K502" s="5">
        <v>0</v>
      </c>
      <c r="L502" s="5">
        <v>0</v>
      </c>
      <c r="M502" s="5">
        <v>0</v>
      </c>
      <c r="N502" s="5">
        <v>0</v>
      </c>
      <c r="O502" s="5">
        <v>0</v>
      </c>
      <c r="P502" s="5">
        <v>0</v>
      </c>
      <c r="Q502" s="5">
        <v>0</v>
      </c>
      <c r="R502" s="5">
        <v>0</v>
      </c>
    </row>
    <row r="503" spans="1:18" ht="15" customHeight="1" x14ac:dyDescent="0.25">
      <c r="A503" s="5">
        <v>5516</v>
      </c>
      <c r="B503" s="5" t="s">
        <v>264</v>
      </c>
      <c r="C503" s="5" t="s">
        <v>1025</v>
      </c>
      <c r="D503" s="5" t="s">
        <v>1100</v>
      </c>
      <c r="E503" s="5" t="s">
        <v>20</v>
      </c>
      <c r="F503" s="5">
        <v>0</v>
      </c>
      <c r="G503" s="5">
        <v>0</v>
      </c>
      <c r="H503" s="5">
        <v>0</v>
      </c>
      <c r="I503" s="5">
        <v>0</v>
      </c>
      <c r="J503" s="5">
        <v>0</v>
      </c>
      <c r="K503" s="5">
        <v>0</v>
      </c>
      <c r="L503" s="5">
        <v>0</v>
      </c>
      <c r="M503" s="5">
        <v>0</v>
      </c>
      <c r="N503" s="5">
        <v>0</v>
      </c>
      <c r="O503" s="5">
        <v>0</v>
      </c>
      <c r="P503" s="5">
        <v>0</v>
      </c>
      <c r="Q503" s="5">
        <v>0</v>
      </c>
      <c r="R503" s="5">
        <v>0</v>
      </c>
    </row>
    <row r="504" spans="1:18" ht="15" customHeight="1" x14ac:dyDescent="0.25">
      <c r="A504" s="5">
        <v>7135</v>
      </c>
      <c r="B504" s="5" t="s">
        <v>264</v>
      </c>
      <c r="C504" s="5" t="s">
        <v>1023</v>
      </c>
      <c r="D504" s="5" t="s">
        <v>1101</v>
      </c>
      <c r="E504" s="5" t="s">
        <v>34</v>
      </c>
      <c r="F504" s="5">
        <v>4</v>
      </c>
      <c r="G504" s="5">
        <v>5.5</v>
      </c>
      <c r="H504" s="5">
        <v>4.75</v>
      </c>
      <c r="I504" s="5">
        <v>0</v>
      </c>
      <c r="J504" s="5">
        <v>0</v>
      </c>
      <c r="K504" s="5">
        <v>0</v>
      </c>
      <c r="L504" s="5">
        <v>1</v>
      </c>
      <c r="M504" s="5">
        <v>0</v>
      </c>
      <c r="N504" s="5">
        <v>1</v>
      </c>
      <c r="O504" s="5">
        <v>0</v>
      </c>
      <c r="P504" s="5">
        <v>0</v>
      </c>
      <c r="Q504" s="5">
        <v>0</v>
      </c>
      <c r="R504" s="5">
        <v>0</v>
      </c>
    </row>
    <row r="505" spans="1:18" ht="15" customHeight="1" x14ac:dyDescent="0.25">
      <c r="A505" s="5">
        <v>6633</v>
      </c>
      <c r="B505" s="5" t="s">
        <v>264</v>
      </c>
      <c r="C505" s="5" t="s">
        <v>1025</v>
      </c>
      <c r="D505" s="5" t="s">
        <v>1102</v>
      </c>
      <c r="E505" s="5" t="s">
        <v>36</v>
      </c>
      <c r="F505" s="5">
        <v>1</v>
      </c>
      <c r="G505" s="5">
        <v>6</v>
      </c>
      <c r="H505" s="5">
        <v>6</v>
      </c>
      <c r="I505" s="5">
        <v>0</v>
      </c>
      <c r="J505" s="5">
        <v>0</v>
      </c>
      <c r="K505" s="5">
        <v>0</v>
      </c>
      <c r="L505" s="5">
        <v>0</v>
      </c>
      <c r="M505" s="5">
        <v>0</v>
      </c>
      <c r="N505" s="5">
        <v>0</v>
      </c>
      <c r="O505" s="5">
        <v>0</v>
      </c>
      <c r="P505" s="5">
        <v>0</v>
      </c>
      <c r="Q505" s="5">
        <v>0</v>
      </c>
      <c r="R505" s="5">
        <v>0</v>
      </c>
    </row>
    <row r="506" spans="1:18" ht="15" customHeight="1" x14ac:dyDescent="0.25">
      <c r="A506" s="5">
        <v>6222</v>
      </c>
      <c r="B506" s="5" t="s">
        <v>264</v>
      </c>
      <c r="C506" s="5" t="s">
        <v>1023</v>
      </c>
      <c r="D506" s="5" t="s">
        <v>1103</v>
      </c>
      <c r="E506" s="5" t="s">
        <v>36</v>
      </c>
      <c r="F506" s="5">
        <v>0</v>
      </c>
      <c r="G506" s="5">
        <v>0</v>
      </c>
      <c r="H506" s="5">
        <v>0</v>
      </c>
      <c r="I506" s="5">
        <v>0</v>
      </c>
      <c r="J506" s="5">
        <v>0</v>
      </c>
      <c r="K506" s="5">
        <v>0</v>
      </c>
      <c r="L506" s="5">
        <v>0</v>
      </c>
      <c r="M506" s="5">
        <v>0</v>
      </c>
      <c r="N506" s="5">
        <v>0</v>
      </c>
      <c r="O506" s="5">
        <v>0</v>
      </c>
      <c r="P506" s="5">
        <v>0</v>
      </c>
      <c r="Q506" s="5">
        <v>0</v>
      </c>
      <c r="R506" s="5">
        <v>0</v>
      </c>
    </row>
    <row r="507" spans="1:18" ht="15" customHeight="1" x14ac:dyDescent="0.25">
      <c r="A507" s="5">
        <v>6645</v>
      </c>
      <c r="B507" s="5" t="s">
        <v>264</v>
      </c>
      <c r="C507" s="5" t="s">
        <v>1024</v>
      </c>
      <c r="D507" s="5" t="s">
        <v>1104</v>
      </c>
      <c r="E507" s="5" t="s">
        <v>36</v>
      </c>
      <c r="F507" s="5">
        <v>0</v>
      </c>
      <c r="G507" s="5">
        <v>0</v>
      </c>
      <c r="H507" s="5">
        <v>0</v>
      </c>
      <c r="I507" s="5">
        <v>0</v>
      </c>
      <c r="J507" s="5">
        <v>0</v>
      </c>
      <c r="K507" s="5">
        <v>0</v>
      </c>
      <c r="L507" s="5">
        <v>0</v>
      </c>
      <c r="M507" s="5">
        <v>0</v>
      </c>
      <c r="N507" s="5">
        <v>0</v>
      </c>
      <c r="O507" s="5">
        <v>0</v>
      </c>
      <c r="P507" s="5">
        <v>0</v>
      </c>
      <c r="Q507" s="5">
        <v>0</v>
      </c>
      <c r="R507" s="5">
        <v>0</v>
      </c>
    </row>
    <row r="508" spans="1:18" ht="15" customHeight="1" x14ac:dyDescent="0.25">
      <c r="A508" s="5">
        <v>6678</v>
      </c>
      <c r="B508" s="5" t="s">
        <v>264</v>
      </c>
      <c r="C508" s="5" t="s">
        <v>1033</v>
      </c>
      <c r="D508" s="5" t="s">
        <v>333</v>
      </c>
      <c r="E508" s="5" t="s">
        <v>18</v>
      </c>
      <c r="F508" s="5">
        <v>0</v>
      </c>
      <c r="G508" s="5">
        <v>0</v>
      </c>
      <c r="H508" s="5">
        <v>0</v>
      </c>
      <c r="I508" s="5">
        <v>0</v>
      </c>
      <c r="J508" s="5">
        <v>0</v>
      </c>
      <c r="K508" s="5">
        <v>0</v>
      </c>
      <c r="L508" s="5">
        <v>0</v>
      </c>
      <c r="M508" s="5">
        <v>0</v>
      </c>
      <c r="N508" s="5">
        <v>0</v>
      </c>
      <c r="O508" s="5">
        <v>0</v>
      </c>
      <c r="P508" s="5">
        <v>0</v>
      </c>
      <c r="Q508" s="5">
        <v>0</v>
      </c>
      <c r="R508" s="5">
        <v>0</v>
      </c>
    </row>
    <row r="509" spans="1:18" ht="15" customHeight="1" x14ac:dyDescent="0.25">
      <c r="A509" s="5">
        <v>7151</v>
      </c>
      <c r="B509" s="5" t="s">
        <v>264</v>
      </c>
      <c r="C509" s="5" t="s">
        <v>1033</v>
      </c>
      <c r="D509" s="5" t="s">
        <v>1105</v>
      </c>
      <c r="E509" s="5" t="s">
        <v>883</v>
      </c>
      <c r="F509" s="5">
        <v>0</v>
      </c>
      <c r="G509" s="5">
        <v>0</v>
      </c>
      <c r="H509" s="5">
        <v>0</v>
      </c>
      <c r="I509" s="5">
        <v>0</v>
      </c>
      <c r="J509" s="5">
        <v>0</v>
      </c>
      <c r="K509" s="5">
        <v>0</v>
      </c>
      <c r="L509" s="5">
        <v>0</v>
      </c>
      <c r="M509" s="5">
        <v>0</v>
      </c>
      <c r="N509" s="5">
        <v>0</v>
      </c>
      <c r="O509" s="5">
        <v>0</v>
      </c>
      <c r="P509" s="5">
        <v>0</v>
      </c>
      <c r="Q509" s="5">
        <v>0</v>
      </c>
      <c r="R509" s="5">
        <v>0</v>
      </c>
    </row>
    <row r="510" spans="1:18" ht="15" customHeight="1" x14ac:dyDescent="0.25">
      <c r="A510" s="5">
        <v>4890</v>
      </c>
      <c r="B510" s="5" t="s">
        <v>264</v>
      </c>
      <c r="C510" s="5" t="s">
        <v>1025</v>
      </c>
      <c r="D510" s="5" t="s">
        <v>1106</v>
      </c>
      <c r="E510" s="5" t="s">
        <v>81</v>
      </c>
      <c r="F510" s="5">
        <v>17</v>
      </c>
      <c r="G510" s="5">
        <v>5.65</v>
      </c>
      <c r="H510" s="5">
        <v>5.59</v>
      </c>
      <c r="I510" s="5">
        <v>0</v>
      </c>
      <c r="J510" s="5">
        <v>0</v>
      </c>
      <c r="K510" s="5">
        <v>0</v>
      </c>
      <c r="L510" s="5">
        <v>0</v>
      </c>
      <c r="M510" s="5">
        <v>0</v>
      </c>
      <c r="N510" s="5">
        <v>0</v>
      </c>
      <c r="O510" s="5">
        <v>0</v>
      </c>
      <c r="P510" s="5">
        <v>3</v>
      </c>
      <c r="Q510" s="5">
        <v>0</v>
      </c>
      <c r="R510" s="5">
        <v>0</v>
      </c>
    </row>
    <row r="511" spans="1:18" ht="15" customHeight="1" x14ac:dyDescent="0.25">
      <c r="A511" s="5">
        <v>5007</v>
      </c>
      <c r="B511" s="5" t="s">
        <v>264</v>
      </c>
      <c r="C511" s="5" t="s">
        <v>264</v>
      </c>
      <c r="D511" s="5" t="s">
        <v>431</v>
      </c>
      <c r="E511" s="5" t="s">
        <v>81</v>
      </c>
      <c r="F511" s="5">
        <v>8</v>
      </c>
      <c r="G511" s="5">
        <v>6</v>
      </c>
      <c r="H511" s="5">
        <v>5.88</v>
      </c>
      <c r="I511" s="5">
        <v>0</v>
      </c>
      <c r="J511" s="5">
        <v>0</v>
      </c>
      <c r="K511" s="5">
        <v>0</v>
      </c>
      <c r="L511" s="5">
        <v>0</v>
      </c>
      <c r="M511" s="5">
        <v>0</v>
      </c>
      <c r="N511" s="5">
        <v>0</v>
      </c>
      <c r="O511" s="5">
        <v>0</v>
      </c>
      <c r="P511" s="5">
        <v>2</v>
      </c>
      <c r="Q511" s="5">
        <v>0</v>
      </c>
      <c r="R511" s="5">
        <v>0</v>
      </c>
    </row>
    <row r="512" spans="1:18" ht="15" customHeight="1" x14ac:dyDescent="0.25">
      <c r="A512" s="5">
        <v>5824</v>
      </c>
      <c r="B512" s="5" t="s">
        <v>264</v>
      </c>
      <c r="C512" s="5" t="s">
        <v>1022</v>
      </c>
      <c r="D512" s="5" t="s">
        <v>1107</v>
      </c>
      <c r="E512" s="5" t="s">
        <v>32</v>
      </c>
      <c r="F512" s="5">
        <v>0</v>
      </c>
      <c r="G512" s="5">
        <v>0</v>
      </c>
      <c r="H512" s="5">
        <v>0</v>
      </c>
      <c r="I512" s="5">
        <v>0</v>
      </c>
      <c r="J512" s="5">
        <v>0</v>
      </c>
      <c r="K512" s="5">
        <v>0</v>
      </c>
      <c r="L512" s="5">
        <v>0</v>
      </c>
      <c r="M512" s="5">
        <v>0</v>
      </c>
      <c r="N512" s="5">
        <v>0</v>
      </c>
      <c r="O512" s="5">
        <v>0</v>
      </c>
      <c r="P512" s="5">
        <v>0</v>
      </c>
      <c r="Q512" s="5">
        <v>0</v>
      </c>
      <c r="R512" s="5">
        <v>0</v>
      </c>
    </row>
    <row r="513" spans="1:18" ht="15" customHeight="1" x14ac:dyDescent="0.25">
      <c r="A513" s="5">
        <v>7177</v>
      </c>
      <c r="B513" s="5" t="s">
        <v>264</v>
      </c>
      <c r="C513" s="5" t="s">
        <v>264</v>
      </c>
      <c r="D513" s="5" t="s">
        <v>1108</v>
      </c>
      <c r="E513" s="5" t="s">
        <v>880</v>
      </c>
      <c r="F513" s="5">
        <v>0</v>
      </c>
      <c r="G513" s="5">
        <v>0</v>
      </c>
      <c r="H513" s="5">
        <v>0</v>
      </c>
      <c r="I513" s="5">
        <v>0</v>
      </c>
      <c r="J513" s="5">
        <v>0</v>
      </c>
      <c r="K513" s="5">
        <v>0</v>
      </c>
      <c r="L513" s="5">
        <v>0</v>
      </c>
      <c r="M513" s="5">
        <v>0</v>
      </c>
      <c r="N513" s="5">
        <v>0</v>
      </c>
      <c r="O513" s="5">
        <v>0</v>
      </c>
      <c r="P513" s="5">
        <v>0</v>
      </c>
      <c r="Q513" s="5">
        <v>0</v>
      </c>
      <c r="R513" s="5">
        <v>0</v>
      </c>
    </row>
    <row r="514" spans="1:18" ht="15" customHeight="1" x14ac:dyDescent="0.25">
      <c r="A514" s="5">
        <v>2117</v>
      </c>
      <c r="B514" s="5" t="s">
        <v>264</v>
      </c>
      <c r="C514" s="5" t="s">
        <v>1023</v>
      </c>
      <c r="D514" s="5" t="s">
        <v>1109</v>
      </c>
      <c r="E514" s="5" t="s">
        <v>880</v>
      </c>
      <c r="F514" s="5">
        <v>1</v>
      </c>
      <c r="G514" s="5">
        <v>6</v>
      </c>
      <c r="H514" s="5">
        <v>6</v>
      </c>
      <c r="I514" s="5">
        <v>0</v>
      </c>
      <c r="J514" s="5">
        <v>0</v>
      </c>
      <c r="K514" s="5">
        <v>0</v>
      </c>
      <c r="L514" s="5">
        <v>0</v>
      </c>
      <c r="M514" s="5">
        <v>0</v>
      </c>
      <c r="N514" s="5">
        <v>0</v>
      </c>
      <c r="O514" s="5">
        <v>0</v>
      </c>
      <c r="P514" s="5">
        <v>0</v>
      </c>
      <c r="Q514" s="5">
        <v>0</v>
      </c>
      <c r="R514" s="5">
        <v>0</v>
      </c>
    </row>
    <row r="515" spans="1:18" ht="15" customHeight="1" x14ac:dyDescent="0.25">
      <c r="A515" s="5">
        <v>6618</v>
      </c>
      <c r="B515" s="5" t="s">
        <v>264</v>
      </c>
      <c r="C515" s="5" t="s">
        <v>1033</v>
      </c>
      <c r="D515" s="5" t="s">
        <v>1110</v>
      </c>
      <c r="E515" s="5" t="s">
        <v>880</v>
      </c>
      <c r="F515" s="5">
        <v>0</v>
      </c>
      <c r="G515" s="5">
        <v>0</v>
      </c>
      <c r="H515" s="5">
        <v>0</v>
      </c>
      <c r="I515" s="5">
        <v>0</v>
      </c>
      <c r="J515" s="5">
        <v>0</v>
      </c>
      <c r="K515" s="5">
        <v>0</v>
      </c>
      <c r="L515" s="5">
        <v>0</v>
      </c>
      <c r="M515" s="5">
        <v>0</v>
      </c>
      <c r="N515" s="5">
        <v>0</v>
      </c>
      <c r="O515" s="5">
        <v>0</v>
      </c>
      <c r="P515" s="5">
        <v>0</v>
      </c>
      <c r="Q515" s="5">
        <v>0</v>
      </c>
      <c r="R515" s="5">
        <v>0</v>
      </c>
    </row>
    <row r="516" spans="1:18" ht="15" customHeight="1" x14ac:dyDescent="0.25">
      <c r="A516" s="5">
        <v>2076</v>
      </c>
      <c r="B516" s="5" t="s">
        <v>264</v>
      </c>
      <c r="C516" s="5" t="s">
        <v>1025</v>
      </c>
      <c r="D516" s="5" t="s">
        <v>1111</v>
      </c>
      <c r="E516" s="5" t="s">
        <v>26</v>
      </c>
      <c r="F516" s="5">
        <v>0</v>
      </c>
      <c r="G516" s="5">
        <v>0</v>
      </c>
      <c r="H516" s="5">
        <v>0</v>
      </c>
      <c r="I516" s="5">
        <v>0</v>
      </c>
      <c r="J516" s="5">
        <v>0</v>
      </c>
      <c r="K516" s="5">
        <v>0</v>
      </c>
      <c r="L516" s="5">
        <v>0</v>
      </c>
      <c r="M516" s="5">
        <v>0</v>
      </c>
      <c r="N516" s="5">
        <v>0</v>
      </c>
      <c r="O516" s="5">
        <v>0</v>
      </c>
      <c r="P516" s="5">
        <v>0</v>
      </c>
      <c r="Q516" s="5">
        <v>0</v>
      </c>
      <c r="R516" s="5">
        <v>0</v>
      </c>
    </row>
    <row r="517" spans="1:18" ht="15" customHeight="1" x14ac:dyDescent="0.25">
      <c r="A517" s="5">
        <v>6677</v>
      </c>
      <c r="B517" s="5" t="s">
        <v>264</v>
      </c>
      <c r="C517" s="5" t="s">
        <v>1023</v>
      </c>
      <c r="D517" s="5" t="s">
        <v>363</v>
      </c>
      <c r="E517" s="5" t="s">
        <v>28</v>
      </c>
      <c r="F517" s="5">
        <v>4</v>
      </c>
      <c r="G517" s="5">
        <v>6.12</v>
      </c>
      <c r="H517" s="5">
        <v>6.88</v>
      </c>
      <c r="I517" s="5">
        <v>1</v>
      </c>
      <c r="J517" s="5">
        <v>0</v>
      </c>
      <c r="K517" s="5">
        <v>0</v>
      </c>
      <c r="L517" s="5">
        <v>0</v>
      </c>
      <c r="M517" s="5">
        <v>0</v>
      </c>
      <c r="N517" s="5">
        <v>0</v>
      </c>
      <c r="O517" s="5">
        <v>0</v>
      </c>
      <c r="P517" s="5">
        <v>0</v>
      </c>
      <c r="Q517" s="5">
        <v>0</v>
      </c>
      <c r="R517" s="5">
        <v>0</v>
      </c>
    </row>
    <row r="518" spans="1:18" ht="15" customHeight="1" x14ac:dyDescent="0.25">
      <c r="A518" s="5">
        <v>7025</v>
      </c>
      <c r="B518" s="5" t="s">
        <v>264</v>
      </c>
      <c r="C518" s="5" t="s">
        <v>1033</v>
      </c>
      <c r="D518" s="5" t="s">
        <v>1112</v>
      </c>
      <c r="E518" s="5" t="s">
        <v>34</v>
      </c>
      <c r="F518" s="5">
        <v>0</v>
      </c>
      <c r="G518" s="5">
        <v>0</v>
      </c>
      <c r="H518" s="5">
        <v>0</v>
      </c>
      <c r="I518" s="5">
        <v>0</v>
      </c>
      <c r="J518" s="5">
        <v>0</v>
      </c>
      <c r="K518" s="5">
        <v>0</v>
      </c>
      <c r="L518" s="5">
        <v>0</v>
      </c>
      <c r="M518" s="5">
        <v>0</v>
      </c>
      <c r="N518" s="5">
        <v>0</v>
      </c>
      <c r="O518" s="5">
        <v>0</v>
      </c>
      <c r="P518" s="5">
        <v>0</v>
      </c>
      <c r="Q518" s="5">
        <v>0</v>
      </c>
      <c r="R518" s="5">
        <v>0</v>
      </c>
    </row>
    <row r="519" spans="1:18" ht="15" customHeight="1" x14ac:dyDescent="0.25">
      <c r="A519" s="5">
        <v>5610</v>
      </c>
      <c r="B519" s="5" t="s">
        <v>264</v>
      </c>
      <c r="C519" s="5" t="s">
        <v>1025</v>
      </c>
      <c r="D519" s="5" t="s">
        <v>1113</v>
      </c>
      <c r="E519" s="5" t="s">
        <v>41</v>
      </c>
      <c r="F519" s="5">
        <v>14</v>
      </c>
      <c r="G519" s="5">
        <v>5.64</v>
      </c>
      <c r="H519" s="5">
        <v>5.57</v>
      </c>
      <c r="I519" s="5">
        <v>0</v>
      </c>
      <c r="J519" s="5">
        <v>0</v>
      </c>
      <c r="K519" s="5">
        <v>0</v>
      </c>
      <c r="L519" s="5">
        <v>0</v>
      </c>
      <c r="M519" s="5">
        <v>0</v>
      </c>
      <c r="N519" s="5">
        <v>0</v>
      </c>
      <c r="O519" s="5">
        <v>0</v>
      </c>
      <c r="P519" s="5">
        <v>2</v>
      </c>
      <c r="Q519" s="5">
        <v>0</v>
      </c>
      <c r="R519" s="5">
        <v>0</v>
      </c>
    </row>
    <row r="520" spans="1:18" ht="15" customHeight="1" x14ac:dyDescent="0.25">
      <c r="A520" s="5">
        <v>7246</v>
      </c>
      <c r="B520" s="5" t="s">
        <v>264</v>
      </c>
      <c r="C520" s="5" t="s">
        <v>264</v>
      </c>
      <c r="D520" s="5" t="s">
        <v>1114</v>
      </c>
      <c r="E520" s="5" t="s">
        <v>36</v>
      </c>
      <c r="F520" s="5">
        <v>4</v>
      </c>
      <c r="G520" s="5">
        <v>5.75</v>
      </c>
      <c r="H520" s="5">
        <v>6</v>
      </c>
      <c r="I520" s="5">
        <v>0</v>
      </c>
      <c r="J520" s="5">
        <v>0</v>
      </c>
      <c r="K520" s="5">
        <v>0</v>
      </c>
      <c r="L520" s="5">
        <v>0</v>
      </c>
      <c r="M520" s="5">
        <v>0</v>
      </c>
      <c r="N520" s="5">
        <v>0</v>
      </c>
      <c r="O520" s="5">
        <v>1</v>
      </c>
      <c r="P520" s="5">
        <v>0</v>
      </c>
      <c r="Q520" s="5">
        <v>0</v>
      </c>
      <c r="R520" s="5">
        <v>0</v>
      </c>
    </row>
    <row r="521" spans="1:18" ht="15" customHeight="1" x14ac:dyDescent="0.25">
      <c r="A521" s="5">
        <v>5561</v>
      </c>
      <c r="B521" s="5" t="s">
        <v>264</v>
      </c>
      <c r="C521" s="5" t="s">
        <v>1033</v>
      </c>
      <c r="D521" s="5" t="s">
        <v>1115</v>
      </c>
      <c r="E521" s="5" t="s">
        <v>883</v>
      </c>
      <c r="F521" s="5">
        <v>1</v>
      </c>
      <c r="G521" s="5">
        <v>5.5</v>
      </c>
      <c r="H521" s="5">
        <v>5.5</v>
      </c>
      <c r="I521" s="5">
        <v>0</v>
      </c>
      <c r="J521" s="5">
        <v>0</v>
      </c>
      <c r="K521" s="5">
        <v>0</v>
      </c>
      <c r="L521" s="5">
        <v>0</v>
      </c>
      <c r="M521" s="5">
        <v>0</v>
      </c>
      <c r="N521" s="5">
        <v>0</v>
      </c>
      <c r="O521" s="5">
        <v>0</v>
      </c>
      <c r="P521" s="5">
        <v>0</v>
      </c>
      <c r="Q521" s="5">
        <v>0</v>
      </c>
      <c r="R521" s="5">
        <v>0</v>
      </c>
    </row>
    <row r="522" spans="1:18" ht="15" customHeight="1" x14ac:dyDescent="0.25">
      <c r="A522" s="5">
        <v>6538</v>
      </c>
      <c r="B522" s="5" t="s">
        <v>264</v>
      </c>
      <c r="C522" s="5" t="s">
        <v>1025</v>
      </c>
      <c r="D522" s="5" t="s">
        <v>1116</v>
      </c>
      <c r="E522" s="5" t="s">
        <v>34</v>
      </c>
      <c r="F522" s="5">
        <v>2</v>
      </c>
      <c r="G522" s="5">
        <v>5.75</v>
      </c>
      <c r="H522" s="5">
        <v>5.75</v>
      </c>
      <c r="I522" s="5">
        <v>0</v>
      </c>
      <c r="J522" s="5">
        <v>0</v>
      </c>
      <c r="K522" s="5">
        <v>0</v>
      </c>
      <c r="L522" s="5">
        <v>0</v>
      </c>
      <c r="M522" s="5">
        <v>0</v>
      </c>
      <c r="N522" s="5">
        <v>0</v>
      </c>
      <c r="O522" s="5">
        <v>0</v>
      </c>
      <c r="P522" s="5">
        <v>0</v>
      </c>
      <c r="Q522" s="5">
        <v>0</v>
      </c>
      <c r="R522" s="5">
        <v>0</v>
      </c>
    </row>
    <row r="523" spans="1:18" ht="15" customHeight="1" x14ac:dyDescent="0.25">
      <c r="A523" s="5">
        <v>7276</v>
      </c>
      <c r="B523" s="5" t="s">
        <v>264</v>
      </c>
      <c r="C523" s="5" t="s">
        <v>264</v>
      </c>
      <c r="D523" s="5" t="s">
        <v>429</v>
      </c>
      <c r="E523" s="5" t="s">
        <v>38</v>
      </c>
      <c r="F523" s="5">
        <v>1</v>
      </c>
      <c r="G523" s="5">
        <v>6</v>
      </c>
      <c r="H523" s="5">
        <v>6</v>
      </c>
      <c r="I523" s="5">
        <v>0</v>
      </c>
      <c r="J523" s="5">
        <v>0</v>
      </c>
      <c r="K523" s="5">
        <v>0</v>
      </c>
      <c r="L523" s="5">
        <v>0</v>
      </c>
      <c r="M523" s="5">
        <v>0</v>
      </c>
      <c r="N523" s="5">
        <v>0</v>
      </c>
      <c r="O523" s="5">
        <v>0</v>
      </c>
      <c r="P523" s="5">
        <v>0</v>
      </c>
      <c r="Q523" s="5">
        <v>0</v>
      </c>
      <c r="R523" s="5">
        <v>0</v>
      </c>
    </row>
    <row r="524" spans="1:18" ht="15" customHeight="1" x14ac:dyDescent="0.25">
      <c r="A524" s="5">
        <v>7319</v>
      </c>
      <c r="B524" s="5" t="s">
        <v>264</v>
      </c>
      <c r="C524" s="5" t="s">
        <v>1025</v>
      </c>
      <c r="D524" s="5" t="s">
        <v>428</v>
      </c>
      <c r="E524" s="5" t="s">
        <v>36</v>
      </c>
      <c r="F524" s="5">
        <v>2</v>
      </c>
      <c r="G524" s="5">
        <v>5.5</v>
      </c>
      <c r="H524" s="5">
        <v>5.5</v>
      </c>
      <c r="I524" s="5">
        <v>0</v>
      </c>
      <c r="J524" s="5">
        <v>0</v>
      </c>
      <c r="K524" s="5">
        <v>0</v>
      </c>
      <c r="L524" s="5">
        <v>0</v>
      </c>
      <c r="M524" s="5">
        <v>0</v>
      </c>
      <c r="N524" s="5">
        <v>0</v>
      </c>
      <c r="O524" s="5">
        <v>0</v>
      </c>
      <c r="P524" s="5">
        <v>0</v>
      </c>
      <c r="Q524" s="5">
        <v>0</v>
      </c>
      <c r="R524" s="5">
        <v>0</v>
      </c>
    </row>
    <row r="525" spans="1:18" ht="15" customHeight="1" x14ac:dyDescent="0.25">
      <c r="A525" s="5">
        <v>7345</v>
      </c>
      <c r="B525" s="5" t="s">
        <v>264</v>
      </c>
      <c r="C525" s="5" t="s">
        <v>1033</v>
      </c>
      <c r="D525" s="5" t="s">
        <v>425</v>
      </c>
      <c r="E525" s="5" t="s">
        <v>30</v>
      </c>
      <c r="F525" s="5">
        <v>0</v>
      </c>
      <c r="G525" s="5">
        <v>0</v>
      </c>
      <c r="H525" s="5">
        <v>0</v>
      </c>
      <c r="I525" s="5">
        <v>0</v>
      </c>
      <c r="J525" s="5">
        <v>0</v>
      </c>
      <c r="K525" s="5">
        <v>0</v>
      </c>
      <c r="L525" s="5">
        <v>0</v>
      </c>
      <c r="M525" s="5">
        <v>0</v>
      </c>
      <c r="N525" s="5">
        <v>0</v>
      </c>
      <c r="O525" s="5">
        <v>0</v>
      </c>
      <c r="P525" s="5">
        <v>0</v>
      </c>
      <c r="Q525" s="5">
        <v>0</v>
      </c>
      <c r="R525" s="5">
        <v>0</v>
      </c>
    </row>
    <row r="526" spans="1:18" ht="15" customHeight="1" x14ac:dyDescent="0.25">
      <c r="A526" s="5">
        <v>7357</v>
      </c>
      <c r="B526" s="5" t="s">
        <v>264</v>
      </c>
      <c r="C526" s="5" t="s">
        <v>1023</v>
      </c>
      <c r="D526" s="5" t="s">
        <v>421</v>
      </c>
      <c r="E526" s="5" t="s">
        <v>16</v>
      </c>
      <c r="F526" s="5">
        <v>0</v>
      </c>
      <c r="G526" s="5">
        <v>0</v>
      </c>
      <c r="H526" s="5">
        <v>0</v>
      </c>
      <c r="I526" s="5">
        <v>0</v>
      </c>
      <c r="J526" s="5">
        <v>0</v>
      </c>
      <c r="K526" s="5">
        <v>0</v>
      </c>
      <c r="L526" s="5">
        <v>0</v>
      </c>
      <c r="M526" s="5">
        <v>0</v>
      </c>
      <c r="N526" s="5">
        <v>0</v>
      </c>
      <c r="O526" s="5">
        <v>0</v>
      </c>
      <c r="P526" s="5">
        <v>0</v>
      </c>
      <c r="Q526" s="5">
        <v>0</v>
      </c>
      <c r="R526" s="5">
        <v>0</v>
      </c>
    </row>
    <row r="527" spans="1:18" ht="15" customHeight="1" x14ac:dyDescent="0.25">
      <c r="A527" s="5">
        <v>2764</v>
      </c>
      <c r="B527" s="5" t="s">
        <v>437</v>
      </c>
      <c r="C527" s="5" t="s">
        <v>1117</v>
      </c>
      <c r="D527" s="5" t="s">
        <v>438</v>
      </c>
      <c r="E527" s="5" t="s">
        <v>12</v>
      </c>
      <c r="F527" s="5">
        <v>30</v>
      </c>
      <c r="G527" s="5">
        <v>6.42</v>
      </c>
      <c r="H527" s="5">
        <v>8.25</v>
      </c>
      <c r="I527" s="5">
        <v>17</v>
      </c>
      <c r="J527" s="5">
        <v>0</v>
      </c>
      <c r="K527" s="5">
        <v>0</v>
      </c>
      <c r="L527" s="5">
        <v>0</v>
      </c>
      <c r="M527" s="5">
        <v>0</v>
      </c>
      <c r="N527" s="5">
        <v>0</v>
      </c>
      <c r="O527" s="5">
        <v>6</v>
      </c>
      <c r="P527" s="5">
        <v>4</v>
      </c>
      <c r="Q527" s="5">
        <v>0</v>
      </c>
      <c r="R527" s="5">
        <v>0</v>
      </c>
    </row>
    <row r="528" spans="1:18" ht="15" customHeight="1" x14ac:dyDescent="0.25">
      <c r="A528" s="5">
        <v>4871</v>
      </c>
      <c r="B528" s="5" t="s">
        <v>437</v>
      </c>
      <c r="C528" s="5" t="s">
        <v>1117</v>
      </c>
      <c r="D528" s="5" t="s">
        <v>440</v>
      </c>
      <c r="E528" s="5" t="s">
        <v>12</v>
      </c>
      <c r="F528" s="5">
        <v>29</v>
      </c>
      <c r="G528" s="5">
        <v>6.43</v>
      </c>
      <c r="H528" s="5">
        <v>7.95</v>
      </c>
      <c r="I528" s="5">
        <v>13</v>
      </c>
      <c r="J528" s="5">
        <v>0</v>
      </c>
      <c r="K528" s="5">
        <v>0</v>
      </c>
      <c r="L528" s="5">
        <v>0</v>
      </c>
      <c r="M528" s="5">
        <v>0</v>
      </c>
      <c r="N528" s="5">
        <v>0</v>
      </c>
      <c r="O528" s="5">
        <v>6</v>
      </c>
      <c r="P528" s="5">
        <v>2</v>
      </c>
      <c r="Q528" s="5">
        <v>0</v>
      </c>
      <c r="R528" s="5">
        <v>0</v>
      </c>
    </row>
    <row r="529" spans="1:18" ht="15" customHeight="1" x14ac:dyDescent="0.25">
      <c r="A529" s="5">
        <v>6052</v>
      </c>
      <c r="B529" s="5" t="s">
        <v>437</v>
      </c>
      <c r="C529" s="5" t="s">
        <v>1117</v>
      </c>
      <c r="D529" s="5" t="s">
        <v>441</v>
      </c>
      <c r="E529" s="5" t="s">
        <v>22</v>
      </c>
      <c r="F529" s="5">
        <v>33</v>
      </c>
      <c r="G529" s="5">
        <v>6.21</v>
      </c>
      <c r="H529" s="5">
        <v>7.44</v>
      </c>
      <c r="I529" s="5">
        <v>12</v>
      </c>
      <c r="J529" s="5">
        <v>0</v>
      </c>
      <c r="K529" s="5">
        <v>0</v>
      </c>
      <c r="L529" s="5">
        <v>1</v>
      </c>
      <c r="M529" s="5">
        <v>1</v>
      </c>
      <c r="N529" s="5">
        <v>0</v>
      </c>
      <c r="O529" s="5">
        <v>5</v>
      </c>
      <c r="P529" s="5">
        <v>1</v>
      </c>
      <c r="Q529" s="5">
        <v>0</v>
      </c>
      <c r="R529" s="5">
        <v>0</v>
      </c>
    </row>
    <row r="530" spans="1:18" ht="15" customHeight="1" x14ac:dyDescent="0.25">
      <c r="A530" s="5">
        <v>7017</v>
      </c>
      <c r="B530" s="5" t="s">
        <v>437</v>
      </c>
      <c r="C530" s="5" t="s">
        <v>1117</v>
      </c>
      <c r="D530" s="5" t="s">
        <v>446</v>
      </c>
      <c r="E530" s="5" t="s">
        <v>16</v>
      </c>
      <c r="F530" s="5">
        <v>36</v>
      </c>
      <c r="G530" s="5">
        <v>6.18</v>
      </c>
      <c r="H530" s="5">
        <v>7.38</v>
      </c>
      <c r="I530" s="5">
        <v>14</v>
      </c>
      <c r="J530" s="5">
        <v>0</v>
      </c>
      <c r="K530" s="5">
        <v>0</v>
      </c>
      <c r="L530" s="5">
        <v>1</v>
      </c>
      <c r="M530" s="5">
        <v>1</v>
      </c>
      <c r="N530" s="5">
        <v>0</v>
      </c>
      <c r="O530" s="5">
        <v>1</v>
      </c>
      <c r="P530" s="5">
        <v>0</v>
      </c>
      <c r="Q530" s="5">
        <v>0</v>
      </c>
      <c r="R530" s="5">
        <v>0</v>
      </c>
    </row>
    <row r="531" spans="1:18" ht="15" customHeight="1" x14ac:dyDescent="0.25">
      <c r="A531" s="5">
        <v>6434</v>
      </c>
      <c r="B531" s="5" t="s">
        <v>437</v>
      </c>
      <c r="C531" s="5" t="s">
        <v>437</v>
      </c>
      <c r="D531" s="5" t="s">
        <v>445</v>
      </c>
      <c r="E531" s="5" t="s">
        <v>28</v>
      </c>
      <c r="F531" s="5">
        <v>35</v>
      </c>
      <c r="G531" s="5">
        <v>6.39</v>
      </c>
      <c r="H531" s="5">
        <v>7.3</v>
      </c>
      <c r="I531" s="5">
        <v>10</v>
      </c>
      <c r="J531" s="5">
        <v>0</v>
      </c>
      <c r="K531" s="5">
        <v>0</v>
      </c>
      <c r="L531" s="5">
        <v>2</v>
      </c>
      <c r="M531" s="5">
        <v>1</v>
      </c>
      <c r="N531" s="5">
        <v>1</v>
      </c>
      <c r="O531" s="5">
        <v>6</v>
      </c>
      <c r="P531" s="5">
        <v>2</v>
      </c>
      <c r="Q531" s="5">
        <v>0</v>
      </c>
      <c r="R531" s="5">
        <v>0</v>
      </c>
    </row>
    <row r="532" spans="1:18" ht="15" customHeight="1" x14ac:dyDescent="0.25">
      <c r="A532" s="5">
        <v>531</v>
      </c>
      <c r="B532" s="5" t="s">
        <v>437</v>
      </c>
      <c r="C532" s="5" t="s">
        <v>437</v>
      </c>
      <c r="D532" s="5" t="s">
        <v>451</v>
      </c>
      <c r="E532" s="5" t="s">
        <v>41</v>
      </c>
      <c r="F532" s="5">
        <v>26</v>
      </c>
      <c r="G532" s="5">
        <v>6.31</v>
      </c>
      <c r="H532" s="5">
        <v>7.19</v>
      </c>
      <c r="I532" s="5">
        <v>8</v>
      </c>
      <c r="J532" s="5">
        <v>0</v>
      </c>
      <c r="K532" s="5">
        <v>0</v>
      </c>
      <c r="L532" s="5">
        <v>3</v>
      </c>
      <c r="M532" s="5">
        <v>2</v>
      </c>
      <c r="N532" s="5">
        <v>1</v>
      </c>
      <c r="O532" s="5">
        <v>4</v>
      </c>
      <c r="P532" s="5">
        <v>2</v>
      </c>
      <c r="Q532" s="5">
        <v>1</v>
      </c>
      <c r="R532" s="5">
        <v>0</v>
      </c>
    </row>
    <row r="533" spans="1:18" ht="15" customHeight="1" x14ac:dyDescent="0.25">
      <c r="A533" s="5">
        <v>5585</v>
      </c>
      <c r="B533" s="5" t="s">
        <v>437</v>
      </c>
      <c r="C533" s="5" t="s">
        <v>437</v>
      </c>
      <c r="D533" s="5" t="s">
        <v>439</v>
      </c>
      <c r="E533" s="5" t="s">
        <v>10</v>
      </c>
      <c r="F533" s="5">
        <v>18</v>
      </c>
      <c r="G533" s="5">
        <v>6.72</v>
      </c>
      <c r="H533" s="5">
        <v>8.9700000000000006</v>
      </c>
      <c r="I533" s="5">
        <v>14</v>
      </c>
      <c r="J533" s="5">
        <v>0</v>
      </c>
      <c r="K533" s="5">
        <v>0</v>
      </c>
      <c r="L533" s="5">
        <v>4</v>
      </c>
      <c r="M533" s="5">
        <v>3</v>
      </c>
      <c r="N533" s="5">
        <v>1</v>
      </c>
      <c r="O533" s="5">
        <v>2</v>
      </c>
      <c r="P533" s="5">
        <v>1</v>
      </c>
      <c r="Q533" s="5">
        <v>0</v>
      </c>
      <c r="R533" s="5">
        <v>0</v>
      </c>
    </row>
    <row r="534" spans="1:18" ht="15" customHeight="1" x14ac:dyDescent="0.25">
      <c r="A534" s="5">
        <v>6435</v>
      </c>
      <c r="B534" s="5" t="s">
        <v>437</v>
      </c>
      <c r="C534" s="5" t="s">
        <v>1117</v>
      </c>
      <c r="D534" s="5" t="s">
        <v>449</v>
      </c>
      <c r="E534" s="5" t="s">
        <v>14</v>
      </c>
      <c r="F534" s="5">
        <v>32</v>
      </c>
      <c r="G534" s="5">
        <v>6.16</v>
      </c>
      <c r="H534" s="5">
        <v>7.19</v>
      </c>
      <c r="I534" s="5">
        <v>10</v>
      </c>
      <c r="J534" s="5">
        <v>0</v>
      </c>
      <c r="K534" s="5">
        <v>0</v>
      </c>
      <c r="L534" s="5">
        <v>0</v>
      </c>
      <c r="M534" s="5">
        <v>0</v>
      </c>
      <c r="N534" s="5">
        <v>0</v>
      </c>
      <c r="O534" s="5">
        <v>5</v>
      </c>
      <c r="P534" s="5">
        <v>4</v>
      </c>
      <c r="Q534" s="5">
        <v>0</v>
      </c>
      <c r="R534" s="5">
        <v>0</v>
      </c>
    </row>
    <row r="535" spans="1:18" ht="15" customHeight="1" x14ac:dyDescent="0.25">
      <c r="A535" s="5">
        <v>5637</v>
      </c>
      <c r="B535" s="5" t="s">
        <v>437</v>
      </c>
      <c r="C535" s="5" t="s">
        <v>1117</v>
      </c>
      <c r="D535" s="5" t="s">
        <v>448</v>
      </c>
      <c r="E535" s="5" t="s">
        <v>32</v>
      </c>
      <c r="F535" s="5">
        <v>30</v>
      </c>
      <c r="G535" s="5">
        <v>6.32</v>
      </c>
      <c r="H535" s="5">
        <v>7.37</v>
      </c>
      <c r="I535" s="5">
        <v>10</v>
      </c>
      <c r="J535" s="5">
        <v>0</v>
      </c>
      <c r="K535" s="5">
        <v>0</v>
      </c>
      <c r="L535" s="5">
        <v>4</v>
      </c>
      <c r="M535" s="5">
        <v>4</v>
      </c>
      <c r="N535" s="5">
        <v>0</v>
      </c>
      <c r="O535" s="5">
        <v>4</v>
      </c>
      <c r="P535" s="5">
        <v>5</v>
      </c>
      <c r="Q535" s="5">
        <v>0</v>
      </c>
      <c r="R535" s="5">
        <v>0</v>
      </c>
    </row>
    <row r="536" spans="1:18" ht="15" customHeight="1" x14ac:dyDescent="0.25">
      <c r="A536" s="5">
        <v>2137</v>
      </c>
      <c r="B536" s="5" t="s">
        <v>437</v>
      </c>
      <c r="C536" s="5" t="s">
        <v>1117</v>
      </c>
      <c r="D536" s="5" t="s">
        <v>447</v>
      </c>
      <c r="E536" s="5" t="s">
        <v>14</v>
      </c>
      <c r="F536" s="5">
        <v>22</v>
      </c>
      <c r="G536" s="5">
        <v>6.18</v>
      </c>
      <c r="H536" s="5">
        <v>7.55</v>
      </c>
      <c r="I536" s="5">
        <v>10</v>
      </c>
      <c r="J536" s="5">
        <v>0</v>
      </c>
      <c r="K536" s="5">
        <v>0</v>
      </c>
      <c r="L536" s="5">
        <v>2</v>
      </c>
      <c r="M536" s="5">
        <v>2</v>
      </c>
      <c r="N536" s="5">
        <v>0</v>
      </c>
      <c r="O536" s="5">
        <v>1</v>
      </c>
      <c r="P536" s="5">
        <v>2</v>
      </c>
      <c r="Q536" s="5">
        <v>0</v>
      </c>
      <c r="R536" s="5">
        <v>0</v>
      </c>
    </row>
    <row r="537" spans="1:18" ht="15" customHeight="1" x14ac:dyDescent="0.25">
      <c r="A537" s="5">
        <v>505</v>
      </c>
      <c r="B537" s="5" t="s">
        <v>437</v>
      </c>
      <c r="C537" s="5" t="s">
        <v>437</v>
      </c>
      <c r="D537" s="5" t="s">
        <v>1118</v>
      </c>
      <c r="E537" s="5" t="s">
        <v>878</v>
      </c>
      <c r="F537" s="5">
        <v>35</v>
      </c>
      <c r="G537" s="5">
        <v>6.16</v>
      </c>
      <c r="H537" s="5">
        <v>7.01</v>
      </c>
      <c r="I537" s="5">
        <v>10</v>
      </c>
      <c r="J537" s="5">
        <v>0</v>
      </c>
      <c r="K537" s="5">
        <v>0</v>
      </c>
      <c r="L537" s="5">
        <v>3</v>
      </c>
      <c r="M537" s="5">
        <v>3</v>
      </c>
      <c r="N537" s="5">
        <v>0</v>
      </c>
      <c r="O537" s="5">
        <v>2</v>
      </c>
      <c r="P537" s="5">
        <v>4</v>
      </c>
      <c r="Q537" s="5">
        <v>0</v>
      </c>
      <c r="R537" s="5">
        <v>0</v>
      </c>
    </row>
    <row r="538" spans="1:18" ht="15" customHeight="1" x14ac:dyDescent="0.25">
      <c r="A538" s="5">
        <v>7071</v>
      </c>
      <c r="B538" s="5" t="s">
        <v>437</v>
      </c>
      <c r="C538" s="5" t="s">
        <v>1117</v>
      </c>
      <c r="D538" s="5" t="s">
        <v>454</v>
      </c>
      <c r="E538" s="5" t="s">
        <v>12</v>
      </c>
      <c r="F538" s="5">
        <v>31</v>
      </c>
      <c r="G538" s="5">
        <v>6.26</v>
      </c>
      <c r="H538" s="5">
        <v>7.02</v>
      </c>
      <c r="I538" s="5">
        <v>7</v>
      </c>
      <c r="J538" s="5">
        <v>0</v>
      </c>
      <c r="K538" s="5">
        <v>0</v>
      </c>
      <c r="L538" s="5">
        <v>0</v>
      </c>
      <c r="M538" s="5">
        <v>0</v>
      </c>
      <c r="N538" s="5">
        <v>0</v>
      </c>
      <c r="O538" s="5">
        <v>3</v>
      </c>
      <c r="P538" s="5">
        <v>1</v>
      </c>
      <c r="Q538" s="5">
        <v>0</v>
      </c>
      <c r="R538" s="5">
        <v>0</v>
      </c>
    </row>
    <row r="539" spans="1:18" ht="15" customHeight="1" x14ac:dyDescent="0.25">
      <c r="A539" s="5">
        <v>2061</v>
      </c>
      <c r="B539" s="5" t="s">
        <v>437</v>
      </c>
      <c r="C539" s="5" t="s">
        <v>1117</v>
      </c>
      <c r="D539" s="5" t="s">
        <v>457</v>
      </c>
      <c r="E539" s="5" t="s">
        <v>81</v>
      </c>
      <c r="F539" s="5">
        <v>32</v>
      </c>
      <c r="G539" s="5">
        <v>6.08</v>
      </c>
      <c r="H539" s="5">
        <v>7.09</v>
      </c>
      <c r="I539" s="5">
        <v>11</v>
      </c>
      <c r="J539" s="5">
        <v>0</v>
      </c>
      <c r="K539" s="5">
        <v>0</v>
      </c>
      <c r="L539" s="5">
        <v>0</v>
      </c>
      <c r="M539" s="5">
        <v>0</v>
      </c>
      <c r="N539" s="5">
        <v>0</v>
      </c>
      <c r="O539" s="5">
        <v>0</v>
      </c>
      <c r="P539" s="5">
        <v>1</v>
      </c>
      <c r="Q539" s="5">
        <v>0</v>
      </c>
      <c r="R539" s="5">
        <v>0</v>
      </c>
    </row>
    <row r="540" spans="1:18" ht="15" customHeight="1" x14ac:dyDescent="0.25">
      <c r="A540" s="5">
        <v>4463</v>
      </c>
      <c r="B540" s="5" t="s">
        <v>437</v>
      </c>
      <c r="C540" s="5" t="s">
        <v>437</v>
      </c>
      <c r="D540" s="5" t="s">
        <v>462</v>
      </c>
      <c r="E540" s="5" t="s">
        <v>26</v>
      </c>
      <c r="F540" s="5">
        <v>36</v>
      </c>
      <c r="G540" s="5">
        <v>6.26</v>
      </c>
      <c r="H540" s="5">
        <v>6.88</v>
      </c>
      <c r="I540" s="5">
        <v>7</v>
      </c>
      <c r="J540" s="5">
        <v>0</v>
      </c>
      <c r="K540" s="5">
        <v>0</v>
      </c>
      <c r="L540" s="5">
        <v>1</v>
      </c>
      <c r="M540" s="5">
        <v>1</v>
      </c>
      <c r="N540" s="5">
        <v>0</v>
      </c>
      <c r="O540" s="5">
        <v>4</v>
      </c>
      <c r="P540" s="5">
        <v>6</v>
      </c>
      <c r="Q540" s="5">
        <v>0</v>
      </c>
      <c r="R540" s="5">
        <v>0</v>
      </c>
    </row>
    <row r="541" spans="1:18" ht="15" customHeight="1" x14ac:dyDescent="0.25">
      <c r="A541" s="5">
        <v>6060</v>
      </c>
      <c r="B541" s="5" t="s">
        <v>437</v>
      </c>
      <c r="C541" s="5" t="s">
        <v>437</v>
      </c>
      <c r="D541" s="5" t="s">
        <v>456</v>
      </c>
      <c r="E541" s="5" t="s">
        <v>41</v>
      </c>
      <c r="F541" s="5">
        <v>37</v>
      </c>
      <c r="G541" s="5">
        <v>6.23</v>
      </c>
      <c r="H541" s="5">
        <v>6.99</v>
      </c>
      <c r="I541" s="5">
        <v>7</v>
      </c>
      <c r="J541" s="5">
        <v>0</v>
      </c>
      <c r="K541" s="5">
        <v>0</v>
      </c>
      <c r="L541" s="5">
        <v>0</v>
      </c>
      <c r="M541" s="5">
        <v>0</v>
      </c>
      <c r="N541" s="5">
        <v>0</v>
      </c>
      <c r="O541" s="5">
        <v>9</v>
      </c>
      <c r="P541" s="5">
        <v>4</v>
      </c>
      <c r="Q541" s="5">
        <v>0</v>
      </c>
      <c r="R541" s="5">
        <v>0</v>
      </c>
    </row>
    <row r="542" spans="1:18" ht="15" customHeight="1" x14ac:dyDescent="0.25">
      <c r="A542" s="5">
        <v>6669</v>
      </c>
      <c r="B542" s="5" t="s">
        <v>437</v>
      </c>
      <c r="C542" s="5" t="s">
        <v>1117</v>
      </c>
      <c r="D542" s="5" t="s">
        <v>484</v>
      </c>
      <c r="E542" s="5" t="s">
        <v>12</v>
      </c>
      <c r="F542" s="5">
        <v>27</v>
      </c>
      <c r="G542" s="5">
        <v>6.15</v>
      </c>
      <c r="H542" s="5">
        <v>6.83</v>
      </c>
      <c r="I542" s="5">
        <v>5</v>
      </c>
      <c r="J542" s="5">
        <v>0</v>
      </c>
      <c r="K542" s="5">
        <v>0</v>
      </c>
      <c r="L542" s="5">
        <v>0</v>
      </c>
      <c r="M542" s="5">
        <v>0</v>
      </c>
      <c r="N542" s="5">
        <v>0</v>
      </c>
      <c r="O542" s="5">
        <v>4</v>
      </c>
      <c r="P542" s="5">
        <v>1</v>
      </c>
      <c r="Q542" s="5">
        <v>0</v>
      </c>
      <c r="R542" s="5">
        <v>0</v>
      </c>
    </row>
    <row r="543" spans="1:18" ht="15" customHeight="1" x14ac:dyDescent="0.25">
      <c r="A543" s="5">
        <v>4510</v>
      </c>
      <c r="B543" s="5" t="s">
        <v>437</v>
      </c>
      <c r="C543" s="5" t="s">
        <v>437</v>
      </c>
      <c r="D543" s="5" t="s">
        <v>450</v>
      </c>
      <c r="E543" s="5" t="s">
        <v>18</v>
      </c>
      <c r="F543" s="5">
        <v>28</v>
      </c>
      <c r="G543" s="5">
        <v>5.88</v>
      </c>
      <c r="H543" s="5">
        <v>6.86</v>
      </c>
      <c r="I543" s="5">
        <v>9</v>
      </c>
      <c r="J543" s="5">
        <v>0</v>
      </c>
      <c r="K543" s="5">
        <v>0</v>
      </c>
      <c r="L543" s="5">
        <v>2</v>
      </c>
      <c r="M543" s="5">
        <v>2</v>
      </c>
      <c r="N543" s="5">
        <v>0</v>
      </c>
      <c r="O543" s="5">
        <v>3</v>
      </c>
      <c r="P543" s="5">
        <v>5</v>
      </c>
      <c r="Q543" s="5">
        <v>0</v>
      </c>
      <c r="R543" s="5">
        <v>0</v>
      </c>
    </row>
    <row r="544" spans="1:18" ht="15" customHeight="1" x14ac:dyDescent="0.25">
      <c r="A544" s="5">
        <v>5734</v>
      </c>
      <c r="B544" s="5" t="s">
        <v>437</v>
      </c>
      <c r="C544" s="5" t="s">
        <v>437</v>
      </c>
      <c r="D544" s="5" t="s">
        <v>465</v>
      </c>
      <c r="E544" s="5" t="s">
        <v>10</v>
      </c>
      <c r="F544" s="5">
        <v>32</v>
      </c>
      <c r="G544" s="5">
        <v>6.12</v>
      </c>
      <c r="H544" s="5">
        <v>6.83</v>
      </c>
      <c r="I544" s="5">
        <v>6</v>
      </c>
      <c r="J544" s="5">
        <v>0</v>
      </c>
      <c r="K544" s="5">
        <v>0</v>
      </c>
      <c r="L544" s="5">
        <v>0</v>
      </c>
      <c r="M544" s="5">
        <v>0</v>
      </c>
      <c r="N544" s="5">
        <v>0</v>
      </c>
      <c r="O544" s="5">
        <v>5</v>
      </c>
      <c r="P544" s="5">
        <v>1</v>
      </c>
      <c r="Q544" s="5">
        <v>0</v>
      </c>
      <c r="R544" s="5">
        <v>0</v>
      </c>
    </row>
    <row r="545" spans="1:18" ht="15" customHeight="1" x14ac:dyDescent="0.25">
      <c r="A545" s="5">
        <v>6226</v>
      </c>
      <c r="B545" s="5" t="s">
        <v>437</v>
      </c>
      <c r="C545" s="5" t="s">
        <v>1117</v>
      </c>
      <c r="D545" s="5" t="s">
        <v>1119</v>
      </c>
      <c r="E545" s="5" t="s">
        <v>30</v>
      </c>
      <c r="F545" s="5">
        <v>11</v>
      </c>
      <c r="G545" s="5">
        <v>6.09</v>
      </c>
      <c r="H545" s="5">
        <v>6.82</v>
      </c>
      <c r="I545" s="5">
        <v>2</v>
      </c>
      <c r="J545" s="5">
        <v>0</v>
      </c>
      <c r="K545" s="5">
        <v>0</v>
      </c>
      <c r="L545" s="5">
        <v>0</v>
      </c>
      <c r="M545" s="5">
        <v>0</v>
      </c>
      <c r="N545" s="5">
        <v>0</v>
      </c>
      <c r="O545" s="5">
        <v>3</v>
      </c>
      <c r="P545" s="5">
        <v>2</v>
      </c>
      <c r="Q545" s="5">
        <v>0</v>
      </c>
      <c r="R545" s="5">
        <v>0</v>
      </c>
    </row>
    <row r="546" spans="1:18" ht="15" customHeight="1" x14ac:dyDescent="0.25">
      <c r="A546" s="5">
        <v>7023</v>
      </c>
      <c r="B546" s="5" t="s">
        <v>437</v>
      </c>
      <c r="C546" s="5" t="s">
        <v>1117</v>
      </c>
      <c r="D546" s="5" t="s">
        <v>455</v>
      </c>
      <c r="E546" s="5" t="s">
        <v>38</v>
      </c>
      <c r="F546" s="5">
        <v>37</v>
      </c>
      <c r="G546" s="5">
        <v>5.99</v>
      </c>
      <c r="H546" s="5">
        <v>6.65</v>
      </c>
      <c r="I546" s="5">
        <v>9</v>
      </c>
      <c r="J546" s="5">
        <v>0</v>
      </c>
      <c r="K546" s="5">
        <v>0</v>
      </c>
      <c r="L546" s="5">
        <v>1</v>
      </c>
      <c r="M546" s="5">
        <v>1</v>
      </c>
      <c r="N546" s="5">
        <v>0</v>
      </c>
      <c r="O546" s="5">
        <v>0</v>
      </c>
      <c r="P546" s="5">
        <v>5</v>
      </c>
      <c r="Q546" s="5">
        <v>0</v>
      </c>
      <c r="R546" s="5">
        <v>0</v>
      </c>
    </row>
    <row r="547" spans="1:18" ht="15" customHeight="1" x14ac:dyDescent="0.25">
      <c r="A547" s="5">
        <v>4728</v>
      </c>
      <c r="B547" s="5" t="s">
        <v>437</v>
      </c>
      <c r="C547" s="5" t="s">
        <v>437</v>
      </c>
      <c r="D547" s="5" t="s">
        <v>463</v>
      </c>
      <c r="E547" s="5" t="s">
        <v>18</v>
      </c>
      <c r="F547" s="5">
        <v>26</v>
      </c>
      <c r="G547" s="5">
        <v>5.94</v>
      </c>
      <c r="H547" s="5">
        <v>6.87</v>
      </c>
      <c r="I547" s="5">
        <v>7</v>
      </c>
      <c r="J547" s="5">
        <v>0</v>
      </c>
      <c r="K547" s="5">
        <v>0</v>
      </c>
      <c r="L547" s="5">
        <v>5</v>
      </c>
      <c r="M547" s="5">
        <v>5</v>
      </c>
      <c r="N547" s="5">
        <v>0</v>
      </c>
      <c r="O547" s="5">
        <v>3</v>
      </c>
      <c r="P547" s="5">
        <v>0</v>
      </c>
      <c r="Q547" s="5">
        <v>0</v>
      </c>
      <c r="R547" s="5">
        <v>0</v>
      </c>
    </row>
    <row r="548" spans="1:18" ht="15" customHeight="1" x14ac:dyDescent="0.25">
      <c r="A548" s="5">
        <v>6572</v>
      </c>
      <c r="B548" s="5" t="s">
        <v>437</v>
      </c>
      <c r="C548" s="5" t="s">
        <v>1117</v>
      </c>
      <c r="D548" s="5" t="s">
        <v>460</v>
      </c>
      <c r="E548" s="5" t="s">
        <v>24</v>
      </c>
      <c r="F548" s="5">
        <v>35</v>
      </c>
      <c r="G548" s="5">
        <v>5.93</v>
      </c>
      <c r="H548" s="5">
        <v>6.51</v>
      </c>
      <c r="I548" s="5">
        <v>7</v>
      </c>
      <c r="J548" s="5">
        <v>0</v>
      </c>
      <c r="K548" s="5">
        <v>0</v>
      </c>
      <c r="L548" s="5">
        <v>0</v>
      </c>
      <c r="M548" s="5">
        <v>0</v>
      </c>
      <c r="N548" s="5">
        <v>0</v>
      </c>
      <c r="O548" s="5">
        <v>1</v>
      </c>
      <c r="P548" s="5">
        <v>3</v>
      </c>
      <c r="Q548" s="5">
        <v>0</v>
      </c>
      <c r="R548" s="5">
        <v>0</v>
      </c>
    </row>
    <row r="549" spans="1:18" ht="15" customHeight="1" x14ac:dyDescent="0.25">
      <c r="A549" s="5">
        <v>5995</v>
      </c>
      <c r="B549" s="5" t="s">
        <v>437</v>
      </c>
      <c r="C549" s="5" t="s">
        <v>437</v>
      </c>
      <c r="D549" s="5" t="s">
        <v>452</v>
      </c>
      <c r="E549" s="5" t="s">
        <v>14</v>
      </c>
      <c r="F549" s="5">
        <v>31</v>
      </c>
      <c r="G549" s="5">
        <v>6.21</v>
      </c>
      <c r="H549" s="5">
        <v>6.6</v>
      </c>
      <c r="I549" s="5">
        <v>3</v>
      </c>
      <c r="J549" s="5">
        <v>0</v>
      </c>
      <c r="K549" s="5">
        <v>0</v>
      </c>
      <c r="L549" s="5">
        <v>0</v>
      </c>
      <c r="M549" s="5">
        <v>0</v>
      </c>
      <c r="N549" s="5">
        <v>0</v>
      </c>
      <c r="O549" s="5">
        <v>5</v>
      </c>
      <c r="P549" s="5">
        <v>4</v>
      </c>
      <c r="Q549" s="5">
        <v>0</v>
      </c>
      <c r="R549" s="5">
        <v>0</v>
      </c>
    </row>
    <row r="550" spans="1:18" ht="15" customHeight="1" x14ac:dyDescent="0.25">
      <c r="A550" s="5">
        <v>2097</v>
      </c>
      <c r="B550" s="5" t="s">
        <v>437</v>
      </c>
      <c r="C550" s="5" t="s">
        <v>1117</v>
      </c>
      <c r="D550" s="5" t="s">
        <v>444</v>
      </c>
      <c r="E550" s="5" t="s">
        <v>20</v>
      </c>
      <c r="F550" s="5">
        <v>26</v>
      </c>
      <c r="G550" s="5">
        <v>5.88</v>
      </c>
      <c r="H550" s="5">
        <v>6.77</v>
      </c>
      <c r="I550" s="5">
        <v>8</v>
      </c>
      <c r="J550" s="5">
        <v>0</v>
      </c>
      <c r="K550" s="5">
        <v>0</v>
      </c>
      <c r="L550" s="5">
        <v>2</v>
      </c>
      <c r="M550" s="5">
        <v>2</v>
      </c>
      <c r="N550" s="5">
        <v>0</v>
      </c>
      <c r="O550" s="5">
        <v>1</v>
      </c>
      <c r="P550" s="5">
        <v>4</v>
      </c>
      <c r="Q550" s="5">
        <v>0</v>
      </c>
      <c r="R550" s="5">
        <v>0</v>
      </c>
    </row>
    <row r="551" spans="1:18" ht="15" customHeight="1" x14ac:dyDescent="0.25">
      <c r="A551" s="5">
        <v>2841</v>
      </c>
      <c r="B551" s="5" t="s">
        <v>437</v>
      </c>
      <c r="C551" s="5" t="s">
        <v>1117</v>
      </c>
      <c r="D551" s="5" t="s">
        <v>1120</v>
      </c>
      <c r="E551" s="5" t="s">
        <v>28</v>
      </c>
      <c r="F551" s="5">
        <v>18</v>
      </c>
      <c r="G551" s="5">
        <v>6.14</v>
      </c>
      <c r="H551" s="5">
        <v>7.31</v>
      </c>
      <c r="I551" s="5">
        <v>7</v>
      </c>
      <c r="J551" s="5">
        <v>0</v>
      </c>
      <c r="K551" s="5">
        <v>0</v>
      </c>
      <c r="L551" s="5">
        <v>1</v>
      </c>
      <c r="M551" s="5">
        <v>1</v>
      </c>
      <c r="N551" s="5">
        <v>0</v>
      </c>
      <c r="O551" s="5">
        <v>0</v>
      </c>
      <c r="P551" s="5">
        <v>0</v>
      </c>
      <c r="Q551" s="5">
        <v>0</v>
      </c>
      <c r="R551" s="5">
        <v>0</v>
      </c>
    </row>
    <row r="552" spans="1:18" ht="15" customHeight="1" x14ac:dyDescent="0.25">
      <c r="A552" s="5">
        <v>2489</v>
      </c>
      <c r="B552" s="5" t="s">
        <v>437</v>
      </c>
      <c r="C552" s="5" t="s">
        <v>437</v>
      </c>
      <c r="D552" s="5" t="s">
        <v>1121</v>
      </c>
      <c r="E552" s="5" t="s">
        <v>30</v>
      </c>
      <c r="F552" s="5">
        <v>23</v>
      </c>
      <c r="G552" s="5">
        <v>6.13</v>
      </c>
      <c r="H552" s="5">
        <v>6.78</v>
      </c>
      <c r="I552" s="5">
        <v>5</v>
      </c>
      <c r="J552" s="5">
        <v>0</v>
      </c>
      <c r="K552" s="5">
        <v>0</v>
      </c>
      <c r="L552" s="5">
        <v>2</v>
      </c>
      <c r="M552" s="5">
        <v>2</v>
      </c>
      <c r="N552" s="5">
        <v>0</v>
      </c>
      <c r="O552" s="5">
        <v>2</v>
      </c>
      <c r="P552" s="5">
        <v>4</v>
      </c>
      <c r="Q552" s="5">
        <v>0</v>
      </c>
      <c r="R552" s="5">
        <v>0</v>
      </c>
    </row>
    <row r="553" spans="1:18" ht="15" customHeight="1" x14ac:dyDescent="0.25">
      <c r="A553" s="5">
        <v>5455</v>
      </c>
      <c r="B553" s="5" t="s">
        <v>437</v>
      </c>
      <c r="C553" s="5" t="s">
        <v>437</v>
      </c>
      <c r="D553" s="5" t="s">
        <v>1122</v>
      </c>
      <c r="E553" s="5" t="s">
        <v>883</v>
      </c>
      <c r="F553" s="5">
        <v>35</v>
      </c>
      <c r="G553" s="5">
        <v>5.99</v>
      </c>
      <c r="H553" s="5">
        <v>6.56</v>
      </c>
      <c r="I553" s="5">
        <v>7</v>
      </c>
      <c r="J553" s="5">
        <v>0</v>
      </c>
      <c r="K553" s="5">
        <v>0</v>
      </c>
      <c r="L553" s="5">
        <v>2</v>
      </c>
      <c r="M553" s="5">
        <v>2</v>
      </c>
      <c r="N553" s="5">
        <v>0</v>
      </c>
      <c r="O553" s="5">
        <v>0</v>
      </c>
      <c r="P553" s="5">
        <v>2</v>
      </c>
      <c r="Q553" s="5">
        <v>0</v>
      </c>
      <c r="R553" s="5">
        <v>0</v>
      </c>
    </row>
    <row r="554" spans="1:18" ht="15" customHeight="1" x14ac:dyDescent="0.25">
      <c r="A554" s="5">
        <v>2038</v>
      </c>
      <c r="B554" s="5" t="s">
        <v>437</v>
      </c>
      <c r="C554" s="5" t="s">
        <v>1117</v>
      </c>
      <c r="D554" s="5" t="s">
        <v>464</v>
      </c>
      <c r="E554" s="5" t="s">
        <v>41</v>
      </c>
      <c r="F554" s="5">
        <v>34</v>
      </c>
      <c r="G554" s="5">
        <v>5.88</v>
      </c>
      <c r="H554" s="5">
        <v>6.62</v>
      </c>
      <c r="I554" s="5">
        <v>9</v>
      </c>
      <c r="J554" s="5">
        <v>0</v>
      </c>
      <c r="K554" s="5">
        <v>0</v>
      </c>
      <c r="L554" s="5">
        <v>1</v>
      </c>
      <c r="M554" s="5">
        <v>0</v>
      </c>
      <c r="N554" s="5">
        <v>1</v>
      </c>
      <c r="O554" s="5">
        <v>3</v>
      </c>
      <c r="P554" s="5">
        <v>2</v>
      </c>
      <c r="Q554" s="5">
        <v>1</v>
      </c>
      <c r="R554" s="5">
        <v>0</v>
      </c>
    </row>
    <row r="555" spans="1:18" ht="15" customHeight="1" x14ac:dyDescent="0.25">
      <c r="A555" s="5">
        <v>6646</v>
      </c>
      <c r="B555" s="5" t="s">
        <v>437</v>
      </c>
      <c r="C555" s="5" t="s">
        <v>437</v>
      </c>
      <c r="D555" s="5" t="s">
        <v>477</v>
      </c>
      <c r="E555" s="5" t="s">
        <v>81</v>
      </c>
      <c r="F555" s="5">
        <v>32</v>
      </c>
      <c r="G555" s="5">
        <v>5.98</v>
      </c>
      <c r="H555" s="5">
        <v>6.64</v>
      </c>
      <c r="I555" s="5">
        <v>6</v>
      </c>
      <c r="J555" s="5">
        <v>0</v>
      </c>
      <c r="K555" s="5">
        <v>0</v>
      </c>
      <c r="L555" s="5">
        <v>0</v>
      </c>
      <c r="M555" s="5">
        <v>0</v>
      </c>
      <c r="N555" s="5">
        <v>0</v>
      </c>
      <c r="O555" s="5">
        <v>3</v>
      </c>
      <c r="P555" s="5">
        <v>0</v>
      </c>
      <c r="Q555" s="5">
        <v>0</v>
      </c>
      <c r="R555" s="5">
        <v>0</v>
      </c>
    </row>
    <row r="556" spans="1:18" ht="15" customHeight="1" x14ac:dyDescent="0.25">
      <c r="A556" s="5">
        <v>2369</v>
      </c>
      <c r="B556" s="5" t="s">
        <v>437</v>
      </c>
      <c r="C556" s="5" t="s">
        <v>437</v>
      </c>
      <c r="D556" s="5" t="s">
        <v>1123</v>
      </c>
      <c r="E556" s="5" t="s">
        <v>32</v>
      </c>
      <c r="F556" s="5">
        <v>0</v>
      </c>
      <c r="G556" s="5">
        <v>0</v>
      </c>
      <c r="H556" s="5">
        <v>0</v>
      </c>
      <c r="I556" s="5">
        <v>0</v>
      </c>
      <c r="J556" s="5">
        <v>0</v>
      </c>
      <c r="K556" s="5">
        <v>0</v>
      </c>
      <c r="L556" s="5">
        <v>0</v>
      </c>
      <c r="M556" s="5">
        <v>0</v>
      </c>
      <c r="N556" s="5">
        <v>0</v>
      </c>
      <c r="O556" s="5">
        <v>0</v>
      </c>
      <c r="P556" s="5">
        <v>0</v>
      </c>
      <c r="Q556" s="5">
        <v>0</v>
      </c>
      <c r="R556" s="5">
        <v>0</v>
      </c>
    </row>
    <row r="557" spans="1:18" ht="15" customHeight="1" x14ac:dyDescent="0.25">
      <c r="A557" s="5">
        <v>2499</v>
      </c>
      <c r="B557" s="5" t="s">
        <v>437</v>
      </c>
      <c r="C557" s="5" t="s">
        <v>1117</v>
      </c>
      <c r="D557" s="5" t="s">
        <v>1124</v>
      </c>
      <c r="E557" s="5" t="s">
        <v>878</v>
      </c>
      <c r="F557" s="5">
        <v>29</v>
      </c>
      <c r="G557" s="5">
        <v>5.95</v>
      </c>
      <c r="H557" s="5">
        <v>6.62</v>
      </c>
      <c r="I557" s="5">
        <v>7</v>
      </c>
      <c r="J557" s="5">
        <v>0</v>
      </c>
      <c r="K557" s="5">
        <v>0</v>
      </c>
      <c r="L557" s="5">
        <v>0</v>
      </c>
      <c r="M557" s="5">
        <v>0</v>
      </c>
      <c r="N557" s="5">
        <v>0</v>
      </c>
      <c r="O557" s="5">
        <v>1</v>
      </c>
      <c r="P557" s="5">
        <v>5</v>
      </c>
      <c r="Q557" s="5">
        <v>0</v>
      </c>
      <c r="R557" s="5">
        <v>0</v>
      </c>
    </row>
    <row r="558" spans="1:18" ht="15" customHeight="1" x14ac:dyDescent="0.25">
      <c r="A558" s="5">
        <v>7129</v>
      </c>
      <c r="B558" s="5" t="s">
        <v>437</v>
      </c>
      <c r="C558" s="5" t="s">
        <v>1029</v>
      </c>
      <c r="D558" s="5" t="s">
        <v>284</v>
      </c>
      <c r="E558" s="5" t="s">
        <v>16</v>
      </c>
      <c r="F558" s="5">
        <v>28</v>
      </c>
      <c r="G558" s="5">
        <v>6.25</v>
      </c>
      <c r="H558" s="5">
        <v>6.66</v>
      </c>
      <c r="I558" s="5">
        <v>2</v>
      </c>
      <c r="J558" s="5">
        <v>0</v>
      </c>
      <c r="K558" s="5">
        <v>0</v>
      </c>
      <c r="L558" s="5">
        <v>0</v>
      </c>
      <c r="M558" s="5">
        <v>0</v>
      </c>
      <c r="N558" s="5">
        <v>0</v>
      </c>
      <c r="O558" s="5">
        <v>8</v>
      </c>
      <c r="P558" s="5">
        <v>3</v>
      </c>
      <c r="Q558" s="5">
        <v>1</v>
      </c>
      <c r="R558" s="5">
        <v>0</v>
      </c>
    </row>
    <row r="559" spans="1:18" ht="15" customHeight="1" x14ac:dyDescent="0.25">
      <c r="A559" s="5">
        <v>6001</v>
      </c>
      <c r="B559" s="5" t="s">
        <v>437</v>
      </c>
      <c r="C559" s="5" t="s">
        <v>1029</v>
      </c>
      <c r="D559" s="5" t="s">
        <v>1125</v>
      </c>
      <c r="E559" s="5" t="s">
        <v>36</v>
      </c>
      <c r="F559" s="5">
        <v>32</v>
      </c>
      <c r="G559" s="5">
        <v>6.08</v>
      </c>
      <c r="H559" s="5">
        <v>6.55</v>
      </c>
      <c r="I559" s="5">
        <v>5</v>
      </c>
      <c r="J559" s="5">
        <v>0</v>
      </c>
      <c r="K559" s="5">
        <v>0</v>
      </c>
      <c r="L559" s="5">
        <v>0</v>
      </c>
      <c r="M559" s="5">
        <v>0</v>
      </c>
      <c r="N559" s="5">
        <v>0</v>
      </c>
      <c r="O559" s="5">
        <v>4</v>
      </c>
      <c r="P559" s="5">
        <v>6</v>
      </c>
      <c r="Q559" s="5">
        <v>1</v>
      </c>
      <c r="R559" s="5">
        <v>0</v>
      </c>
    </row>
    <row r="560" spans="1:18" ht="15" customHeight="1" x14ac:dyDescent="0.25">
      <c r="A560" s="5">
        <v>4371</v>
      </c>
      <c r="B560" s="5" t="s">
        <v>437</v>
      </c>
      <c r="C560" s="5" t="s">
        <v>437</v>
      </c>
      <c r="D560" s="5" t="s">
        <v>461</v>
      </c>
      <c r="E560" s="5" t="s">
        <v>14</v>
      </c>
      <c r="F560" s="5">
        <v>13</v>
      </c>
      <c r="G560" s="5">
        <v>6.12</v>
      </c>
      <c r="H560" s="5">
        <v>6.88</v>
      </c>
      <c r="I560" s="5">
        <v>3</v>
      </c>
      <c r="J560" s="5">
        <v>0</v>
      </c>
      <c r="K560" s="5">
        <v>0</v>
      </c>
      <c r="L560" s="5">
        <v>0</v>
      </c>
      <c r="M560" s="5">
        <v>0</v>
      </c>
      <c r="N560" s="5">
        <v>0</v>
      </c>
      <c r="O560" s="5">
        <v>1</v>
      </c>
      <c r="P560" s="5">
        <v>0</v>
      </c>
      <c r="Q560" s="5">
        <v>0</v>
      </c>
      <c r="R560" s="5">
        <v>0</v>
      </c>
    </row>
    <row r="561" spans="1:18" ht="15" customHeight="1" x14ac:dyDescent="0.25">
      <c r="A561" s="5">
        <v>2531</v>
      </c>
      <c r="B561" s="5" t="s">
        <v>437</v>
      </c>
      <c r="C561" s="5" t="s">
        <v>1117</v>
      </c>
      <c r="D561" s="5" t="s">
        <v>471</v>
      </c>
      <c r="E561" s="5" t="s">
        <v>22</v>
      </c>
      <c r="F561" s="5">
        <v>1</v>
      </c>
      <c r="G561" s="5">
        <v>7</v>
      </c>
      <c r="H561" s="5">
        <v>9.5</v>
      </c>
      <c r="I561" s="5">
        <v>1</v>
      </c>
      <c r="J561" s="5">
        <v>0</v>
      </c>
      <c r="K561" s="5">
        <v>0</v>
      </c>
      <c r="L561" s="5">
        <v>0</v>
      </c>
      <c r="M561" s="5">
        <v>0</v>
      </c>
      <c r="N561" s="5">
        <v>0</v>
      </c>
      <c r="O561" s="5">
        <v>0</v>
      </c>
      <c r="P561" s="5">
        <v>1</v>
      </c>
      <c r="Q561" s="5">
        <v>0</v>
      </c>
      <c r="R561" s="5">
        <v>0</v>
      </c>
    </row>
    <row r="562" spans="1:18" ht="15" customHeight="1" x14ac:dyDescent="0.25">
      <c r="A562" s="5">
        <v>4730</v>
      </c>
      <c r="B562" s="5" t="s">
        <v>437</v>
      </c>
      <c r="C562" s="5" t="s">
        <v>437</v>
      </c>
      <c r="D562" s="5" t="s">
        <v>1126</v>
      </c>
      <c r="E562" s="5" t="s">
        <v>14</v>
      </c>
      <c r="F562" s="5">
        <v>10</v>
      </c>
      <c r="G562" s="5">
        <v>5.8</v>
      </c>
      <c r="H562" s="5">
        <v>6.4</v>
      </c>
      <c r="I562" s="5">
        <v>2</v>
      </c>
      <c r="J562" s="5">
        <v>0</v>
      </c>
      <c r="K562" s="5">
        <v>0</v>
      </c>
      <c r="L562" s="5">
        <v>0</v>
      </c>
      <c r="M562" s="5">
        <v>0</v>
      </c>
      <c r="N562" s="5">
        <v>0</v>
      </c>
      <c r="O562" s="5">
        <v>0</v>
      </c>
      <c r="P562" s="5">
        <v>0</v>
      </c>
      <c r="Q562" s="5">
        <v>0</v>
      </c>
      <c r="R562" s="5">
        <v>0</v>
      </c>
    </row>
    <row r="563" spans="1:18" ht="15" customHeight="1" x14ac:dyDescent="0.25">
      <c r="A563" s="5">
        <v>4923</v>
      </c>
      <c r="B563" s="5" t="s">
        <v>437</v>
      </c>
      <c r="C563" s="5" t="s">
        <v>1117</v>
      </c>
      <c r="D563" s="5" t="s">
        <v>468</v>
      </c>
      <c r="E563" s="5" t="s">
        <v>34</v>
      </c>
      <c r="F563" s="5">
        <v>37</v>
      </c>
      <c r="G563" s="5">
        <v>5.92</v>
      </c>
      <c r="H563" s="5">
        <v>6.41</v>
      </c>
      <c r="I563" s="5">
        <v>7</v>
      </c>
      <c r="J563" s="5">
        <v>0</v>
      </c>
      <c r="K563" s="5">
        <v>0</v>
      </c>
      <c r="L563" s="5">
        <v>2</v>
      </c>
      <c r="M563" s="5">
        <v>1</v>
      </c>
      <c r="N563" s="5">
        <v>1</v>
      </c>
      <c r="O563" s="5">
        <v>1</v>
      </c>
      <c r="P563" s="5">
        <v>2</v>
      </c>
      <c r="Q563" s="5">
        <v>0</v>
      </c>
      <c r="R563" s="5">
        <v>0</v>
      </c>
    </row>
    <row r="564" spans="1:18" ht="15" customHeight="1" x14ac:dyDescent="0.25">
      <c r="A564" s="5">
        <v>6556</v>
      </c>
      <c r="B564" s="5" t="s">
        <v>437</v>
      </c>
      <c r="C564" s="5" t="s">
        <v>437</v>
      </c>
      <c r="D564" s="5" t="s">
        <v>490</v>
      </c>
      <c r="E564" s="5" t="s">
        <v>30</v>
      </c>
      <c r="F564" s="5">
        <v>23</v>
      </c>
      <c r="G564" s="5">
        <v>6.02</v>
      </c>
      <c r="H564" s="5">
        <v>6.5</v>
      </c>
      <c r="I564" s="5">
        <v>4</v>
      </c>
      <c r="J564" s="5">
        <v>0</v>
      </c>
      <c r="K564" s="5">
        <v>0</v>
      </c>
      <c r="L564" s="5">
        <v>0</v>
      </c>
      <c r="M564" s="5">
        <v>0</v>
      </c>
      <c r="N564" s="5">
        <v>0</v>
      </c>
      <c r="O564" s="5">
        <v>2</v>
      </c>
      <c r="P564" s="5">
        <v>4</v>
      </c>
      <c r="Q564" s="5">
        <v>1</v>
      </c>
      <c r="R564" s="5">
        <v>0</v>
      </c>
    </row>
    <row r="565" spans="1:18" ht="15" customHeight="1" x14ac:dyDescent="0.25">
      <c r="A565" s="5">
        <v>6552</v>
      </c>
      <c r="B565" s="5" t="s">
        <v>437</v>
      </c>
      <c r="C565" s="5" t="s">
        <v>1117</v>
      </c>
      <c r="D565" s="5" t="s">
        <v>1127</v>
      </c>
      <c r="E565" s="5" t="s">
        <v>880</v>
      </c>
      <c r="F565" s="5">
        <v>28</v>
      </c>
      <c r="G565" s="5">
        <v>5.82</v>
      </c>
      <c r="H565" s="5">
        <v>6.54</v>
      </c>
      <c r="I565" s="5">
        <v>7</v>
      </c>
      <c r="J565" s="5">
        <v>0</v>
      </c>
      <c r="K565" s="5">
        <v>0</v>
      </c>
      <c r="L565" s="5">
        <v>2</v>
      </c>
      <c r="M565" s="5">
        <v>2</v>
      </c>
      <c r="N565" s="5">
        <v>0</v>
      </c>
      <c r="O565" s="5">
        <v>2</v>
      </c>
      <c r="P565" s="5">
        <v>4</v>
      </c>
      <c r="Q565" s="5">
        <v>1</v>
      </c>
      <c r="R565" s="5">
        <v>0</v>
      </c>
    </row>
    <row r="566" spans="1:18" ht="15" customHeight="1" x14ac:dyDescent="0.25">
      <c r="A566" s="5">
        <v>6164</v>
      </c>
      <c r="B566" s="5" t="s">
        <v>437</v>
      </c>
      <c r="C566" s="5" t="s">
        <v>1117</v>
      </c>
      <c r="D566" s="5" t="s">
        <v>480</v>
      </c>
      <c r="E566" s="5" t="s">
        <v>34</v>
      </c>
      <c r="F566" s="5">
        <v>31</v>
      </c>
      <c r="G566" s="5">
        <v>5.95</v>
      </c>
      <c r="H566" s="5">
        <v>6.39</v>
      </c>
      <c r="I566" s="5">
        <v>5</v>
      </c>
      <c r="J566" s="5">
        <v>0</v>
      </c>
      <c r="K566" s="5">
        <v>0</v>
      </c>
      <c r="L566" s="5">
        <v>0</v>
      </c>
      <c r="M566" s="5">
        <v>0</v>
      </c>
      <c r="N566" s="5">
        <v>0</v>
      </c>
      <c r="O566" s="5">
        <v>1</v>
      </c>
      <c r="P566" s="5">
        <v>5</v>
      </c>
      <c r="Q566" s="5">
        <v>0</v>
      </c>
      <c r="R566" s="5">
        <v>0</v>
      </c>
    </row>
    <row r="567" spans="1:18" ht="15" customHeight="1" x14ac:dyDescent="0.25">
      <c r="A567" s="5">
        <v>5544</v>
      </c>
      <c r="B567" s="5" t="s">
        <v>437</v>
      </c>
      <c r="C567" s="5" t="s">
        <v>1117</v>
      </c>
      <c r="D567" s="5" t="s">
        <v>474</v>
      </c>
      <c r="E567" s="5" t="s">
        <v>28</v>
      </c>
      <c r="F567" s="5">
        <v>30</v>
      </c>
      <c r="G567" s="5">
        <v>5.77</v>
      </c>
      <c r="H567" s="5">
        <v>6.33</v>
      </c>
      <c r="I567" s="5">
        <v>6</v>
      </c>
      <c r="J567" s="5">
        <v>0</v>
      </c>
      <c r="K567" s="5">
        <v>0</v>
      </c>
      <c r="L567" s="5">
        <v>1</v>
      </c>
      <c r="M567" s="5">
        <v>0</v>
      </c>
      <c r="N567" s="5">
        <v>1</v>
      </c>
      <c r="O567" s="5">
        <v>2</v>
      </c>
      <c r="P567" s="5">
        <v>0</v>
      </c>
      <c r="Q567" s="5">
        <v>0</v>
      </c>
      <c r="R567" s="5">
        <v>0</v>
      </c>
    </row>
    <row r="568" spans="1:18" ht="15" customHeight="1" x14ac:dyDescent="0.25">
      <c r="A568" s="5">
        <v>7120</v>
      </c>
      <c r="B568" s="5" t="s">
        <v>437</v>
      </c>
      <c r="C568" s="5" t="s">
        <v>437</v>
      </c>
      <c r="D568" s="5" t="s">
        <v>510</v>
      </c>
      <c r="E568" s="5" t="s">
        <v>22</v>
      </c>
      <c r="F568" s="5">
        <v>14</v>
      </c>
      <c r="G568" s="5">
        <v>6.04</v>
      </c>
      <c r="H568" s="5">
        <v>6.32</v>
      </c>
      <c r="I568" s="5">
        <v>1</v>
      </c>
      <c r="J568" s="5">
        <v>0</v>
      </c>
      <c r="K568" s="5">
        <v>0</v>
      </c>
      <c r="L568" s="5">
        <v>0</v>
      </c>
      <c r="M568" s="5">
        <v>0</v>
      </c>
      <c r="N568" s="5">
        <v>0</v>
      </c>
      <c r="O568" s="5">
        <v>2</v>
      </c>
      <c r="P568" s="5">
        <v>2</v>
      </c>
      <c r="Q568" s="5">
        <v>0</v>
      </c>
      <c r="R568" s="5">
        <v>0</v>
      </c>
    </row>
    <row r="569" spans="1:18" ht="15" customHeight="1" x14ac:dyDescent="0.25">
      <c r="A569" s="5">
        <v>309</v>
      </c>
      <c r="B569" s="5" t="s">
        <v>437</v>
      </c>
      <c r="C569" s="5" t="s">
        <v>437</v>
      </c>
      <c r="D569" s="5" t="s">
        <v>459</v>
      </c>
      <c r="E569" s="5" t="s">
        <v>10</v>
      </c>
      <c r="F569" s="5">
        <v>21</v>
      </c>
      <c r="G569" s="5">
        <v>6.26</v>
      </c>
      <c r="H569" s="5">
        <v>6.74</v>
      </c>
      <c r="I569" s="5">
        <v>2</v>
      </c>
      <c r="J569" s="5">
        <v>0</v>
      </c>
      <c r="K569" s="5">
        <v>0</v>
      </c>
      <c r="L569" s="5">
        <v>1</v>
      </c>
      <c r="M569" s="5">
        <v>0</v>
      </c>
      <c r="N569" s="5">
        <v>1</v>
      </c>
      <c r="O569" s="5">
        <v>7</v>
      </c>
      <c r="P569" s="5">
        <v>0</v>
      </c>
      <c r="Q569" s="5">
        <v>0</v>
      </c>
      <c r="R569" s="5">
        <v>0</v>
      </c>
    </row>
    <row r="570" spans="1:18" ht="15" customHeight="1" x14ac:dyDescent="0.25">
      <c r="A570" s="5">
        <v>7162</v>
      </c>
      <c r="B570" s="5" t="s">
        <v>437</v>
      </c>
      <c r="C570" s="5" t="s">
        <v>437</v>
      </c>
      <c r="D570" s="5" t="s">
        <v>503</v>
      </c>
      <c r="E570" s="5" t="s">
        <v>22</v>
      </c>
      <c r="F570" s="5">
        <v>31</v>
      </c>
      <c r="G570" s="5">
        <v>6</v>
      </c>
      <c r="H570" s="5">
        <v>6.45</v>
      </c>
      <c r="I570" s="5">
        <v>3</v>
      </c>
      <c r="J570" s="5">
        <v>0</v>
      </c>
      <c r="K570" s="5">
        <v>0</v>
      </c>
      <c r="L570" s="5">
        <v>0</v>
      </c>
      <c r="M570" s="5">
        <v>0</v>
      </c>
      <c r="N570" s="5">
        <v>0</v>
      </c>
      <c r="O570" s="5">
        <v>6</v>
      </c>
      <c r="P570" s="5">
        <v>2</v>
      </c>
      <c r="Q570" s="5">
        <v>0</v>
      </c>
      <c r="R570" s="5">
        <v>0</v>
      </c>
    </row>
    <row r="571" spans="1:18" ht="15" customHeight="1" x14ac:dyDescent="0.25">
      <c r="A571" s="5">
        <v>7199</v>
      </c>
      <c r="B571" s="5" t="s">
        <v>437</v>
      </c>
      <c r="C571" s="5" t="s">
        <v>437</v>
      </c>
      <c r="D571" s="5" t="s">
        <v>1128</v>
      </c>
      <c r="E571" s="5" t="s">
        <v>26</v>
      </c>
      <c r="F571" s="5">
        <v>16</v>
      </c>
      <c r="G571" s="5">
        <v>6.03</v>
      </c>
      <c r="H571" s="5">
        <v>6.78</v>
      </c>
      <c r="I571" s="5">
        <v>4</v>
      </c>
      <c r="J571" s="5">
        <v>0</v>
      </c>
      <c r="K571" s="5">
        <v>0</v>
      </c>
      <c r="L571" s="5">
        <v>0</v>
      </c>
      <c r="M571" s="5">
        <v>0</v>
      </c>
      <c r="N571" s="5">
        <v>0</v>
      </c>
      <c r="O571" s="5">
        <v>0</v>
      </c>
      <c r="P571" s="5">
        <v>1</v>
      </c>
      <c r="Q571" s="5">
        <v>0</v>
      </c>
      <c r="R571" s="5">
        <v>0</v>
      </c>
    </row>
    <row r="572" spans="1:18" ht="15" customHeight="1" x14ac:dyDescent="0.25">
      <c r="A572" s="5">
        <v>4436</v>
      </c>
      <c r="B572" s="5" t="s">
        <v>437</v>
      </c>
      <c r="C572" s="5" t="s">
        <v>437</v>
      </c>
      <c r="D572" s="5" t="s">
        <v>307</v>
      </c>
      <c r="E572" s="5" t="s">
        <v>24</v>
      </c>
      <c r="F572" s="5">
        <v>24</v>
      </c>
      <c r="G572" s="5">
        <v>5.98</v>
      </c>
      <c r="H572" s="5">
        <v>6.42</v>
      </c>
      <c r="I572" s="5">
        <v>3</v>
      </c>
      <c r="J572" s="5">
        <v>0</v>
      </c>
      <c r="K572" s="5">
        <v>0</v>
      </c>
      <c r="L572" s="5">
        <v>0</v>
      </c>
      <c r="M572" s="5">
        <v>0</v>
      </c>
      <c r="N572" s="5">
        <v>0</v>
      </c>
      <c r="O572" s="5">
        <v>4</v>
      </c>
      <c r="P572" s="5">
        <v>3</v>
      </c>
      <c r="Q572" s="5">
        <v>1</v>
      </c>
      <c r="R572" s="5">
        <v>0</v>
      </c>
    </row>
    <row r="573" spans="1:18" ht="15" customHeight="1" x14ac:dyDescent="0.25">
      <c r="A573" s="5">
        <v>6967</v>
      </c>
      <c r="B573" s="5" t="s">
        <v>437</v>
      </c>
      <c r="C573" s="5" t="s">
        <v>1029</v>
      </c>
      <c r="D573" s="5" t="s">
        <v>467</v>
      </c>
      <c r="E573" s="5" t="s">
        <v>16</v>
      </c>
      <c r="F573" s="5">
        <v>16</v>
      </c>
      <c r="G573" s="5">
        <v>6</v>
      </c>
      <c r="H573" s="5">
        <v>6.38</v>
      </c>
      <c r="I573" s="5">
        <v>2</v>
      </c>
      <c r="J573" s="5">
        <v>0</v>
      </c>
      <c r="K573" s="5">
        <v>0</v>
      </c>
      <c r="L573" s="5">
        <v>0</v>
      </c>
      <c r="M573" s="5">
        <v>0</v>
      </c>
      <c r="N573" s="5">
        <v>0</v>
      </c>
      <c r="O573" s="5">
        <v>1</v>
      </c>
      <c r="P573" s="5">
        <v>2</v>
      </c>
      <c r="Q573" s="5">
        <v>0</v>
      </c>
      <c r="R573" s="5">
        <v>0</v>
      </c>
    </row>
    <row r="574" spans="1:18" ht="15" customHeight="1" x14ac:dyDescent="0.25">
      <c r="A574" s="5">
        <v>5506</v>
      </c>
      <c r="B574" s="5" t="s">
        <v>437</v>
      </c>
      <c r="C574" s="5" t="s">
        <v>437</v>
      </c>
      <c r="D574" s="5" t="s">
        <v>1129</v>
      </c>
      <c r="E574" s="5" t="s">
        <v>34</v>
      </c>
      <c r="F574" s="5">
        <v>28</v>
      </c>
      <c r="G574" s="5">
        <v>5.96</v>
      </c>
      <c r="H574" s="5">
        <v>6.43</v>
      </c>
      <c r="I574" s="5">
        <v>4</v>
      </c>
      <c r="J574" s="5">
        <v>0</v>
      </c>
      <c r="K574" s="5">
        <v>0</v>
      </c>
      <c r="L574" s="5">
        <v>0</v>
      </c>
      <c r="M574" s="5">
        <v>0</v>
      </c>
      <c r="N574" s="5">
        <v>0</v>
      </c>
      <c r="O574" s="5">
        <v>1</v>
      </c>
      <c r="P574" s="5">
        <v>0</v>
      </c>
      <c r="Q574" s="5">
        <v>0</v>
      </c>
      <c r="R574" s="5">
        <v>0</v>
      </c>
    </row>
    <row r="575" spans="1:18" ht="15" customHeight="1" x14ac:dyDescent="0.25">
      <c r="A575" s="5">
        <v>7008</v>
      </c>
      <c r="B575" s="5" t="s">
        <v>437</v>
      </c>
      <c r="C575" s="5" t="s">
        <v>1117</v>
      </c>
      <c r="D575" s="5" t="s">
        <v>491</v>
      </c>
      <c r="E575" s="5" t="s">
        <v>18</v>
      </c>
      <c r="F575" s="5">
        <v>15</v>
      </c>
      <c r="G575" s="5">
        <v>5.5</v>
      </c>
      <c r="H575" s="5">
        <v>5.53</v>
      </c>
      <c r="I575" s="5">
        <v>0</v>
      </c>
      <c r="J575" s="5">
        <v>0</v>
      </c>
      <c r="K575" s="5">
        <v>0</v>
      </c>
      <c r="L575" s="5">
        <v>0</v>
      </c>
      <c r="M575" s="5">
        <v>0</v>
      </c>
      <c r="N575" s="5">
        <v>0</v>
      </c>
      <c r="O575" s="5">
        <v>1</v>
      </c>
      <c r="P575" s="5">
        <v>2</v>
      </c>
      <c r="Q575" s="5">
        <v>0</v>
      </c>
      <c r="R575" s="5">
        <v>0</v>
      </c>
    </row>
    <row r="576" spans="1:18" ht="15" customHeight="1" x14ac:dyDescent="0.25">
      <c r="A576" s="5">
        <v>6243</v>
      </c>
      <c r="B576" s="5" t="s">
        <v>437</v>
      </c>
      <c r="C576" s="5" t="s">
        <v>1117</v>
      </c>
      <c r="D576" s="5" t="s">
        <v>498</v>
      </c>
      <c r="E576" s="5" t="s">
        <v>26</v>
      </c>
      <c r="F576" s="5">
        <v>26</v>
      </c>
      <c r="G576" s="5">
        <v>5.92</v>
      </c>
      <c r="H576" s="5">
        <v>6.46</v>
      </c>
      <c r="I576" s="5">
        <v>5</v>
      </c>
      <c r="J576" s="5">
        <v>0</v>
      </c>
      <c r="K576" s="5">
        <v>0</v>
      </c>
      <c r="L576" s="5">
        <v>0</v>
      </c>
      <c r="M576" s="5">
        <v>0</v>
      </c>
      <c r="N576" s="5">
        <v>0</v>
      </c>
      <c r="O576" s="5">
        <v>1</v>
      </c>
      <c r="P576" s="5">
        <v>4</v>
      </c>
      <c r="Q576" s="5">
        <v>0</v>
      </c>
      <c r="R576" s="5">
        <v>0</v>
      </c>
    </row>
    <row r="577" spans="1:18" ht="15" customHeight="1" x14ac:dyDescent="0.25">
      <c r="A577" s="5">
        <v>4179</v>
      </c>
      <c r="B577" s="5" t="s">
        <v>437</v>
      </c>
      <c r="C577" s="5" t="s">
        <v>1029</v>
      </c>
      <c r="D577" s="5" t="s">
        <v>1130</v>
      </c>
      <c r="E577" s="5" t="s">
        <v>28</v>
      </c>
      <c r="F577" s="5">
        <v>0</v>
      </c>
      <c r="G577" s="5">
        <v>0</v>
      </c>
      <c r="H577" s="5">
        <v>0</v>
      </c>
      <c r="I577" s="5">
        <v>0</v>
      </c>
      <c r="J577" s="5">
        <v>0</v>
      </c>
      <c r="K577" s="5">
        <v>0</v>
      </c>
      <c r="L577" s="5">
        <v>0</v>
      </c>
      <c r="M577" s="5">
        <v>0</v>
      </c>
      <c r="N577" s="5">
        <v>0</v>
      </c>
      <c r="O577" s="5">
        <v>0</v>
      </c>
      <c r="P577" s="5">
        <v>0</v>
      </c>
      <c r="Q577" s="5">
        <v>0</v>
      </c>
      <c r="R577" s="5">
        <v>0</v>
      </c>
    </row>
    <row r="578" spans="1:18" ht="15" customHeight="1" x14ac:dyDescent="0.25">
      <c r="A578" s="5">
        <v>5500</v>
      </c>
      <c r="B578" s="5" t="s">
        <v>437</v>
      </c>
      <c r="C578" s="5" t="s">
        <v>1029</v>
      </c>
      <c r="D578" s="5" t="s">
        <v>303</v>
      </c>
      <c r="E578" s="5" t="s">
        <v>30</v>
      </c>
      <c r="F578" s="5">
        <v>28</v>
      </c>
      <c r="G578" s="5">
        <v>5.93</v>
      </c>
      <c r="H578" s="5">
        <v>6.29</v>
      </c>
      <c r="I578" s="5">
        <v>4</v>
      </c>
      <c r="J578" s="5">
        <v>0</v>
      </c>
      <c r="K578" s="5">
        <v>0</v>
      </c>
      <c r="L578" s="5">
        <v>0</v>
      </c>
      <c r="M578" s="5">
        <v>0</v>
      </c>
      <c r="N578" s="5">
        <v>0</v>
      </c>
      <c r="O578" s="5">
        <v>1</v>
      </c>
      <c r="P578" s="5">
        <v>6</v>
      </c>
      <c r="Q578" s="5">
        <v>0</v>
      </c>
      <c r="R578" s="5">
        <v>0</v>
      </c>
    </row>
    <row r="579" spans="1:18" ht="15" customHeight="1" x14ac:dyDescent="0.25">
      <c r="A579" s="5">
        <v>6439</v>
      </c>
      <c r="B579" s="5" t="s">
        <v>437</v>
      </c>
      <c r="C579" s="5" t="s">
        <v>1117</v>
      </c>
      <c r="D579" s="5" t="s">
        <v>1131</v>
      </c>
      <c r="E579" s="5" t="s">
        <v>36</v>
      </c>
      <c r="F579" s="5">
        <v>24</v>
      </c>
      <c r="G579" s="5">
        <v>5.81</v>
      </c>
      <c r="H579" s="5">
        <v>6.31</v>
      </c>
      <c r="I579" s="5">
        <v>4</v>
      </c>
      <c r="J579" s="5">
        <v>0</v>
      </c>
      <c r="K579" s="5">
        <v>0</v>
      </c>
      <c r="L579" s="5">
        <v>0</v>
      </c>
      <c r="M579" s="5">
        <v>0</v>
      </c>
      <c r="N579" s="5">
        <v>0</v>
      </c>
      <c r="O579" s="5">
        <v>1</v>
      </c>
      <c r="P579" s="5">
        <v>3</v>
      </c>
      <c r="Q579" s="5">
        <v>0</v>
      </c>
      <c r="R579" s="5">
        <v>0</v>
      </c>
    </row>
    <row r="580" spans="1:18" ht="15" customHeight="1" x14ac:dyDescent="0.25">
      <c r="A580" s="5">
        <v>2832</v>
      </c>
      <c r="B580" s="5" t="s">
        <v>437</v>
      </c>
      <c r="C580" s="5" t="s">
        <v>1029</v>
      </c>
      <c r="D580" s="5" t="s">
        <v>489</v>
      </c>
      <c r="E580" s="5" t="s">
        <v>28</v>
      </c>
      <c r="F580" s="5">
        <v>13</v>
      </c>
      <c r="G580" s="5">
        <v>6.19</v>
      </c>
      <c r="H580" s="5">
        <v>7.15</v>
      </c>
      <c r="I580" s="5">
        <v>4</v>
      </c>
      <c r="J580" s="5">
        <v>0</v>
      </c>
      <c r="K580" s="5">
        <v>0</v>
      </c>
      <c r="L580" s="5">
        <v>0</v>
      </c>
      <c r="M580" s="5">
        <v>0</v>
      </c>
      <c r="N580" s="5">
        <v>0</v>
      </c>
      <c r="O580" s="5">
        <v>1</v>
      </c>
      <c r="P580" s="5">
        <v>1</v>
      </c>
      <c r="Q580" s="5">
        <v>0</v>
      </c>
      <c r="R580" s="5">
        <v>0</v>
      </c>
    </row>
    <row r="581" spans="1:18" ht="15" customHeight="1" x14ac:dyDescent="0.25">
      <c r="A581" s="5">
        <v>5515</v>
      </c>
      <c r="B581" s="5" t="s">
        <v>437</v>
      </c>
      <c r="C581" s="5" t="s">
        <v>437</v>
      </c>
      <c r="D581" s="5" t="s">
        <v>1132</v>
      </c>
      <c r="E581" s="5" t="s">
        <v>878</v>
      </c>
      <c r="F581" s="5">
        <v>10</v>
      </c>
      <c r="G581" s="5">
        <v>5.9</v>
      </c>
      <c r="H581" s="5">
        <v>6.5</v>
      </c>
      <c r="I581" s="5">
        <v>2</v>
      </c>
      <c r="J581" s="5">
        <v>0</v>
      </c>
      <c r="K581" s="5">
        <v>0</v>
      </c>
      <c r="L581" s="5">
        <v>0</v>
      </c>
      <c r="M581" s="5">
        <v>0</v>
      </c>
      <c r="N581" s="5">
        <v>0</v>
      </c>
      <c r="O581" s="5">
        <v>0</v>
      </c>
      <c r="P581" s="5">
        <v>0</v>
      </c>
      <c r="Q581" s="5">
        <v>0</v>
      </c>
      <c r="R581" s="5">
        <v>0</v>
      </c>
    </row>
    <row r="582" spans="1:18" ht="15" customHeight="1" x14ac:dyDescent="0.25">
      <c r="A582" s="5">
        <v>6822</v>
      </c>
      <c r="B582" s="5" t="s">
        <v>437</v>
      </c>
      <c r="C582" s="5" t="s">
        <v>437</v>
      </c>
      <c r="D582" s="5" t="s">
        <v>507</v>
      </c>
      <c r="E582" s="5" t="s">
        <v>34</v>
      </c>
      <c r="F582" s="5">
        <v>25</v>
      </c>
      <c r="G582" s="5">
        <v>5.96</v>
      </c>
      <c r="H582" s="5">
        <v>6.28</v>
      </c>
      <c r="I582" s="5">
        <v>3</v>
      </c>
      <c r="J582" s="5">
        <v>0</v>
      </c>
      <c r="K582" s="5">
        <v>0</v>
      </c>
      <c r="L582" s="5">
        <v>0</v>
      </c>
      <c r="M582" s="5">
        <v>0</v>
      </c>
      <c r="N582" s="5">
        <v>0</v>
      </c>
      <c r="O582" s="5">
        <v>0</v>
      </c>
      <c r="P582" s="5">
        <v>3</v>
      </c>
      <c r="Q582" s="5">
        <v>0</v>
      </c>
      <c r="R582" s="5">
        <v>0</v>
      </c>
    </row>
    <row r="583" spans="1:18" ht="15" customHeight="1" x14ac:dyDescent="0.25">
      <c r="A583" s="5">
        <v>6675</v>
      </c>
      <c r="B583" s="5" t="s">
        <v>437</v>
      </c>
      <c r="C583" s="5" t="s">
        <v>1117</v>
      </c>
      <c r="D583" s="5" t="s">
        <v>453</v>
      </c>
      <c r="E583" s="5" t="s">
        <v>10</v>
      </c>
      <c r="F583" s="5">
        <v>13</v>
      </c>
      <c r="G583" s="5">
        <v>6</v>
      </c>
      <c r="H583" s="5">
        <v>6.77</v>
      </c>
      <c r="I583" s="5">
        <v>3</v>
      </c>
      <c r="J583" s="5">
        <v>0</v>
      </c>
      <c r="K583" s="5">
        <v>0</v>
      </c>
      <c r="L583" s="5">
        <v>0</v>
      </c>
      <c r="M583" s="5">
        <v>0</v>
      </c>
      <c r="N583" s="5">
        <v>0</v>
      </c>
      <c r="O583" s="5">
        <v>1</v>
      </c>
      <c r="P583" s="5">
        <v>0</v>
      </c>
      <c r="Q583" s="5">
        <v>0</v>
      </c>
      <c r="R583" s="5">
        <v>0</v>
      </c>
    </row>
    <row r="584" spans="1:18" ht="15" customHeight="1" x14ac:dyDescent="0.25">
      <c r="A584" s="5">
        <v>6365</v>
      </c>
      <c r="B584" s="5" t="s">
        <v>437</v>
      </c>
      <c r="C584" s="5" t="s">
        <v>1117</v>
      </c>
      <c r="D584" s="5" t="s">
        <v>1133</v>
      </c>
      <c r="E584" s="5" t="s">
        <v>10</v>
      </c>
      <c r="F584" s="5">
        <v>14</v>
      </c>
      <c r="G584" s="5">
        <v>6.11</v>
      </c>
      <c r="H584" s="5">
        <v>6.86</v>
      </c>
      <c r="I584" s="5">
        <v>3</v>
      </c>
      <c r="J584" s="5">
        <v>0</v>
      </c>
      <c r="K584" s="5">
        <v>0</v>
      </c>
      <c r="L584" s="5">
        <v>0</v>
      </c>
      <c r="M584" s="5">
        <v>0</v>
      </c>
      <c r="N584" s="5">
        <v>0</v>
      </c>
      <c r="O584" s="5">
        <v>2</v>
      </c>
      <c r="P584" s="5">
        <v>1</v>
      </c>
      <c r="Q584" s="5">
        <v>0</v>
      </c>
      <c r="R584" s="5">
        <v>0</v>
      </c>
    </row>
    <row r="585" spans="1:18" ht="15" customHeight="1" x14ac:dyDescent="0.25">
      <c r="A585" s="5">
        <v>5336</v>
      </c>
      <c r="B585" s="5" t="s">
        <v>437</v>
      </c>
      <c r="C585" s="5" t="s">
        <v>1117</v>
      </c>
      <c r="D585" s="5" t="s">
        <v>1134</v>
      </c>
      <c r="E585" s="5" t="s">
        <v>41</v>
      </c>
      <c r="F585" s="5">
        <v>27</v>
      </c>
      <c r="G585" s="5">
        <v>5.96</v>
      </c>
      <c r="H585" s="5">
        <v>6.26</v>
      </c>
      <c r="I585" s="5">
        <v>4</v>
      </c>
      <c r="J585" s="5">
        <v>0</v>
      </c>
      <c r="K585" s="5">
        <v>0</v>
      </c>
      <c r="L585" s="5">
        <v>3</v>
      </c>
      <c r="M585" s="5">
        <v>2</v>
      </c>
      <c r="N585" s="5">
        <v>1</v>
      </c>
      <c r="O585" s="5">
        <v>1</v>
      </c>
      <c r="P585" s="5">
        <v>2</v>
      </c>
      <c r="Q585" s="5">
        <v>1</v>
      </c>
      <c r="R585" s="5">
        <v>0</v>
      </c>
    </row>
    <row r="586" spans="1:18" ht="15" customHeight="1" x14ac:dyDescent="0.25">
      <c r="A586" s="5">
        <v>2678</v>
      </c>
      <c r="B586" s="5" t="s">
        <v>437</v>
      </c>
      <c r="C586" s="5" t="s">
        <v>1117</v>
      </c>
      <c r="D586" s="5" t="s">
        <v>1135</v>
      </c>
      <c r="E586" s="5" t="s">
        <v>18</v>
      </c>
      <c r="F586" s="5">
        <v>19</v>
      </c>
      <c r="G586" s="5">
        <v>5.76</v>
      </c>
      <c r="H586" s="5">
        <v>5.76</v>
      </c>
      <c r="I586" s="5">
        <v>1</v>
      </c>
      <c r="J586" s="5">
        <v>0</v>
      </c>
      <c r="K586" s="5">
        <v>0</v>
      </c>
      <c r="L586" s="5">
        <v>1</v>
      </c>
      <c r="M586" s="5">
        <v>0</v>
      </c>
      <c r="N586" s="5">
        <v>1</v>
      </c>
      <c r="O586" s="5">
        <v>0</v>
      </c>
      <c r="P586" s="5">
        <v>0</v>
      </c>
      <c r="Q586" s="5">
        <v>0</v>
      </c>
      <c r="R586" s="5">
        <v>0</v>
      </c>
    </row>
    <row r="587" spans="1:18" ht="15" customHeight="1" x14ac:dyDescent="0.25">
      <c r="A587" s="5">
        <v>7316</v>
      </c>
      <c r="B587" s="5" t="s">
        <v>437</v>
      </c>
      <c r="C587" s="5" t="s">
        <v>1117</v>
      </c>
      <c r="D587" s="5" t="s">
        <v>1136</v>
      </c>
      <c r="E587" s="5" t="s">
        <v>883</v>
      </c>
      <c r="F587" s="5">
        <v>10</v>
      </c>
      <c r="G587" s="5">
        <v>5.7</v>
      </c>
      <c r="H587" s="5">
        <v>6</v>
      </c>
      <c r="I587" s="5">
        <v>1</v>
      </c>
      <c r="J587" s="5">
        <v>0</v>
      </c>
      <c r="K587" s="5">
        <v>0</v>
      </c>
      <c r="L587" s="5">
        <v>0</v>
      </c>
      <c r="M587" s="5">
        <v>0</v>
      </c>
      <c r="N587" s="5">
        <v>0</v>
      </c>
      <c r="O587" s="5">
        <v>1</v>
      </c>
      <c r="P587" s="5">
        <v>1</v>
      </c>
      <c r="Q587" s="5">
        <v>1</v>
      </c>
      <c r="R587" s="5">
        <v>0</v>
      </c>
    </row>
    <row r="588" spans="1:18" ht="15" customHeight="1" x14ac:dyDescent="0.25">
      <c r="A588" s="5">
        <v>7347</v>
      </c>
      <c r="B588" s="5" t="s">
        <v>437</v>
      </c>
      <c r="C588" s="5" t="s">
        <v>437</v>
      </c>
      <c r="D588" s="5" t="s">
        <v>472</v>
      </c>
      <c r="E588" s="5" t="s">
        <v>880</v>
      </c>
      <c r="F588" s="5">
        <v>14</v>
      </c>
      <c r="G588" s="5">
        <v>5.96</v>
      </c>
      <c r="H588" s="5">
        <v>6.79</v>
      </c>
      <c r="I588" s="5">
        <v>4</v>
      </c>
      <c r="J588" s="5">
        <v>0</v>
      </c>
      <c r="K588" s="5">
        <v>0</v>
      </c>
      <c r="L588" s="5">
        <v>0</v>
      </c>
      <c r="M588" s="5">
        <v>0</v>
      </c>
      <c r="N588" s="5">
        <v>0</v>
      </c>
      <c r="O588" s="5">
        <v>0</v>
      </c>
      <c r="P588" s="5">
        <v>1</v>
      </c>
      <c r="Q588" s="5">
        <v>0</v>
      </c>
      <c r="R588" s="5">
        <v>0</v>
      </c>
    </row>
    <row r="589" spans="1:18" ht="15" customHeight="1" x14ac:dyDescent="0.25">
      <c r="A589" s="5">
        <v>5918</v>
      </c>
      <c r="B589" s="5" t="s">
        <v>437</v>
      </c>
      <c r="C589" s="5" t="s">
        <v>437</v>
      </c>
      <c r="D589" s="5" t="s">
        <v>487</v>
      </c>
      <c r="E589" s="5" t="s">
        <v>14</v>
      </c>
      <c r="F589" s="5">
        <v>21</v>
      </c>
      <c r="G589" s="5">
        <v>6</v>
      </c>
      <c r="H589" s="5">
        <v>6.24</v>
      </c>
      <c r="I589" s="5">
        <v>2</v>
      </c>
      <c r="J589" s="5">
        <v>0</v>
      </c>
      <c r="K589" s="5">
        <v>0</v>
      </c>
      <c r="L589" s="5">
        <v>0</v>
      </c>
      <c r="M589" s="5">
        <v>0</v>
      </c>
      <c r="N589" s="5">
        <v>0</v>
      </c>
      <c r="O589" s="5">
        <v>1</v>
      </c>
      <c r="P589" s="5">
        <v>4</v>
      </c>
      <c r="Q589" s="5">
        <v>0</v>
      </c>
      <c r="R589" s="5">
        <v>0</v>
      </c>
    </row>
    <row r="590" spans="1:18" ht="15" customHeight="1" x14ac:dyDescent="0.25">
      <c r="A590" s="5">
        <v>4359</v>
      </c>
      <c r="B590" s="5" t="s">
        <v>437</v>
      </c>
      <c r="C590" s="5" t="s">
        <v>1117</v>
      </c>
      <c r="D590" s="5" t="s">
        <v>479</v>
      </c>
      <c r="E590" s="5" t="s">
        <v>20</v>
      </c>
      <c r="F590" s="5">
        <v>27</v>
      </c>
      <c r="G590" s="5">
        <v>5.78</v>
      </c>
      <c r="H590" s="5">
        <v>6.24</v>
      </c>
      <c r="I590" s="5">
        <v>4</v>
      </c>
      <c r="J590" s="5">
        <v>0</v>
      </c>
      <c r="K590" s="5">
        <v>0</v>
      </c>
      <c r="L590" s="5">
        <v>0</v>
      </c>
      <c r="M590" s="5">
        <v>0</v>
      </c>
      <c r="N590" s="5">
        <v>0</v>
      </c>
      <c r="O590" s="5">
        <v>1</v>
      </c>
      <c r="P590" s="5">
        <v>1</v>
      </c>
      <c r="Q590" s="5">
        <v>0</v>
      </c>
      <c r="R590" s="5">
        <v>0</v>
      </c>
    </row>
    <row r="591" spans="1:18" ht="15" customHeight="1" x14ac:dyDescent="0.25">
      <c r="A591" s="5">
        <v>6145</v>
      </c>
      <c r="B591" s="5" t="s">
        <v>437</v>
      </c>
      <c r="C591" s="5" t="s">
        <v>437</v>
      </c>
      <c r="D591" s="5" t="s">
        <v>1137</v>
      </c>
      <c r="E591" s="5" t="s">
        <v>81</v>
      </c>
      <c r="F591" s="5">
        <v>17</v>
      </c>
      <c r="G591" s="5">
        <v>5.82</v>
      </c>
      <c r="H591" s="5">
        <v>6</v>
      </c>
      <c r="I591" s="5">
        <v>1</v>
      </c>
      <c r="J591" s="5">
        <v>0</v>
      </c>
      <c r="K591" s="5">
        <v>0</v>
      </c>
      <c r="L591" s="5">
        <v>0</v>
      </c>
      <c r="M591" s="5">
        <v>0</v>
      </c>
      <c r="N591" s="5">
        <v>0</v>
      </c>
      <c r="O591" s="5">
        <v>1</v>
      </c>
      <c r="P591" s="5">
        <v>2</v>
      </c>
      <c r="Q591" s="5">
        <v>0</v>
      </c>
      <c r="R591" s="5">
        <v>0</v>
      </c>
    </row>
    <row r="592" spans="1:18" ht="15" customHeight="1" x14ac:dyDescent="0.25">
      <c r="A592" s="5">
        <v>7313</v>
      </c>
      <c r="B592" s="5" t="s">
        <v>437</v>
      </c>
      <c r="C592" s="5" t="s">
        <v>1117</v>
      </c>
      <c r="D592" s="5" t="s">
        <v>470</v>
      </c>
      <c r="E592" s="5" t="s">
        <v>30</v>
      </c>
      <c r="F592" s="5">
        <v>7</v>
      </c>
      <c r="G592" s="5">
        <v>5.64</v>
      </c>
      <c r="H592" s="5">
        <v>5.64</v>
      </c>
      <c r="I592" s="5">
        <v>0</v>
      </c>
      <c r="J592" s="5">
        <v>0</v>
      </c>
      <c r="K592" s="5">
        <v>0</v>
      </c>
      <c r="L592" s="5">
        <v>0</v>
      </c>
      <c r="M592" s="5">
        <v>0</v>
      </c>
      <c r="N592" s="5">
        <v>0</v>
      </c>
      <c r="O592" s="5">
        <v>0</v>
      </c>
      <c r="P592" s="5">
        <v>0</v>
      </c>
      <c r="Q592" s="5">
        <v>0</v>
      </c>
      <c r="R592" s="5">
        <v>0</v>
      </c>
    </row>
    <row r="593" spans="1:18" ht="15" customHeight="1" x14ac:dyDescent="0.25">
      <c r="A593" s="5">
        <v>6667</v>
      </c>
      <c r="B593" s="5" t="s">
        <v>437</v>
      </c>
      <c r="C593" s="5" t="s">
        <v>437</v>
      </c>
      <c r="D593" s="5" t="s">
        <v>1138</v>
      </c>
      <c r="E593" s="5" t="s">
        <v>38</v>
      </c>
      <c r="F593" s="5">
        <v>10</v>
      </c>
      <c r="G593" s="5">
        <v>5.95</v>
      </c>
      <c r="H593" s="5">
        <v>6.3</v>
      </c>
      <c r="I593" s="5">
        <v>1</v>
      </c>
      <c r="J593" s="5">
        <v>0</v>
      </c>
      <c r="K593" s="5">
        <v>0</v>
      </c>
      <c r="L593" s="5">
        <v>1</v>
      </c>
      <c r="M593" s="5">
        <v>1</v>
      </c>
      <c r="N593" s="5">
        <v>0</v>
      </c>
      <c r="O593" s="5">
        <v>1</v>
      </c>
      <c r="P593" s="5">
        <v>1</v>
      </c>
      <c r="Q593" s="5">
        <v>0</v>
      </c>
      <c r="R593" s="5">
        <v>0</v>
      </c>
    </row>
    <row r="594" spans="1:18" ht="15" customHeight="1" x14ac:dyDescent="0.25">
      <c r="A594" s="5">
        <v>608</v>
      </c>
      <c r="B594" s="5" t="s">
        <v>437</v>
      </c>
      <c r="C594" s="5" t="s">
        <v>1117</v>
      </c>
      <c r="D594" s="5" t="s">
        <v>486</v>
      </c>
      <c r="E594" s="5" t="s">
        <v>81</v>
      </c>
      <c r="F594" s="5">
        <v>23</v>
      </c>
      <c r="G594" s="5">
        <v>5.83</v>
      </c>
      <c r="H594" s="5">
        <v>6.13</v>
      </c>
      <c r="I594" s="5">
        <v>3</v>
      </c>
      <c r="J594" s="5">
        <v>0</v>
      </c>
      <c r="K594" s="5">
        <v>0</v>
      </c>
      <c r="L594" s="5">
        <v>1</v>
      </c>
      <c r="M594" s="5">
        <v>0</v>
      </c>
      <c r="N594" s="5">
        <v>1</v>
      </c>
      <c r="O594" s="5">
        <v>1</v>
      </c>
      <c r="P594" s="5">
        <v>0</v>
      </c>
      <c r="Q594" s="5">
        <v>0</v>
      </c>
      <c r="R594" s="5">
        <v>0</v>
      </c>
    </row>
    <row r="595" spans="1:18" ht="15" customHeight="1" x14ac:dyDescent="0.25">
      <c r="A595" s="5">
        <v>7252</v>
      </c>
      <c r="B595" s="5" t="s">
        <v>437</v>
      </c>
      <c r="C595" s="5" t="s">
        <v>1117</v>
      </c>
      <c r="D595" s="5" t="s">
        <v>485</v>
      </c>
      <c r="E595" s="5" t="s">
        <v>36</v>
      </c>
      <c r="F595" s="5">
        <v>30</v>
      </c>
      <c r="G595" s="5">
        <v>5.73</v>
      </c>
      <c r="H595" s="5">
        <v>6.12</v>
      </c>
      <c r="I595" s="5">
        <v>4</v>
      </c>
      <c r="J595" s="5">
        <v>0</v>
      </c>
      <c r="K595" s="5">
        <v>0</v>
      </c>
      <c r="L595" s="5">
        <v>1</v>
      </c>
      <c r="M595" s="5">
        <v>1</v>
      </c>
      <c r="N595" s="5">
        <v>0</v>
      </c>
      <c r="O595" s="5">
        <v>0</v>
      </c>
      <c r="P595" s="5">
        <v>1</v>
      </c>
      <c r="Q595" s="5">
        <v>0</v>
      </c>
      <c r="R595" s="5">
        <v>0</v>
      </c>
    </row>
    <row r="596" spans="1:18" ht="15" customHeight="1" x14ac:dyDescent="0.25">
      <c r="A596" s="5">
        <v>6380</v>
      </c>
      <c r="B596" s="5" t="s">
        <v>437</v>
      </c>
      <c r="C596" s="5" t="s">
        <v>1029</v>
      </c>
      <c r="D596" s="5" t="s">
        <v>1139</v>
      </c>
      <c r="E596" s="5" t="s">
        <v>20</v>
      </c>
      <c r="F596" s="5">
        <v>13</v>
      </c>
      <c r="G596" s="5">
        <v>5.96</v>
      </c>
      <c r="H596" s="5">
        <v>6.46</v>
      </c>
      <c r="I596" s="5">
        <v>2</v>
      </c>
      <c r="J596" s="5">
        <v>0</v>
      </c>
      <c r="K596" s="5">
        <v>0</v>
      </c>
      <c r="L596" s="5">
        <v>0</v>
      </c>
      <c r="M596" s="5">
        <v>0</v>
      </c>
      <c r="N596" s="5">
        <v>0</v>
      </c>
      <c r="O596" s="5">
        <v>1</v>
      </c>
      <c r="P596" s="5">
        <v>1</v>
      </c>
      <c r="Q596" s="5">
        <v>0</v>
      </c>
      <c r="R596" s="5">
        <v>0</v>
      </c>
    </row>
    <row r="597" spans="1:18" ht="15" customHeight="1" x14ac:dyDescent="0.25">
      <c r="A597" s="5">
        <v>6981</v>
      </c>
      <c r="B597" s="5" t="s">
        <v>437</v>
      </c>
      <c r="C597" s="5" t="s">
        <v>1117</v>
      </c>
      <c r="D597" s="5" t="s">
        <v>518</v>
      </c>
      <c r="E597" s="5" t="s">
        <v>10</v>
      </c>
      <c r="F597" s="5">
        <v>7</v>
      </c>
      <c r="G597" s="5">
        <v>5.93</v>
      </c>
      <c r="H597" s="5">
        <v>6.36</v>
      </c>
      <c r="I597" s="5">
        <v>1</v>
      </c>
      <c r="J597" s="5">
        <v>0</v>
      </c>
      <c r="K597" s="5">
        <v>0</v>
      </c>
      <c r="L597" s="5">
        <v>0</v>
      </c>
      <c r="M597" s="5">
        <v>0</v>
      </c>
      <c r="N597" s="5">
        <v>0</v>
      </c>
      <c r="O597" s="5">
        <v>0</v>
      </c>
      <c r="P597" s="5">
        <v>0</v>
      </c>
      <c r="Q597" s="5">
        <v>0</v>
      </c>
      <c r="R597" s="5">
        <v>0</v>
      </c>
    </row>
    <row r="598" spans="1:18" ht="15" customHeight="1" x14ac:dyDescent="0.25">
      <c r="A598" s="5">
        <v>6229</v>
      </c>
      <c r="B598" s="5" t="s">
        <v>437</v>
      </c>
      <c r="C598" s="5" t="s">
        <v>1117</v>
      </c>
      <c r="D598" s="5" t="s">
        <v>1140</v>
      </c>
      <c r="E598" s="5" t="s">
        <v>14</v>
      </c>
      <c r="F598" s="5">
        <v>0</v>
      </c>
      <c r="G598" s="5">
        <v>0</v>
      </c>
      <c r="H598" s="5">
        <v>0</v>
      </c>
      <c r="I598" s="5">
        <v>0</v>
      </c>
      <c r="J598" s="5">
        <v>0</v>
      </c>
      <c r="K598" s="5">
        <v>0</v>
      </c>
      <c r="L598" s="5">
        <v>0</v>
      </c>
      <c r="M598" s="5">
        <v>0</v>
      </c>
      <c r="N598" s="5">
        <v>0</v>
      </c>
      <c r="O598" s="5">
        <v>0</v>
      </c>
      <c r="P598" s="5">
        <v>0</v>
      </c>
      <c r="Q598" s="5">
        <v>0</v>
      </c>
      <c r="R598" s="5">
        <v>0</v>
      </c>
    </row>
    <row r="599" spans="1:18" ht="15" customHeight="1" x14ac:dyDescent="0.25">
      <c r="A599" s="5">
        <v>5496</v>
      </c>
      <c r="B599" s="5" t="s">
        <v>437</v>
      </c>
      <c r="C599" s="5" t="s">
        <v>437</v>
      </c>
      <c r="D599" s="5" t="s">
        <v>1141</v>
      </c>
      <c r="E599" s="5" t="s">
        <v>878</v>
      </c>
      <c r="F599" s="5">
        <v>9</v>
      </c>
      <c r="G599" s="5">
        <v>5.83</v>
      </c>
      <c r="H599" s="5">
        <v>6.28</v>
      </c>
      <c r="I599" s="5">
        <v>1</v>
      </c>
      <c r="J599" s="5">
        <v>0</v>
      </c>
      <c r="K599" s="5">
        <v>0</v>
      </c>
      <c r="L599" s="5">
        <v>0</v>
      </c>
      <c r="M599" s="5">
        <v>0</v>
      </c>
      <c r="N599" s="5">
        <v>0</v>
      </c>
      <c r="O599" s="5">
        <v>1</v>
      </c>
      <c r="P599" s="5">
        <v>0</v>
      </c>
      <c r="Q599" s="5">
        <v>0</v>
      </c>
      <c r="R599" s="5">
        <v>0</v>
      </c>
    </row>
    <row r="600" spans="1:18" ht="15" customHeight="1" x14ac:dyDescent="0.25">
      <c r="A600" s="5">
        <v>7001</v>
      </c>
      <c r="B600" s="5" t="s">
        <v>437</v>
      </c>
      <c r="C600" s="5" t="s">
        <v>1029</v>
      </c>
      <c r="D600" s="5" t="s">
        <v>508</v>
      </c>
      <c r="E600" s="5" t="s">
        <v>36</v>
      </c>
      <c r="F600" s="5">
        <v>17</v>
      </c>
      <c r="G600" s="5">
        <v>5.82</v>
      </c>
      <c r="H600" s="5">
        <v>6.09</v>
      </c>
      <c r="I600" s="5">
        <v>2</v>
      </c>
      <c r="J600" s="5">
        <v>0</v>
      </c>
      <c r="K600" s="5">
        <v>0</v>
      </c>
      <c r="L600" s="5">
        <v>0</v>
      </c>
      <c r="M600" s="5">
        <v>0</v>
      </c>
      <c r="N600" s="5">
        <v>0</v>
      </c>
      <c r="O600" s="5">
        <v>0</v>
      </c>
      <c r="P600" s="5">
        <v>3</v>
      </c>
      <c r="Q600" s="5">
        <v>0</v>
      </c>
      <c r="R600" s="5">
        <v>0</v>
      </c>
    </row>
    <row r="601" spans="1:18" ht="15" customHeight="1" x14ac:dyDescent="0.25">
      <c r="A601" s="5">
        <v>7249</v>
      </c>
      <c r="B601" s="5" t="s">
        <v>437</v>
      </c>
      <c r="C601" s="5" t="s">
        <v>1117</v>
      </c>
      <c r="D601" s="5" t="s">
        <v>1142</v>
      </c>
      <c r="E601" s="5" t="s">
        <v>32</v>
      </c>
      <c r="F601" s="5">
        <v>21</v>
      </c>
      <c r="G601" s="5">
        <v>5.88</v>
      </c>
      <c r="H601" s="5">
        <v>6.24</v>
      </c>
      <c r="I601" s="5">
        <v>3</v>
      </c>
      <c r="J601" s="5">
        <v>0</v>
      </c>
      <c r="K601" s="5">
        <v>0</v>
      </c>
      <c r="L601" s="5">
        <v>0</v>
      </c>
      <c r="M601" s="5">
        <v>0</v>
      </c>
      <c r="N601" s="5">
        <v>0</v>
      </c>
      <c r="O601" s="5">
        <v>0</v>
      </c>
      <c r="P601" s="5">
        <v>3</v>
      </c>
      <c r="Q601" s="5">
        <v>0</v>
      </c>
      <c r="R601" s="5">
        <v>0</v>
      </c>
    </row>
    <row r="602" spans="1:18" ht="15" customHeight="1" x14ac:dyDescent="0.25">
      <c r="A602" s="5">
        <v>6643</v>
      </c>
      <c r="B602" s="5" t="s">
        <v>437</v>
      </c>
      <c r="C602" s="5" t="s">
        <v>1117</v>
      </c>
      <c r="D602" s="5" t="s">
        <v>478</v>
      </c>
      <c r="E602" s="5" t="s">
        <v>24</v>
      </c>
      <c r="F602" s="5">
        <v>19</v>
      </c>
      <c r="G602" s="5">
        <v>5.82</v>
      </c>
      <c r="H602" s="5">
        <v>6.13</v>
      </c>
      <c r="I602" s="5">
        <v>2</v>
      </c>
      <c r="J602" s="5">
        <v>0</v>
      </c>
      <c r="K602" s="5">
        <v>0</v>
      </c>
      <c r="L602" s="5">
        <v>0</v>
      </c>
      <c r="M602" s="5">
        <v>0</v>
      </c>
      <c r="N602" s="5">
        <v>0</v>
      </c>
      <c r="O602" s="5">
        <v>1</v>
      </c>
      <c r="P602" s="5">
        <v>2</v>
      </c>
      <c r="Q602" s="5">
        <v>0</v>
      </c>
      <c r="R602" s="5">
        <v>0</v>
      </c>
    </row>
    <row r="603" spans="1:18" ht="15" customHeight="1" x14ac:dyDescent="0.25">
      <c r="A603" s="5">
        <v>7127</v>
      </c>
      <c r="B603" s="5" t="s">
        <v>437</v>
      </c>
      <c r="C603" s="5" t="s">
        <v>1029</v>
      </c>
      <c r="D603" s="5" t="s">
        <v>349</v>
      </c>
      <c r="E603" s="5" t="s">
        <v>16</v>
      </c>
      <c r="F603" s="5">
        <v>12</v>
      </c>
      <c r="G603" s="5">
        <v>5.96</v>
      </c>
      <c r="H603" s="5">
        <v>6.54</v>
      </c>
      <c r="I603" s="5">
        <v>3</v>
      </c>
      <c r="J603" s="5">
        <v>0</v>
      </c>
      <c r="K603" s="5">
        <v>0</v>
      </c>
      <c r="L603" s="5">
        <v>0</v>
      </c>
      <c r="M603" s="5">
        <v>0</v>
      </c>
      <c r="N603" s="5">
        <v>0</v>
      </c>
      <c r="O603" s="5">
        <v>0</v>
      </c>
      <c r="P603" s="5">
        <v>4</v>
      </c>
      <c r="Q603" s="5">
        <v>0</v>
      </c>
      <c r="R603" s="5">
        <v>0</v>
      </c>
    </row>
    <row r="604" spans="1:18" ht="15" customHeight="1" x14ac:dyDescent="0.25">
      <c r="A604" s="5">
        <v>2155</v>
      </c>
      <c r="B604" s="5" t="s">
        <v>437</v>
      </c>
      <c r="C604" s="5" t="s">
        <v>1117</v>
      </c>
      <c r="D604" s="5" t="s">
        <v>476</v>
      </c>
      <c r="E604" s="5" t="s">
        <v>38</v>
      </c>
      <c r="F604" s="5">
        <v>14</v>
      </c>
      <c r="G604" s="5">
        <v>5.71</v>
      </c>
      <c r="H604" s="5">
        <v>5.93</v>
      </c>
      <c r="I604" s="5">
        <v>1</v>
      </c>
      <c r="J604" s="5">
        <v>0</v>
      </c>
      <c r="K604" s="5">
        <v>0</v>
      </c>
      <c r="L604" s="5">
        <v>0</v>
      </c>
      <c r="M604" s="5">
        <v>0</v>
      </c>
      <c r="N604" s="5">
        <v>0</v>
      </c>
      <c r="O604" s="5">
        <v>0</v>
      </c>
      <c r="P604" s="5">
        <v>0</v>
      </c>
      <c r="Q604" s="5">
        <v>0</v>
      </c>
      <c r="R604" s="5">
        <v>0</v>
      </c>
    </row>
    <row r="605" spans="1:18" ht="15" customHeight="1" x14ac:dyDescent="0.25">
      <c r="A605" s="5">
        <v>6409</v>
      </c>
      <c r="B605" s="5" t="s">
        <v>437</v>
      </c>
      <c r="C605" s="5" t="s">
        <v>437</v>
      </c>
      <c r="D605" s="5" t="s">
        <v>1143</v>
      </c>
      <c r="E605" s="5" t="s">
        <v>20</v>
      </c>
      <c r="F605" s="5">
        <v>0</v>
      </c>
      <c r="G605" s="5">
        <v>0</v>
      </c>
      <c r="H605" s="5">
        <v>0</v>
      </c>
      <c r="I605" s="5">
        <v>0</v>
      </c>
      <c r="J605" s="5">
        <v>0</v>
      </c>
      <c r="K605" s="5">
        <v>0</v>
      </c>
      <c r="L605" s="5">
        <v>0</v>
      </c>
      <c r="M605" s="5">
        <v>0</v>
      </c>
      <c r="N605" s="5">
        <v>0</v>
      </c>
      <c r="O605" s="5">
        <v>0</v>
      </c>
      <c r="P605" s="5">
        <v>0</v>
      </c>
      <c r="Q605" s="5">
        <v>0</v>
      </c>
      <c r="R605" s="5">
        <v>0</v>
      </c>
    </row>
    <row r="606" spans="1:18" ht="15" customHeight="1" x14ac:dyDescent="0.25">
      <c r="A606" s="5">
        <v>5672</v>
      </c>
      <c r="B606" s="5" t="s">
        <v>437</v>
      </c>
      <c r="C606" s="5" t="s">
        <v>1117</v>
      </c>
      <c r="D606" s="5" t="s">
        <v>469</v>
      </c>
      <c r="E606" s="5" t="s">
        <v>30</v>
      </c>
      <c r="F606" s="5">
        <v>25</v>
      </c>
      <c r="G606" s="5">
        <v>5.68</v>
      </c>
      <c r="H606" s="5">
        <v>5.86</v>
      </c>
      <c r="I606" s="5">
        <v>1</v>
      </c>
      <c r="J606" s="5">
        <v>0</v>
      </c>
      <c r="K606" s="5">
        <v>0</v>
      </c>
      <c r="L606" s="5">
        <v>0</v>
      </c>
      <c r="M606" s="5">
        <v>0</v>
      </c>
      <c r="N606" s="5">
        <v>0</v>
      </c>
      <c r="O606" s="5">
        <v>2</v>
      </c>
      <c r="P606" s="5">
        <v>1</v>
      </c>
      <c r="Q606" s="5">
        <v>0</v>
      </c>
      <c r="R606" s="5">
        <v>0</v>
      </c>
    </row>
    <row r="607" spans="1:18" ht="15" customHeight="1" x14ac:dyDescent="0.25">
      <c r="A607" s="5">
        <v>6827</v>
      </c>
      <c r="B607" s="5" t="s">
        <v>437</v>
      </c>
      <c r="C607" s="5" t="s">
        <v>437</v>
      </c>
      <c r="D607" s="5" t="s">
        <v>390</v>
      </c>
      <c r="E607" s="5" t="s">
        <v>81</v>
      </c>
      <c r="F607" s="5">
        <v>10</v>
      </c>
      <c r="G607" s="5">
        <v>5.8</v>
      </c>
      <c r="H607" s="5">
        <v>6.15</v>
      </c>
      <c r="I607" s="5">
        <v>1</v>
      </c>
      <c r="J607" s="5">
        <v>0</v>
      </c>
      <c r="K607" s="5">
        <v>0</v>
      </c>
      <c r="L607" s="5">
        <v>0</v>
      </c>
      <c r="M607" s="5">
        <v>0</v>
      </c>
      <c r="N607" s="5">
        <v>0</v>
      </c>
      <c r="O607" s="5">
        <v>1</v>
      </c>
      <c r="P607" s="5">
        <v>2</v>
      </c>
      <c r="Q607" s="5">
        <v>0</v>
      </c>
      <c r="R607" s="5">
        <v>0</v>
      </c>
    </row>
    <row r="608" spans="1:18" ht="15" customHeight="1" x14ac:dyDescent="0.25">
      <c r="A608" s="5">
        <v>2475</v>
      </c>
      <c r="B608" s="5" t="s">
        <v>437</v>
      </c>
      <c r="C608" s="5" t="s">
        <v>437</v>
      </c>
      <c r="D608" s="5" t="s">
        <v>1144</v>
      </c>
      <c r="E608" s="5" t="s">
        <v>32</v>
      </c>
      <c r="F608" s="5">
        <v>0</v>
      </c>
      <c r="G608" s="5">
        <v>0</v>
      </c>
      <c r="H608" s="5">
        <v>0</v>
      </c>
      <c r="I608" s="5">
        <v>0</v>
      </c>
      <c r="J608" s="5">
        <v>0</v>
      </c>
      <c r="K608" s="5">
        <v>0</v>
      </c>
      <c r="L608" s="5">
        <v>0</v>
      </c>
      <c r="M608" s="5">
        <v>0</v>
      </c>
      <c r="N608" s="5">
        <v>0</v>
      </c>
      <c r="O608" s="5">
        <v>0</v>
      </c>
      <c r="P608" s="5">
        <v>0</v>
      </c>
      <c r="Q608" s="5">
        <v>0</v>
      </c>
      <c r="R608" s="5">
        <v>0</v>
      </c>
    </row>
    <row r="609" spans="1:18" ht="15" customHeight="1" x14ac:dyDescent="0.25">
      <c r="A609" s="5">
        <v>7342</v>
      </c>
      <c r="B609" s="5" t="s">
        <v>437</v>
      </c>
      <c r="C609" s="5" t="s">
        <v>1117</v>
      </c>
      <c r="D609" s="5" t="s">
        <v>512</v>
      </c>
      <c r="E609" s="5" t="s">
        <v>38</v>
      </c>
      <c r="F609" s="5">
        <v>8</v>
      </c>
      <c r="G609" s="5">
        <v>6</v>
      </c>
      <c r="H609" s="5">
        <v>6.88</v>
      </c>
      <c r="I609" s="5">
        <v>2</v>
      </c>
      <c r="J609" s="5">
        <v>0</v>
      </c>
      <c r="K609" s="5">
        <v>0</v>
      </c>
      <c r="L609" s="5">
        <v>0</v>
      </c>
      <c r="M609" s="5">
        <v>0</v>
      </c>
      <c r="N609" s="5">
        <v>0</v>
      </c>
      <c r="O609" s="5">
        <v>1</v>
      </c>
      <c r="P609" s="5">
        <v>0</v>
      </c>
      <c r="Q609" s="5">
        <v>0</v>
      </c>
      <c r="R609" s="5">
        <v>0</v>
      </c>
    </row>
    <row r="610" spans="1:18" ht="15" customHeight="1" x14ac:dyDescent="0.25">
      <c r="A610" s="5">
        <v>7128</v>
      </c>
      <c r="B610" s="5" t="s">
        <v>437</v>
      </c>
      <c r="C610" s="5" t="s">
        <v>1029</v>
      </c>
      <c r="D610" s="5" t="s">
        <v>506</v>
      </c>
      <c r="E610" s="5" t="s">
        <v>16</v>
      </c>
      <c r="F610" s="5">
        <v>14</v>
      </c>
      <c r="G610" s="5">
        <v>5.96</v>
      </c>
      <c r="H610" s="5">
        <v>6.25</v>
      </c>
      <c r="I610" s="5">
        <v>1</v>
      </c>
      <c r="J610" s="5">
        <v>0</v>
      </c>
      <c r="K610" s="5">
        <v>0</v>
      </c>
      <c r="L610" s="5">
        <v>0</v>
      </c>
      <c r="M610" s="5">
        <v>0</v>
      </c>
      <c r="N610" s="5">
        <v>0</v>
      </c>
      <c r="O610" s="5">
        <v>1</v>
      </c>
      <c r="P610" s="5">
        <v>0</v>
      </c>
      <c r="Q610" s="5">
        <v>0</v>
      </c>
      <c r="R610" s="5">
        <v>0</v>
      </c>
    </row>
    <row r="611" spans="1:18" ht="15" customHeight="1" x14ac:dyDescent="0.25">
      <c r="A611" s="5">
        <v>6215</v>
      </c>
      <c r="B611" s="5" t="s">
        <v>437</v>
      </c>
      <c r="C611" s="5" t="s">
        <v>1117</v>
      </c>
      <c r="D611" s="5" t="s">
        <v>511</v>
      </c>
      <c r="E611" s="5" t="s">
        <v>22</v>
      </c>
      <c r="F611" s="5">
        <v>9</v>
      </c>
      <c r="G611" s="5">
        <v>5.72</v>
      </c>
      <c r="H611" s="5">
        <v>6</v>
      </c>
      <c r="I611" s="5">
        <v>1</v>
      </c>
      <c r="J611" s="5">
        <v>0</v>
      </c>
      <c r="K611" s="5">
        <v>0</v>
      </c>
      <c r="L611" s="5">
        <v>0</v>
      </c>
      <c r="M611" s="5">
        <v>0</v>
      </c>
      <c r="N611" s="5">
        <v>0</v>
      </c>
      <c r="O611" s="5">
        <v>0</v>
      </c>
      <c r="P611" s="5">
        <v>1</v>
      </c>
      <c r="Q611" s="5">
        <v>0</v>
      </c>
      <c r="R611" s="5">
        <v>0</v>
      </c>
    </row>
    <row r="612" spans="1:18" ht="15" customHeight="1" x14ac:dyDescent="0.25">
      <c r="A612" s="5">
        <v>5471</v>
      </c>
      <c r="B612" s="5" t="s">
        <v>437</v>
      </c>
      <c r="C612" s="5" t="s">
        <v>1117</v>
      </c>
      <c r="D612" s="5" t="s">
        <v>1145</v>
      </c>
      <c r="E612" s="5" t="s">
        <v>878</v>
      </c>
      <c r="F612" s="5">
        <v>9</v>
      </c>
      <c r="G612" s="5">
        <v>6</v>
      </c>
      <c r="H612" s="5">
        <v>6</v>
      </c>
      <c r="I612" s="5">
        <v>0</v>
      </c>
      <c r="J612" s="5">
        <v>0</v>
      </c>
      <c r="K612" s="5">
        <v>0</v>
      </c>
      <c r="L612" s="5">
        <v>0</v>
      </c>
      <c r="M612" s="5">
        <v>0</v>
      </c>
      <c r="N612" s="5">
        <v>0</v>
      </c>
      <c r="O612" s="5">
        <v>1</v>
      </c>
      <c r="P612" s="5">
        <v>2</v>
      </c>
      <c r="Q612" s="5">
        <v>0</v>
      </c>
      <c r="R612" s="5">
        <v>0</v>
      </c>
    </row>
    <row r="613" spans="1:18" ht="15" customHeight="1" x14ac:dyDescent="0.25">
      <c r="A613" s="5">
        <v>6836</v>
      </c>
      <c r="B613" s="5" t="s">
        <v>437</v>
      </c>
      <c r="C613" s="5" t="s">
        <v>1117</v>
      </c>
      <c r="D613" s="5" t="s">
        <v>1146</v>
      </c>
      <c r="E613" s="5" t="s">
        <v>883</v>
      </c>
      <c r="F613" s="5">
        <v>27</v>
      </c>
      <c r="G613" s="5">
        <v>5.65</v>
      </c>
      <c r="H613" s="5">
        <v>5.83</v>
      </c>
      <c r="I613" s="5">
        <v>2</v>
      </c>
      <c r="J613" s="5">
        <v>0</v>
      </c>
      <c r="K613" s="5">
        <v>0</v>
      </c>
      <c r="L613" s="5">
        <v>0</v>
      </c>
      <c r="M613" s="5">
        <v>0</v>
      </c>
      <c r="N613" s="5">
        <v>0</v>
      </c>
      <c r="O613" s="5">
        <v>0</v>
      </c>
      <c r="P613" s="5">
        <v>2</v>
      </c>
      <c r="Q613" s="5">
        <v>0</v>
      </c>
      <c r="R613" s="5">
        <v>0</v>
      </c>
    </row>
    <row r="614" spans="1:18" ht="15" customHeight="1" x14ac:dyDescent="0.25">
      <c r="A614" s="5">
        <v>6205</v>
      </c>
      <c r="B614" s="5" t="s">
        <v>437</v>
      </c>
      <c r="C614" s="5" t="s">
        <v>1117</v>
      </c>
      <c r="D614" s="5" t="s">
        <v>1147</v>
      </c>
      <c r="E614" s="5" t="s">
        <v>41</v>
      </c>
      <c r="F614" s="5">
        <v>0</v>
      </c>
      <c r="G614" s="5">
        <v>0</v>
      </c>
      <c r="H614" s="5">
        <v>0</v>
      </c>
      <c r="I614" s="5">
        <v>0</v>
      </c>
      <c r="J614" s="5">
        <v>0</v>
      </c>
      <c r="K614" s="5">
        <v>0</v>
      </c>
      <c r="L614" s="5">
        <v>0</v>
      </c>
      <c r="M614" s="5">
        <v>0</v>
      </c>
      <c r="N614" s="5">
        <v>0</v>
      </c>
      <c r="O614" s="5">
        <v>0</v>
      </c>
      <c r="P614" s="5">
        <v>0</v>
      </c>
      <c r="Q614" s="5">
        <v>0</v>
      </c>
      <c r="R614" s="5">
        <v>0</v>
      </c>
    </row>
    <row r="615" spans="1:18" ht="15" customHeight="1" x14ac:dyDescent="0.25">
      <c r="A615" s="5">
        <v>441</v>
      </c>
      <c r="B615" s="5" t="s">
        <v>437</v>
      </c>
      <c r="C615" s="5" t="s">
        <v>1117</v>
      </c>
      <c r="D615" s="5" t="s">
        <v>1148</v>
      </c>
      <c r="E615" s="5" t="s">
        <v>26</v>
      </c>
      <c r="F615" s="5">
        <v>4</v>
      </c>
      <c r="G615" s="5">
        <v>6.12</v>
      </c>
      <c r="H615" s="5">
        <v>7.62</v>
      </c>
      <c r="I615" s="5">
        <v>2</v>
      </c>
      <c r="J615" s="5">
        <v>0</v>
      </c>
      <c r="K615" s="5">
        <v>0</v>
      </c>
      <c r="L615" s="5">
        <v>1</v>
      </c>
      <c r="M615" s="5">
        <v>1</v>
      </c>
      <c r="N615" s="5">
        <v>0</v>
      </c>
      <c r="O615" s="5">
        <v>0</v>
      </c>
      <c r="P615" s="5">
        <v>0</v>
      </c>
      <c r="Q615" s="5">
        <v>0</v>
      </c>
      <c r="R615" s="5">
        <v>0</v>
      </c>
    </row>
    <row r="616" spans="1:18" ht="15" customHeight="1" x14ac:dyDescent="0.25">
      <c r="A616" s="5">
        <v>7272</v>
      </c>
      <c r="B616" s="5" t="s">
        <v>437</v>
      </c>
      <c r="C616" s="5" t="s">
        <v>1117</v>
      </c>
      <c r="D616" s="5" t="s">
        <v>505</v>
      </c>
      <c r="E616" s="5" t="s">
        <v>32</v>
      </c>
      <c r="F616" s="5">
        <v>13</v>
      </c>
      <c r="G616" s="5">
        <v>5.77</v>
      </c>
      <c r="H616" s="5">
        <v>5.92</v>
      </c>
      <c r="I616" s="5">
        <v>1</v>
      </c>
      <c r="J616" s="5">
        <v>0</v>
      </c>
      <c r="K616" s="5">
        <v>0</v>
      </c>
      <c r="L616" s="5">
        <v>0</v>
      </c>
      <c r="M616" s="5">
        <v>0</v>
      </c>
      <c r="N616" s="5">
        <v>0</v>
      </c>
      <c r="O616" s="5">
        <v>0</v>
      </c>
      <c r="P616" s="5">
        <v>2</v>
      </c>
      <c r="Q616" s="5">
        <v>0</v>
      </c>
      <c r="R616" s="5">
        <v>0</v>
      </c>
    </row>
    <row r="617" spans="1:18" ht="15" customHeight="1" x14ac:dyDescent="0.25">
      <c r="A617" s="5">
        <v>7374</v>
      </c>
      <c r="B617" s="5" t="s">
        <v>437</v>
      </c>
      <c r="C617" s="5" t="s">
        <v>1117</v>
      </c>
      <c r="D617" s="5" t="s">
        <v>499</v>
      </c>
      <c r="E617" s="5" t="s">
        <v>26</v>
      </c>
      <c r="F617" s="5">
        <v>8</v>
      </c>
      <c r="G617" s="5">
        <v>5.94</v>
      </c>
      <c r="H617" s="5">
        <v>6.62</v>
      </c>
      <c r="I617" s="5">
        <v>2</v>
      </c>
      <c r="J617" s="5">
        <v>0</v>
      </c>
      <c r="K617" s="5">
        <v>0</v>
      </c>
      <c r="L617" s="5">
        <v>0</v>
      </c>
      <c r="M617" s="5">
        <v>0</v>
      </c>
      <c r="N617" s="5">
        <v>0</v>
      </c>
      <c r="O617" s="5">
        <v>0</v>
      </c>
      <c r="P617" s="5">
        <v>1</v>
      </c>
      <c r="Q617" s="5">
        <v>0</v>
      </c>
      <c r="R617" s="5">
        <v>0</v>
      </c>
    </row>
    <row r="618" spans="1:18" ht="15" customHeight="1" x14ac:dyDescent="0.25">
      <c r="A618" s="5">
        <v>785</v>
      </c>
      <c r="B618" s="5" t="s">
        <v>437</v>
      </c>
      <c r="C618" s="5" t="s">
        <v>1117</v>
      </c>
      <c r="D618" s="5" t="s">
        <v>1149</v>
      </c>
      <c r="E618" s="5" t="s">
        <v>24</v>
      </c>
      <c r="F618" s="5">
        <v>6</v>
      </c>
      <c r="G618" s="5">
        <v>5.58</v>
      </c>
      <c r="H618" s="5">
        <v>5.5</v>
      </c>
      <c r="I618" s="5">
        <v>0</v>
      </c>
      <c r="J618" s="5">
        <v>0</v>
      </c>
      <c r="K618" s="5">
        <v>0</v>
      </c>
      <c r="L618" s="5">
        <v>0</v>
      </c>
      <c r="M618" s="5">
        <v>0</v>
      </c>
      <c r="N618" s="5">
        <v>0</v>
      </c>
      <c r="O618" s="5">
        <v>0</v>
      </c>
      <c r="P618" s="5">
        <v>1</v>
      </c>
      <c r="Q618" s="5">
        <v>0</v>
      </c>
      <c r="R618" s="5">
        <v>0</v>
      </c>
    </row>
    <row r="619" spans="1:18" ht="15" customHeight="1" x14ac:dyDescent="0.25">
      <c r="A619" s="5">
        <v>6628</v>
      </c>
      <c r="B619" s="5" t="s">
        <v>437</v>
      </c>
      <c r="C619" s="5" t="s">
        <v>1117</v>
      </c>
      <c r="D619" s="5" t="s">
        <v>1150</v>
      </c>
      <c r="E619" s="5" t="s">
        <v>12</v>
      </c>
      <c r="F619" s="5">
        <v>0</v>
      </c>
      <c r="G619" s="5">
        <v>0</v>
      </c>
      <c r="H619" s="5">
        <v>0</v>
      </c>
      <c r="I619" s="5">
        <v>0</v>
      </c>
      <c r="J619" s="5">
        <v>0</v>
      </c>
      <c r="K619" s="5">
        <v>0</v>
      </c>
      <c r="L619" s="5">
        <v>0</v>
      </c>
      <c r="M619" s="5">
        <v>0</v>
      </c>
      <c r="N619" s="5">
        <v>0</v>
      </c>
      <c r="O619" s="5">
        <v>0</v>
      </c>
      <c r="P619" s="5">
        <v>0</v>
      </c>
      <c r="Q619" s="5">
        <v>0</v>
      </c>
      <c r="R619" s="5">
        <v>0</v>
      </c>
    </row>
    <row r="620" spans="1:18" ht="15" customHeight="1" x14ac:dyDescent="0.25">
      <c r="A620" s="5">
        <v>6227</v>
      </c>
      <c r="B620" s="5" t="s">
        <v>437</v>
      </c>
      <c r="C620" s="5" t="s">
        <v>437</v>
      </c>
      <c r="D620" s="5" t="s">
        <v>1151</v>
      </c>
      <c r="E620" s="5" t="s">
        <v>18</v>
      </c>
      <c r="F620" s="5">
        <v>0</v>
      </c>
      <c r="G620" s="5">
        <v>0</v>
      </c>
      <c r="H620" s="5">
        <v>0</v>
      </c>
      <c r="I620" s="5">
        <v>0</v>
      </c>
      <c r="J620" s="5">
        <v>0</v>
      </c>
      <c r="K620" s="5">
        <v>0</v>
      </c>
      <c r="L620" s="5">
        <v>0</v>
      </c>
      <c r="M620" s="5">
        <v>0</v>
      </c>
      <c r="N620" s="5">
        <v>0</v>
      </c>
      <c r="O620" s="5">
        <v>0</v>
      </c>
      <c r="P620" s="5">
        <v>0</v>
      </c>
      <c r="Q620" s="5">
        <v>0</v>
      </c>
      <c r="R620" s="5">
        <v>0</v>
      </c>
    </row>
    <row r="621" spans="1:18" ht="15" customHeight="1" x14ac:dyDescent="0.25">
      <c r="A621" s="5">
        <v>7153</v>
      </c>
      <c r="B621" s="5" t="s">
        <v>437</v>
      </c>
      <c r="C621" s="5" t="s">
        <v>1117</v>
      </c>
      <c r="D621" s="5" t="s">
        <v>1152</v>
      </c>
      <c r="E621" s="5" t="s">
        <v>883</v>
      </c>
      <c r="F621" s="5">
        <v>0</v>
      </c>
      <c r="G621" s="5">
        <v>0</v>
      </c>
      <c r="H621" s="5">
        <v>0</v>
      </c>
      <c r="I621" s="5">
        <v>0</v>
      </c>
      <c r="J621" s="5">
        <v>0</v>
      </c>
      <c r="K621" s="5">
        <v>0</v>
      </c>
      <c r="L621" s="5">
        <v>0</v>
      </c>
      <c r="M621" s="5">
        <v>0</v>
      </c>
      <c r="N621" s="5">
        <v>0</v>
      </c>
      <c r="O621" s="5">
        <v>0</v>
      </c>
      <c r="P621" s="5">
        <v>0</v>
      </c>
      <c r="Q621" s="5">
        <v>0</v>
      </c>
      <c r="R621" s="5">
        <v>0</v>
      </c>
    </row>
    <row r="622" spans="1:18" ht="15" customHeight="1" x14ac:dyDescent="0.25">
      <c r="A622" s="5">
        <v>479</v>
      </c>
      <c r="B622" s="5" t="s">
        <v>437</v>
      </c>
      <c r="C622" s="5" t="s">
        <v>1117</v>
      </c>
      <c r="D622" s="5" t="s">
        <v>1153</v>
      </c>
      <c r="E622" s="5" t="s">
        <v>878</v>
      </c>
      <c r="F622" s="5">
        <v>23</v>
      </c>
      <c r="G622" s="5">
        <v>5.76</v>
      </c>
      <c r="H622" s="5">
        <v>5.89</v>
      </c>
      <c r="I622" s="5">
        <v>1</v>
      </c>
      <c r="J622" s="5">
        <v>0</v>
      </c>
      <c r="K622" s="5">
        <v>0</v>
      </c>
      <c r="L622" s="5">
        <v>0</v>
      </c>
      <c r="M622" s="5">
        <v>0</v>
      </c>
      <c r="N622" s="5">
        <v>0</v>
      </c>
      <c r="O622" s="5">
        <v>1</v>
      </c>
      <c r="P622" s="5">
        <v>2</v>
      </c>
      <c r="Q622" s="5">
        <v>0</v>
      </c>
      <c r="R622" s="5">
        <v>0</v>
      </c>
    </row>
    <row r="623" spans="1:18" ht="15" customHeight="1" x14ac:dyDescent="0.25">
      <c r="A623" s="5">
        <v>6653</v>
      </c>
      <c r="B623" s="5" t="s">
        <v>437</v>
      </c>
      <c r="C623" s="5" t="s">
        <v>437</v>
      </c>
      <c r="D623" s="5" t="s">
        <v>1154</v>
      </c>
      <c r="E623" s="5" t="s">
        <v>32</v>
      </c>
      <c r="F623" s="5">
        <v>4</v>
      </c>
      <c r="G623" s="5">
        <v>6</v>
      </c>
      <c r="H623" s="5">
        <v>6.62</v>
      </c>
      <c r="I623" s="5">
        <v>1</v>
      </c>
      <c r="J623" s="5">
        <v>0</v>
      </c>
      <c r="K623" s="5">
        <v>0</v>
      </c>
      <c r="L623" s="5">
        <v>0</v>
      </c>
      <c r="M623" s="5">
        <v>0</v>
      </c>
      <c r="N623" s="5">
        <v>0</v>
      </c>
      <c r="O623" s="5">
        <v>0</v>
      </c>
      <c r="P623" s="5">
        <v>1</v>
      </c>
      <c r="Q623" s="5">
        <v>0</v>
      </c>
      <c r="R623" s="5">
        <v>0</v>
      </c>
    </row>
    <row r="624" spans="1:18" ht="15" customHeight="1" x14ac:dyDescent="0.25">
      <c r="A624" s="5">
        <v>6159</v>
      </c>
      <c r="B624" s="5" t="s">
        <v>437</v>
      </c>
      <c r="C624" s="5" t="s">
        <v>437</v>
      </c>
      <c r="D624" s="5" t="s">
        <v>1155</v>
      </c>
      <c r="E624" s="5" t="s">
        <v>880</v>
      </c>
      <c r="F624" s="5">
        <v>29</v>
      </c>
      <c r="G624" s="5">
        <v>5.67</v>
      </c>
      <c r="H624" s="5">
        <v>5.64</v>
      </c>
      <c r="I624" s="5">
        <v>0</v>
      </c>
      <c r="J624" s="5">
        <v>0</v>
      </c>
      <c r="K624" s="5">
        <v>0</v>
      </c>
      <c r="L624" s="5">
        <v>0</v>
      </c>
      <c r="M624" s="5">
        <v>0</v>
      </c>
      <c r="N624" s="5">
        <v>0</v>
      </c>
      <c r="O624" s="5">
        <v>0</v>
      </c>
      <c r="P624" s="5">
        <v>0</v>
      </c>
      <c r="Q624" s="5">
        <v>1</v>
      </c>
      <c r="R624" s="5">
        <v>0</v>
      </c>
    </row>
    <row r="625" spans="1:18" ht="15" customHeight="1" x14ac:dyDescent="0.25">
      <c r="A625" s="5">
        <v>6630</v>
      </c>
      <c r="B625" s="5" t="s">
        <v>437</v>
      </c>
      <c r="C625" s="5" t="s">
        <v>1117</v>
      </c>
      <c r="D625" s="5" t="s">
        <v>1156</v>
      </c>
      <c r="E625" s="5" t="s">
        <v>880</v>
      </c>
      <c r="F625" s="5">
        <v>14</v>
      </c>
      <c r="G625" s="5">
        <v>5.96</v>
      </c>
      <c r="H625" s="5">
        <v>6.07</v>
      </c>
      <c r="I625" s="5">
        <v>0</v>
      </c>
      <c r="J625" s="5">
        <v>0</v>
      </c>
      <c r="K625" s="5">
        <v>0</v>
      </c>
      <c r="L625" s="5">
        <v>0</v>
      </c>
      <c r="M625" s="5">
        <v>0</v>
      </c>
      <c r="N625" s="5">
        <v>0</v>
      </c>
      <c r="O625" s="5">
        <v>2</v>
      </c>
      <c r="P625" s="5">
        <v>1</v>
      </c>
      <c r="Q625" s="5">
        <v>0</v>
      </c>
      <c r="R625" s="5">
        <v>0</v>
      </c>
    </row>
    <row r="626" spans="1:18" ht="15" customHeight="1" x14ac:dyDescent="0.25">
      <c r="A626" s="5">
        <v>6314</v>
      </c>
      <c r="B626" s="5" t="s">
        <v>437</v>
      </c>
      <c r="C626" s="5" t="s">
        <v>1117</v>
      </c>
      <c r="D626" s="5" t="s">
        <v>1157</v>
      </c>
      <c r="E626" s="5" t="s">
        <v>28</v>
      </c>
      <c r="F626" s="5">
        <v>14</v>
      </c>
      <c r="G626" s="5">
        <v>5.79</v>
      </c>
      <c r="H626" s="5">
        <v>6</v>
      </c>
      <c r="I626" s="5">
        <v>1</v>
      </c>
      <c r="J626" s="5">
        <v>0</v>
      </c>
      <c r="K626" s="5">
        <v>0</v>
      </c>
      <c r="L626" s="5">
        <v>0</v>
      </c>
      <c r="M626" s="5">
        <v>0</v>
      </c>
      <c r="N626" s="5">
        <v>0</v>
      </c>
      <c r="O626" s="5">
        <v>0</v>
      </c>
      <c r="P626" s="5">
        <v>0</v>
      </c>
      <c r="Q626" s="5">
        <v>0</v>
      </c>
      <c r="R626" s="5">
        <v>0</v>
      </c>
    </row>
    <row r="627" spans="1:18" ht="15" customHeight="1" x14ac:dyDescent="0.25">
      <c r="A627" s="5">
        <v>7344</v>
      </c>
      <c r="B627" s="5" t="s">
        <v>437</v>
      </c>
      <c r="C627" s="5" t="s">
        <v>1117</v>
      </c>
      <c r="D627" s="5" t="s">
        <v>1158</v>
      </c>
      <c r="E627" s="5" t="s">
        <v>883</v>
      </c>
      <c r="F627" s="5">
        <v>12</v>
      </c>
      <c r="G627" s="5">
        <v>5.58</v>
      </c>
      <c r="H627" s="5">
        <v>5.58</v>
      </c>
      <c r="I627" s="5">
        <v>0</v>
      </c>
      <c r="J627" s="5">
        <v>0</v>
      </c>
      <c r="K627" s="5">
        <v>0</v>
      </c>
      <c r="L627" s="5">
        <v>0</v>
      </c>
      <c r="M627" s="5">
        <v>0</v>
      </c>
      <c r="N627" s="5">
        <v>0</v>
      </c>
      <c r="O627" s="5">
        <v>0</v>
      </c>
      <c r="P627" s="5">
        <v>0</v>
      </c>
      <c r="Q627" s="5">
        <v>0</v>
      </c>
      <c r="R627" s="5">
        <v>0</v>
      </c>
    </row>
    <row r="628" spans="1:18" ht="15" customHeight="1" x14ac:dyDescent="0.25">
      <c r="A628" s="5">
        <v>7349</v>
      </c>
      <c r="B628" s="5" t="s">
        <v>437</v>
      </c>
      <c r="C628" s="5" t="s">
        <v>1117</v>
      </c>
      <c r="D628" s="5" t="s">
        <v>504</v>
      </c>
      <c r="E628" s="5" t="s">
        <v>81</v>
      </c>
      <c r="F628" s="5">
        <v>7</v>
      </c>
      <c r="G628" s="5">
        <v>5.71</v>
      </c>
      <c r="H628" s="5">
        <v>5.79</v>
      </c>
      <c r="I628" s="5">
        <v>0</v>
      </c>
      <c r="J628" s="5">
        <v>0</v>
      </c>
      <c r="K628" s="5">
        <v>0</v>
      </c>
      <c r="L628" s="5">
        <v>0</v>
      </c>
      <c r="M628" s="5">
        <v>0</v>
      </c>
      <c r="N628" s="5">
        <v>0</v>
      </c>
      <c r="O628" s="5">
        <v>1</v>
      </c>
      <c r="P628" s="5">
        <v>2</v>
      </c>
      <c r="Q628" s="5">
        <v>0</v>
      </c>
      <c r="R628" s="5">
        <v>0</v>
      </c>
    </row>
    <row r="629" spans="1:18" ht="15" customHeight="1" x14ac:dyDescent="0.25">
      <c r="A629" s="5">
        <v>6895</v>
      </c>
      <c r="B629" s="5" t="s">
        <v>437</v>
      </c>
      <c r="C629" s="5" t="s">
        <v>1029</v>
      </c>
      <c r="D629" s="5" t="s">
        <v>392</v>
      </c>
      <c r="E629" s="5" t="s">
        <v>24</v>
      </c>
      <c r="F629" s="5">
        <v>12</v>
      </c>
      <c r="G629" s="5">
        <v>5.83</v>
      </c>
      <c r="H629" s="5">
        <v>6.04</v>
      </c>
      <c r="I629" s="5">
        <v>0</v>
      </c>
      <c r="J629" s="5">
        <v>0</v>
      </c>
      <c r="K629" s="5">
        <v>0</v>
      </c>
      <c r="L629" s="5">
        <v>0</v>
      </c>
      <c r="M629" s="5">
        <v>0</v>
      </c>
      <c r="N629" s="5">
        <v>0</v>
      </c>
      <c r="O629" s="5">
        <v>3</v>
      </c>
      <c r="P629" s="5">
        <v>1</v>
      </c>
      <c r="Q629" s="5">
        <v>0</v>
      </c>
      <c r="R629" s="5">
        <v>0</v>
      </c>
    </row>
    <row r="630" spans="1:18" ht="15" customHeight="1" x14ac:dyDescent="0.25">
      <c r="A630" s="5">
        <v>6459</v>
      </c>
      <c r="B630" s="5" t="s">
        <v>437</v>
      </c>
      <c r="C630" s="5" t="s">
        <v>1029</v>
      </c>
      <c r="D630" s="5" t="s">
        <v>1159</v>
      </c>
      <c r="E630" s="5" t="s">
        <v>24</v>
      </c>
      <c r="F630" s="5">
        <v>0</v>
      </c>
      <c r="G630" s="5">
        <v>0</v>
      </c>
      <c r="H630" s="5">
        <v>0</v>
      </c>
      <c r="I630" s="5">
        <v>0</v>
      </c>
      <c r="J630" s="5">
        <v>0</v>
      </c>
      <c r="K630" s="5">
        <v>0</v>
      </c>
      <c r="L630" s="5">
        <v>0</v>
      </c>
      <c r="M630" s="5">
        <v>0</v>
      </c>
      <c r="N630" s="5">
        <v>0</v>
      </c>
      <c r="O630" s="5">
        <v>0</v>
      </c>
      <c r="P630" s="5">
        <v>0</v>
      </c>
      <c r="Q630" s="5">
        <v>0</v>
      </c>
      <c r="R630" s="5">
        <v>0</v>
      </c>
    </row>
    <row r="631" spans="1:18" ht="15" customHeight="1" x14ac:dyDescent="0.25">
      <c r="A631" s="5">
        <v>5297</v>
      </c>
      <c r="B631" s="5" t="s">
        <v>437</v>
      </c>
      <c r="C631" s="5" t="s">
        <v>437</v>
      </c>
      <c r="D631" s="5" t="s">
        <v>1160</v>
      </c>
      <c r="E631" s="5" t="s">
        <v>26</v>
      </c>
      <c r="F631" s="5">
        <v>10</v>
      </c>
      <c r="G631" s="5">
        <v>5.8</v>
      </c>
      <c r="H631" s="5">
        <v>5.8</v>
      </c>
      <c r="I631" s="5">
        <v>0</v>
      </c>
      <c r="J631" s="5">
        <v>0</v>
      </c>
      <c r="K631" s="5">
        <v>0</v>
      </c>
      <c r="L631" s="5">
        <v>0</v>
      </c>
      <c r="M631" s="5">
        <v>0</v>
      </c>
      <c r="N631" s="5">
        <v>0</v>
      </c>
      <c r="O631" s="5">
        <v>0</v>
      </c>
      <c r="P631" s="5">
        <v>0</v>
      </c>
      <c r="Q631" s="5">
        <v>0</v>
      </c>
      <c r="R631" s="5">
        <v>0</v>
      </c>
    </row>
    <row r="632" spans="1:18" ht="15" customHeight="1" x14ac:dyDescent="0.25">
      <c r="A632" s="5">
        <v>247</v>
      </c>
      <c r="B632" s="5" t="s">
        <v>437</v>
      </c>
      <c r="C632" s="5" t="s">
        <v>1117</v>
      </c>
      <c r="D632" s="5" t="s">
        <v>1161</v>
      </c>
      <c r="E632" s="5" t="s">
        <v>26</v>
      </c>
      <c r="F632" s="5">
        <v>6</v>
      </c>
      <c r="G632" s="5">
        <v>6</v>
      </c>
      <c r="H632" s="5">
        <v>6.42</v>
      </c>
      <c r="I632" s="5">
        <v>1</v>
      </c>
      <c r="J632" s="5">
        <v>0</v>
      </c>
      <c r="K632" s="5">
        <v>0</v>
      </c>
      <c r="L632" s="5">
        <v>0</v>
      </c>
      <c r="M632" s="5">
        <v>0</v>
      </c>
      <c r="N632" s="5">
        <v>0</v>
      </c>
      <c r="O632" s="5">
        <v>0</v>
      </c>
      <c r="P632" s="5">
        <v>1</v>
      </c>
      <c r="Q632" s="5">
        <v>0</v>
      </c>
      <c r="R632" s="5">
        <v>0</v>
      </c>
    </row>
    <row r="633" spans="1:18" ht="15" customHeight="1" x14ac:dyDescent="0.25">
      <c r="A633" s="5">
        <v>5512</v>
      </c>
      <c r="B633" s="5" t="s">
        <v>437</v>
      </c>
      <c r="C633" s="5" t="s">
        <v>1117</v>
      </c>
      <c r="D633" s="5" t="s">
        <v>1162</v>
      </c>
      <c r="E633" s="5" t="s">
        <v>878</v>
      </c>
      <c r="F633" s="5">
        <v>1</v>
      </c>
      <c r="G633" s="5">
        <v>7</v>
      </c>
      <c r="H633" s="5">
        <v>10</v>
      </c>
      <c r="I633" s="5">
        <v>1</v>
      </c>
      <c r="J633" s="5">
        <v>0</v>
      </c>
      <c r="K633" s="5">
        <v>0</v>
      </c>
      <c r="L633" s="5">
        <v>1</v>
      </c>
      <c r="M633" s="5">
        <v>1</v>
      </c>
      <c r="N633" s="5">
        <v>0</v>
      </c>
      <c r="O633" s="5">
        <v>0</v>
      </c>
      <c r="P633" s="5">
        <v>0</v>
      </c>
      <c r="Q633" s="5">
        <v>0</v>
      </c>
      <c r="R633" s="5">
        <v>0</v>
      </c>
    </row>
    <row r="634" spans="1:18" ht="15" customHeight="1" x14ac:dyDescent="0.25">
      <c r="A634" s="5">
        <v>647</v>
      </c>
      <c r="B634" s="5" t="s">
        <v>437</v>
      </c>
      <c r="C634" s="5" t="s">
        <v>1117</v>
      </c>
      <c r="D634" s="5" t="s">
        <v>1163</v>
      </c>
      <c r="E634" s="5" t="s">
        <v>20</v>
      </c>
      <c r="F634" s="5">
        <v>8</v>
      </c>
      <c r="G634" s="5">
        <v>5.62</v>
      </c>
      <c r="H634" s="5">
        <v>5.56</v>
      </c>
      <c r="I634" s="5">
        <v>0</v>
      </c>
      <c r="J634" s="5">
        <v>0</v>
      </c>
      <c r="K634" s="5">
        <v>0</v>
      </c>
      <c r="L634" s="5">
        <v>0</v>
      </c>
      <c r="M634" s="5">
        <v>0</v>
      </c>
      <c r="N634" s="5">
        <v>0</v>
      </c>
      <c r="O634" s="5">
        <v>0</v>
      </c>
      <c r="P634" s="5">
        <v>1</v>
      </c>
      <c r="Q634" s="5">
        <v>0</v>
      </c>
      <c r="R634" s="5">
        <v>0</v>
      </c>
    </row>
    <row r="635" spans="1:18" ht="15" customHeight="1" x14ac:dyDescent="0.25">
      <c r="A635" s="5">
        <v>6207</v>
      </c>
      <c r="B635" s="5" t="s">
        <v>437</v>
      </c>
      <c r="C635" s="5" t="s">
        <v>1029</v>
      </c>
      <c r="D635" s="5" t="s">
        <v>386</v>
      </c>
      <c r="E635" s="5" t="s">
        <v>38</v>
      </c>
      <c r="F635" s="5">
        <v>9</v>
      </c>
      <c r="G635" s="5">
        <v>5.94</v>
      </c>
      <c r="H635" s="5">
        <v>6.06</v>
      </c>
      <c r="I635" s="5">
        <v>0</v>
      </c>
      <c r="J635" s="5">
        <v>0</v>
      </c>
      <c r="K635" s="5">
        <v>0</v>
      </c>
      <c r="L635" s="5">
        <v>0</v>
      </c>
      <c r="M635" s="5">
        <v>0</v>
      </c>
      <c r="N635" s="5">
        <v>0</v>
      </c>
      <c r="O635" s="5">
        <v>1</v>
      </c>
      <c r="P635" s="5">
        <v>0</v>
      </c>
      <c r="Q635" s="5">
        <v>0</v>
      </c>
      <c r="R635" s="5">
        <v>0</v>
      </c>
    </row>
    <row r="636" spans="1:18" ht="15" customHeight="1" x14ac:dyDescent="0.25">
      <c r="A636" s="5">
        <v>6213</v>
      </c>
      <c r="B636" s="5" t="s">
        <v>437</v>
      </c>
      <c r="C636" s="5" t="s">
        <v>437</v>
      </c>
      <c r="D636" s="5" t="s">
        <v>1164</v>
      </c>
      <c r="E636" s="5" t="s">
        <v>32</v>
      </c>
      <c r="F636" s="5">
        <v>0</v>
      </c>
      <c r="G636" s="5">
        <v>0</v>
      </c>
      <c r="H636" s="5">
        <v>0</v>
      </c>
      <c r="I636" s="5">
        <v>0</v>
      </c>
      <c r="J636" s="5">
        <v>0</v>
      </c>
      <c r="K636" s="5">
        <v>0</v>
      </c>
      <c r="L636" s="5">
        <v>0</v>
      </c>
      <c r="M636" s="5">
        <v>0</v>
      </c>
      <c r="N636" s="5">
        <v>0</v>
      </c>
      <c r="O636" s="5">
        <v>0</v>
      </c>
      <c r="P636" s="5">
        <v>0</v>
      </c>
      <c r="Q636" s="5">
        <v>0</v>
      </c>
      <c r="R636" s="5">
        <v>0</v>
      </c>
    </row>
    <row r="637" spans="1:18" ht="15" customHeight="1" x14ac:dyDescent="0.25">
      <c r="A637" s="5">
        <v>6644</v>
      </c>
      <c r="B637" s="5" t="s">
        <v>437</v>
      </c>
      <c r="C637" s="5" t="s">
        <v>1117</v>
      </c>
      <c r="D637" s="5" t="s">
        <v>1165</v>
      </c>
      <c r="E637" s="5" t="s">
        <v>880</v>
      </c>
      <c r="F637" s="5">
        <v>0</v>
      </c>
      <c r="G637" s="5">
        <v>0</v>
      </c>
      <c r="H637" s="5">
        <v>0</v>
      </c>
      <c r="I637" s="5">
        <v>0</v>
      </c>
      <c r="J637" s="5">
        <v>0</v>
      </c>
      <c r="K637" s="5">
        <v>0</v>
      </c>
      <c r="L637" s="5">
        <v>0</v>
      </c>
      <c r="M637" s="5">
        <v>0</v>
      </c>
      <c r="N637" s="5">
        <v>0</v>
      </c>
      <c r="O637" s="5">
        <v>0</v>
      </c>
      <c r="P637" s="5">
        <v>0</v>
      </c>
      <c r="Q637" s="5">
        <v>0</v>
      </c>
      <c r="R637" s="5">
        <v>0</v>
      </c>
    </row>
    <row r="638" spans="1:18" ht="15" customHeight="1" x14ac:dyDescent="0.25">
      <c r="A638" s="5">
        <v>6519</v>
      </c>
      <c r="B638" s="5" t="s">
        <v>437</v>
      </c>
      <c r="C638" s="5" t="s">
        <v>1117</v>
      </c>
      <c r="D638" s="5" t="s">
        <v>494</v>
      </c>
      <c r="E638" s="5" t="s">
        <v>36</v>
      </c>
      <c r="F638" s="5">
        <v>18</v>
      </c>
      <c r="G638" s="5">
        <v>5.67</v>
      </c>
      <c r="H638" s="5">
        <v>5.64</v>
      </c>
      <c r="I638" s="5">
        <v>1</v>
      </c>
      <c r="J638" s="5">
        <v>0</v>
      </c>
      <c r="K638" s="5">
        <v>0</v>
      </c>
      <c r="L638" s="5">
        <v>1</v>
      </c>
      <c r="M638" s="5">
        <v>0</v>
      </c>
      <c r="N638" s="5">
        <v>1</v>
      </c>
      <c r="O638" s="5">
        <v>0</v>
      </c>
      <c r="P638" s="5">
        <v>1</v>
      </c>
      <c r="Q638" s="5">
        <v>0</v>
      </c>
      <c r="R638" s="5">
        <v>0</v>
      </c>
    </row>
    <row r="639" spans="1:18" ht="15" customHeight="1" x14ac:dyDescent="0.25">
      <c r="A639" s="5">
        <v>1842</v>
      </c>
      <c r="B639" s="5" t="s">
        <v>437</v>
      </c>
      <c r="C639" s="5" t="s">
        <v>437</v>
      </c>
      <c r="D639" s="5" t="s">
        <v>1166</v>
      </c>
      <c r="E639" s="5" t="s">
        <v>41</v>
      </c>
      <c r="F639" s="5">
        <v>4</v>
      </c>
      <c r="G639" s="5">
        <v>6</v>
      </c>
      <c r="H639" s="5">
        <v>5.88</v>
      </c>
      <c r="I639" s="5">
        <v>0</v>
      </c>
      <c r="J639" s="5">
        <v>0</v>
      </c>
      <c r="K639" s="5">
        <v>0</v>
      </c>
      <c r="L639" s="5">
        <v>0</v>
      </c>
      <c r="M639" s="5">
        <v>0</v>
      </c>
      <c r="N639" s="5">
        <v>0</v>
      </c>
      <c r="O639" s="5">
        <v>0</v>
      </c>
      <c r="P639" s="5">
        <v>1</v>
      </c>
      <c r="Q639" s="5">
        <v>0</v>
      </c>
      <c r="R639" s="5">
        <v>0</v>
      </c>
    </row>
    <row r="640" spans="1:18" ht="15" customHeight="1" x14ac:dyDescent="0.25">
      <c r="A640" s="5">
        <v>5845</v>
      </c>
      <c r="B640" s="5" t="s">
        <v>437</v>
      </c>
      <c r="C640" s="5" t="s">
        <v>1117</v>
      </c>
      <c r="D640" s="5" t="s">
        <v>1167</v>
      </c>
      <c r="E640" s="5" t="s">
        <v>41</v>
      </c>
      <c r="F640" s="5">
        <v>0</v>
      </c>
      <c r="G640" s="5">
        <v>0</v>
      </c>
      <c r="H640" s="5">
        <v>0</v>
      </c>
      <c r="I640" s="5">
        <v>0</v>
      </c>
      <c r="J640" s="5">
        <v>0</v>
      </c>
      <c r="K640" s="5">
        <v>0</v>
      </c>
      <c r="L640" s="5">
        <v>0</v>
      </c>
      <c r="M640" s="5">
        <v>0</v>
      </c>
      <c r="N640" s="5">
        <v>0</v>
      </c>
      <c r="O640" s="5">
        <v>0</v>
      </c>
      <c r="P640" s="5">
        <v>0</v>
      </c>
      <c r="Q640" s="5">
        <v>0</v>
      </c>
      <c r="R640" s="5">
        <v>0</v>
      </c>
    </row>
    <row r="641" spans="1:18" ht="15" customHeight="1" x14ac:dyDescent="0.25">
      <c r="A641" s="5">
        <v>7161</v>
      </c>
      <c r="B641" s="5" t="s">
        <v>437</v>
      </c>
      <c r="C641" s="5" t="s">
        <v>1117</v>
      </c>
      <c r="D641" s="5" t="s">
        <v>520</v>
      </c>
      <c r="E641" s="5" t="s">
        <v>32</v>
      </c>
      <c r="F641" s="5">
        <v>12</v>
      </c>
      <c r="G641" s="5">
        <v>5.75</v>
      </c>
      <c r="H641" s="5">
        <v>5.83</v>
      </c>
      <c r="I641" s="5">
        <v>0</v>
      </c>
      <c r="J641" s="5">
        <v>0</v>
      </c>
      <c r="K641" s="5">
        <v>0</v>
      </c>
      <c r="L641" s="5">
        <v>0</v>
      </c>
      <c r="M641" s="5">
        <v>0</v>
      </c>
      <c r="N641" s="5">
        <v>0</v>
      </c>
      <c r="O641" s="5">
        <v>1</v>
      </c>
      <c r="P641" s="5">
        <v>0</v>
      </c>
      <c r="Q641" s="5">
        <v>0</v>
      </c>
      <c r="R641" s="5">
        <v>0</v>
      </c>
    </row>
    <row r="642" spans="1:18" ht="15" customHeight="1" x14ac:dyDescent="0.25">
      <c r="A642" s="5">
        <v>313</v>
      </c>
      <c r="B642" s="5" t="s">
        <v>437</v>
      </c>
      <c r="C642" s="5" t="s">
        <v>1117</v>
      </c>
      <c r="D642" s="5" t="s">
        <v>500</v>
      </c>
      <c r="E642" s="5" t="s">
        <v>16</v>
      </c>
      <c r="F642" s="5">
        <v>17</v>
      </c>
      <c r="G642" s="5">
        <v>5.5</v>
      </c>
      <c r="H642" s="5">
        <v>5.21</v>
      </c>
      <c r="I642" s="5">
        <v>0</v>
      </c>
      <c r="J642" s="5">
        <v>0</v>
      </c>
      <c r="K642" s="5">
        <v>0</v>
      </c>
      <c r="L642" s="5">
        <v>1</v>
      </c>
      <c r="M642" s="5">
        <v>0</v>
      </c>
      <c r="N642" s="5">
        <v>1</v>
      </c>
      <c r="O642" s="5">
        <v>0</v>
      </c>
      <c r="P642" s="5">
        <v>2</v>
      </c>
      <c r="Q642" s="5">
        <v>1</v>
      </c>
      <c r="R642" s="5">
        <v>0</v>
      </c>
    </row>
    <row r="643" spans="1:18" ht="15" customHeight="1" x14ac:dyDescent="0.25">
      <c r="A643" s="5">
        <v>7239</v>
      </c>
      <c r="B643" s="5" t="s">
        <v>437</v>
      </c>
      <c r="C643" s="5" t="s">
        <v>1117</v>
      </c>
      <c r="D643" s="5" t="s">
        <v>1168</v>
      </c>
      <c r="E643" s="5" t="s">
        <v>20</v>
      </c>
      <c r="F643" s="5">
        <v>2</v>
      </c>
      <c r="G643" s="5">
        <v>5.75</v>
      </c>
      <c r="H643" s="5">
        <v>5.75</v>
      </c>
      <c r="I643" s="5">
        <v>0</v>
      </c>
      <c r="J643" s="5">
        <v>0</v>
      </c>
      <c r="K643" s="5">
        <v>0</v>
      </c>
      <c r="L643" s="5">
        <v>0</v>
      </c>
      <c r="M643" s="5">
        <v>0</v>
      </c>
      <c r="N643" s="5">
        <v>0</v>
      </c>
      <c r="O643" s="5">
        <v>0</v>
      </c>
      <c r="P643" s="5">
        <v>0</v>
      </c>
      <c r="Q643" s="5">
        <v>0</v>
      </c>
      <c r="R643" s="5">
        <v>0</v>
      </c>
    </row>
    <row r="644" spans="1:18" ht="15" customHeight="1" x14ac:dyDescent="0.25">
      <c r="A644" s="5">
        <v>7264</v>
      </c>
      <c r="B644" s="5" t="s">
        <v>437</v>
      </c>
      <c r="C644" s="5" t="s">
        <v>1117</v>
      </c>
      <c r="D644" s="5" t="s">
        <v>1169</v>
      </c>
      <c r="E644" s="5" t="s">
        <v>22</v>
      </c>
      <c r="F644" s="5">
        <v>1</v>
      </c>
      <c r="G644" s="5">
        <v>5.5</v>
      </c>
      <c r="H644" s="5">
        <v>5.5</v>
      </c>
      <c r="I644" s="5">
        <v>0</v>
      </c>
      <c r="J644" s="5">
        <v>0</v>
      </c>
      <c r="K644" s="5">
        <v>0</v>
      </c>
      <c r="L644" s="5">
        <v>0</v>
      </c>
      <c r="M644" s="5">
        <v>0</v>
      </c>
      <c r="N644" s="5">
        <v>0</v>
      </c>
      <c r="O644" s="5">
        <v>0</v>
      </c>
      <c r="P644" s="5">
        <v>0</v>
      </c>
      <c r="Q644" s="5">
        <v>0</v>
      </c>
      <c r="R644" s="5">
        <v>0</v>
      </c>
    </row>
    <row r="645" spans="1:18" ht="15" customHeight="1" x14ac:dyDescent="0.25">
      <c r="A645" s="5">
        <v>6555</v>
      </c>
      <c r="B645" s="5" t="s">
        <v>437</v>
      </c>
      <c r="C645" s="5" t="s">
        <v>1117</v>
      </c>
      <c r="D645" s="5" t="s">
        <v>1170</v>
      </c>
      <c r="E645" s="5" t="s">
        <v>878</v>
      </c>
      <c r="F645" s="5">
        <v>5</v>
      </c>
      <c r="G645" s="5">
        <v>5.6</v>
      </c>
      <c r="H645" s="5">
        <v>5.6</v>
      </c>
      <c r="I645" s="5">
        <v>0</v>
      </c>
      <c r="J645" s="5">
        <v>0</v>
      </c>
      <c r="K645" s="5">
        <v>0</v>
      </c>
      <c r="L645" s="5">
        <v>0</v>
      </c>
      <c r="M645" s="5">
        <v>0</v>
      </c>
      <c r="N645" s="5">
        <v>0</v>
      </c>
      <c r="O645" s="5">
        <v>0</v>
      </c>
      <c r="P645" s="5">
        <v>0</v>
      </c>
      <c r="Q645" s="5">
        <v>0</v>
      </c>
      <c r="R645" s="5">
        <v>0</v>
      </c>
    </row>
    <row r="646" spans="1:18" ht="15" customHeight="1" x14ac:dyDescent="0.25">
      <c r="A646" s="5">
        <v>7338</v>
      </c>
      <c r="B646" s="5" t="s">
        <v>437</v>
      </c>
      <c r="C646" s="5" t="s">
        <v>437</v>
      </c>
      <c r="D646" s="5" t="s">
        <v>515</v>
      </c>
      <c r="E646" s="5" t="s">
        <v>26</v>
      </c>
      <c r="F646" s="5">
        <v>2</v>
      </c>
      <c r="G646" s="5">
        <v>6</v>
      </c>
      <c r="H646" s="5">
        <v>6</v>
      </c>
      <c r="I646" s="5">
        <v>0</v>
      </c>
      <c r="J646" s="5">
        <v>0</v>
      </c>
      <c r="K646" s="5">
        <v>0</v>
      </c>
      <c r="L646" s="5">
        <v>0</v>
      </c>
      <c r="M646" s="5">
        <v>0</v>
      </c>
      <c r="N646" s="5">
        <v>0</v>
      </c>
      <c r="O646" s="5">
        <v>0</v>
      </c>
      <c r="P646" s="5">
        <v>0</v>
      </c>
      <c r="Q646" s="5">
        <v>0</v>
      </c>
      <c r="R646" s="5">
        <v>0</v>
      </c>
    </row>
    <row r="647" spans="1:18" ht="15" customHeight="1" x14ac:dyDescent="0.25">
      <c r="A647" s="5">
        <v>7381</v>
      </c>
      <c r="B647" s="5" t="s">
        <v>437</v>
      </c>
      <c r="C647" s="5" t="s">
        <v>1117</v>
      </c>
      <c r="D647" s="5" t="s">
        <v>1171</v>
      </c>
      <c r="E647" s="5" t="s">
        <v>38</v>
      </c>
      <c r="F647" s="5">
        <v>1</v>
      </c>
      <c r="G647" s="5">
        <v>6</v>
      </c>
      <c r="H647" s="5">
        <v>6</v>
      </c>
      <c r="I647" s="5">
        <v>0</v>
      </c>
      <c r="J647" s="5">
        <v>0</v>
      </c>
      <c r="K647" s="5">
        <v>0</v>
      </c>
      <c r="L647" s="5">
        <v>0</v>
      </c>
      <c r="M647" s="5">
        <v>0</v>
      </c>
      <c r="N647" s="5">
        <v>0</v>
      </c>
      <c r="O647" s="5">
        <v>0</v>
      </c>
      <c r="P647" s="5">
        <v>0</v>
      </c>
      <c r="Q647" s="5">
        <v>0</v>
      </c>
      <c r="R647" s="5">
        <v>0</v>
      </c>
    </row>
    <row r="648" spans="1:18" ht="15" customHeight="1" x14ac:dyDescent="0.25">
      <c r="A648" s="5">
        <v>7027</v>
      </c>
      <c r="B648" s="5" t="s">
        <v>437</v>
      </c>
      <c r="C648" s="5" t="s">
        <v>1117</v>
      </c>
      <c r="D648" s="5" t="s">
        <v>517</v>
      </c>
      <c r="E648" s="5" t="s">
        <v>16</v>
      </c>
      <c r="F648" s="5">
        <v>0</v>
      </c>
      <c r="G648" s="5">
        <v>0</v>
      </c>
      <c r="H648" s="5">
        <v>0</v>
      </c>
      <c r="I648" s="5">
        <v>0</v>
      </c>
      <c r="J648" s="5">
        <v>0</v>
      </c>
      <c r="K648" s="5">
        <v>0</v>
      </c>
      <c r="L648" s="5">
        <v>0</v>
      </c>
      <c r="M648" s="5">
        <v>0</v>
      </c>
      <c r="N648" s="5">
        <v>0</v>
      </c>
      <c r="O648" s="5">
        <v>0</v>
      </c>
      <c r="P648" s="5">
        <v>0</v>
      </c>
      <c r="Q648" s="5">
        <v>0</v>
      </c>
      <c r="R648" s="5">
        <v>0</v>
      </c>
    </row>
    <row r="649" spans="1:18" ht="15" customHeight="1" x14ac:dyDescent="0.25">
      <c r="A649" s="5">
        <v>6657</v>
      </c>
      <c r="B649" s="5" t="s">
        <v>437</v>
      </c>
      <c r="C649" s="5" t="s">
        <v>1117</v>
      </c>
      <c r="D649" s="5" t="s">
        <v>1172</v>
      </c>
      <c r="E649" s="5" t="s">
        <v>16</v>
      </c>
      <c r="F649" s="5">
        <v>0</v>
      </c>
      <c r="G649" s="5">
        <v>0</v>
      </c>
      <c r="H649" s="5">
        <v>0</v>
      </c>
      <c r="I649" s="5">
        <v>0</v>
      </c>
      <c r="J649" s="5">
        <v>0</v>
      </c>
      <c r="K649" s="5">
        <v>0</v>
      </c>
      <c r="L649" s="5">
        <v>0</v>
      </c>
      <c r="M649" s="5">
        <v>0</v>
      </c>
      <c r="N649" s="5">
        <v>0</v>
      </c>
      <c r="O649" s="5">
        <v>0</v>
      </c>
      <c r="P649" s="5">
        <v>0</v>
      </c>
      <c r="Q649" s="5">
        <v>0</v>
      </c>
      <c r="R649" s="5">
        <v>0</v>
      </c>
    </row>
    <row r="650" spans="1:18" ht="15" customHeight="1" x14ac:dyDescent="0.25">
      <c r="A650" s="5">
        <v>7134</v>
      </c>
      <c r="B650" s="5" t="s">
        <v>437</v>
      </c>
      <c r="C650" s="5" t="s">
        <v>1117</v>
      </c>
      <c r="D650" s="5" t="s">
        <v>1173</v>
      </c>
      <c r="E650" s="5" t="s">
        <v>878</v>
      </c>
      <c r="F650" s="5">
        <v>0</v>
      </c>
      <c r="G650" s="5">
        <v>0</v>
      </c>
      <c r="H650" s="5">
        <v>0</v>
      </c>
      <c r="I650" s="5">
        <v>0</v>
      </c>
      <c r="J650" s="5">
        <v>0</v>
      </c>
      <c r="K650" s="5">
        <v>0</v>
      </c>
      <c r="L650" s="5">
        <v>0</v>
      </c>
      <c r="M650" s="5">
        <v>0</v>
      </c>
      <c r="N650" s="5">
        <v>0</v>
      </c>
      <c r="O650" s="5">
        <v>0</v>
      </c>
      <c r="P650" s="5">
        <v>0</v>
      </c>
      <c r="Q650" s="5">
        <v>0</v>
      </c>
      <c r="R650" s="5">
        <v>0</v>
      </c>
    </row>
    <row r="651" spans="1:18" ht="15" customHeight="1" x14ac:dyDescent="0.25">
      <c r="A651" s="5">
        <v>2012</v>
      </c>
      <c r="B651" s="5" t="s">
        <v>437</v>
      </c>
      <c r="C651" s="5" t="s">
        <v>1117</v>
      </c>
      <c r="D651" s="5" t="s">
        <v>1174</v>
      </c>
      <c r="E651" s="5" t="s">
        <v>28</v>
      </c>
      <c r="F651" s="5">
        <v>2</v>
      </c>
      <c r="G651" s="5">
        <v>6</v>
      </c>
      <c r="H651" s="5">
        <v>6</v>
      </c>
      <c r="I651" s="5">
        <v>0</v>
      </c>
      <c r="J651" s="5">
        <v>0</v>
      </c>
      <c r="K651" s="5">
        <v>0</v>
      </c>
      <c r="L651" s="5">
        <v>0</v>
      </c>
      <c r="M651" s="5">
        <v>0</v>
      </c>
      <c r="N651" s="5">
        <v>0</v>
      </c>
      <c r="O651" s="5">
        <v>0</v>
      </c>
      <c r="P651" s="5">
        <v>0</v>
      </c>
      <c r="Q651" s="5">
        <v>0</v>
      </c>
      <c r="R651" s="5">
        <v>0</v>
      </c>
    </row>
    <row r="652" spans="1:18" ht="15" customHeight="1" x14ac:dyDescent="0.25">
      <c r="A652" s="5">
        <v>7171</v>
      </c>
      <c r="B652" s="5" t="s">
        <v>437</v>
      </c>
      <c r="C652" s="5" t="s">
        <v>437</v>
      </c>
      <c r="D652" s="5" t="s">
        <v>1175</v>
      </c>
      <c r="E652" s="5" t="s">
        <v>883</v>
      </c>
      <c r="F652" s="5">
        <v>0</v>
      </c>
      <c r="G652" s="5">
        <v>0</v>
      </c>
      <c r="H652" s="5">
        <v>0</v>
      </c>
      <c r="I652" s="5">
        <v>0</v>
      </c>
      <c r="J652" s="5">
        <v>0</v>
      </c>
      <c r="K652" s="5">
        <v>0</v>
      </c>
      <c r="L652" s="5">
        <v>0</v>
      </c>
      <c r="M652" s="5">
        <v>0</v>
      </c>
      <c r="N652" s="5">
        <v>0</v>
      </c>
      <c r="O652" s="5">
        <v>0</v>
      </c>
      <c r="P652" s="5">
        <v>0</v>
      </c>
      <c r="Q652" s="5">
        <v>0</v>
      </c>
      <c r="R652" s="5">
        <v>0</v>
      </c>
    </row>
    <row r="653" spans="1:18" ht="15" customHeight="1" x14ac:dyDescent="0.25">
      <c r="A653" s="5">
        <v>7152</v>
      </c>
      <c r="B653" s="5" t="s">
        <v>437</v>
      </c>
      <c r="C653" s="5" t="s">
        <v>1117</v>
      </c>
      <c r="D653" s="5" t="s">
        <v>1176</v>
      </c>
      <c r="E653" s="5" t="s">
        <v>883</v>
      </c>
      <c r="F653" s="5">
        <v>0</v>
      </c>
      <c r="G653" s="5">
        <v>0</v>
      </c>
      <c r="H653" s="5">
        <v>0</v>
      </c>
      <c r="I653" s="5">
        <v>0</v>
      </c>
      <c r="J653" s="5">
        <v>0</v>
      </c>
      <c r="K653" s="5">
        <v>0</v>
      </c>
      <c r="L653" s="5">
        <v>0</v>
      </c>
      <c r="M653" s="5">
        <v>0</v>
      </c>
      <c r="N653" s="5">
        <v>0</v>
      </c>
      <c r="O653" s="5">
        <v>0</v>
      </c>
      <c r="P653" s="5">
        <v>0</v>
      </c>
      <c r="Q653" s="5">
        <v>0</v>
      </c>
      <c r="R653" s="5">
        <v>0</v>
      </c>
    </row>
    <row r="654" spans="1:18" ht="15" customHeight="1" x14ac:dyDescent="0.25">
      <c r="A654" s="5">
        <v>7158</v>
      </c>
      <c r="B654" s="5" t="s">
        <v>437</v>
      </c>
      <c r="C654" s="5" t="s">
        <v>1117</v>
      </c>
      <c r="D654" s="5" t="s">
        <v>519</v>
      </c>
      <c r="E654" s="5" t="s">
        <v>41</v>
      </c>
      <c r="F654" s="5">
        <v>6</v>
      </c>
      <c r="G654" s="5">
        <v>5.58</v>
      </c>
      <c r="H654" s="5">
        <v>5.5</v>
      </c>
      <c r="I654" s="5">
        <v>0</v>
      </c>
      <c r="J654" s="5">
        <v>0</v>
      </c>
      <c r="K654" s="5">
        <v>0</v>
      </c>
      <c r="L654" s="5">
        <v>0</v>
      </c>
      <c r="M654" s="5">
        <v>0</v>
      </c>
      <c r="N654" s="5">
        <v>0</v>
      </c>
      <c r="O654" s="5">
        <v>0</v>
      </c>
      <c r="P654" s="5">
        <v>1</v>
      </c>
      <c r="Q654" s="5">
        <v>0</v>
      </c>
      <c r="R654" s="5">
        <v>0</v>
      </c>
    </row>
    <row r="655" spans="1:18" ht="15" customHeight="1" x14ac:dyDescent="0.25">
      <c r="A655" s="5">
        <v>7159</v>
      </c>
      <c r="B655" s="5" t="s">
        <v>437</v>
      </c>
      <c r="C655" s="5" t="s">
        <v>1117</v>
      </c>
      <c r="D655" s="5" t="s">
        <v>1177</v>
      </c>
      <c r="E655" s="5" t="s">
        <v>41</v>
      </c>
      <c r="F655" s="5">
        <v>0</v>
      </c>
      <c r="G655" s="5">
        <v>0</v>
      </c>
      <c r="H655" s="5">
        <v>0</v>
      </c>
      <c r="I655" s="5">
        <v>0</v>
      </c>
      <c r="J655" s="5">
        <v>0</v>
      </c>
      <c r="K655" s="5">
        <v>0</v>
      </c>
      <c r="L655" s="5">
        <v>0</v>
      </c>
      <c r="M655" s="5">
        <v>0</v>
      </c>
      <c r="N655" s="5">
        <v>0</v>
      </c>
      <c r="O655" s="5">
        <v>0</v>
      </c>
      <c r="P655" s="5">
        <v>0</v>
      </c>
      <c r="Q655" s="5">
        <v>0</v>
      </c>
      <c r="R655" s="5">
        <v>0</v>
      </c>
    </row>
    <row r="656" spans="1:18" ht="15" customHeight="1" x14ac:dyDescent="0.25">
      <c r="A656" s="5">
        <v>6635</v>
      </c>
      <c r="B656" s="5" t="s">
        <v>437</v>
      </c>
      <c r="C656" s="5" t="s">
        <v>1117</v>
      </c>
      <c r="D656" s="5" t="s">
        <v>1178</v>
      </c>
      <c r="E656" s="5" t="s">
        <v>32</v>
      </c>
      <c r="F656" s="5">
        <v>0</v>
      </c>
      <c r="G656" s="5">
        <v>0</v>
      </c>
      <c r="H656" s="5">
        <v>0</v>
      </c>
      <c r="I656" s="5">
        <v>0</v>
      </c>
      <c r="J656" s="5">
        <v>0</v>
      </c>
      <c r="K656" s="5">
        <v>0</v>
      </c>
      <c r="L656" s="5">
        <v>0</v>
      </c>
      <c r="M656" s="5">
        <v>0</v>
      </c>
      <c r="N656" s="5">
        <v>0</v>
      </c>
      <c r="O656" s="5">
        <v>0</v>
      </c>
      <c r="P656" s="5">
        <v>0</v>
      </c>
      <c r="Q656" s="5">
        <v>0</v>
      </c>
      <c r="R656" s="5">
        <v>0</v>
      </c>
    </row>
    <row r="657" spans="1:18" ht="15" customHeight="1" x14ac:dyDescent="0.25">
      <c r="A657" s="5">
        <v>7183</v>
      </c>
      <c r="B657" s="5" t="s">
        <v>437</v>
      </c>
      <c r="C657" s="5" t="s">
        <v>437</v>
      </c>
      <c r="D657" s="5" t="s">
        <v>404</v>
      </c>
      <c r="E657" s="5" t="s">
        <v>81</v>
      </c>
      <c r="F657" s="5">
        <v>11</v>
      </c>
      <c r="G657" s="5">
        <v>5.77</v>
      </c>
      <c r="H657" s="5">
        <v>5.64</v>
      </c>
      <c r="I657" s="5">
        <v>0</v>
      </c>
      <c r="J657" s="5">
        <v>0</v>
      </c>
      <c r="K657" s="5">
        <v>0</v>
      </c>
      <c r="L657" s="5">
        <v>0</v>
      </c>
      <c r="M657" s="5">
        <v>0</v>
      </c>
      <c r="N657" s="5">
        <v>0</v>
      </c>
      <c r="O657" s="5">
        <v>0</v>
      </c>
      <c r="P657" s="5">
        <v>4</v>
      </c>
      <c r="Q657" s="5">
        <v>0</v>
      </c>
      <c r="R657" s="5">
        <v>0</v>
      </c>
    </row>
    <row r="658" spans="1:18" ht="15" customHeight="1" x14ac:dyDescent="0.25">
      <c r="A658" s="5">
        <v>7213</v>
      </c>
      <c r="B658" s="5" t="s">
        <v>437</v>
      </c>
      <c r="C658" s="5" t="s">
        <v>1117</v>
      </c>
      <c r="D658" s="5" t="s">
        <v>496</v>
      </c>
      <c r="E658" s="5" t="s">
        <v>38</v>
      </c>
      <c r="F658" s="5">
        <v>0</v>
      </c>
      <c r="G658" s="5">
        <v>0</v>
      </c>
      <c r="H658" s="5">
        <v>0</v>
      </c>
      <c r="I658" s="5">
        <v>0</v>
      </c>
      <c r="J658" s="5">
        <v>0</v>
      </c>
      <c r="K658" s="5">
        <v>0</v>
      </c>
      <c r="L658" s="5">
        <v>0</v>
      </c>
      <c r="M658" s="5">
        <v>0</v>
      </c>
      <c r="N658" s="5">
        <v>0</v>
      </c>
      <c r="O658" s="5">
        <v>0</v>
      </c>
      <c r="P658" s="5">
        <v>0</v>
      </c>
      <c r="Q658" s="5">
        <v>0</v>
      </c>
      <c r="R658" s="5">
        <v>0</v>
      </c>
    </row>
    <row r="659" spans="1:18" ht="15" customHeight="1" x14ac:dyDescent="0.25">
      <c r="A659" s="5">
        <v>2762</v>
      </c>
      <c r="B659" s="5" t="s">
        <v>437</v>
      </c>
      <c r="C659" s="5" t="s">
        <v>437</v>
      </c>
      <c r="D659" s="5" t="s">
        <v>1179</v>
      </c>
      <c r="E659" s="5" t="s">
        <v>20</v>
      </c>
      <c r="F659" s="5">
        <v>1</v>
      </c>
      <c r="G659" s="5">
        <v>6</v>
      </c>
      <c r="H659" s="5">
        <v>6</v>
      </c>
      <c r="I659" s="5">
        <v>0</v>
      </c>
      <c r="J659" s="5">
        <v>0</v>
      </c>
      <c r="K659" s="5">
        <v>0</v>
      </c>
      <c r="L659" s="5">
        <v>0</v>
      </c>
      <c r="M659" s="5">
        <v>0</v>
      </c>
      <c r="N659" s="5">
        <v>0</v>
      </c>
      <c r="O659" s="5">
        <v>0</v>
      </c>
      <c r="P659" s="5">
        <v>0</v>
      </c>
      <c r="Q659" s="5">
        <v>0</v>
      </c>
      <c r="R659" s="5">
        <v>0</v>
      </c>
    </row>
    <row r="660" spans="1:18" ht="15" customHeight="1" x14ac:dyDescent="0.25">
      <c r="A660" s="5">
        <v>7262</v>
      </c>
      <c r="B660" s="5" t="s">
        <v>437</v>
      </c>
      <c r="C660" s="5" t="s">
        <v>437</v>
      </c>
      <c r="D660" s="5" t="s">
        <v>1180</v>
      </c>
      <c r="E660" s="5" t="s">
        <v>18</v>
      </c>
      <c r="F660" s="5">
        <v>0</v>
      </c>
      <c r="G660" s="5">
        <v>0</v>
      </c>
      <c r="H660" s="5">
        <v>0</v>
      </c>
      <c r="I660" s="5">
        <v>0</v>
      </c>
      <c r="J660" s="5">
        <v>0</v>
      </c>
      <c r="K660" s="5">
        <v>0</v>
      </c>
      <c r="L660" s="5">
        <v>0</v>
      </c>
      <c r="M660" s="5">
        <v>0</v>
      </c>
      <c r="N660" s="5">
        <v>0</v>
      </c>
      <c r="O660" s="5">
        <v>0</v>
      </c>
      <c r="P660" s="5">
        <v>0</v>
      </c>
      <c r="Q660" s="5">
        <v>0</v>
      </c>
      <c r="R660" s="5">
        <v>0</v>
      </c>
    </row>
    <row r="661" spans="1:18" ht="15" customHeight="1" x14ac:dyDescent="0.25">
      <c r="A661" s="5">
        <v>7277</v>
      </c>
      <c r="B661" s="5" t="s">
        <v>437</v>
      </c>
      <c r="C661" s="5" t="s">
        <v>1117</v>
      </c>
      <c r="D661" s="5" t="s">
        <v>1181</v>
      </c>
      <c r="E661" s="5" t="s">
        <v>10</v>
      </c>
      <c r="F661" s="5">
        <v>1</v>
      </c>
      <c r="G661" s="5">
        <v>6</v>
      </c>
      <c r="H661" s="5">
        <v>6</v>
      </c>
      <c r="I661" s="5">
        <v>0</v>
      </c>
      <c r="J661" s="5">
        <v>0</v>
      </c>
      <c r="K661" s="5">
        <v>0</v>
      </c>
      <c r="L661" s="5">
        <v>0</v>
      </c>
      <c r="M661" s="5">
        <v>0</v>
      </c>
      <c r="N661" s="5">
        <v>0</v>
      </c>
      <c r="O661" s="5">
        <v>0</v>
      </c>
      <c r="P661" s="5">
        <v>0</v>
      </c>
      <c r="Q661" s="5">
        <v>0</v>
      </c>
      <c r="R661" s="5">
        <v>0</v>
      </c>
    </row>
    <row r="662" spans="1:18" ht="15" customHeight="1" x14ac:dyDescent="0.25">
      <c r="A662" s="5">
        <v>7309</v>
      </c>
      <c r="B662" s="5" t="s">
        <v>437</v>
      </c>
      <c r="C662" s="5" t="s">
        <v>1117</v>
      </c>
      <c r="D662" s="5" t="s">
        <v>1182</v>
      </c>
      <c r="E662" s="5" t="s">
        <v>880</v>
      </c>
      <c r="F662" s="5">
        <v>1</v>
      </c>
      <c r="G662" s="5">
        <v>6</v>
      </c>
      <c r="H662" s="5">
        <v>6</v>
      </c>
      <c r="I662" s="5">
        <v>0</v>
      </c>
      <c r="J662" s="5">
        <v>0</v>
      </c>
      <c r="K662" s="5">
        <v>0</v>
      </c>
      <c r="L662" s="5">
        <v>0</v>
      </c>
      <c r="M662" s="5">
        <v>0</v>
      </c>
      <c r="N662" s="5">
        <v>0</v>
      </c>
      <c r="O662" s="5">
        <v>0</v>
      </c>
      <c r="P662" s="5">
        <v>0</v>
      </c>
      <c r="Q662" s="5">
        <v>0</v>
      </c>
      <c r="R662" s="5">
        <v>0</v>
      </c>
    </row>
    <row r="663" spans="1:18" ht="15" customHeight="1" x14ac:dyDescent="0.25">
      <c r="A663" s="5">
        <v>7317</v>
      </c>
      <c r="B663" s="5" t="s">
        <v>437</v>
      </c>
      <c r="C663" s="5" t="s">
        <v>1117</v>
      </c>
      <c r="D663" s="5" t="s">
        <v>516</v>
      </c>
      <c r="E663" s="5" t="s">
        <v>26</v>
      </c>
      <c r="F663" s="5">
        <v>3</v>
      </c>
      <c r="G663" s="5">
        <v>5.67</v>
      </c>
      <c r="H663" s="5">
        <v>5.67</v>
      </c>
      <c r="I663" s="5">
        <v>0</v>
      </c>
      <c r="J663" s="5">
        <v>0</v>
      </c>
      <c r="K663" s="5">
        <v>0</v>
      </c>
      <c r="L663" s="5">
        <v>0</v>
      </c>
      <c r="M663" s="5">
        <v>0</v>
      </c>
      <c r="N663" s="5">
        <v>0</v>
      </c>
      <c r="O663" s="5">
        <v>0</v>
      </c>
      <c r="P663" s="5">
        <v>0</v>
      </c>
      <c r="Q663" s="5">
        <v>0</v>
      </c>
      <c r="R663" s="5">
        <v>0</v>
      </c>
    </row>
    <row r="664" spans="1:18" ht="15" customHeight="1" x14ac:dyDescent="0.25">
      <c r="A664" s="5">
        <v>7368</v>
      </c>
      <c r="B664" s="5" t="s">
        <v>437</v>
      </c>
      <c r="C664" s="5" t="s">
        <v>1117</v>
      </c>
      <c r="D664" s="5" t="s">
        <v>1183</v>
      </c>
      <c r="E664" s="5" t="s">
        <v>880</v>
      </c>
      <c r="F664" s="5">
        <v>1</v>
      </c>
      <c r="G664" s="5">
        <v>6.5</v>
      </c>
      <c r="H664" s="5">
        <v>6.5</v>
      </c>
      <c r="I664" s="5">
        <v>0</v>
      </c>
      <c r="J664" s="5">
        <v>0</v>
      </c>
      <c r="K664" s="5">
        <v>0</v>
      </c>
      <c r="L664" s="5">
        <v>0</v>
      </c>
      <c r="M664" s="5">
        <v>0</v>
      </c>
      <c r="N664" s="5">
        <v>0</v>
      </c>
      <c r="O664" s="5">
        <v>0</v>
      </c>
      <c r="P664" s="5">
        <v>0</v>
      </c>
      <c r="Q664" s="5">
        <v>0</v>
      </c>
      <c r="R664" s="5">
        <v>0</v>
      </c>
    </row>
    <row r="665" spans="1:18" ht="15" customHeight="1" x14ac:dyDescent="0.25">
      <c r="A665" s="5">
        <v>7388</v>
      </c>
      <c r="B665" s="5" t="s">
        <v>437</v>
      </c>
      <c r="C665" s="5" t="s">
        <v>437</v>
      </c>
      <c r="D665" s="5" t="s">
        <v>1184</v>
      </c>
      <c r="E665" s="5" t="s">
        <v>12</v>
      </c>
      <c r="F665" s="5">
        <v>0</v>
      </c>
      <c r="G665" s="5">
        <v>0</v>
      </c>
      <c r="H665" s="5">
        <v>0</v>
      </c>
      <c r="I665" s="5">
        <v>0</v>
      </c>
      <c r="J665" s="5">
        <v>0</v>
      </c>
      <c r="K665" s="5">
        <v>0</v>
      </c>
      <c r="L665" s="5">
        <v>0</v>
      </c>
      <c r="M665" s="5">
        <v>0</v>
      </c>
      <c r="N665" s="5">
        <v>0</v>
      </c>
      <c r="O665" s="5">
        <v>0</v>
      </c>
      <c r="P665" s="5">
        <v>0</v>
      </c>
      <c r="Q665" s="5">
        <v>0</v>
      </c>
      <c r="R665" s="5">
        <v>0</v>
      </c>
    </row>
  </sheetData>
  <mergeCells count="1">
    <mergeCell ref="A1:R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zoomScaleNormal="100" workbookViewId="0">
      <selection activeCell="D9" sqref="D9"/>
    </sheetView>
  </sheetViews>
  <sheetFormatPr defaultColWidth="8.5703125" defaultRowHeight="15" x14ac:dyDescent="0.25"/>
  <cols>
    <col min="1" max="1" width="22.5703125" customWidth="1"/>
  </cols>
  <sheetData>
    <row r="1" spans="1:3" ht="14.25" customHeight="1" x14ac:dyDescent="0.25">
      <c r="A1" s="29" t="s">
        <v>725</v>
      </c>
    </row>
    <row r="2" spans="1:3" ht="14.25" customHeight="1" x14ac:dyDescent="0.25">
      <c r="A2" t="s">
        <v>726</v>
      </c>
      <c r="B2" t="s">
        <v>722</v>
      </c>
      <c r="C2" s="30" t="s">
        <v>730</v>
      </c>
    </row>
    <row r="3" spans="1:3" ht="14.25" customHeight="1" x14ac:dyDescent="0.25">
      <c r="A3" t="s">
        <v>1185</v>
      </c>
      <c r="B3" t="s">
        <v>724</v>
      </c>
      <c r="C3" s="30" t="s">
        <v>1186</v>
      </c>
    </row>
    <row r="4" spans="1:3" ht="14.25" customHeight="1" x14ac:dyDescent="0.25">
      <c r="A4" t="s">
        <v>1187</v>
      </c>
      <c r="C4" s="30" t="s">
        <v>1188</v>
      </c>
    </row>
    <row r="5" spans="1:3" ht="14.25" customHeight="1" x14ac:dyDescent="0.25">
      <c r="A5" t="s">
        <v>1189</v>
      </c>
      <c r="C5" s="30" t="s">
        <v>1190</v>
      </c>
    </row>
    <row r="6" spans="1:3" ht="14.25" customHeight="1" x14ac:dyDescent="0.25">
      <c r="C6" s="30" t="s">
        <v>1191</v>
      </c>
    </row>
    <row r="7" spans="1:3" ht="14.25" customHeight="1" x14ac:dyDescent="0.25">
      <c r="C7" s="30" t="s">
        <v>1192</v>
      </c>
    </row>
    <row r="8" spans="1:3" ht="14.25" customHeight="1" x14ac:dyDescent="0.25">
      <c r="C8" s="30" t="s">
        <v>1193</v>
      </c>
    </row>
    <row r="9" spans="1:3" ht="14.25" customHeight="1" x14ac:dyDescent="0.25">
      <c r="C9" s="30" t="s">
        <v>1194</v>
      </c>
    </row>
    <row r="10" spans="1:3" ht="14.25" customHeight="1" x14ac:dyDescent="0.25">
      <c r="C10" s="30" t="s">
        <v>1188</v>
      </c>
    </row>
    <row r="11" spans="1:3" ht="14.25" customHeight="1" x14ac:dyDescent="0.25">
      <c r="C11" s="30" t="s">
        <v>1195</v>
      </c>
    </row>
    <row r="12" spans="1:3" ht="14.25" customHeight="1" x14ac:dyDescent="0.25">
      <c r="C12" s="30"/>
    </row>
    <row r="13" spans="1:3" ht="14.25" customHeight="1" x14ac:dyDescent="0.25">
      <c r="C13" s="30"/>
    </row>
    <row r="14" spans="1:3" ht="14.25" customHeight="1" x14ac:dyDescent="0.25">
      <c r="C14" s="30"/>
    </row>
    <row r="15" spans="1:3" ht="14.25" customHeight="1" x14ac:dyDescent="0.25">
      <c r="C15" s="30"/>
    </row>
    <row r="16" spans="1:3" ht="14.25" customHeight="1" x14ac:dyDescent="0.25">
      <c r="C16" s="30"/>
    </row>
    <row r="17" spans="3:3" ht="14.25" customHeight="1" x14ac:dyDescent="0.25">
      <c r="C17" s="30"/>
    </row>
    <row r="18" spans="3:3" ht="14.25" customHeight="1" x14ac:dyDescent="0.25">
      <c r="C18" s="3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60"/>
  <sheetViews>
    <sheetView showGridLines="0" topLeftCell="A4" workbookViewId="0">
      <selection sqref="A1:G1"/>
    </sheetView>
  </sheetViews>
  <sheetFormatPr defaultRowHeight="15" x14ac:dyDescent="0.25"/>
  <cols>
    <col min="1" max="1" width="20" customWidth="1"/>
    <col min="2" max="6" width="16" customWidth="1"/>
    <col min="7" max="7" width="70" customWidth="1"/>
  </cols>
  <sheetData>
    <row r="1" spans="1:6" ht="20.25" customHeight="1" x14ac:dyDescent="0.3">
      <c r="A1" s="61" t="s">
        <v>1196</v>
      </c>
    </row>
    <row r="2" spans="1:6" ht="288" customHeight="1" x14ac:dyDescent="0.25">
      <c r="A2" s="48" t="s">
        <v>1197</v>
      </c>
    </row>
    <row r="4" spans="1:6" ht="15.75" customHeight="1" x14ac:dyDescent="0.25">
      <c r="A4" s="54" t="s">
        <v>1198</v>
      </c>
    </row>
    <row r="5" spans="1:6" x14ac:dyDescent="0.25">
      <c r="A5" s="45" t="s">
        <v>581</v>
      </c>
      <c r="B5" s="45" t="s">
        <v>1199</v>
      </c>
      <c r="C5" s="45" t="s">
        <v>1200</v>
      </c>
      <c r="D5" s="45" t="s">
        <v>1201</v>
      </c>
      <c r="E5" s="45" t="s">
        <v>1202</v>
      </c>
      <c r="F5" s="45" t="s">
        <v>1203</v>
      </c>
    </row>
    <row r="6" spans="1:6" x14ac:dyDescent="0.25">
      <c r="A6" t="s">
        <v>832</v>
      </c>
      <c r="B6">
        <v>23</v>
      </c>
      <c r="C6">
        <v>32.4</v>
      </c>
      <c r="D6">
        <v>29.6</v>
      </c>
      <c r="E6">
        <v>1.44</v>
      </c>
      <c r="F6">
        <v>1</v>
      </c>
    </row>
    <row r="7" spans="1:6" x14ac:dyDescent="0.25">
      <c r="A7" t="s">
        <v>833</v>
      </c>
      <c r="B7">
        <v>76</v>
      </c>
      <c r="C7">
        <v>10.9</v>
      </c>
      <c r="D7">
        <v>26.1</v>
      </c>
      <c r="E7">
        <v>0.59</v>
      </c>
      <c r="F7">
        <v>0.24</v>
      </c>
    </row>
    <row r="8" spans="1:6" x14ac:dyDescent="0.25">
      <c r="A8" t="s">
        <v>834</v>
      </c>
      <c r="B8">
        <v>58</v>
      </c>
      <c r="C8">
        <v>38.299999999999997</v>
      </c>
      <c r="D8">
        <v>45.3</v>
      </c>
      <c r="E8">
        <v>1.04</v>
      </c>
      <c r="F8">
        <v>0.5</v>
      </c>
    </row>
    <row r="9" spans="1:6" x14ac:dyDescent="0.25">
      <c r="A9" t="s">
        <v>835</v>
      </c>
      <c r="B9">
        <v>40</v>
      </c>
      <c r="C9">
        <v>79.099999999999994</v>
      </c>
      <c r="D9">
        <v>68.3</v>
      </c>
      <c r="E9">
        <v>2.33</v>
      </c>
      <c r="F9">
        <v>0.89</v>
      </c>
    </row>
    <row r="11" spans="1:6" ht="288" customHeight="1" x14ac:dyDescent="0.25">
      <c r="A11" s="48" t="s">
        <v>1204</v>
      </c>
    </row>
    <row r="13" spans="1:6" ht="15.75" customHeight="1" x14ac:dyDescent="0.25">
      <c r="A13" s="54" t="s">
        <v>1205</v>
      </c>
    </row>
    <row r="14" spans="1:6" ht="25.5" customHeight="1" x14ac:dyDescent="0.25">
      <c r="A14" s="45" t="s">
        <v>581</v>
      </c>
      <c r="B14" s="45" t="s">
        <v>3</v>
      </c>
      <c r="C14" s="45" t="s">
        <v>1206</v>
      </c>
      <c r="D14" s="45" t="s">
        <v>1207</v>
      </c>
      <c r="E14" s="45" t="s">
        <v>1208</v>
      </c>
      <c r="F14" s="45" t="s">
        <v>1209</v>
      </c>
    </row>
    <row r="15" spans="1:6" x14ac:dyDescent="0.25">
      <c r="A15" t="s">
        <v>437</v>
      </c>
      <c r="B15" t="s">
        <v>1133</v>
      </c>
      <c r="C15" t="s">
        <v>1210</v>
      </c>
      <c r="D15">
        <v>191</v>
      </c>
      <c r="E15">
        <v>12</v>
      </c>
      <c r="F15">
        <v>15.92</v>
      </c>
    </row>
    <row r="16" spans="1:6" x14ac:dyDescent="0.25">
      <c r="A16" t="s">
        <v>437</v>
      </c>
      <c r="B16" t="s">
        <v>1157</v>
      </c>
      <c r="C16" t="s">
        <v>1211</v>
      </c>
      <c r="D16">
        <v>81</v>
      </c>
      <c r="E16">
        <v>8</v>
      </c>
      <c r="F16">
        <v>10.119999999999999</v>
      </c>
    </row>
    <row r="17" spans="1:6" x14ac:dyDescent="0.25">
      <c r="A17" t="s">
        <v>437</v>
      </c>
      <c r="B17" t="s">
        <v>453</v>
      </c>
      <c r="C17" t="s">
        <v>1212</v>
      </c>
      <c r="D17">
        <v>73</v>
      </c>
      <c r="E17">
        <v>8</v>
      </c>
      <c r="F17">
        <v>9.1199999999999992</v>
      </c>
    </row>
    <row r="18" spans="1:6" x14ac:dyDescent="0.25">
      <c r="A18" t="s">
        <v>437</v>
      </c>
      <c r="B18" t="s">
        <v>474</v>
      </c>
      <c r="C18" t="s">
        <v>1211</v>
      </c>
      <c r="D18">
        <v>226</v>
      </c>
      <c r="E18">
        <v>28</v>
      </c>
      <c r="F18">
        <v>8.07</v>
      </c>
    </row>
    <row r="19" spans="1:6" x14ac:dyDescent="0.25">
      <c r="A19" t="s">
        <v>437</v>
      </c>
      <c r="B19" t="s">
        <v>491</v>
      </c>
      <c r="C19" t="s">
        <v>1213</v>
      </c>
      <c r="D19">
        <v>91</v>
      </c>
      <c r="E19">
        <v>12</v>
      </c>
      <c r="F19">
        <v>7.58</v>
      </c>
    </row>
    <row r="20" spans="1:6" x14ac:dyDescent="0.25">
      <c r="A20" t="s">
        <v>437</v>
      </c>
      <c r="B20" t="s">
        <v>444</v>
      </c>
      <c r="C20" t="s">
        <v>1214</v>
      </c>
      <c r="D20">
        <v>295</v>
      </c>
      <c r="E20">
        <v>40</v>
      </c>
      <c r="F20">
        <v>7.38</v>
      </c>
    </row>
    <row r="21" spans="1:6" x14ac:dyDescent="0.25">
      <c r="A21" t="s">
        <v>264</v>
      </c>
      <c r="B21" t="s">
        <v>277</v>
      </c>
      <c r="C21" t="s">
        <v>1212</v>
      </c>
      <c r="D21">
        <v>170</v>
      </c>
      <c r="E21">
        <v>25</v>
      </c>
      <c r="F21">
        <v>6.8</v>
      </c>
    </row>
    <row r="22" spans="1:6" x14ac:dyDescent="0.25">
      <c r="A22" t="s">
        <v>437</v>
      </c>
      <c r="B22" t="s">
        <v>500</v>
      </c>
      <c r="C22" t="s">
        <v>1212</v>
      </c>
      <c r="D22">
        <v>68</v>
      </c>
      <c r="E22">
        <v>10</v>
      </c>
      <c r="F22">
        <v>6.8</v>
      </c>
    </row>
    <row r="23" spans="1:6" x14ac:dyDescent="0.25">
      <c r="A23" t="s">
        <v>88</v>
      </c>
      <c r="B23" t="s">
        <v>212</v>
      </c>
      <c r="C23" t="s">
        <v>1211</v>
      </c>
      <c r="D23">
        <v>41</v>
      </c>
      <c r="E23">
        <v>8</v>
      </c>
      <c r="F23">
        <v>5.12</v>
      </c>
    </row>
    <row r="24" spans="1:6" x14ac:dyDescent="0.25">
      <c r="A24" t="s">
        <v>8</v>
      </c>
      <c r="B24" t="s">
        <v>881</v>
      </c>
      <c r="C24" t="s">
        <v>1215</v>
      </c>
      <c r="D24">
        <v>5</v>
      </c>
      <c r="E24">
        <v>1</v>
      </c>
      <c r="F24">
        <v>5</v>
      </c>
    </row>
    <row r="25" spans="1:6" x14ac:dyDescent="0.25">
      <c r="A25" t="s">
        <v>264</v>
      </c>
      <c r="B25" t="s">
        <v>336</v>
      </c>
      <c r="C25" t="s">
        <v>1211</v>
      </c>
      <c r="D25">
        <v>59</v>
      </c>
      <c r="E25">
        <v>12</v>
      </c>
      <c r="F25">
        <v>4.92</v>
      </c>
    </row>
    <row r="26" spans="1:6" x14ac:dyDescent="0.25">
      <c r="A26" t="s">
        <v>8</v>
      </c>
      <c r="B26" t="s">
        <v>51</v>
      </c>
      <c r="C26" t="s">
        <v>1211</v>
      </c>
      <c r="D26">
        <v>70</v>
      </c>
      <c r="E26">
        <v>15</v>
      </c>
      <c r="F26">
        <v>4.67</v>
      </c>
    </row>
    <row r="27" spans="1:6" x14ac:dyDescent="0.25">
      <c r="A27" t="s">
        <v>88</v>
      </c>
      <c r="B27" t="s">
        <v>938</v>
      </c>
      <c r="C27" t="s">
        <v>1210</v>
      </c>
      <c r="D27">
        <v>32</v>
      </c>
      <c r="E27">
        <v>7</v>
      </c>
      <c r="F27">
        <v>4.57</v>
      </c>
    </row>
    <row r="28" spans="1:6" x14ac:dyDescent="0.25">
      <c r="A28" t="s">
        <v>8</v>
      </c>
      <c r="B28" t="s">
        <v>21</v>
      </c>
      <c r="C28" t="s">
        <v>1210</v>
      </c>
      <c r="D28">
        <v>80</v>
      </c>
      <c r="E28">
        <v>20</v>
      </c>
      <c r="F28">
        <v>4</v>
      </c>
    </row>
    <row r="29" spans="1:6" ht="15.75" customHeight="1" x14ac:dyDescent="0.25">
      <c r="A29" s="54" t="s">
        <v>264</v>
      </c>
      <c r="B29" t="s">
        <v>306</v>
      </c>
      <c r="C29" t="s">
        <v>1214</v>
      </c>
      <c r="D29">
        <v>54</v>
      </c>
      <c r="E29">
        <v>14</v>
      </c>
      <c r="F29">
        <v>3.86</v>
      </c>
    </row>
    <row r="30" spans="1:6" ht="25.5" customHeight="1" x14ac:dyDescent="0.25">
      <c r="A30" s="45"/>
      <c r="B30" s="45"/>
      <c r="C30" s="45"/>
      <c r="D30" s="45"/>
      <c r="E30" s="45"/>
      <c r="F30" s="45"/>
    </row>
    <row r="31" spans="1:6" x14ac:dyDescent="0.25">
      <c r="A31" t="s">
        <v>1216</v>
      </c>
    </row>
    <row r="32" spans="1:6" x14ac:dyDescent="0.25">
      <c r="A32" t="s">
        <v>581</v>
      </c>
      <c r="B32" t="s">
        <v>3</v>
      </c>
      <c r="C32" t="s">
        <v>1206</v>
      </c>
      <c r="D32" t="s">
        <v>1207</v>
      </c>
      <c r="E32" t="s">
        <v>1208</v>
      </c>
      <c r="F32" t="s">
        <v>1209</v>
      </c>
    </row>
    <row r="33" spans="1:6" x14ac:dyDescent="0.25">
      <c r="A33" t="s">
        <v>88</v>
      </c>
      <c r="B33" t="s">
        <v>97</v>
      </c>
      <c r="C33" t="s">
        <v>1211</v>
      </c>
      <c r="D33">
        <v>1</v>
      </c>
      <c r="E33">
        <v>68</v>
      </c>
      <c r="F33">
        <v>0.01</v>
      </c>
    </row>
    <row r="34" spans="1:6" x14ac:dyDescent="0.25">
      <c r="A34" t="s">
        <v>264</v>
      </c>
      <c r="B34" t="s">
        <v>302</v>
      </c>
      <c r="C34" t="s">
        <v>1217</v>
      </c>
      <c r="D34">
        <v>1</v>
      </c>
      <c r="E34">
        <v>60</v>
      </c>
      <c r="F34">
        <v>0.02</v>
      </c>
    </row>
    <row r="35" spans="1:6" x14ac:dyDescent="0.25">
      <c r="A35" t="s">
        <v>88</v>
      </c>
      <c r="B35" t="s">
        <v>93</v>
      </c>
      <c r="C35" t="s">
        <v>1211</v>
      </c>
      <c r="D35">
        <v>1</v>
      </c>
      <c r="E35">
        <v>54</v>
      </c>
      <c r="F35">
        <v>0.02</v>
      </c>
    </row>
    <row r="36" spans="1:6" x14ac:dyDescent="0.25">
      <c r="A36" t="s">
        <v>88</v>
      </c>
      <c r="B36" t="s">
        <v>98</v>
      </c>
      <c r="C36" t="s">
        <v>1212</v>
      </c>
      <c r="D36">
        <v>1</v>
      </c>
      <c r="E36">
        <v>51</v>
      </c>
      <c r="F36">
        <v>0.02</v>
      </c>
    </row>
    <row r="37" spans="1:6" x14ac:dyDescent="0.25">
      <c r="A37" t="s">
        <v>264</v>
      </c>
      <c r="B37" t="s">
        <v>271</v>
      </c>
      <c r="C37" t="s">
        <v>1214</v>
      </c>
      <c r="D37">
        <v>2</v>
      </c>
      <c r="E37">
        <v>95</v>
      </c>
      <c r="F37">
        <v>0.02</v>
      </c>
    </row>
    <row r="38" spans="1:6" x14ac:dyDescent="0.25">
      <c r="A38" t="s">
        <v>88</v>
      </c>
      <c r="B38" t="s">
        <v>104</v>
      </c>
      <c r="C38" t="s">
        <v>1213</v>
      </c>
      <c r="D38">
        <v>1</v>
      </c>
      <c r="E38">
        <v>41</v>
      </c>
      <c r="F38">
        <v>0.02</v>
      </c>
    </row>
    <row r="39" spans="1:6" x14ac:dyDescent="0.25">
      <c r="A39" t="s">
        <v>88</v>
      </c>
      <c r="B39" t="s">
        <v>913</v>
      </c>
      <c r="C39" t="s">
        <v>1212</v>
      </c>
      <c r="D39">
        <v>2</v>
      </c>
      <c r="E39">
        <v>75</v>
      </c>
      <c r="F39">
        <v>0.03</v>
      </c>
    </row>
    <row r="40" spans="1:6" x14ac:dyDescent="0.25">
      <c r="A40" t="s">
        <v>437</v>
      </c>
      <c r="B40" t="s">
        <v>1124</v>
      </c>
      <c r="C40" t="s">
        <v>1213</v>
      </c>
      <c r="D40">
        <v>1</v>
      </c>
      <c r="E40">
        <v>32</v>
      </c>
      <c r="F40">
        <v>0.03</v>
      </c>
    </row>
    <row r="41" spans="1:6" x14ac:dyDescent="0.25">
      <c r="A41" t="s">
        <v>264</v>
      </c>
      <c r="B41" t="s">
        <v>282</v>
      </c>
      <c r="C41" t="s">
        <v>1213</v>
      </c>
      <c r="D41">
        <v>1</v>
      </c>
      <c r="E41">
        <v>30</v>
      </c>
      <c r="F41">
        <v>0.03</v>
      </c>
    </row>
    <row r="42" spans="1:6" x14ac:dyDescent="0.25">
      <c r="A42" t="s">
        <v>437</v>
      </c>
      <c r="B42" t="s">
        <v>284</v>
      </c>
      <c r="C42" t="s">
        <v>1217</v>
      </c>
      <c r="D42">
        <v>1</v>
      </c>
      <c r="E42">
        <v>27</v>
      </c>
      <c r="F42">
        <v>0.04</v>
      </c>
    </row>
    <row r="43" spans="1:6" x14ac:dyDescent="0.25">
      <c r="A43" t="s">
        <v>88</v>
      </c>
      <c r="B43" t="s">
        <v>108</v>
      </c>
      <c r="C43" t="s">
        <v>1215</v>
      </c>
      <c r="D43">
        <v>1</v>
      </c>
      <c r="E43">
        <v>25</v>
      </c>
      <c r="F43">
        <v>0.04</v>
      </c>
    </row>
    <row r="44" spans="1:6" x14ac:dyDescent="0.25">
      <c r="A44" t="s">
        <v>88</v>
      </c>
      <c r="B44" t="s">
        <v>114</v>
      </c>
      <c r="C44" t="s">
        <v>1213</v>
      </c>
      <c r="D44">
        <v>1</v>
      </c>
      <c r="E44">
        <v>25</v>
      </c>
      <c r="F44">
        <v>0.04</v>
      </c>
    </row>
    <row r="45" spans="1:6" x14ac:dyDescent="0.25">
      <c r="A45" s="48" t="s">
        <v>437</v>
      </c>
      <c r="B45" t="s">
        <v>457</v>
      </c>
      <c r="C45" t="s">
        <v>1215</v>
      </c>
      <c r="D45">
        <v>4</v>
      </c>
      <c r="E45">
        <v>99</v>
      </c>
      <c r="F45">
        <v>0.04</v>
      </c>
    </row>
    <row r="46" spans="1:6" x14ac:dyDescent="0.25">
      <c r="A46" t="s">
        <v>8</v>
      </c>
      <c r="B46" t="s">
        <v>15</v>
      </c>
      <c r="C46" t="s">
        <v>1214</v>
      </c>
      <c r="D46">
        <v>4</v>
      </c>
      <c r="E46">
        <v>95</v>
      </c>
      <c r="F46">
        <v>0.04</v>
      </c>
    </row>
    <row r="47" spans="1:6" x14ac:dyDescent="0.25">
      <c r="A47" t="s">
        <v>264</v>
      </c>
      <c r="B47" t="s">
        <v>273</v>
      </c>
      <c r="C47" t="s">
        <v>1215</v>
      </c>
      <c r="D47">
        <v>5</v>
      </c>
      <c r="E47">
        <v>100</v>
      </c>
      <c r="F47">
        <v>0.05</v>
      </c>
    </row>
    <row r="49" spans="1:3" x14ac:dyDescent="0.25">
      <c r="A49" t="s">
        <v>1218</v>
      </c>
    </row>
    <row r="51" spans="1:3" x14ac:dyDescent="0.25">
      <c r="A51" t="s">
        <v>1219</v>
      </c>
    </row>
    <row r="53" spans="1:3" x14ac:dyDescent="0.25">
      <c r="A53" t="s">
        <v>1220</v>
      </c>
    </row>
    <row r="54" spans="1:3" x14ac:dyDescent="0.25">
      <c r="A54" t="s">
        <v>581</v>
      </c>
      <c r="B54" t="s">
        <v>1221</v>
      </c>
      <c r="C54" t="s">
        <v>1222</v>
      </c>
    </row>
    <row r="55" spans="1:3" x14ac:dyDescent="0.25">
      <c r="A55" t="s">
        <v>8</v>
      </c>
      <c r="B55">
        <v>9.2999999999999999E-2</v>
      </c>
      <c r="C55">
        <v>9.4500000000000001E-2</v>
      </c>
    </row>
    <row r="56" spans="1:3" x14ac:dyDescent="0.25">
      <c r="A56" t="s">
        <v>88</v>
      </c>
      <c r="B56">
        <v>0.11600000000000001</v>
      </c>
      <c r="C56">
        <v>0.1027</v>
      </c>
    </row>
    <row r="57" spans="1:3" x14ac:dyDescent="0.25">
      <c r="A57" t="s">
        <v>264</v>
      </c>
      <c r="B57">
        <v>0.27800000000000002</v>
      </c>
      <c r="C57">
        <v>0.29459999999999997</v>
      </c>
    </row>
    <row r="58" spans="1:3" x14ac:dyDescent="0.25">
      <c r="A58" t="s">
        <v>437</v>
      </c>
      <c r="B58">
        <v>0.51500000000000001</v>
      </c>
      <c r="C58">
        <v>0.50819999999999999</v>
      </c>
    </row>
    <row r="60" spans="1:3" x14ac:dyDescent="0.25">
      <c r="A60" t="s">
        <v>1223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5"/>
  <sheetViews>
    <sheetView showGridLines="0" workbookViewId="0">
      <selection activeCell="A13" sqref="A13"/>
    </sheetView>
  </sheetViews>
  <sheetFormatPr defaultRowHeight="15" x14ac:dyDescent="0.25"/>
  <cols>
    <col min="1" max="1" width="14" customWidth="1"/>
    <col min="2" max="2" width="45" customWidth="1"/>
    <col min="3" max="5" width="18" customWidth="1"/>
    <col min="6" max="6" width="45" customWidth="1"/>
  </cols>
  <sheetData>
    <row r="1" spans="1:10" ht="20.25" customHeight="1" x14ac:dyDescent="0.3">
      <c r="A1" s="61" t="s">
        <v>1224</v>
      </c>
    </row>
    <row r="2" spans="1:10" ht="384" customHeight="1" x14ac:dyDescent="0.25">
      <c r="A2" s="48" t="s">
        <v>1225</v>
      </c>
    </row>
    <row r="4" spans="1:10" ht="25.5" customHeight="1" x14ac:dyDescent="0.25">
      <c r="A4" s="45" t="s">
        <v>1226</v>
      </c>
      <c r="B4" s="45" t="s">
        <v>1227</v>
      </c>
      <c r="C4" s="45" t="s">
        <v>1201</v>
      </c>
      <c r="D4" s="45" t="s">
        <v>1228</v>
      </c>
      <c r="E4" s="45" t="s">
        <v>1229</v>
      </c>
      <c r="F4" s="45" t="s">
        <v>1230</v>
      </c>
      <c r="G4" t="s">
        <v>1231</v>
      </c>
      <c r="H4" t="s">
        <v>1232</v>
      </c>
      <c r="I4" t="s">
        <v>1233</v>
      </c>
      <c r="J4" t="s">
        <v>1234</v>
      </c>
    </row>
    <row r="5" spans="1:10" ht="60" customHeight="1" x14ac:dyDescent="0.25">
      <c r="A5" t="s">
        <v>1235</v>
      </c>
      <c r="B5" t="s">
        <v>1236</v>
      </c>
      <c r="C5" s="60">
        <v>964</v>
      </c>
      <c r="D5" s="60">
        <v>929</v>
      </c>
      <c r="E5" s="60">
        <v>329.9</v>
      </c>
      <c r="F5" s="48">
        <v>31.6</v>
      </c>
      <c r="G5">
        <v>100</v>
      </c>
      <c r="H5">
        <v>100.6</v>
      </c>
      <c r="I5">
        <v>1.052</v>
      </c>
      <c r="J5" t="s">
        <v>1237</v>
      </c>
    </row>
    <row r="6" spans="1:10" x14ac:dyDescent="0.25">
      <c r="A6" t="s">
        <v>1238</v>
      </c>
      <c r="B6" t="s">
        <v>1239</v>
      </c>
      <c r="C6">
        <v>972.4</v>
      </c>
      <c r="D6">
        <v>936</v>
      </c>
      <c r="E6">
        <v>333.4</v>
      </c>
      <c r="F6" s="48">
        <v>32.6</v>
      </c>
      <c r="G6">
        <v>100</v>
      </c>
      <c r="H6">
        <v>97.5</v>
      </c>
      <c r="I6">
        <v>1.0569999999999999</v>
      </c>
      <c r="J6" t="s">
        <v>1240</v>
      </c>
    </row>
    <row r="7" spans="1:10" x14ac:dyDescent="0.25">
      <c r="A7" t="s">
        <v>1241</v>
      </c>
      <c r="B7" t="s">
        <v>1242</v>
      </c>
      <c r="C7">
        <v>972.4</v>
      </c>
      <c r="D7">
        <v>936</v>
      </c>
      <c r="E7">
        <v>333.4</v>
      </c>
      <c r="F7" s="48">
        <v>32.6</v>
      </c>
      <c r="G7">
        <v>100</v>
      </c>
      <c r="H7">
        <v>97.5</v>
      </c>
      <c r="I7">
        <v>1.0569999999999999</v>
      </c>
      <c r="J7" t="s">
        <v>1243</v>
      </c>
    </row>
    <row r="8" spans="1:10" x14ac:dyDescent="0.25">
      <c r="A8" t="s">
        <v>1244</v>
      </c>
      <c r="B8" t="s">
        <v>1245</v>
      </c>
      <c r="C8">
        <v>979.5</v>
      </c>
      <c r="D8">
        <v>946.5</v>
      </c>
      <c r="E8">
        <v>331.4</v>
      </c>
      <c r="F8" s="48">
        <v>32.9</v>
      </c>
      <c r="G8">
        <v>100</v>
      </c>
      <c r="H8">
        <v>95.7</v>
      </c>
      <c r="I8">
        <v>1.0629999999999999</v>
      </c>
      <c r="J8" t="s">
        <v>1246</v>
      </c>
    </row>
    <row r="9" spans="1:10" x14ac:dyDescent="0.25">
      <c r="A9" t="s">
        <v>1247</v>
      </c>
      <c r="B9" t="s">
        <v>1248</v>
      </c>
      <c r="C9">
        <v>805.9</v>
      </c>
      <c r="D9">
        <v>737</v>
      </c>
      <c r="E9">
        <v>318.8</v>
      </c>
      <c r="F9" s="48">
        <v>16.8</v>
      </c>
      <c r="G9">
        <v>100</v>
      </c>
      <c r="H9">
        <v>65.7</v>
      </c>
      <c r="I9">
        <v>0.85199999999999998</v>
      </c>
      <c r="J9" t="s">
        <v>1249</v>
      </c>
    </row>
    <row r="10" spans="1:10" ht="72" customHeight="1" x14ac:dyDescent="0.25">
      <c r="A10" t="s">
        <v>1250</v>
      </c>
      <c r="B10" t="s">
        <v>1251</v>
      </c>
      <c r="C10" s="60">
        <v>738.2</v>
      </c>
      <c r="D10" s="60">
        <v>679</v>
      </c>
      <c r="E10" s="60">
        <v>287.8</v>
      </c>
      <c r="F10" s="48">
        <v>11.4</v>
      </c>
      <c r="G10">
        <v>100</v>
      </c>
      <c r="H10">
        <v>39.5</v>
      </c>
      <c r="I10">
        <v>0.76400000000000001</v>
      </c>
      <c r="J10" t="s">
        <v>1252</v>
      </c>
    </row>
    <row r="12" spans="1:10" x14ac:dyDescent="0.25">
      <c r="A12" t="s">
        <v>1253</v>
      </c>
    </row>
    <row r="13" spans="1:10" ht="15.75" customHeight="1" x14ac:dyDescent="0.25">
      <c r="A13" s="54" t="s">
        <v>1254</v>
      </c>
    </row>
    <row r="14" spans="1:10" ht="180" customHeight="1" x14ac:dyDescent="0.25">
      <c r="A14" s="48" t="s">
        <v>1255</v>
      </c>
    </row>
    <row r="15" spans="1:10" ht="288.75" customHeight="1" x14ac:dyDescent="0.25">
      <c r="A15" s="62" t="s">
        <v>1256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Guida</vt:lpstr>
      <vt:lpstr>Dashboard Asta</vt:lpstr>
      <vt:lpstr>Decisione Live</vt:lpstr>
      <vt:lpstr>Output Utente</vt:lpstr>
      <vt:lpstr>Stato Asta</vt:lpstr>
      <vt:lpstr>Info Lega</vt:lpstr>
      <vt:lpstr>Info Strategia</vt:lpstr>
      <vt:lpstr>Parametri Modello</vt:lpstr>
      <vt:lpstr>Pressione Competitiva</vt:lpstr>
      <vt:lpstr>TeamDetail</vt:lpstr>
      <vt:lpstr>Giocatori Da Chiamare</vt:lpstr>
      <vt:lpstr>Giocatori Liberi</vt:lpstr>
      <vt:lpstr>La Mia Rosa</vt:lpstr>
      <vt:lpstr>Input Giocatori 2026_27</vt:lpstr>
      <vt:lpstr>Input Statistiche 2025_26</vt:lpstr>
      <vt:lpstr>Validazione Dati</vt:lpstr>
      <vt:lpstr>Analisi Asta Reale 2025</vt:lpstr>
      <vt:lpstr>Simulazioni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FantaAuction Engine — Cowork Final</dc:title>
  <dc:subject>Motore di pricing per asta Fantacalcio</dc:subject>
  <dc:creator>Cowork (Claude) + Salvatore Nocerino</dc:creator>
  <dc:description>Evoluzione di Strategia_Asta_v11_titolari_riserve.xlsx</dc:description>
  <cp:lastModifiedBy>14239</cp:lastModifiedBy>
  <cp:revision>0</cp:revision>
  <dcterms:created xsi:type="dcterms:W3CDTF">2015-06-05T18:17:20Z</dcterms:created>
  <dcterms:modified xsi:type="dcterms:W3CDTF">2026-08-12T16:48:31Z</dcterms:modified>
  <dc:language>en-US</dc:language>
</cp:coreProperties>
</file>